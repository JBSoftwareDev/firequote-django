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8" autoFilterDateGrouping="1"/>
  </bookViews>
  <sheets>
    <sheet xmlns:r="http://schemas.openxmlformats.org/officeDocument/2006/relationships" name="2018" sheetId="1" state="visible" r:id="rId1"/>
    <sheet xmlns:r="http://schemas.openxmlformats.org/officeDocument/2006/relationships" name="2019" sheetId="2" state="visible" r:id="rId2"/>
    <sheet xmlns:r="http://schemas.openxmlformats.org/officeDocument/2006/relationships" name="2020" sheetId="3" state="visible" r:id="rId3"/>
    <sheet xmlns:r="http://schemas.openxmlformats.org/officeDocument/2006/relationships" name="2021" sheetId="4" state="visible" r:id="rId4"/>
    <sheet xmlns:r="http://schemas.openxmlformats.org/officeDocument/2006/relationships" name="2022" sheetId="5" state="visible" r:id="rId5"/>
    <sheet xmlns:r="http://schemas.openxmlformats.org/officeDocument/2006/relationships" name="2023" sheetId="6" state="visible" r:id="rId6"/>
    <sheet xmlns:r="http://schemas.openxmlformats.org/officeDocument/2006/relationships" name="2024" sheetId="7" state="visible" r:id="rId7"/>
    <sheet xmlns:r="http://schemas.openxmlformats.org/officeDocument/2006/relationships" name="2025" sheetId="8" state="visible" r:id="rId8"/>
    <sheet xmlns:r="http://schemas.openxmlformats.org/officeDocument/2006/relationships" name="2026" sheetId="9" state="visible" r:id="rId9"/>
    <sheet xmlns:r="http://schemas.openxmlformats.org/officeDocument/2006/relationships" name="Hoja1" sheetId="10" state="visible" r:id="rId10"/>
    <sheet xmlns:r="http://schemas.openxmlformats.org/officeDocument/2006/relationships" name="ANÁLISIS COTIZACIONES" sheetId="11" state="visible" r:id="rId11"/>
  </sheets>
  <definedNames>
    <definedName name="_xlnm._FilterDatabase" localSheetId="4" hidden="1">'2022'!$B$11:$P$573</definedName>
    <definedName name="_xlnm._FilterDatabase" localSheetId="5" hidden="1">'2023'!$B$11:$P$574</definedName>
    <definedName name="_xlnm._FilterDatabase" localSheetId="6" hidden="1">'2024'!$B$11:$P$626</definedName>
    <definedName name="_xlnm._FilterDatabase" localSheetId="7" hidden="1">'2025'!$A$10:$O$669</definedName>
    <definedName name="_xlnm._FilterDatabase" localSheetId="8" hidden="1">'2026'!$A$10:$P$670</definedName>
    <definedName name="_xlnm.Print_Area" localSheetId="9">'Hoja1'!$A$1:$G$6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&quot;$&quot;\ * #,##0_);_(&quot;$&quot;\ * \(#,##0\);_(&quot;$&quot;\ * &quot;-&quot;??_);_(@_)"/>
    <numFmt numFmtId="165" formatCode="_-* #,##0.0_-;\-* #,##0.0_-;_-* &quot;-&quot;?_-;_-@_-"/>
    <numFmt numFmtId="166" formatCode="_(&quot;$&quot;\ * #,##0.00_);_(&quot;$&quot;\ * \(#,##0.00\);_(&quot;$&quot;\ * &quot;-&quot;??_);_(@_)"/>
    <numFmt numFmtId="167" formatCode="_-* #,##0.00_-;\-* #,##0.00_-;_-* &quot;-&quot;??_-;_-@_-"/>
    <numFmt numFmtId="168" formatCode="&quot;$&quot;\ #,##0.00"/>
  </numFmts>
  <fonts count="20">
    <font>
      <name val="Calibri"/>
      <family val="2"/>
      <color theme="1"/>
      <sz val="11"/>
      <scheme val="minor"/>
    </font>
    <font>
      <name val="Cambria"/>
      <family val="1"/>
      <b val="1"/>
      <color theme="1"/>
      <sz val="11"/>
    </font>
    <font>
      <name val="Cambria"/>
      <family val="1"/>
      <b val="1"/>
      <color theme="1"/>
      <sz val="28"/>
    </font>
    <font>
      <name val="Calibri"/>
      <family val="2"/>
      <color theme="1"/>
      <sz val="11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sz val="11"/>
      <scheme val="minor"/>
    </font>
    <font>
      <name val="Cambria"/>
      <family val="1"/>
      <color theme="1"/>
      <sz val="11"/>
    </font>
    <font>
      <name val="Calibri"/>
      <family val="2"/>
      <color theme="10"/>
      <sz val="11"/>
      <u val="single"/>
      <scheme val="minor"/>
    </font>
    <font>
      <name val="Cambria"/>
      <family val="1"/>
      <b val="1"/>
      <color theme="1"/>
      <sz val="14"/>
    </font>
    <font>
      <name val="Calibri"/>
      <family val="2"/>
      <sz val="8"/>
      <scheme val="minor"/>
    </font>
    <font>
      <name val="Cambria"/>
      <family val="1"/>
      <b val="1"/>
      <color theme="1"/>
      <sz val="60"/>
    </font>
    <font>
      <name val="Arial"/>
      <family val="2"/>
      <color rgb="FF000000"/>
      <sz val="10"/>
    </font>
    <font>
      <name val="Calibri"/>
      <family val="2"/>
      <b val="1"/>
      <color theme="1"/>
      <sz val="11"/>
      <scheme val="minor"/>
    </font>
    <font>
      <name val="Arial"/>
      <family val="2"/>
      <color rgb="FF5E5E5E"/>
      <sz val="11"/>
    </font>
    <font>
      <name val="Arial"/>
      <family val="2"/>
      <color rgb="FF222222"/>
      <sz val="12"/>
    </font>
    <font>
      <name val="Cambria"/>
      <family val="1"/>
      <color theme="10"/>
      <sz val="11"/>
      <u val="single"/>
    </font>
    <font>
      <name val="Calibri"/>
      <family val="2"/>
      <color theme="4" tint="-0.499984740745262"/>
      <sz val="11"/>
      <u val="single"/>
      <scheme val="minor"/>
    </font>
    <font>
      <name val="Cambria"/>
      <family val="1"/>
      <color theme="4" tint="-0.499984740745262"/>
      <sz val="11"/>
      <u val="single"/>
    </font>
    <font>
      <name val="Cambria"/>
      <family val="1"/>
      <sz val="11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3" fillId="0" borderId="0"/>
    <xf numFmtId="166" fontId="3" fillId="0" borderId="0"/>
    <xf numFmtId="0" fontId="8" fillId="0" borderId="0"/>
    <xf numFmtId="9" fontId="3" fillId="0" borderId="0"/>
    <xf numFmtId="167" fontId="3" fillId="0" borderId="0"/>
  </cellStyleXfs>
  <cellXfs count="343">
    <xf numFmtId="0" fontId="0" fillId="0" borderId="0" pivotButton="0" quotePrefix="0" xfId="0"/>
    <xf numFmtId="164" fontId="0" fillId="0" borderId="11" applyAlignment="1" pivotButton="0" quotePrefix="0" xfId="1">
      <alignment horizontal="center" vertical="center"/>
    </xf>
    <xf numFmtId="14" fontId="0" fillId="0" borderId="11" applyAlignment="1" pivotButton="0" quotePrefix="0" xfId="0">
      <alignment horizontal="center" vertical="center"/>
    </xf>
    <xf numFmtId="14" fontId="0" fillId="0" borderId="11" pivotButton="0" quotePrefix="0" xfId="0"/>
    <xf numFmtId="164" fontId="0" fillId="0" borderId="11" pivotButton="0" quotePrefix="0" xfId="1"/>
    <xf numFmtId="164" fontId="0" fillId="0" borderId="11" applyAlignment="1" pivotButton="0" quotePrefix="0" xfId="1">
      <alignment horizontal="center"/>
    </xf>
    <xf numFmtId="0" fontId="0" fillId="0" borderId="11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 wrapText="1"/>
    </xf>
    <xf numFmtId="164" fontId="0" fillId="0" borderId="11" applyAlignment="1" pivotButton="0" quotePrefix="0" xfId="1">
      <alignment horizontal="left" vertical="center"/>
    </xf>
    <xf numFmtId="14" fontId="0" fillId="0" borderId="11" applyAlignment="1" pivotButton="0" quotePrefix="0" xfId="0">
      <alignment horizontal="left" vertical="center"/>
    </xf>
    <xf numFmtId="0" fontId="0" fillId="3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/>
    </xf>
    <xf numFmtId="14" fontId="0" fillId="0" borderId="11" applyAlignment="1" pivotButton="0" quotePrefix="0" xfId="0">
      <alignment horizontal="left"/>
    </xf>
    <xf numFmtId="164" fontId="0" fillId="0" borderId="11" applyAlignment="1" pivotButton="0" quotePrefix="0" xfId="1">
      <alignment horizontal="left"/>
    </xf>
    <xf numFmtId="164" fontId="0" fillId="0" borderId="0" applyAlignment="1" pivotButton="0" quotePrefix="0" xfId="1">
      <alignment horizontal="left"/>
    </xf>
    <xf numFmtId="164" fontId="0" fillId="0" borderId="0" applyAlignment="1" pivotButton="0" quotePrefix="0" xfId="0">
      <alignment horizontal="left"/>
    </xf>
    <xf numFmtId="0" fontId="8" fillId="0" borderId="0" applyAlignment="1" pivotButton="0" quotePrefix="0" xfId="2">
      <alignment horizontal="left"/>
    </xf>
    <xf numFmtId="164" fontId="0" fillId="0" borderId="11" applyAlignment="1" pivotButton="0" quotePrefix="0" xfId="1">
      <alignment horizontal="left" vertical="center"/>
    </xf>
    <xf numFmtId="164" fontId="0" fillId="2" borderId="11" applyAlignment="1" pivotButton="0" quotePrefix="0" xfId="1">
      <alignment horizontal="left" vertical="center"/>
    </xf>
    <xf numFmtId="14" fontId="0" fillId="2" borderId="1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/>
    </xf>
    <xf numFmtId="0" fontId="0" fillId="4" borderId="11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64" fontId="0" fillId="4" borderId="11" applyAlignment="1" pivotButton="0" quotePrefix="0" xfId="1">
      <alignment horizontal="left" vertical="center"/>
    </xf>
    <xf numFmtId="14" fontId="0" fillId="4" borderId="11" applyAlignment="1" pivotButton="0" quotePrefix="0" xfId="0">
      <alignment horizontal="left" vertical="center"/>
    </xf>
    <xf numFmtId="14" fontId="0" fillId="4" borderId="11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7" fontId="0" fillId="0" borderId="11" applyAlignment="1" pivotButton="0" quotePrefix="0" xfId="0">
      <alignment horizontal="center" vertical="center"/>
    </xf>
    <xf numFmtId="17" fontId="0" fillId="2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8" fillId="0" borderId="11" applyAlignment="1" pivotButton="0" quotePrefix="0" xfId="2">
      <alignment horizontal="center"/>
    </xf>
    <xf numFmtId="0" fontId="7" fillId="0" borderId="11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/>
    </xf>
    <xf numFmtId="0" fontId="0" fillId="2" borderId="1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/>
    </xf>
    <xf numFmtId="14" fontId="0" fillId="4" borderId="11" applyAlignment="1" pivotButton="0" quotePrefix="0" xfId="0">
      <alignment horizontal="center" vertical="center"/>
    </xf>
    <xf numFmtId="14" fontId="0" fillId="2" borderId="11" applyAlignment="1" pivotButton="0" quotePrefix="0" xfId="0">
      <alignment horizontal="center" vertical="center"/>
    </xf>
    <xf numFmtId="164" fontId="0" fillId="0" borderId="11" applyAlignment="1" pivotButton="0" quotePrefix="0" xfId="1">
      <alignment horizontal="center" vertical="center"/>
    </xf>
    <xf numFmtId="164" fontId="0" fillId="4" borderId="11" applyAlignment="1" pivotButton="0" quotePrefix="0" xfId="1">
      <alignment horizontal="center" vertical="center"/>
    </xf>
    <xf numFmtId="164" fontId="0" fillId="2" borderId="11" applyAlignment="1" pivotButton="0" quotePrefix="0" xfId="1">
      <alignment horizontal="center" vertical="center"/>
    </xf>
    <xf numFmtId="0" fontId="0" fillId="5" borderId="11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/>
    </xf>
    <xf numFmtId="0" fontId="8" fillId="0" borderId="11" applyAlignment="1" pivotButton="0" quotePrefix="0" xfId="2">
      <alignment horizontal="center"/>
    </xf>
    <xf numFmtId="164" fontId="0" fillId="0" borderId="11" applyAlignment="1" pivotButton="0" quotePrefix="0" xfId="1">
      <alignment horizontal="center"/>
    </xf>
    <xf numFmtId="0" fontId="8" fillId="0" borderId="0" applyAlignment="1" pivotButton="0" quotePrefix="0" xfId="2">
      <alignment horizontal="center"/>
    </xf>
    <xf numFmtId="164" fontId="8" fillId="0" borderId="11" applyAlignment="1" pivotButton="0" quotePrefix="0" xfId="2">
      <alignment horizontal="center"/>
    </xf>
    <xf numFmtId="164" fontId="0" fillId="0" borderId="31" applyAlignment="1" pivotButton="0" quotePrefix="0" xfId="1">
      <alignment horizontal="center" vertical="center"/>
    </xf>
    <xf numFmtId="3" fontId="0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4" borderId="11" applyAlignment="1" pivotButton="0" quotePrefix="0" xfId="0">
      <alignment horizontal="left" vertical="center"/>
    </xf>
    <xf numFmtId="0" fontId="0" fillId="2" borderId="11" applyAlignment="1" pivotButton="0" quotePrefix="0" xfId="0">
      <alignment horizontal="left" vertical="center"/>
    </xf>
    <xf numFmtId="0" fontId="0" fillId="2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8" fillId="0" borderId="11" applyAlignment="1" pivotButton="0" quotePrefix="0" xfId="2">
      <alignment horizontal="center" vertical="center"/>
    </xf>
    <xf numFmtId="0" fontId="8" fillId="0" borderId="0" pivotButton="0" quotePrefix="0" xfId="2"/>
    <xf numFmtId="0" fontId="0" fillId="0" borderId="32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6" fillId="0" borderId="11" applyAlignment="1" pivotButton="0" quotePrefix="0" xfId="0">
      <alignment horizontal="left" vertical="center"/>
    </xf>
    <xf numFmtId="165" fontId="0" fillId="0" borderId="0" applyAlignment="1" pivotButton="0" quotePrefix="0" xfId="0">
      <alignment horizontal="left"/>
    </xf>
    <xf numFmtId="0" fontId="3" fillId="0" borderId="11" applyAlignment="1" pivotButton="0" quotePrefix="0" xfId="2">
      <alignment horizontal="left" vertical="center"/>
    </xf>
    <xf numFmtId="0" fontId="1" fillId="0" borderId="0" applyAlignment="1" pivotButton="0" quotePrefix="0" xfId="0">
      <alignment vertical="center"/>
    </xf>
    <xf numFmtId="164" fontId="0" fillId="5" borderId="11" applyAlignment="1" pivotButton="0" quotePrefix="0" xfId="1">
      <alignment horizontal="center" vertical="center"/>
    </xf>
    <xf numFmtId="0" fontId="0" fillId="5" borderId="11" applyAlignment="1" pivotButton="0" quotePrefix="0" xfId="0">
      <alignment horizontal="left" vertical="center"/>
    </xf>
    <xf numFmtId="0" fontId="8" fillId="0" borderId="11" applyAlignment="1" pivotButton="0" quotePrefix="0" xfId="2">
      <alignment horizontal="center" wrapText="1"/>
    </xf>
    <xf numFmtId="0" fontId="8" fillId="0" borderId="0" applyAlignment="1" pivotButton="0" quotePrefix="0" xfId="2">
      <alignment horizontal="left" vertical="center"/>
    </xf>
    <xf numFmtId="0" fontId="1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0" borderId="31" applyAlignment="1" pivotButton="0" quotePrefix="0" xfId="0">
      <alignment horizontal="left" vertical="center"/>
    </xf>
    <xf numFmtId="0" fontId="8" fillId="0" borderId="0" applyAlignment="1" pivotButton="0" quotePrefix="0" xfId="2">
      <alignment horizontal="center" vertical="center"/>
    </xf>
    <xf numFmtId="0" fontId="3" fillId="0" borderId="11" applyAlignment="1" pivotButton="0" quotePrefix="0" xfId="2">
      <alignment horizontal="center" vertical="center"/>
    </xf>
    <xf numFmtId="0" fontId="8" fillId="0" borderId="11" applyAlignment="1" pivotButton="0" quotePrefix="0" xfId="2">
      <alignment horizontal="center" vertical="center"/>
    </xf>
    <xf numFmtId="16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8" fillId="0" borderId="0" applyAlignment="1" pivotButton="0" quotePrefix="0" xfId="2">
      <alignment vertical="center"/>
    </xf>
    <xf numFmtId="0" fontId="8" fillId="0" borderId="11" applyAlignment="1" pivotButton="0" quotePrefix="0" xfId="2">
      <alignment horizontal="center" vertical="center" wrapText="1"/>
    </xf>
    <xf numFmtId="0" fontId="8" fillId="0" borderId="11" applyAlignment="1" pivotButton="0" quotePrefix="0" xfId="2">
      <alignment horizontal="center" wrapText="1"/>
    </xf>
    <xf numFmtId="0" fontId="8" fillId="0" borderId="0" applyAlignment="1" pivotButton="0" quotePrefix="0" xfId="2">
      <alignment horizontal="left" vertical="center"/>
    </xf>
    <xf numFmtId="0" fontId="8" fillId="0" borderId="0" pivotButton="0" quotePrefix="0" xfId="2"/>
    <xf numFmtId="0" fontId="8" fillId="0" borderId="0" applyAlignment="1" pivotButton="0" quotePrefix="0" xfId="2">
      <alignment horizontal="center" vertical="center"/>
    </xf>
    <xf numFmtId="0" fontId="8" fillId="0" borderId="0" applyAlignment="1" pivotButton="0" quotePrefix="0" xfId="2">
      <alignment horizontal="center"/>
    </xf>
    <xf numFmtId="0" fontId="0" fillId="0" borderId="31" applyAlignment="1" pivotButton="0" quotePrefix="0" xfId="0">
      <alignment horizontal="center" vertical="center"/>
    </xf>
    <xf numFmtId="166" fontId="0" fillId="0" borderId="0" pivotButton="0" quotePrefix="0" xfId="1"/>
    <xf numFmtId="0" fontId="13" fillId="0" borderId="0" applyAlignment="1" pivotButton="0" quotePrefix="0" xfId="0">
      <alignment horizontal="center"/>
    </xf>
    <xf numFmtId="16" fontId="13" fillId="0" borderId="0" pivotButton="0" quotePrefix="0" xfId="0"/>
    <xf numFmtId="9" fontId="0" fillId="0" borderId="0" pivotButton="0" quotePrefix="0" xfId="3"/>
    <xf numFmtId="0" fontId="8" fillId="0" borderId="11" pivotButton="0" quotePrefix="0" xfId="2"/>
    <xf numFmtId="0" fontId="8" fillId="0" borderId="11" pivotButton="0" quotePrefix="0" xfId="2"/>
    <xf numFmtId="0" fontId="14" fillId="0" borderId="0" applyAlignment="1" pivotButton="0" quotePrefix="0" xfId="0">
      <alignment horizontal="center"/>
    </xf>
    <xf numFmtId="14" fontId="0" fillId="5" borderId="11" applyAlignment="1" pivotButton="0" quotePrefix="0" xfId="0">
      <alignment horizontal="center" vertical="center"/>
    </xf>
    <xf numFmtId="0" fontId="8" fillId="5" borderId="11" applyAlignment="1" pivotButton="0" quotePrefix="0" xfId="2">
      <alignment horizontal="center"/>
    </xf>
    <xf numFmtId="0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/>
    </xf>
    <xf numFmtId="0" fontId="8" fillId="0" borderId="32" applyAlignment="1" pivotButton="0" quotePrefix="0" xfId="2">
      <alignment horizontal="center"/>
    </xf>
    <xf numFmtId="0" fontId="7" fillId="0" borderId="24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8" fillId="0" borderId="11" applyAlignment="1" pivotButton="0" quotePrefix="0" xfId="2">
      <alignment horizontal="left" vertic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11" applyAlignment="1" pivotButton="0" quotePrefix="0" xfId="1">
      <alignment horizontal="center" vertical="center"/>
    </xf>
    <xf numFmtId="14" fontId="7" fillId="0" borderId="11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16" fillId="0" borderId="11" applyAlignment="1" pivotButton="0" quotePrefix="0" xfId="2">
      <alignment horizontal="center" vertical="center"/>
    </xf>
    <xf numFmtId="0" fontId="16" fillId="0" borderId="11" applyAlignment="1" pivotButton="0" quotePrefix="0" xfId="2">
      <alignment horizontal="center"/>
    </xf>
    <xf numFmtId="0" fontId="16" fillId="0" borderId="11" applyAlignment="1" pivotButton="0" quotePrefix="0" xfId="2">
      <alignment horizontal="center"/>
    </xf>
    <xf numFmtId="0" fontId="17" fillId="0" borderId="11" applyAlignment="1" pivotButton="0" quotePrefix="0" xfId="2">
      <alignment horizontal="center"/>
    </xf>
    <xf numFmtId="0" fontId="18" fillId="0" borderId="11" applyAlignment="1" pivotButton="0" quotePrefix="0" xfId="2">
      <alignment horizontal="center"/>
    </xf>
    <xf numFmtId="0" fontId="1" fillId="0" borderId="29" applyAlignment="1" pivotButton="0" quotePrefix="0" xfId="0">
      <alignment horizontal="left" vertical="center" wrapText="1"/>
    </xf>
    <xf numFmtId="0" fontId="1" fillId="0" borderId="18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center" vertical="top" wrapText="1"/>
    </xf>
    <xf numFmtId="167" fontId="7" fillId="0" borderId="11" applyAlignment="1" pivotButton="0" quotePrefix="0" xfId="4">
      <alignment horizontal="center" vertical="center"/>
    </xf>
    <xf numFmtId="0" fontId="7" fillId="0" borderId="3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164" fontId="7" fillId="5" borderId="11" applyAlignment="1" pivotButton="0" quotePrefix="0" xfId="1">
      <alignment horizontal="center" vertical="center"/>
    </xf>
    <xf numFmtId="14" fontId="7" fillId="5" borderId="11" applyAlignment="1" pivotButton="0" quotePrefix="0" xfId="0">
      <alignment horizontal="center" vertical="center"/>
    </xf>
    <xf numFmtId="0" fontId="16" fillId="5" borderId="11" applyAlignment="1" pivotButton="0" quotePrefix="0" xfId="2">
      <alignment horizontal="center"/>
    </xf>
    <xf numFmtId="164" fontId="7" fillId="0" borderId="31" applyAlignment="1" pivotButton="0" quotePrefix="0" xfId="1">
      <alignment horizontal="center" vertical="center"/>
    </xf>
    <xf numFmtId="9" fontId="0" fillId="0" borderId="0" pivotButton="0" quotePrefix="0" xfId="0"/>
    <xf numFmtId="168" fontId="0" fillId="0" borderId="0" pivotButton="0" quotePrefix="0" xfId="0"/>
    <xf numFmtId="0" fontId="0" fillId="0" borderId="11" applyAlignment="1" pivotButton="0" quotePrefix="0" xfId="0">
      <alignment wrapText="1"/>
    </xf>
    <xf numFmtId="168" fontId="0" fillId="0" borderId="11" pivotButton="0" quotePrefix="0" xfId="0"/>
    <xf numFmtId="0" fontId="7" fillId="8" borderId="0" pivotButton="0" quotePrefix="0" xfId="0"/>
    <xf numFmtId="0" fontId="7" fillId="8" borderId="11" applyAlignment="1" pivotButton="0" quotePrefix="0" xfId="0">
      <alignment horizontal="center" vertical="center"/>
    </xf>
    <xf numFmtId="164" fontId="7" fillId="8" borderId="11" applyAlignment="1" pivotButton="0" quotePrefix="0" xfId="1">
      <alignment horizontal="center" vertical="center"/>
    </xf>
    <xf numFmtId="14" fontId="7" fillId="8" borderId="11" applyAlignment="1" pivotButton="0" quotePrefix="0" xfId="0">
      <alignment horizontal="center" vertical="center"/>
    </xf>
    <xf numFmtId="0" fontId="16" fillId="8" borderId="11" applyAlignment="1" pivotButton="0" quotePrefix="0" xfId="2">
      <alignment horizontal="center"/>
    </xf>
    <xf numFmtId="0" fontId="0" fillId="8" borderId="0" pivotButton="0" quotePrefix="0" xfId="0"/>
    <xf numFmtId="0" fontId="8" fillId="8" borderId="11" applyAlignment="1" pivotButton="0" quotePrefix="0" xfId="2">
      <alignment horizontal="center"/>
    </xf>
    <xf numFmtId="0" fontId="0" fillId="8" borderId="11" applyAlignment="1" pivotButton="0" quotePrefix="0" xfId="0">
      <alignment horizontal="center" vertical="center"/>
    </xf>
    <xf numFmtId="0" fontId="7" fillId="8" borderId="3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/>
    </xf>
    <xf numFmtId="0" fontId="0" fillId="8" borderId="11" pivotButton="0" quotePrefix="0" xfId="0"/>
    <xf numFmtId="0" fontId="19" fillId="0" borderId="0" pivotButton="0" quotePrefix="0" xfId="0"/>
    <xf numFmtId="0" fontId="19" fillId="0" borderId="11" applyAlignment="1" pivotButton="0" quotePrefix="0" xfId="0">
      <alignment horizontal="center" vertical="center"/>
    </xf>
    <xf numFmtId="164" fontId="19" fillId="0" borderId="11" applyAlignment="1" pivotButton="0" quotePrefix="0" xfId="1">
      <alignment horizontal="center" vertical="center"/>
    </xf>
    <xf numFmtId="14" fontId="19" fillId="0" borderId="1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11" applyAlignment="1" pivotButton="0" quotePrefix="0" xfId="0">
      <alignment horizontal="center" wrapText="1"/>
    </xf>
    <xf numFmtId="0" fontId="18" fillId="0" borderId="11" applyAlignment="1" pivotButton="0" quotePrefix="0" xfId="2">
      <alignment horizontal="center"/>
    </xf>
    <xf numFmtId="3" fontId="7" fillId="0" borderId="11" applyAlignment="1" pivotButton="0" quotePrefix="0" xfId="0">
      <alignment horizontal="center" vertical="center"/>
    </xf>
    <xf numFmtId="0" fontId="16" fillId="0" borderId="11" applyAlignment="1" pivotButton="0" quotePrefix="0" xfId="2">
      <alignment horizontal="center" wrapText="1"/>
    </xf>
    <xf numFmtId="164" fontId="7" fillId="0" borderId="11" applyAlignment="1" pivotButton="0" quotePrefix="0" xfId="1">
      <alignment horizontal="center" vertical="center"/>
    </xf>
    <xf numFmtId="0" fontId="1" fillId="0" borderId="29" applyAlignment="1" pivotButton="0" quotePrefix="0" xfId="0">
      <alignment horizontal="left" vertical="center" wrapText="1"/>
    </xf>
    <xf numFmtId="0" fontId="1" fillId="0" borderId="3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" fillId="0" borderId="18" applyAlignment="1" pivotButton="0" quotePrefix="0" xfId="0">
      <alignment horizontal="center" vertical="center" wrapText="1"/>
    </xf>
    <xf numFmtId="0" fontId="1" fillId="0" borderId="19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center" vertical="center" wrapText="1"/>
    </xf>
    <xf numFmtId="0" fontId="1" fillId="0" borderId="14" applyAlignment="1" pivotButton="0" quotePrefix="0" xfId="0">
      <alignment horizontal="center" vertical="center" wrapText="1"/>
    </xf>
    <xf numFmtId="0" fontId="1" fillId="0" borderId="15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 vertical="center" wrapText="1"/>
    </xf>
    <xf numFmtId="0" fontId="1" fillId="0" borderId="16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1" fillId="0" borderId="17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wrapText="1"/>
    </xf>
    <xf numFmtId="0" fontId="1" fillId="0" borderId="22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 wrapText="1"/>
    </xf>
    <xf numFmtId="0" fontId="1" fillId="0" borderId="30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28" applyAlignment="1" pivotButton="0" quotePrefix="0" xfId="0">
      <alignment horizontal="left" vertical="center"/>
    </xf>
    <xf numFmtId="0" fontId="0" fillId="0" borderId="25" applyAlignment="1" pivotButton="0" quotePrefix="0" xfId="0">
      <alignment horizontal="left" vertical="center"/>
    </xf>
    <xf numFmtId="0" fontId="1" fillId="0" borderId="7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1" fillId="0" borderId="18" applyAlignment="1" pivotButton="0" quotePrefix="0" xfId="0">
      <alignment horizontal="left" vertical="center" wrapText="1"/>
    </xf>
    <xf numFmtId="0" fontId="1" fillId="0" borderId="19" applyAlignment="1" pivotButton="0" quotePrefix="0" xfId="0">
      <alignment horizontal="left" vertical="center" wrapText="1"/>
    </xf>
    <xf numFmtId="0" fontId="1" fillId="0" borderId="12" applyAlignment="1" pivotButton="0" quotePrefix="0" xfId="0">
      <alignment horizontal="left" vertical="center" wrapText="1"/>
    </xf>
    <xf numFmtId="0" fontId="1" fillId="0" borderId="10" applyAlignment="1" pivotButton="0" quotePrefix="0" xfId="0">
      <alignment horizontal="left" vertical="center" wrapText="1"/>
    </xf>
    <xf numFmtId="0" fontId="1" fillId="0" borderId="13" applyAlignment="1" pivotButton="0" quotePrefix="0" xfId="0">
      <alignment horizontal="left" vertical="center" wrapText="1"/>
    </xf>
    <xf numFmtId="0" fontId="1" fillId="0" borderId="26" applyAlignment="1" pivotButton="0" quotePrefix="0" xfId="0">
      <alignment horizontal="left" vertical="center" wrapText="1"/>
    </xf>
    <xf numFmtId="0" fontId="1" fillId="0" borderId="14" applyAlignment="1" pivotButton="0" quotePrefix="0" xfId="0">
      <alignment horizontal="left" vertical="center" wrapText="1"/>
    </xf>
    <xf numFmtId="0" fontId="1" fillId="0" borderId="15" applyAlignment="1" pivotButton="0" quotePrefix="0" xfId="0">
      <alignment horizontal="left" vertical="center" wrapText="1"/>
    </xf>
    <xf numFmtId="0" fontId="1" fillId="0" borderId="23" applyAlignment="1" pivotButton="0" quotePrefix="0" xfId="0">
      <alignment horizontal="left" vertical="center" wrapText="1"/>
    </xf>
    <xf numFmtId="0" fontId="1" fillId="0" borderId="16" applyAlignment="1" pivotButton="0" quotePrefix="0" xfId="0">
      <alignment horizontal="left" vertical="center" wrapText="1"/>
    </xf>
    <xf numFmtId="0" fontId="1" fillId="0" borderId="27" applyAlignment="1" pivotButton="0" quotePrefix="0" xfId="0">
      <alignment horizontal="left" vertical="center" wrapText="1"/>
    </xf>
    <xf numFmtId="0" fontId="1" fillId="0" borderId="17" applyAlignment="1" pivotButton="0" quotePrefix="0" xfId="0">
      <alignment horizontal="left" vertical="center" wrapText="1"/>
    </xf>
    <xf numFmtId="0" fontId="1" fillId="0" borderId="9" applyAlignment="1" pivotButton="0" quotePrefix="0" xfId="0">
      <alignment horizontal="left" vertical="center"/>
    </xf>
    <xf numFmtId="0" fontId="1" fillId="0" borderId="20" applyAlignment="1" pivotButton="0" quotePrefix="0" xfId="0">
      <alignment horizontal="left" vertical="center"/>
    </xf>
    <xf numFmtId="0" fontId="1" fillId="0" borderId="21" applyAlignment="1" pivotButton="0" quotePrefix="0" xfId="0">
      <alignment horizontal="left" vertical="center" wrapText="1"/>
    </xf>
    <xf numFmtId="0" fontId="1" fillId="0" borderId="22" applyAlignment="1" pivotButton="0" quotePrefix="0" xfId="0">
      <alignment horizontal="left" vertical="center" wrapText="1"/>
    </xf>
    <xf numFmtId="0" fontId="0" fillId="2" borderId="11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2" borderId="11" applyAlignment="1" pivotButton="0" quotePrefix="0" xfId="0">
      <alignment horizontal="left"/>
    </xf>
    <xf numFmtId="0" fontId="6" fillId="0" borderId="1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left"/>
    </xf>
    <xf numFmtId="0" fontId="9" fillId="0" borderId="1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left" vertical="top"/>
    </xf>
    <xf numFmtId="0" fontId="0" fillId="0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/>
    </xf>
    <xf numFmtId="0" fontId="0" fillId="7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wrapText="1"/>
    </xf>
    <xf numFmtId="0" fontId="6" fillId="0" borderId="11" applyAlignment="1" pivotButton="0" quotePrefix="0" xfId="0">
      <alignment horizontal="left" vertical="top" wrapText="1"/>
    </xf>
    <xf numFmtId="0" fontId="6" fillId="0" borderId="11" applyAlignment="1" pivotButton="0" quotePrefix="0" xfId="0">
      <alignment horizontal="left" vertical="top"/>
    </xf>
    <xf numFmtId="0" fontId="0" fillId="5" borderId="1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0" fontId="11" fillId="0" borderId="8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0" fillId="0" borderId="24" applyAlignment="1" pivotButton="0" quotePrefix="0" xfId="0">
      <alignment horizontal="left" vertical="top" wrapText="1"/>
    </xf>
    <xf numFmtId="0" fontId="0" fillId="0" borderId="28" applyAlignment="1" pivotButton="0" quotePrefix="0" xfId="0">
      <alignment horizontal="left" vertical="top" wrapText="1"/>
    </xf>
    <xf numFmtId="0" fontId="0" fillId="0" borderId="25" applyAlignment="1" pivotButton="0" quotePrefix="0" xfId="0">
      <alignment horizontal="left" vertical="top" wrapText="1"/>
    </xf>
    <xf numFmtId="0" fontId="0" fillId="0" borderId="28" applyAlignment="1" pivotButton="0" quotePrefix="0" xfId="0">
      <alignment horizontal="left" vertical="center" wrapText="1"/>
    </xf>
    <xf numFmtId="0" fontId="0" fillId="0" borderId="25" applyAlignment="1" pivotButton="0" quotePrefix="0" xfId="0">
      <alignment horizontal="left" vertical="center" wrapText="1"/>
    </xf>
    <xf numFmtId="0" fontId="6" fillId="0" borderId="11" applyAlignment="1" pivotButton="0" quotePrefix="0" xfId="0">
      <alignment horizontal="left" vertical="center" wrapText="1"/>
    </xf>
    <xf numFmtId="0" fontId="0" fillId="0" borderId="28" applyAlignment="1" pivotButton="0" quotePrefix="0" xfId="0">
      <alignment horizontal="left" vertical="top"/>
    </xf>
    <xf numFmtId="0" fontId="0" fillId="0" borderId="25" applyAlignment="1" pivotButton="0" quotePrefix="0" xfId="0">
      <alignment horizontal="left" vertical="top"/>
    </xf>
    <xf numFmtId="0" fontId="7" fillId="0" borderId="1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7" fillId="0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top" wrapText="1"/>
    </xf>
    <xf numFmtId="0" fontId="7" fillId="0" borderId="11" applyAlignment="1" pivotButton="0" quotePrefix="0" xfId="0">
      <alignment horizontal="left" vertical="top"/>
    </xf>
    <xf numFmtId="0" fontId="7" fillId="0" borderId="24" applyAlignment="1" pivotButton="0" quotePrefix="0" xfId="0">
      <alignment horizontal="left" vertical="center"/>
    </xf>
    <xf numFmtId="0" fontId="7" fillId="0" borderId="28" applyAlignment="1" pivotButton="0" quotePrefix="0" xfId="0">
      <alignment horizontal="left" vertical="center"/>
    </xf>
    <xf numFmtId="0" fontId="7" fillId="0" borderId="25" applyAlignment="1" pivotButton="0" quotePrefix="0" xfId="0">
      <alignment horizontal="left" vertical="center"/>
    </xf>
    <xf numFmtId="0" fontId="7" fillId="5" borderId="11" applyAlignment="1" pivotButton="0" quotePrefix="0" xfId="0">
      <alignment horizontal="left" vertical="center"/>
    </xf>
    <xf numFmtId="0" fontId="7" fillId="8" borderId="11" applyAlignment="1" pivotButton="0" quotePrefix="0" xfId="0">
      <alignment horizontal="left" vertical="center"/>
    </xf>
    <xf numFmtId="0" fontId="19" fillId="0" borderId="11" applyAlignment="1" pivotButton="0" quotePrefix="0" xfId="0">
      <alignment horizontal="left" vertical="center"/>
    </xf>
    <xf numFmtId="0" fontId="19" fillId="0" borderId="11" applyAlignment="1" pivotButton="0" quotePrefix="0" xfId="0">
      <alignment horizontal="left" vertical="center" wrapText="1"/>
    </xf>
    <xf numFmtId="0" fontId="19" fillId="0" borderId="24" applyAlignment="1" pivotButton="0" quotePrefix="0" xfId="0">
      <alignment horizontal="left" vertical="center"/>
    </xf>
    <xf numFmtId="0" fontId="19" fillId="0" borderId="28" applyAlignment="1" pivotButton="0" quotePrefix="0" xfId="0">
      <alignment horizontal="left" vertical="center"/>
    </xf>
    <xf numFmtId="0" fontId="19" fillId="0" borderId="25" applyAlignment="1" pivotButton="0" quotePrefix="0" xfId="0">
      <alignment horizontal="left" vertical="center"/>
    </xf>
    <xf numFmtId="0" fontId="19" fillId="0" borderId="24" applyAlignment="1" pivotButton="0" quotePrefix="0" xfId="0">
      <alignment horizontal="left" vertical="center" wrapText="1"/>
    </xf>
    <xf numFmtId="0" fontId="19" fillId="0" borderId="28" applyAlignment="1" pivotButton="0" quotePrefix="0" xfId="0">
      <alignment horizontal="left" vertical="center" wrapText="1"/>
    </xf>
    <xf numFmtId="0" fontId="19" fillId="0" borderId="25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7" pivotButton="0" quotePrefix="0" xfId="0"/>
    <xf numFmtId="0" fontId="2" fillId="0" borderId="4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35" pivotButton="0" quotePrefix="0" xfId="0"/>
    <xf numFmtId="0" fontId="1" fillId="0" borderId="41" applyAlignment="1" pivotButton="0" quotePrefix="0" xfId="0">
      <alignment horizontal="center" vertical="center" wrapText="1"/>
    </xf>
    <xf numFmtId="0" fontId="1" fillId="0" borderId="41" applyAlignment="1" pivotButton="0" quotePrefix="0" xfId="0">
      <alignment horizontal="left" vertical="center" wrapText="1"/>
    </xf>
    <xf numFmtId="0" fontId="0" fillId="0" borderId="34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0" pivotButton="0" quotePrefix="0" xfId="0"/>
    <xf numFmtId="0" fontId="0" fillId="0" borderId="28" pivotButton="0" quotePrefix="0" xfId="0"/>
    <xf numFmtId="0" fontId="0" fillId="0" borderId="25" pivotButton="0" quotePrefix="0" xfId="0"/>
    <xf numFmtId="164" fontId="0" fillId="0" borderId="11" applyAlignment="1" pivotButton="0" quotePrefix="0" xfId="1">
      <alignment horizontal="center" vertical="center"/>
    </xf>
    <xf numFmtId="0" fontId="0" fillId="0" borderId="32" pivotButton="0" quotePrefix="0" xfId="0"/>
    <xf numFmtId="164" fontId="0" fillId="0" borderId="11" pivotButton="0" quotePrefix="0" xfId="1"/>
    <xf numFmtId="164" fontId="0" fillId="0" borderId="11" applyAlignment="1" pivotButton="0" quotePrefix="0" xfId="1">
      <alignment horizontal="center"/>
    </xf>
    <xf numFmtId="0" fontId="0" fillId="0" borderId="33" applyAlignment="1" pivotButton="0" quotePrefix="0" xfId="0">
      <alignment horizontal="left"/>
    </xf>
    <xf numFmtId="164" fontId="0" fillId="0" borderId="11" applyAlignment="1" pivotButton="0" quotePrefix="0" xfId="1">
      <alignment horizontal="left" vertical="center"/>
    </xf>
    <xf numFmtId="164" fontId="0" fillId="4" borderId="11" applyAlignment="1" pivotButton="0" quotePrefix="0" xfId="1">
      <alignment horizontal="left" vertical="center"/>
    </xf>
    <xf numFmtId="164" fontId="0" fillId="0" borderId="0" applyAlignment="1" pivotButton="0" quotePrefix="0" xfId="0">
      <alignment horizontal="left"/>
    </xf>
    <xf numFmtId="164" fontId="0" fillId="2" borderId="11" applyAlignment="1" pivotButton="0" quotePrefix="0" xfId="1">
      <alignment horizontal="left" vertical="center"/>
    </xf>
    <xf numFmtId="164" fontId="0" fillId="0" borderId="11" applyAlignment="1" pivotButton="0" quotePrefix="0" xfId="1">
      <alignment horizontal="left"/>
    </xf>
    <xf numFmtId="164" fontId="0" fillId="0" borderId="0" applyAlignment="1" pivotButton="0" quotePrefix="0" xfId="1">
      <alignment horizontal="left"/>
    </xf>
    <xf numFmtId="164" fontId="0" fillId="4" borderId="11" applyAlignment="1" pivotButton="0" quotePrefix="0" xfId="1">
      <alignment horizontal="center" vertical="center"/>
    </xf>
    <xf numFmtId="164" fontId="0" fillId="2" borderId="11" applyAlignment="1" pivotButton="0" quotePrefix="0" xfId="1">
      <alignment horizontal="center" vertical="center"/>
    </xf>
    <xf numFmtId="164" fontId="8" fillId="0" borderId="11" applyAlignment="1" pivotButton="0" quotePrefix="0" xfId="2">
      <alignment horizontal="center"/>
    </xf>
    <xf numFmtId="164" fontId="0" fillId="0" borderId="31" applyAlignment="1" pivotButton="0" quotePrefix="0" xfId="1">
      <alignment horizontal="center" vertical="center"/>
    </xf>
    <xf numFmtId="165" fontId="0" fillId="0" borderId="0" applyAlignment="1" pivotButton="0" quotePrefix="0" xfId="0">
      <alignment horizontal="left"/>
    </xf>
    <xf numFmtId="164" fontId="0" fillId="5" borderId="11" applyAlignment="1" pivotButton="0" quotePrefix="0" xfId="1">
      <alignment horizontal="center" vertical="center"/>
    </xf>
    <xf numFmtId="0" fontId="11" fillId="0" borderId="4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164" fontId="0" fillId="0" borderId="11" applyAlignment="1" pivotButton="0" quotePrefix="0" xfId="0">
      <alignment horizontal="center" vertical="center"/>
    </xf>
    <xf numFmtId="0" fontId="7" fillId="0" borderId="33" applyAlignment="1" pivotButton="0" quotePrefix="0" xfId="0">
      <alignment horizontal="left"/>
    </xf>
    <xf numFmtId="164" fontId="7" fillId="0" borderId="11" applyAlignment="1" pivotButton="0" quotePrefix="0" xfId="1">
      <alignment horizontal="center" vertical="center"/>
    </xf>
    <xf numFmtId="167" fontId="7" fillId="0" borderId="11" applyAlignment="1" pivotButton="0" quotePrefix="0" xfId="4">
      <alignment horizontal="center" vertical="center"/>
    </xf>
    <xf numFmtId="164" fontId="7" fillId="5" borderId="11" applyAlignment="1" pivotButton="0" quotePrefix="0" xfId="1">
      <alignment horizontal="center" vertical="center"/>
    </xf>
    <xf numFmtId="164" fontId="7" fillId="0" borderId="31" applyAlignment="1" pivotButton="0" quotePrefix="0" xfId="1">
      <alignment horizontal="center" vertical="center"/>
    </xf>
    <xf numFmtId="164" fontId="7" fillId="8" borderId="11" applyAlignment="1" pivotButton="0" quotePrefix="0" xfId="1">
      <alignment horizontal="center" vertical="center"/>
    </xf>
    <xf numFmtId="164" fontId="19" fillId="0" borderId="11" applyAlignment="1" pivotButton="0" quotePrefix="0" xfId="1">
      <alignment horizontal="center" vertical="center"/>
    </xf>
    <xf numFmtId="166" fontId="0" fillId="0" borderId="0" pivotButton="0" quotePrefix="0" xfId="1"/>
  </cellXfs>
  <cellStyles count="5">
    <cellStyle name="Normal" xfId="0" builtinId="0"/>
    <cellStyle name="Moneda" xfId="1" builtinId="4"/>
    <cellStyle name="Hipervínculo" xfId="2" builtinId="8"/>
    <cellStyle name="Porcentaje" xfId="3" builtinId="5"/>
    <cellStyle name="Millares" xfId="4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juan</author>
    <author>Juan</author>
    <author>Asus</author>
    <author>Juanes</author>
  </authors>
  <commentList>
    <comment ref="J54" authorId="0" shapeId="0">
      <text>
        <t>juan:
Adicional a este valor, se tiene que cada visita de auditoría de obra valdrá 1.100.000 pesos + IVA</t>
      </text>
    </comment>
    <comment ref="J55" authorId="0" shapeId="0">
      <text>
        <t>juan:
Valor en dólares</t>
      </text>
    </comment>
    <comment ref="J79" authorId="1" shapeId="0">
      <text>
        <t>Juan:
Valor en d+olares</t>
      </text>
    </comment>
    <comment ref="J106" authorId="2" shapeId="0">
      <text>
        <t>Asus:
Precio en dólares</t>
      </text>
    </comment>
    <comment ref="J114" authorId="2" shapeId="0">
      <text>
        <t xml:space="preserve">Asus:
Valor en dólares
</t>
      </text>
    </comment>
    <comment ref="J117" authorId="2" shapeId="0">
      <text>
        <t xml:space="preserve">Asus:
Valor en dólares
</t>
      </text>
    </comment>
    <comment ref="J133" authorId="2" shapeId="0">
      <text>
        <t>Asus:
Precio en dólares</t>
      </text>
    </comment>
    <comment ref="K151" authorId="3" shapeId="0">
      <text>
        <t>Juanes:
Sufrió modificación</t>
      </text>
    </comment>
  </commentList>
</comments>
</file>

<file path=xl/comments/comment2.xml><?xml version="1.0" encoding="utf-8"?>
<comments xmlns="http://schemas.openxmlformats.org/spreadsheetml/2006/main">
  <authors>
    <author>Asus</author>
  </authors>
  <commentList>
    <comment ref="J17" authorId="0" shapeId="0">
      <text>
        <t>Asus:
Valor en dólares</t>
      </text>
    </comment>
    <comment ref="J24" authorId="0" shapeId="0">
      <text>
        <t>Asus:
Valor en dólares</t>
      </text>
    </comment>
    <comment ref="J81" authorId="0" shapeId="0">
      <text>
        <t>Asus:
Valor en dólares</t>
      </text>
    </comment>
    <comment ref="J117" authorId="0" shapeId="0">
      <text>
        <t xml:space="preserve">Asus:
Valor en dólares
</t>
      </text>
    </comment>
  </commentList>
</comments>
</file>

<file path=xl/comments/comment3.xml><?xml version="1.0" encoding="utf-8"?>
<comments xmlns="http://schemas.openxmlformats.org/spreadsheetml/2006/main">
  <authors>
    <author>tc={5DF7D630-66A4-4427-833D-1CB5AAA68328}</author>
  </authors>
  <commentList>
    <comment ref="M183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Aprobaron solo la seguridad humana</t>
      </text>
    </comment>
  </commentList>
</comments>
</file>

<file path=xl/comments/comment4.xml><?xml version="1.0" encoding="utf-8"?>
<comments xmlns="http://schemas.openxmlformats.org/spreadsheetml/2006/main">
  <authors>
    <author>tc={CB3F6B52-8B45-4238-8915-C4957843A416}</author>
    <author>tc={5C96A839-D0B3-49A4-BA09-6CA9C5C97A51}</author>
    <author>JUANES</author>
    <author>tc={CB3F6B52-8B45-4239-8915-C4957843A416}</author>
    <author>tc={9774DA0D-474F-4318-A057-5E39F512EEF3}</author>
    <author>Juanes</author>
  </authors>
  <commentList>
    <comment ref="K30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  <comment ref="M57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Solo aprobaron SH</t>
      </text>
    </comment>
    <comment ref="K123" authorId="2" shapeId="0">
      <text>
        <t>JUANES:
Dólares</t>
      </text>
    </comment>
    <comment ref="K134" authorId="2" shapeId="0">
      <text>
        <t>JUANES:
Dólares</t>
      </text>
    </comment>
    <comment ref="K139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  <comment ref="K161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por cada visita</t>
      </text>
    </comment>
    <comment ref="K436" authorId="5" shapeId="0">
      <text>
        <t>Juanes:
Valor en dólares</t>
      </text>
    </comment>
  </commentList>
</comments>
</file>

<file path=xl/comments/comment5.xml><?xml version="1.0" encoding="utf-8"?>
<comments xmlns="http://schemas.openxmlformats.org/spreadsheetml/2006/main">
  <authors>
    <author>Juanes</author>
  </authors>
  <commentList>
    <comment ref="K125" authorId="0" shapeId="0">
      <text>
        <t>Juanes:
valor en dólares</t>
      </text>
    </comment>
    <comment ref="K202" authorId="0" shapeId="0">
      <text>
        <t>Juanes:
Valor hora</t>
      </text>
    </comment>
    <comment ref="J420" authorId="0" shapeId="0">
      <text>
        <t>Juanes:
El nombre es "INTERVÉ"</t>
      </text>
    </comment>
    <comment ref="K438" authorId="0" shapeId="0">
      <text>
        <t>Juanes:
Valor en dólares</t>
      </text>
    </comment>
    <comment ref="J440" authorId="0" shapeId="0">
      <text>
        <t>Juanes:
El nombre es "Intervé"</t>
      </text>
    </comment>
  </commentList>
</comments>
</file>

<file path=xl/comments/comment6.xml><?xml version="1.0" encoding="utf-8"?>
<comments xmlns="http://schemas.openxmlformats.org/spreadsheetml/2006/main">
  <authors>
    <author>Juanes</author>
  </authors>
  <commentList>
    <comment ref="J420" authorId="0" shapeId="0">
      <text>
        <t>Juanes:
El nombre es "INTERVÉ"</t>
      </text>
    </comment>
    <comment ref="J440" authorId="0" shapeId="0">
      <text>
        <t>Juanes:
El nombre es "Intervé"</t>
      </text>
    </comment>
  </commentList>
</comments>
</file>

<file path=xl/comments/comment7.xml><?xml version="1.0" encoding="utf-8"?>
<comments xmlns="http://schemas.openxmlformats.org/spreadsheetml/2006/main">
  <authors>
    <author>Juanes</author>
    <author>tc={FE857DB4-9BF8-45F7-B0F8-F8FDC5FC3280}</author>
    <author>tc={48AD2E01-1971-49AA-BF41-68B1930E27C2}</author>
    <author>tc={1DA55093-C9FB-45B7-AA3A-3210F27B51DE}</author>
  </authors>
  <commentList>
    <comment ref="J441" authorId="0" shapeId="0">
      <text>
        <t>Juanes:
El nombre es "Intervé"</t>
      </text>
    </comment>
    <comment ref="K483" authorId="0" shapeId="0">
      <text>
        <t>Juanes:
Asesoría por hora</t>
      </text>
    </comment>
    <comment ref="K503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Dólares</t>
      </text>
    </comment>
    <comment ref="K512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hora</t>
      </text>
    </comment>
    <comment ref="K569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</commentList>
</comments>
</file>

<file path=xl/comments/comment8.xml><?xml version="1.0" encoding="utf-8"?>
<comments xmlns="http://schemas.openxmlformats.org/spreadsheetml/2006/main">
  <authors>
    <author>tc={C724CF9E-676F-47C0-BDD4-AF6E78689753}</author>
    <author>tc={F04AFF85-9739-44C1-955B-5015F3647550}</author>
    <author>Juanes</author>
  </authors>
  <commentList>
    <comment ref="J78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dólares</t>
      </text>
    </comment>
    <comment ref="J219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 en dolares</t>
      </text>
    </comment>
    <comment ref="I441" authorId="2" shapeId="0">
      <text>
        <t>Juanes:
El nombre es "Intervé"</t>
      </text>
    </comment>
    <comment ref="J476" authorId="2" shapeId="0">
      <text>
        <t>Juanes:
Valores en dólares</t>
      </text>
    </comment>
    <comment ref="J605" authorId="2" shapeId="0">
      <text>
        <t>Juanes:
valor en dólares</t>
      </text>
    </comment>
    <comment ref="J641" authorId="2" shapeId="0">
      <text>
        <t>Juanes:
Dólares</t>
      </text>
    </comment>
  </commentList>
</comments>
</file>

<file path=xl/comments/comment9.xml><?xml version="1.0" encoding="utf-8"?>
<comments xmlns="http://schemas.openxmlformats.org/spreadsheetml/2006/main">
  <authors>
    <author>Usuario</author>
    <author>Juanes</author>
  </authors>
  <commentList>
    <comment ref="J144" authorId="0" shapeId="0">
      <text>
        <t>Usuario:
Precio incluido IVA y es por cada institución educativa.</t>
      </text>
    </comment>
    <comment ref="I441" authorId="1" shapeId="0">
      <text>
        <t>Juanes:
El nombre es "Intervé"</t>
      </text>
    </comment>
    <comment ref="J476" authorId="1" shapeId="0">
      <text>
        <t>Juanes:
Valores en dólares</t>
      </text>
    </comment>
    <comment ref="J605" authorId="1" shapeId="0">
      <text>
        <t>Juanes:
valor en dólares</t>
      </text>
    </comment>
    <comment ref="J641" authorId="1" shapeId="0">
      <text>
        <t>Juanes:
Dólares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interventoriaolive@gmail.com" TargetMode="External" Id="rId1"/><Relationship Type="http://schemas.openxmlformats.org/officeDocument/2006/relationships/hyperlink" Target="mailto:juan.grajales@spci.com.co" TargetMode="External" Id="rId2"/><Relationship Type="http://schemas.openxmlformats.org/officeDocument/2006/relationships/hyperlink" Target="mailto:hidraulicaymontajes@gmail.com" TargetMode="External" Id="rId3"/><Relationship Type="http://schemas.openxmlformats.org/officeDocument/2006/relationships/hyperlink" Target="mailto:juan.grajales@spci.com.co" TargetMode="External" Id="rId4"/><Relationship Type="http://schemas.openxmlformats.org/officeDocument/2006/relationships/hyperlink" Target="mailto:juan.grajales@spci.com.co" TargetMode="External" Id="rId5"/><Relationship Type="http://schemas.openxmlformats.org/officeDocument/2006/relationships/hyperlink" Target="mailto:juan.grajales@spci.com.co" TargetMode="External" Id="rId6"/><Relationship Type="http://schemas.openxmlformats.org/officeDocument/2006/relationships/hyperlink" Target="mailto:david.lopera@socomes.com" TargetMode="External" Id="rId7"/><Relationship Type="http://schemas.openxmlformats.org/officeDocument/2006/relationships/hyperlink" Target="mailto:juan.grajales@spci.com.co" TargetMode="External" Id="rId8"/><Relationship Type="http://schemas.openxmlformats.org/officeDocument/2006/relationships/hyperlink" Target="mailto:juan.grajales@spci.com.co" TargetMode="External" Id="rId9"/><Relationship Type="http://schemas.openxmlformats.org/officeDocument/2006/relationships/hyperlink" Target="mailto:juan.grajales@spci.com.co" TargetMode="External" Id="rId10"/><Relationship Type="http://schemas.openxmlformats.org/officeDocument/2006/relationships/hyperlink" Target="mailto:juan.grajales@spci.com.co" TargetMode="External" Id="rId11"/><Relationship Type="http://schemas.openxmlformats.org/officeDocument/2006/relationships/hyperlink" Target="mailto:proyectos1spci@gmail.com" TargetMode="External" Id="rId12"/><Relationship Type="http://schemas.openxmlformats.org/officeDocument/2006/relationships/hyperlink" Target="mailto:n.garcia@condiseno.co" TargetMode="External" Id="rId13"/><Relationship Type="http://schemas.openxmlformats.org/officeDocument/2006/relationships/hyperlink" Target="mailto:david.lopera@socomes.com" TargetMode="External" Id="rId14"/><Relationship Type="http://schemas.openxmlformats.org/officeDocument/2006/relationships/hyperlink" Target="mailto:duribe86@gmail.com" TargetMode="External" Id="rId15"/><Relationship Type="http://schemas.openxmlformats.org/officeDocument/2006/relationships/hyperlink" Target="mailto:n.garcia@condiseno.co" TargetMode="External" Id="rId16"/><Relationship Type="http://schemas.openxmlformats.org/officeDocument/2006/relationships/hyperlink" Target="mailto:david.lopera@socomes.com" TargetMode="External" Id="rId17"/><Relationship Type="http://schemas.openxmlformats.org/officeDocument/2006/relationships/hyperlink" Target="mailto:hidraulicaymontajes@gmail.com" TargetMode="External" Id="rId18"/><Relationship Type="http://schemas.openxmlformats.org/officeDocument/2006/relationships/hyperlink" Target="mailto:hidraulicaymontajes@gmail.com" TargetMode="External" Id="rId19"/><Relationship Type="http://schemas.openxmlformats.org/officeDocument/2006/relationships/hyperlink" Target="mailto:gerencia@construccionessafest.com" TargetMode="External" Id="rId20"/><Relationship Type="http://schemas.openxmlformats.org/officeDocument/2006/relationships/hyperlink" Target="mailto:duribe86@gmail.com" TargetMode="External" Id="rId21"/><Relationship Type="http://schemas.openxmlformats.org/officeDocument/2006/relationships/hyperlink" Target="mailto:juan.grajales@spci.com.co" TargetMode="External" Id="rId22"/><Relationship Type="http://schemas.openxmlformats.org/officeDocument/2006/relationships/hyperlink" Target="mailto:david.lopera@socomes.com" TargetMode="External" Id="rId23"/><Relationship Type="http://schemas.openxmlformats.org/officeDocument/2006/relationships/hyperlink" Target="mailto:juan.grajales@spci.com.co" TargetMode="External" Id="rId24"/><Relationship Type="http://schemas.openxmlformats.org/officeDocument/2006/relationships/hyperlink" Target="mailto:juan.grajales@spci.com.co" TargetMode="External" Id="rId25"/><Relationship Type="http://schemas.openxmlformats.org/officeDocument/2006/relationships/hyperlink" Target="mailto:roberto.pineda@rrp.com.co" TargetMode="External" Id="rId26"/><Relationship Type="http://schemas.openxmlformats.org/officeDocument/2006/relationships/hyperlink" Target="mailto:duribe86@gmail.com" TargetMode="External" Id="rId27"/><Relationship Type="http://schemas.openxmlformats.org/officeDocument/2006/relationships/hyperlink" Target="mailto:duribe86@gmail.com" TargetMode="External" Id="rId28"/><Relationship Type="http://schemas.openxmlformats.org/officeDocument/2006/relationships/hyperlink" Target="mailto:ivelez@dgbconstructora.com" TargetMode="External" Id="rId29"/><Relationship Type="http://schemas.openxmlformats.org/officeDocument/2006/relationships/hyperlink" Target="mailto:ivelez@dgbconstructora.com" TargetMode="External" Id="rId30"/><Relationship Type="http://schemas.openxmlformats.org/officeDocument/2006/relationships/hyperlink" Target="mailto:juan.grajales@spci.com.co" TargetMode="External" Id="rId31"/><Relationship Type="http://schemas.openxmlformats.org/officeDocument/2006/relationships/hyperlink" Target="mailto:davidvelasquez@arquitecturayconcreto.com" TargetMode="External" Id="rId32"/><Relationship Type="http://schemas.openxmlformats.org/officeDocument/2006/relationships/hyperlink" Target="mailto:juan.grajales@spci.com.co" TargetMode="External" Id="rId33"/><Relationship Type="http://schemas.openxmlformats.org/officeDocument/2006/relationships/hyperlink" Target="mailto:juan.grajales@spci.com.co" TargetMode="External" Id="rId34"/><Relationship Type="http://schemas.openxmlformats.org/officeDocument/2006/relationships/hyperlink" Target="mailto:lzuluagar0626@hotmail.com" TargetMode="External" Id="rId35"/><Relationship Type="http://schemas.openxmlformats.org/officeDocument/2006/relationships/hyperlink" Target="mailto:cristiamondragon.spci@gmail.com" TargetMode="External" Id="rId36"/><Relationship Type="http://schemas.openxmlformats.org/officeDocument/2006/relationships/hyperlink" Target="mailto:juanrico@centrosur.co" TargetMode="External" Id="rId37"/><Relationship Type="http://schemas.openxmlformats.org/officeDocument/2006/relationships/hyperlink" Target="mailto:ramali05@hotmail.com" TargetMode="External" Id="rId38"/><Relationship Type="http://schemas.openxmlformats.org/officeDocument/2006/relationships/hyperlink" Target="mailto:comercial@dcs.com.co" TargetMode="External" Id="rId39"/><Relationship Type="http://schemas.openxmlformats.org/officeDocument/2006/relationships/hyperlink" Target="mailto:david.lopera@socomes.com" TargetMode="External" Id="rId40"/><Relationship Type="http://schemas.openxmlformats.org/officeDocument/2006/relationships/hyperlink" Target="mailto:ernesto.castrillon@picso.com.co" TargetMode="External" Id="rId41"/><Relationship Type="http://schemas.openxmlformats.org/officeDocument/2006/relationships/hyperlink" Target="mailto:n.garcia@condiseno.co" TargetMode="External" Id="rId42"/><Relationship Type="http://schemas.openxmlformats.org/officeDocument/2006/relationships/hyperlink" Target="mailto:arquitectojohncarlos@gmail.com" TargetMode="External" Id="rId43"/><Relationship Type="http://schemas.openxmlformats.org/officeDocument/2006/relationships/hyperlink" Target="mailto:arquitectura@grupoterrarea.com" TargetMode="External" Id="rId44"/><Relationship Type="http://schemas.openxmlformats.org/officeDocument/2006/relationships/hyperlink" Target="mailto:tecnobimcolombia@gmail.com" TargetMode="External" Id="rId45"/><Relationship Type="http://schemas.openxmlformats.org/officeDocument/2006/relationships/hyperlink" Target="mailto:dirproyectos@securetec.com.co" TargetMode="External" Id="rId46"/><Relationship Type="http://schemas.openxmlformats.org/officeDocument/2006/relationships/hyperlink" Target="mailto:juan.grajales@spci.com.co" TargetMode="External" Id="rId47"/><Relationship Type="http://schemas.openxmlformats.org/officeDocument/2006/relationships/hyperlink" Target="mailto:juan.grajales@spci.com.co" TargetMode="External" Id="rId48"/><Relationship Type="http://schemas.openxmlformats.org/officeDocument/2006/relationships/hyperlink" Target="mailto:juan.grajales@spci.com.co" TargetMode="External" Id="rId49"/><Relationship Type="http://schemas.openxmlformats.org/officeDocument/2006/relationships/hyperlink" Target="mailto:jdruizg@solucionesinmobiliariassas.com" TargetMode="External" Id="rId50"/><Relationship Type="http://schemas.openxmlformats.org/officeDocument/2006/relationships/hyperlink" Target="mailto:vajjimenez@hotmail.com" TargetMode="External" Id="rId51"/><Relationship Type="http://schemas.openxmlformats.org/officeDocument/2006/relationships/hyperlink" Target="mailto:david.lopera@socomes.com" TargetMode="External" Id="rId52"/><Relationship Type="http://schemas.openxmlformats.org/officeDocument/2006/relationships/hyperlink" Target="mailto:proyectos1spci@gmail.com" TargetMode="External" Id="rId53"/><Relationship Type="http://schemas.openxmlformats.org/officeDocument/2006/relationships/hyperlink" Target="mailto:proyectos1spci@gmail.com" TargetMode="External" Id="rId54"/><Relationship Type="http://schemas.openxmlformats.org/officeDocument/2006/relationships/hyperlink" Target="mailto:jmtamayo@aia.com.co" TargetMode="External" Id="rId55"/><Relationship Type="http://schemas.openxmlformats.org/officeDocument/2006/relationships/hyperlink" Target="mailto:n.garcia@condiseno.co" TargetMode="External" Id="rId56"/><Relationship Type="http://schemas.openxmlformats.org/officeDocument/2006/relationships/hyperlink" Target="mailto:david.lopera@socomes.com" TargetMode="External" Id="rId57"/><Relationship Type="http://schemas.openxmlformats.org/officeDocument/2006/relationships/hyperlink" Target="mailto:esteban.diaz@cnv.com.co" TargetMode="External" Id="rId58"/><Relationship Type="http://schemas.openxmlformats.org/officeDocument/2006/relationships/hyperlink" Target="mailto:juan.piedrahita@soportica.com" TargetMode="External" Id="rId59"/><Relationship Type="http://schemas.openxmlformats.org/officeDocument/2006/relationships/hyperlink" Target="mailto:juan.piedrahita@soportica.com" TargetMode="External" Id="rId60"/><Relationship Type="http://schemas.openxmlformats.org/officeDocument/2006/relationships/hyperlink" Target="mailto:cristiamondragon.spci@gmail.com" TargetMode="External" Id="rId61"/><Relationship Type="http://schemas.openxmlformats.org/officeDocument/2006/relationships/hyperlink" Target="mailto:david.lopera@socomes.com" TargetMode="External" Id="rId62"/><Relationship Type="http://schemas.openxmlformats.org/officeDocument/2006/relationships/hyperlink" Target="mailto:gerencia@construccionessafest.com" TargetMode="External" Id="rId63"/><Relationship Type="http://schemas.openxmlformats.org/officeDocument/2006/relationships/hyperlink" Target="mailto:proyectos1spci@gmail.com" TargetMode="External" Id="rId64"/><Relationship Type="http://schemas.openxmlformats.org/officeDocument/2006/relationships/hyperlink" Target="mailto:proyectos1spci@gmail.com" TargetMode="External" Id="rId65"/><Relationship Type="http://schemas.openxmlformats.org/officeDocument/2006/relationships/hyperlink" Target="mailto:gino1037@hotmail.com" TargetMode="External" Id="rId66"/><Relationship Type="http://schemas.openxmlformats.org/officeDocument/2006/relationships/hyperlink" Target="mailto:david.lopera@socomes.com" TargetMode="External" Id="rId67"/><Relationship Type="http://schemas.openxmlformats.org/officeDocument/2006/relationships/hyperlink" Target="mailto:dirproyectos@securetec.com.co" TargetMode="External" Id="rId68"/><Relationship Type="http://schemas.openxmlformats.org/officeDocument/2006/relationships/hyperlink" Target="mailto:comercial@dcs.com.co" TargetMode="External" Id="rId69"/><Relationship Type="http://schemas.openxmlformats.org/officeDocument/2006/relationships/hyperlink" Target="mailto:willerf30@hotmail.com" TargetMode="External" Id="rId70"/><Relationship Type="http://schemas.openxmlformats.org/officeDocument/2006/relationships/hyperlink" Target="mailto:juan.grajales@spci.com.co" TargetMode="External" Id="rId71"/><Relationship Type="http://schemas.openxmlformats.org/officeDocument/2006/relationships/hyperlink" Target="mailto:juan.grajales@spci.com.co" TargetMode="External" Id="rId72"/><Relationship Type="http://schemas.openxmlformats.org/officeDocument/2006/relationships/hyperlink" Target="mailto:n.garcia@condiseno.co" TargetMode="External" Id="rId73"/><Relationship Type="http://schemas.openxmlformats.org/officeDocument/2006/relationships/hyperlink" Target="mailto:cristhiancamilo.orjuela@antioquia.gov.co" TargetMode="External" Id="rId74"/><Relationship Type="http://schemas.openxmlformats.org/officeDocument/2006/relationships/hyperlink" Target="mailto:proyectos1spci@gmail.com" TargetMode="External" Id="rId75"/><Relationship Type="http://schemas.openxmlformats.org/officeDocument/2006/relationships/hyperlink" Target="mailto:sradu85@gmail.com" TargetMode="External" Id="rId76"/><Relationship Type="http://schemas.openxmlformats.org/officeDocument/2006/relationships/hyperlink" Target="mailto:juan.londono@serviciosipm.com" TargetMode="External" Id="rId77"/><Relationship Type="http://schemas.openxmlformats.org/officeDocument/2006/relationships/hyperlink" Target="mailto:rnesto.castrillon@picso.com.co" TargetMode="External" Id="rId78"/><Relationship Type="http://schemas.openxmlformats.org/officeDocument/2006/relationships/hyperlink" Target="mailto:sarafrancorendon@gmail.com" TargetMode="External" Id="rId79"/><Relationship Type="http://schemas.openxmlformats.org/officeDocument/2006/relationships/hyperlink" Target="mailto:roberto.pineda@rrp.com.co" TargetMode="External" Id="rId80"/><Relationship Type="http://schemas.openxmlformats.org/officeDocument/2006/relationships/hyperlink" Target="mailto:roberto.pineda@rrp.com.co" TargetMode="External" Id="rId81"/><Relationship Type="http://schemas.openxmlformats.org/officeDocument/2006/relationships/hyperlink" Target="mailto:roberto.pineda@rrp.com.co" TargetMode="External" Id="rId82"/><Relationship Type="http://schemas.openxmlformats.org/officeDocument/2006/relationships/hyperlink" Target="mailto:hacevedo@interve.co" TargetMode="External" Id="rId83"/><Relationship Type="http://schemas.openxmlformats.org/officeDocument/2006/relationships/hyperlink" Target="mailto:juan.londono@serviciosipm.com" TargetMode="External" Id="rId84"/><Relationship Type="http://schemas.openxmlformats.org/officeDocument/2006/relationships/hyperlink" Target="mailto:mauriciosepulvedaspci@gmail.com" TargetMode="External" Id="rId85"/><Relationship Type="http://schemas.openxmlformats.org/officeDocument/2006/relationships/hyperlink" Target="mailto:david.lopera@socomes.com" TargetMode="External" Id="rId86"/><Relationship Type="http://schemas.openxmlformats.org/officeDocument/2006/relationships/hyperlink" Target="mailto:david.lopera@socomes.com" TargetMode="External" Id="rId87"/><Relationship Type="http://schemas.openxmlformats.org/officeDocument/2006/relationships/hyperlink" Target="mailto:srios@mogacon.com.co" TargetMode="External" Id="rId88"/><Relationship Type="http://schemas.openxmlformats.org/officeDocument/2006/relationships/hyperlink" Target="mailto:sarafrancorendon@gmail.com" TargetMode="External" Id="rId89"/><Relationship Type="http://schemas.openxmlformats.org/officeDocument/2006/relationships/hyperlink" Target="mailto:proyectos1spci@gmail.com" TargetMode="External" Id="rId90"/><Relationship Type="http://schemas.openxmlformats.org/officeDocument/2006/relationships/hyperlink" Target="mailto:proyectos1spci@gmail.com" TargetMode="External" Id="rId91"/><Relationship Type="http://schemas.openxmlformats.org/officeDocument/2006/relationships/hyperlink" Target="mailto:oficinatecnica@sainc.co" TargetMode="External" Id="rId92"/><Relationship Type="http://schemas.openxmlformats.org/officeDocument/2006/relationships/hyperlink" Target="mailto:proyectos@socomes.com" TargetMode="External" Id="rId93"/><Relationship Type="http://schemas.openxmlformats.org/officeDocument/2006/relationships/hyperlink" Target="mailto:proyectos1spci@gmail.com" TargetMode="External" Id="rId94"/><Relationship Type="http://schemas.openxmlformats.org/officeDocument/2006/relationships/hyperlink" Target="mailto:proyectos1spci@gmail.com" TargetMode="External" Id="rId95"/><Relationship Type="http://schemas.openxmlformats.org/officeDocument/2006/relationships/hyperlink" Target="mailto:duribe86@gmail.com" TargetMode="External" Id="rId96"/><Relationship Type="http://schemas.openxmlformats.org/officeDocument/2006/relationships/hyperlink" Target="mailto:gino1037@hotmail.com" TargetMode="External" Id="rId97"/><Relationship Type="http://schemas.openxmlformats.org/officeDocument/2006/relationships/hyperlink" Target="mailto:gerenciazanella@gmail.com" TargetMode="External" Id="rId98"/><Relationship Type="http://schemas.openxmlformats.org/officeDocument/2006/relationships/hyperlink" Target="mailto:licitaciones@equiposelrapido.com" TargetMode="External" Id="rId99"/><Relationship Type="http://schemas.openxmlformats.org/officeDocument/2006/relationships/hyperlink" Target="mailto:n.garcia@condiseno.co" TargetMode="External" Id="rId100"/><Relationship Type="http://schemas.openxmlformats.org/officeDocument/2006/relationships/hyperlink" Target="mailto:juan.londono@serviciosipm.com" TargetMode="External" Id="rId101"/><Relationship Type="http://schemas.openxmlformats.org/officeDocument/2006/relationships/hyperlink" Target="mailto:cristiamondragon.spci@gmail.com" TargetMode="External" Id="rId102"/><Relationship Type="http://schemas.openxmlformats.org/officeDocument/2006/relationships/hyperlink" Target="mailto:juan.grajales@spci.com.co" TargetMode="External" Id="rId103"/><Relationship Type="http://schemas.openxmlformats.org/officeDocument/2006/relationships/hyperlink" Target="mailto:julialzate@une.net.co" TargetMode="External" Id="rId104"/><Relationship Type="http://schemas.openxmlformats.org/officeDocument/2006/relationships/hyperlink" Target="mailto:dsaldarriaga@interve.co" TargetMode="External" Id="rId105"/><Relationship Type="http://schemas.openxmlformats.org/officeDocument/2006/relationships/hyperlink" Target="mailto:entrepinos.nubia@gmail.com" TargetMode="External" Id="rId106"/><Relationship Type="http://schemas.openxmlformats.org/officeDocument/2006/relationships/hyperlink" Target="mailto:dirproyectos@securetec.com.co" TargetMode="External" Id="rId107"/><Relationship Type="http://schemas.openxmlformats.org/officeDocument/2006/relationships/hyperlink" Target="mailto:n.garcia@condiseno.co" TargetMode="External" Id="rId108"/><Relationship Type="http://schemas.openxmlformats.org/officeDocument/2006/relationships/hyperlink" Target="mailto:david.lopera@socomes.com" TargetMode="External" Id="rId109"/><Relationship Type="http://schemas.openxmlformats.org/officeDocument/2006/relationships/hyperlink" Target="mailto:juan.londono@serviciosipm.com" TargetMode="External" Id="rId110"/><Relationship Type="http://schemas.openxmlformats.org/officeDocument/2006/relationships/hyperlink" Target="mailto:licitaciones@equiposelrapido.com" TargetMode="External" Id="rId111"/><Relationship Type="http://schemas.openxmlformats.org/officeDocument/2006/relationships/hyperlink" Target="mailto:gabriel.velez@construgen.com" TargetMode="External" Id="rId112"/><Relationship Type="http://schemas.openxmlformats.org/officeDocument/2006/relationships/hyperlink" Target="mailto:director.obra@insesp.com" TargetMode="External" Id="rId113"/><Relationship Type="http://schemas.openxmlformats.org/officeDocument/2006/relationships/hyperlink" Target="mailto:dirproyectos@securetec.com.co" TargetMode="External" Id="rId114"/><Relationship Type="http://schemas.openxmlformats.org/officeDocument/2006/relationships/hyperlink" Target="mailto:dirproyectos@securetec.com.co" TargetMode="External" Id="rId115"/><Relationship Type="http://schemas.openxmlformats.org/officeDocument/2006/relationships/hyperlink" Target="mailto:dirproyectos@securetec.com.co" TargetMode="External" Id="rId116"/><Relationship Type="http://schemas.openxmlformats.org/officeDocument/2006/relationships/hyperlink" Target="mailto:dirproyectos@securetec.com.co" TargetMode="External" Id="rId117"/><Relationship Type="http://schemas.openxmlformats.org/officeDocument/2006/relationships/hyperlink" Target="mailto:juan.grajales@spci.com.co" TargetMode="External" Id="rId118"/><Relationship Type="http://schemas.openxmlformats.org/officeDocument/2006/relationships/hyperlink" Target="mailto:n.garcia@condiseno.co" TargetMode="External" Id="rId119"/><Relationship Type="http://schemas.openxmlformats.org/officeDocument/2006/relationships/hyperlink" Target="mailto:avelasquez@admirisltda.com" TargetMode="External" Id="rId120"/><Relationship Type="http://schemas.openxmlformats.org/officeDocument/2006/relationships/hyperlink" Target="mailto:juan.londono@serviciosipm.com" TargetMode="External" Id="rId121"/><Relationship Type="http://schemas.openxmlformats.org/officeDocument/2006/relationships/hyperlink" Target="mailto:susanagomez@ingenieriayvivienda.com" TargetMode="External" Id="rId122"/><Relationship Type="http://schemas.openxmlformats.org/officeDocument/2006/relationships/hyperlink" Target="mailto:adriana@a3consulting.com.co" TargetMode="External" Id="rId123"/><Relationship Type="http://schemas.openxmlformats.org/officeDocument/2006/relationships/hyperlink" Target="mailto:hidraulicaymontajes@gmail.com" TargetMode="External" Id="rId124"/><Relationship Type="http://schemas.openxmlformats.org/officeDocument/2006/relationships/hyperlink" Target="mailto:carolina@hidrofsalinas.com" TargetMode="External" Id="rId125"/><Relationship Type="http://schemas.openxmlformats.org/officeDocument/2006/relationships/hyperlink" Target="mailto:adriana@a3consulting.com.co" TargetMode="External" Id="rId126"/><Relationship Type="http://schemas.openxmlformats.org/officeDocument/2006/relationships/hyperlink" Target="mailto:nataliamejia.desur@gmail.com" TargetMode="External" Id="rId127"/><Relationship Type="http://schemas.openxmlformats.org/officeDocument/2006/relationships/hyperlink" Target="mailto:nataliamejia.desur@gmail.com" TargetMode="External" Id="rId128"/><Relationship Type="http://schemas.openxmlformats.org/officeDocument/2006/relationships/hyperlink" Target="mailto:nataliamejia.desur@gmail.com" TargetMode="External" Id="rId129"/><Relationship Type="http://schemas.openxmlformats.org/officeDocument/2006/relationships/hyperlink" Target="mailto:juan.grajales@spci.com.co" TargetMode="External" Id="rId130"/><Relationship Type="http://schemas.openxmlformats.org/officeDocument/2006/relationships/hyperlink" Target="mailto:david.lopera@socomes.com" TargetMode="External" Id="rId131"/><Relationship Type="http://schemas.openxmlformats.org/officeDocument/2006/relationships/hyperlink" Target="mailto:jorgegaitan@estructurar.co" TargetMode="External" Id="rId132"/><Relationship Type="http://schemas.openxmlformats.org/officeDocument/2006/relationships/hyperlink" Target="mailto:proyectos@prosoma.com.co" TargetMode="External" Id="rId133"/><Relationship Type="http://schemas.openxmlformats.org/officeDocument/2006/relationships/hyperlink" Target="mailto:hugo.valdes@eyd.com.co" TargetMode="External" Id="rId134"/><Relationship Type="http://schemas.openxmlformats.org/officeDocument/2006/relationships/hyperlink" Target="mailto:n.garcia@condiseno.co" TargetMode="External" Id="rId135"/><Relationship Type="http://schemas.openxmlformats.org/officeDocument/2006/relationships/hyperlink" Target="mailto:n.garcia@condiseno.co" TargetMode="External" Id="rId136"/><Relationship Type="http://schemas.openxmlformats.org/officeDocument/2006/relationships/hyperlink" Target="mailto:jtriana@conconcreto.com" TargetMode="External" Id="rId137"/><Relationship Type="http://schemas.openxmlformats.org/officeDocument/2006/relationships/hyperlink" Target="mailto:joseestrada@casasana.com.co" TargetMode="External" Id="rId138"/><Relationship Type="http://schemas.openxmlformats.org/officeDocument/2006/relationships/hyperlink" Target="mailto:juan.grajales@spci.com.co" TargetMode="External" Id="rId139"/><Relationship Type="http://schemas.openxmlformats.org/officeDocument/2006/relationships/hyperlink" Target="mailto:gerencia@mdcingenieros.com" TargetMode="External" Id="rId140"/><Relationship Type="http://schemas.openxmlformats.org/officeDocument/2006/relationships/hyperlink" Target="mailto:Sergio.A.Lopez@tigo.com.co" TargetMode="External" Id="rId141"/><Relationship Type="http://schemas.openxmlformats.org/officeDocument/2006/relationships/hyperlink" Target="mailto:gerencia@mdcingenieros.com" TargetMode="External" Id="rId142"/><Relationship Type="http://schemas.openxmlformats.org/officeDocument/2006/relationships/hyperlink" Target="mailto:sebastian.giraldo@beminimal.co" TargetMode="External" Id="rId143"/><Relationship Type="http://schemas.openxmlformats.org/officeDocument/2006/relationships/hyperlink" Target="mailto:dirproyectos@securetec.com.co" TargetMode="External" Id="rId144"/><Relationship Type="http://schemas.openxmlformats.org/officeDocument/2006/relationships/hyperlink" Target="mailto:obras@ces.edu.co" TargetMode="External" Id="rId145"/><Relationship Type="http://schemas.openxmlformats.org/officeDocument/2006/relationships/hyperlink" Target="mailto:cristiamondragon.spci@gmail.com" TargetMode="External" Id="rId146"/><Relationship Type="http://schemas.openxmlformats.org/officeDocument/2006/relationships/hyperlink" Target="mailto:david.lopera@socomes.com" TargetMode="External" Id="rId147"/><Relationship Type="http://schemas.openxmlformats.org/officeDocument/2006/relationships/hyperlink" Target="mailto:yessicacardona@hotmail.com" TargetMode="External" Id="rId148"/><Relationship Type="http://schemas.openxmlformats.org/officeDocument/2006/relationships/hyperlink" Target="mailto:cristiamondragon.spci@gmail.com" TargetMode="External" Id="rId149"/><Relationship Type="http://schemas.openxmlformats.org/officeDocument/2006/relationships/hyperlink" Target="mailto:david.lopera@socomes.com" TargetMode="External" Id="rId150"/><Relationship Type="http://schemas.openxmlformats.org/officeDocument/2006/relationships/hyperlink" Target="mailto:david.lopera@socomes.com" TargetMode="External" Id="rId151"/><Relationship Type="http://schemas.openxmlformats.org/officeDocument/2006/relationships/hyperlink" Target="mailto:dianaperez@convel.co" TargetMode="External" Id="rId152"/><Relationship Type="http://schemas.openxmlformats.org/officeDocument/2006/relationships/hyperlink" Target="mailto:duribe86@gmail.com" TargetMode="External" Id="rId153"/><Relationship Type="http://schemas.openxmlformats.org/officeDocument/2006/relationships/hyperlink" Target="mailto:juan.grajales@spci.com.co" TargetMode="External" Id="rId154"/><Relationship Type="http://schemas.openxmlformats.org/officeDocument/2006/relationships/hyperlink" Target="mailto:juan.grajales@spci.com.co" TargetMode="External" Id="rId155"/><Relationship Type="http://schemas.openxmlformats.org/officeDocument/2006/relationships/hyperlink" Target="mailto:dirproyectos@securetec.com.co" TargetMode="External" Id="rId156"/><Relationship Type="http://schemas.openxmlformats.org/officeDocument/2006/relationships/hyperlink" Target="mailto:dirproyectos@securetec.com.co" TargetMode="External" Id="rId157"/><Relationship Type="http://schemas.openxmlformats.org/officeDocument/2006/relationships/hyperlink" Target="mailto:lineamientosciviles@gmail.com" TargetMode="External" Id="rId158"/><Relationship Type="http://schemas.openxmlformats.org/officeDocument/2006/relationships/hyperlink" Target="mailto:lineamientosciviles@gmail.com" TargetMode="External" Id="rId159"/><Relationship Type="http://schemas.openxmlformats.org/officeDocument/2006/relationships/hyperlink" Target="mailto:proyectos1spci@gmail.com" TargetMode="External" Id="rId160"/><Relationship Type="http://schemas.openxmlformats.org/officeDocument/2006/relationships/hyperlink" Target="mailto:hduque@hdgerenciaintegral.com" TargetMode="External" Id="rId161"/><Relationship Type="http://schemas.openxmlformats.org/officeDocument/2006/relationships/hyperlink" Target="mailto:dirproyectos@securetec.com.co" TargetMode="External" Id="rId162"/><Relationship Type="http://schemas.openxmlformats.org/officeDocument/2006/relationships/hyperlink" Target="mailto:juan.grajales@spci.com.co" TargetMode="External" Id="rId163"/><Relationship Type="http://schemas.openxmlformats.org/officeDocument/2006/relationships/hyperlink" Target="mailto:juan.grajales@spci.com.co" TargetMode="External" Id="rId164"/><Relationship Type="http://schemas.openxmlformats.org/officeDocument/2006/relationships/hyperlink" Target="mailto:daniel.echeverri@avanteing.com" TargetMode="External" Id="rId165"/><Relationship Type="http://schemas.openxmlformats.org/officeDocument/2006/relationships/hyperlink" Target="mailto:dhincapieconsultor@gmail.com" TargetMode="External" Id="rId166"/><Relationship Type="http://schemas.openxmlformats.org/officeDocument/2006/relationships/hyperlink" Target="mailto:proyectos1spci@gmail.com" TargetMode="External" Id="rId167"/><Relationship Type="http://schemas.openxmlformats.org/officeDocument/2006/relationships/hyperlink" Target="mailto:dhincapieconsultor@gmail.com" TargetMode="External" Id="rId168"/><Relationship Type="http://schemas.openxmlformats.org/officeDocument/2006/relationships/hyperlink" Target="mailto:juan.grajales@spci.com.co" TargetMode="External" Id="rId169"/><Relationship Type="http://schemas.openxmlformats.org/officeDocument/2006/relationships/hyperlink" Target="mailto:joseestrada@casasana.com.co" TargetMode="External" Id="rId170"/><Relationship Type="http://schemas.openxmlformats.org/officeDocument/2006/relationships/hyperlink" Target="mailto:j.echeverri@condiseno.co" TargetMode="External" Id="rId171"/><Relationship Type="http://schemas.openxmlformats.org/officeDocument/2006/relationships/hyperlink" Target="mailto:n.garcia@condiseno.co" TargetMode="External" Id="rId172"/><Relationship Type="http://schemas.openxmlformats.org/officeDocument/2006/relationships/hyperlink" Target="mailto:dcasallas@sura.com.co" TargetMode="External" Id="rId173"/><Relationship Type="http://schemas.openxmlformats.org/officeDocument/2006/relationships/hyperlink" Target="mailto:carmen.lopez@prinza.com.co" TargetMode="External" Id="rId174"/><Relationship Type="http://schemas.openxmlformats.org/officeDocument/2006/relationships/hyperlink" Target="mailto:cgriegossas@gmail.com" TargetMode="External" Id="rId175"/><Relationship Type="http://schemas.openxmlformats.org/officeDocument/2006/relationships/hyperlink" Target="mailto:socampo@solucionesconstructivas.co" TargetMode="External" Id="rId176"/><Relationship Type="http://schemas.openxmlformats.org/officeDocument/2006/relationships/hyperlink" Target="mailto:proyectos1spci@gmail.com" TargetMode="External" Id="rId177"/><Relationship Type="http://schemas.openxmlformats.org/officeDocument/2006/relationships/hyperlink" Target="mailto:juan.londono@serviciosipm.com" TargetMode="External" Id="rId178"/><Relationship Type="http://schemas.openxmlformats.org/officeDocument/2006/relationships/hyperlink" Target="mailto:mauricio.gutierrez@spci.com.co" TargetMode="External" Id="rId179"/><Relationship Type="http://schemas.openxmlformats.org/officeDocument/2006/relationships/hyperlink" Target="mailto:marcela.orozco@o3ingenieria.com" TargetMode="External" Id="rId180"/><Relationship Type="http://schemas.openxmlformats.org/officeDocument/2006/relationships/hyperlink" Target="mailto:alejandrogomezvillegas@gmail.com" TargetMode="External" Id="rId181"/><Relationship Type="http://schemas.openxmlformats.org/officeDocument/2006/relationships/hyperlink" Target="mailto:cristiamondragon.spci@gmail.com" TargetMode="External" Id="rId182"/><Relationship Type="http://schemas.openxmlformats.org/officeDocument/2006/relationships/hyperlink" Target="mailto:cristiamondragon.spci@gmail.com" TargetMode="External" Id="rId183"/><Relationship Type="http://schemas.openxmlformats.org/officeDocument/2006/relationships/hyperlink" Target="mailto:hacevedo@interve.co" TargetMode="External" Id="rId184"/><Relationship Type="http://schemas.openxmlformats.org/officeDocument/2006/relationships/hyperlink" Target="mailto:cristiamondragon.spci@gmail.com" TargetMode="External" Id="rId185"/><Relationship Type="http://schemas.openxmlformats.org/officeDocument/2006/relationships/hyperlink" Target="mailto:proyectos1spci@gmail.com" TargetMode="External" Id="rId186"/><Relationship Type="http://schemas.openxmlformats.org/officeDocument/2006/relationships/hyperlink" Target="mailto:mauroguzmanspci@gmail.com" TargetMode="External" Id="rId187"/><Relationship Type="http://schemas.openxmlformats.org/officeDocument/2006/relationships/hyperlink" Target="mailto:proyectos@socomes.com" TargetMode="External" Id="rId188"/><Relationship Type="http://schemas.openxmlformats.org/officeDocument/2006/relationships/hyperlink" Target="mailto:gino1037@hotmail.com" TargetMode="External" Id="rId189"/><Relationship Type="http://schemas.openxmlformats.org/officeDocument/2006/relationships/hyperlink" Target="mailto:johana.montoya@perfek.com.co" TargetMode="External" Id="rId190"/><Relationship Type="http://schemas.openxmlformats.org/officeDocument/2006/relationships/hyperlink" Target="mailto:johana.montoya@perfek.com.co" TargetMode="External" Id="rId191"/><Relationship Type="http://schemas.openxmlformats.org/officeDocument/2006/relationships/hyperlink" Target="mailto:hvalencia@saha.com.co" TargetMode="External" Id="rId192"/><Relationship Type="http://schemas.openxmlformats.org/officeDocument/2006/relationships/hyperlink" Target="mailto:andrestamayo@controlmaestro.com.co" TargetMode="External" Id="rId193"/><Relationship Type="http://schemas.openxmlformats.org/officeDocument/2006/relationships/hyperlink" Target="mailto:juan.russi@edyfica.co" TargetMode="External" Id="rId194"/><Relationship Type="http://schemas.openxmlformats.org/officeDocument/2006/relationships/hyperlink" Target="mailto:hacevedo@interve.co" TargetMode="External" Id="rId195"/><Relationship Type="http://schemas.openxmlformats.org/officeDocument/2006/relationships/hyperlink" Target="mailto:gerencia@grupoingenexco.com" TargetMode="External" Id="rId196"/><Relationship Type="http://schemas.openxmlformats.org/officeDocument/2006/relationships/hyperlink" Target="mailto:director.promotorabicentenario@gmail.com" TargetMode="External" Id="rId197"/><Relationship Type="http://schemas.openxmlformats.org/officeDocument/2006/relationships/hyperlink" Target="mailto:ascomercial@securetec.com.co" TargetMode="External" Id="rId198"/><Relationship Type="http://schemas.openxmlformats.org/officeDocument/2006/relationships/hyperlink" Target="mailto:ascomercial@securetec.com.co" TargetMode="External" Id="rId199"/><Relationship Type="http://schemas.openxmlformats.org/officeDocument/2006/relationships/hyperlink" Target="mailto:n.garcia@condiseno.co" TargetMode="External" Id="rId200"/><Relationship Type="http://schemas.openxmlformats.org/officeDocument/2006/relationships/hyperlink" Target="mailto:julialzate@une.net.co" TargetMode="External" Id="rId201"/><Relationship Type="http://schemas.openxmlformats.org/officeDocument/2006/relationships/hyperlink" Target="mailto:robinson18e@gmail.com" TargetMode="External" Id="rId202"/><Relationship Type="http://schemas.openxmlformats.org/officeDocument/2006/relationships/hyperlink" Target="mailto:alejandrogomezvillegas@gmail.com" TargetMode="External" Id="rId203"/><Relationship Type="http://schemas.openxmlformats.org/officeDocument/2006/relationships/hyperlink" Target="mailto:dirproyectos@securetec.com.co" TargetMode="External" Id="rId204"/><Relationship Type="http://schemas.openxmlformats.org/officeDocument/2006/relationships/hyperlink" Target="mailto:proyecto.torrevictoriana@gmail.com" TargetMode="External" Id="rId205"/><Relationship Type="http://schemas.openxmlformats.org/officeDocument/2006/relationships/hyperlink" Target="mailto:claudia.ramirez@edyfica.co" TargetMode="External" Id="rId206"/><Relationship Type="http://schemas.openxmlformats.org/officeDocument/2006/relationships/hyperlink" Target="mailto:n.garcia@condiseno.co" TargetMode="External" Id="rId207"/><Relationship Type="http://schemas.openxmlformats.org/officeDocument/2006/relationships/hyperlink" Target="mailto:david.lopera@socomes.com" TargetMode="External" Id="rId208"/><Relationship Type="http://schemas.openxmlformats.org/officeDocument/2006/relationships/hyperlink" Target="mailto:arestrepoe@conconcreto.com" TargetMode="External" Id="rId209"/><Relationship Type="http://schemas.openxmlformats.org/officeDocument/2006/relationships/hyperlink" Target="mailto:pedroprpo@gmail.com" TargetMode="External" Id="rId210"/><Relationship Type="http://schemas.openxmlformats.org/officeDocument/2006/relationships/hyperlink" Target="mailto:seguridadysalud@sanjosevegas.edu.co" TargetMode="External" Id="rId211"/><Relationship Type="http://schemas.openxmlformats.org/officeDocument/2006/relationships/hyperlink" Target="mailto:frei.restrepo1@gmail.com" TargetMode="External" Id="rId212"/><Relationship Type="http://schemas.openxmlformats.org/officeDocument/2006/relationships/hyperlink" Target="mailto:arecagrupoinmobiliario@gmail.com" TargetMode="External" Id="rId213"/><Relationship Type="http://schemas.openxmlformats.org/officeDocument/2006/relationships/hyperlink" Target="mailto:cristinapalacio@mensulaingenieros.com" TargetMode="External" Id="rId214"/><Relationship Type="http://schemas.openxmlformats.org/officeDocument/2006/relationships/hyperlink" Target="mailto:jorgegaitan@estructurar.co" TargetMode="External" Id="rId215"/><Relationship Type="http://schemas.openxmlformats.org/officeDocument/2006/relationships/hyperlink" Target="mailto:david.lopera@socomes.com" TargetMode="External" Id="rId216"/><Relationship Type="http://schemas.openxmlformats.org/officeDocument/2006/relationships/hyperlink" Target="mailto:victorsaldarriagaspci@gmail.com" TargetMode="External" Id="rId217"/><Relationship Type="http://schemas.openxmlformats.org/officeDocument/2006/relationships/hyperlink" Target="mailto:obras@ces.edu.co" TargetMode="External" Id="rId218"/><Relationship Type="http://schemas.openxmlformats.org/officeDocument/2006/relationships/hyperlink" Target="mailto:elias.molinasj@gmail.com" TargetMode="External" Id="rId219"/><Relationship Type="http://schemas.openxmlformats.org/officeDocument/2006/relationships/hyperlink" Target="mailto:mauroguzmanspci@gmail.com" TargetMode="External" Id="rId220"/><Relationship Type="http://schemas.openxmlformats.org/officeDocument/2006/relationships/hyperlink" Target="mailto:gerencia@prosoma.com.co" TargetMode="External" Id="rId221"/><Relationship Type="http://schemas.openxmlformats.org/officeDocument/2006/relationships/hyperlink" Target="mailto:hacevedo@interve.co" TargetMode="External" Id="rId222"/><Relationship Type="http://schemas.openxmlformats.org/officeDocument/2006/relationships/hyperlink" Target="mailto:mauroguzmanspci@gmail.com" TargetMode="External" Id="rId223"/><Relationship Type="http://schemas.openxmlformats.org/officeDocument/2006/relationships/hyperlink" Target="mailto:mauroguzmanspci@gmail.com" TargetMode="External" Id="rId22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mailto:arquitecto@areasflexibles.com" TargetMode="External" Id="rId1"/><Relationship Type="http://schemas.openxmlformats.org/officeDocument/2006/relationships/hyperlink" Target="mailto:andrea.sanchez@studiosur.net" TargetMode="External" Id="rId2"/><Relationship Type="http://schemas.openxmlformats.org/officeDocument/2006/relationships/hyperlink" Target="mailto:juan.grajales@spci.com.co" TargetMode="External" Id="rId3"/><Relationship Type="http://schemas.openxmlformats.org/officeDocument/2006/relationships/hyperlink" Target="mailto:cristianlondono@mensulaingenieros.com" TargetMode="External" Id="rId4"/><Relationship Type="http://schemas.openxmlformats.org/officeDocument/2006/relationships/hyperlink" Target="mailto:carlos.gil@risksg.com" TargetMode="External" Id="rId5"/><Relationship Type="http://schemas.openxmlformats.org/officeDocument/2006/relationships/hyperlink" Target="mailto:hacevedo@interve.co" TargetMode="External" Id="rId6"/><Relationship Type="http://schemas.openxmlformats.org/officeDocument/2006/relationships/hyperlink" Target="mailto:juan.londono@serviciosipm.com" TargetMode="External" Id="rId7"/><Relationship Type="http://schemas.openxmlformats.org/officeDocument/2006/relationships/hyperlink" Target="mailto:ascomercial@securetec.com.co" TargetMode="External" Id="rId8"/><Relationship Type="http://schemas.openxmlformats.org/officeDocument/2006/relationships/hyperlink" Target="mailto:cristiamondragon.spci@gmail.com" TargetMode="External" Id="rId9"/><Relationship Type="http://schemas.openxmlformats.org/officeDocument/2006/relationships/hyperlink" Target="mailto:sptcimarronas@gmail.com" TargetMode="External" Id="rId10"/><Relationship Type="http://schemas.openxmlformats.org/officeDocument/2006/relationships/hyperlink" Target="mailto:juan.grajales@spci.com.co" TargetMode="External" Id="rId11"/><Relationship Type="http://schemas.openxmlformats.org/officeDocument/2006/relationships/hyperlink" Target="mailto:pjimenezdgb@gmail.com" TargetMode="External" Id="rId12"/><Relationship Type="http://schemas.openxmlformats.org/officeDocument/2006/relationships/hyperlink" Target="mailto:joseestrada@casasana.com.co" TargetMode="External" Id="rId13"/><Relationship Type="http://schemas.openxmlformats.org/officeDocument/2006/relationships/hyperlink" Target="mailto:infratelcosas@gmail.com" TargetMode="External" Id="rId14"/><Relationship Type="http://schemas.openxmlformats.org/officeDocument/2006/relationships/hyperlink" Target="mailto:proyectos1spci@gmail.com" TargetMode="External" Id="rId15"/><Relationship Type="http://schemas.openxmlformats.org/officeDocument/2006/relationships/hyperlink" Target="mailto:elarpre.deco@gmail.com" TargetMode="External" Id="rId16"/><Relationship Type="http://schemas.openxmlformats.org/officeDocument/2006/relationships/hyperlink" Target="mailto:jad@unoendiez.com.co" TargetMode="External" Id="rId17"/><Relationship Type="http://schemas.openxmlformats.org/officeDocument/2006/relationships/hyperlink" Target="mailto:alvaromanosalva@sfiregroup.com" TargetMode="External" Id="rId18"/><Relationship Type="http://schemas.openxmlformats.org/officeDocument/2006/relationships/hyperlink" Target="mailto:lmontoyaspci@gmail.com" TargetMode="External" Id="rId19"/><Relationship Type="http://schemas.openxmlformats.org/officeDocument/2006/relationships/hyperlink" Target="mailto:lmontoyaspci@gmail.com" TargetMode="External" Id="rId20"/><Relationship Type="http://schemas.openxmlformats.org/officeDocument/2006/relationships/hyperlink" Target="mailto:lmontoyaspci@gmail.com" TargetMode="External" Id="rId21"/><Relationship Type="http://schemas.openxmlformats.org/officeDocument/2006/relationships/hyperlink" Target="mailto:gino1037@hotmail.com" TargetMode="External" Id="rId22"/><Relationship Type="http://schemas.openxmlformats.org/officeDocument/2006/relationships/hyperlink" Target="mailto:alejandroyepes@ingenieriayvivienda.com" TargetMode="External" Id="rId23"/><Relationship Type="http://schemas.openxmlformats.org/officeDocument/2006/relationships/hyperlink" Target="mailto:cristinapalacio@mensulaingenieros.com" TargetMode="External" Id="rId24"/><Relationship Type="http://schemas.openxmlformats.org/officeDocument/2006/relationships/hyperlink" Target="mailto:paolopez@ensambleespaciosvivos.com" TargetMode="External" Id="rId25"/><Relationship Type="http://schemas.openxmlformats.org/officeDocument/2006/relationships/hyperlink" Target="mailto:mauroguzmanspci@gmail.com" TargetMode="External" Id="rId26"/><Relationship Type="http://schemas.openxmlformats.org/officeDocument/2006/relationships/hyperlink" Target="mailto:david.lopera@socomes.com" TargetMode="External" Id="rId27"/><Relationship Type="http://schemas.openxmlformats.org/officeDocument/2006/relationships/hyperlink" Target="mailto:gino1037@hotmail.com" TargetMode="External" Id="rId28"/><Relationship Type="http://schemas.openxmlformats.org/officeDocument/2006/relationships/hyperlink" Target="mailto:juan.grajales@spci.com.co" TargetMode="External" Id="rId29"/><Relationship Type="http://schemas.openxmlformats.org/officeDocument/2006/relationships/hyperlink" Target="mailto:david.lopera@socomes.com" TargetMode="External" Id="rId30"/><Relationship Type="http://schemas.openxmlformats.org/officeDocument/2006/relationships/hyperlink" Target="mailto:cristian.marin@espiral.com.co" TargetMode="External" Id="rId31"/><Relationship Type="http://schemas.openxmlformats.org/officeDocument/2006/relationships/hyperlink" Target="mailto:juan.grajales@spci.com.co" TargetMode="External" Id="rId32"/><Relationship Type="http://schemas.openxmlformats.org/officeDocument/2006/relationships/hyperlink" Target="mailto:avelasquez@admirisltda.com" TargetMode="External" Id="rId33"/><Relationship Type="http://schemas.openxmlformats.org/officeDocument/2006/relationships/hyperlink" Target="mailto:colpafireinnovationsas@gmail.com" TargetMode="External" Id="rId34"/><Relationship Type="http://schemas.openxmlformats.org/officeDocument/2006/relationships/hyperlink" Target="mailto:avelasquez@admirisltda.com" TargetMode="External" Id="rId35"/><Relationship Type="http://schemas.openxmlformats.org/officeDocument/2006/relationships/hyperlink" Target="mailto:avelasquez@admirisltda.com" TargetMode="External" Id="rId36"/><Relationship Type="http://schemas.openxmlformats.org/officeDocument/2006/relationships/hyperlink" Target="mailto:n.garcia@condiseno.co" TargetMode="External" Id="rId37"/><Relationship Type="http://schemas.openxmlformats.org/officeDocument/2006/relationships/hyperlink" Target="mailto:gino1037@hotmail.com" TargetMode="External" Id="rId38"/><Relationship Type="http://schemas.openxmlformats.org/officeDocument/2006/relationships/hyperlink" Target="mailto:carolina.castano@melcol.com.co" TargetMode="External" Id="rId39"/><Relationship Type="http://schemas.openxmlformats.org/officeDocument/2006/relationships/hyperlink" Target="mailto:david.lopera@socomes.com" TargetMode="External" Id="rId40"/><Relationship Type="http://schemas.openxmlformats.org/officeDocument/2006/relationships/hyperlink" Target="mailto:david.lopera@socomes.com" TargetMode="External" Id="rId41"/><Relationship Type="http://schemas.openxmlformats.org/officeDocument/2006/relationships/hyperlink" Target="mailto:jllamas@hidromaq-gt.com" TargetMode="External" Id="rId42"/><Relationship Type="http://schemas.openxmlformats.org/officeDocument/2006/relationships/hyperlink" Target="mailto:jzapata@contex.com.co" TargetMode="External" Id="rId43"/><Relationship Type="http://schemas.openxmlformats.org/officeDocument/2006/relationships/hyperlink" Target="mailto:jzapata@contex.com.co" TargetMode="External" Id="rId44"/><Relationship Type="http://schemas.openxmlformats.org/officeDocument/2006/relationships/hyperlink" Target="mailto:elizabethacevedo@convel.co" TargetMode="External" Id="rId45"/><Relationship Type="http://schemas.openxmlformats.org/officeDocument/2006/relationships/hyperlink" Target="mailto:administracion@vhz-ingenieria.com" TargetMode="External" Id="rId46"/><Relationship Type="http://schemas.openxmlformats.org/officeDocument/2006/relationships/hyperlink" Target="mailto:yvelez@hdgerenciaintegral.com" TargetMode="External" Id="rId47"/><Relationship Type="http://schemas.openxmlformats.org/officeDocument/2006/relationships/hyperlink" Target="mailto:gino1037@hotmail.com" TargetMode="External" Id="rId48"/><Relationship Type="http://schemas.openxmlformats.org/officeDocument/2006/relationships/hyperlink" Target="mailto:juan.grajales@spci.com.co" TargetMode="External" Id="rId49"/><Relationship Type="http://schemas.openxmlformats.org/officeDocument/2006/relationships/hyperlink" Target="mailto:juan.grajales@spci.com.co" TargetMode="External" Id="rId50"/><Relationship Type="http://schemas.openxmlformats.org/officeDocument/2006/relationships/hyperlink" Target="mailto:juan.8arq@gmail.com" TargetMode="External" Id="rId51"/><Relationship Type="http://schemas.openxmlformats.org/officeDocument/2006/relationships/hyperlink" Target="mailto:david.lopera@socomes.com" TargetMode="External" Id="rId52"/><Relationship Type="http://schemas.openxmlformats.org/officeDocument/2006/relationships/hyperlink" Target="mailto:hacevedo@interve.co" TargetMode="External" Id="rId53"/><Relationship Type="http://schemas.openxmlformats.org/officeDocument/2006/relationships/hyperlink" Target="mailto:alejandrogomezvillegas@gmail.com" TargetMode="External" Id="rId54"/><Relationship Type="http://schemas.openxmlformats.org/officeDocument/2006/relationships/hyperlink" Target="mailto:mauroguzmanspci@gmail.com" TargetMode="External" Id="rId55"/><Relationship Type="http://schemas.openxmlformats.org/officeDocument/2006/relationships/hyperlink" Target="mailto:avelasquez@admirisltda.com" TargetMode="External" Id="rId56"/><Relationship Type="http://schemas.openxmlformats.org/officeDocument/2006/relationships/hyperlink" Target="mailto:william.hernandez@construgen.com" TargetMode="External" Id="rId57"/><Relationship Type="http://schemas.openxmlformats.org/officeDocument/2006/relationships/hyperlink" Target="mailto:elizabethacevedo@convel.co" TargetMode="External" Id="rId58"/><Relationship Type="http://schemas.openxmlformats.org/officeDocument/2006/relationships/hyperlink" Target="mailto:jjaramillo@conexoinmobiliario.com" TargetMode="External" Id="rId59"/><Relationship Type="http://schemas.openxmlformats.org/officeDocument/2006/relationships/hyperlink" Target="mailto:dir.comercial@spcisas.com.co" TargetMode="External" Id="rId60"/><Relationship Type="http://schemas.openxmlformats.org/officeDocument/2006/relationships/hyperlink" Target="mailto:pedroprpo@gmail.com" TargetMode="External" Id="rId61"/><Relationship Type="http://schemas.openxmlformats.org/officeDocument/2006/relationships/hyperlink" Target="mailto:dir.comercial@spcisas.com.co" TargetMode="External" Id="rId62"/><Relationship Type="http://schemas.openxmlformats.org/officeDocument/2006/relationships/hyperlink" Target="mailto:andresreinosa@iayc.co" TargetMode="External" Id="rId63"/><Relationship Type="http://schemas.openxmlformats.org/officeDocument/2006/relationships/hyperlink" Target="mailto:blancasaldarriaga@arquitecturayconcreto.com" TargetMode="External" Id="rId64"/><Relationship Type="http://schemas.openxmlformats.org/officeDocument/2006/relationships/hyperlink" Target="mailto:duribe86@gmail.com" TargetMode="External" Id="rId65"/><Relationship Type="http://schemas.openxmlformats.org/officeDocument/2006/relationships/hyperlink" Target="mailto:mauroguzmanspci@gmail.com" TargetMode="External" Id="rId66"/><Relationship Type="http://schemas.openxmlformats.org/officeDocument/2006/relationships/hyperlink" Target="mailto:mauroguzmanspci@gmail.com" TargetMode="External" Id="rId67"/><Relationship Type="http://schemas.openxmlformats.org/officeDocument/2006/relationships/hyperlink" Target="mailto:proyectos1spci@gmail.com" TargetMode="External" Id="rId68"/><Relationship Type="http://schemas.openxmlformats.org/officeDocument/2006/relationships/hyperlink" Target="mailto:avelasquez@admirisltda.com" TargetMode="External" Id="rId69"/><Relationship Type="http://schemas.openxmlformats.org/officeDocument/2006/relationships/hyperlink" Target="mailto:okobra3@gmail.com" TargetMode="External" Id="rId70"/><Relationship Type="http://schemas.openxmlformats.org/officeDocument/2006/relationships/hyperlink" Target="mailto:jcgomez@crantioquia.org.co" TargetMode="External" Id="rId71"/><Relationship Type="http://schemas.openxmlformats.org/officeDocument/2006/relationships/hyperlink" Target="mailto:mauroguzmanspci@gmail.com" TargetMode="External" Id="rId72"/><Relationship Type="http://schemas.openxmlformats.org/officeDocument/2006/relationships/hyperlink" Target="mailto:proyectos@procoi.com" TargetMode="External" Id="rId73"/><Relationship Type="http://schemas.openxmlformats.org/officeDocument/2006/relationships/hyperlink" Target="mailto:heydynaty@gmail.com" TargetMode="External" Id="rId74"/><Relationship Type="http://schemas.openxmlformats.org/officeDocument/2006/relationships/hyperlink" Target="mailto:jmaserrano@gmail.com" TargetMode="External" Id="rId75"/><Relationship Type="http://schemas.openxmlformats.org/officeDocument/2006/relationships/hyperlink" Target="mailto:carolina.castano@melcol.com.co" TargetMode="External" Id="rId76"/><Relationship Type="http://schemas.openxmlformats.org/officeDocument/2006/relationships/hyperlink" Target="mailto:Gustavo.betancourt@homeideal.com.co" TargetMode="External" Id="rId77"/><Relationship Type="http://schemas.openxmlformats.org/officeDocument/2006/relationships/hyperlink" Target="mailto:proyectos1spci@gmail.com" TargetMode="External" Id="rId78"/><Relationship Type="http://schemas.openxmlformats.org/officeDocument/2006/relationships/hyperlink" Target="mailto:proyectos1spci@gmail.com" TargetMode="External" Id="rId79"/><Relationship Type="http://schemas.openxmlformats.org/officeDocument/2006/relationships/hyperlink" Target="mailto:proyectos1spci@gmail.com" TargetMode="External" Id="rId80"/><Relationship Type="http://schemas.openxmlformats.org/officeDocument/2006/relationships/hyperlink" Target="mailto:gino1037@hotmail.com" TargetMode="External" Id="rId81"/><Relationship Type="http://schemas.openxmlformats.org/officeDocument/2006/relationships/hyperlink" Target="mailto:gino1037@hotmail.com" TargetMode="External" Id="rId82"/><Relationship Type="http://schemas.openxmlformats.org/officeDocument/2006/relationships/hyperlink" Target="mailto:gino1037@hotmail.com" TargetMode="External" Id="rId83"/><Relationship Type="http://schemas.openxmlformats.org/officeDocument/2006/relationships/hyperlink" Target="mailto:cristiamondragon.spci@gmail.com" TargetMode="External" Id="rId84"/><Relationship Type="http://schemas.openxmlformats.org/officeDocument/2006/relationships/hyperlink" Target="mailto:juan.diaz@altipal.com.co" TargetMode="External" Id="rId85"/><Relationship Type="http://schemas.openxmlformats.org/officeDocument/2006/relationships/hyperlink" Target="mailto:interventoriagoliving@gmail.com" TargetMode="External" Id="rId86"/><Relationship Type="http://schemas.openxmlformats.org/officeDocument/2006/relationships/hyperlink" Target="mailto:roberto.pineda@rrp.com.co" TargetMode="External" Id="rId87"/><Relationship Type="http://schemas.openxmlformats.org/officeDocument/2006/relationships/hyperlink" Target="mailto:gino1037@hotmail.com" TargetMode="External" Id="rId88"/><Relationship Type="http://schemas.openxmlformats.org/officeDocument/2006/relationships/hyperlink" Target="mailto:paulinaisaza@trazosurbanos.com.co" TargetMode="External" Id="rId89"/><Relationship Type="http://schemas.openxmlformats.org/officeDocument/2006/relationships/hyperlink" Target="mailto:david.lopera@socomes.com" TargetMode="External" Id="rId90"/><Relationship Type="http://schemas.openxmlformats.org/officeDocument/2006/relationships/hyperlink" Target="mailto:proyectos@santiagorojas.com.co" TargetMode="External" Id="rId91"/><Relationship Type="http://schemas.openxmlformats.org/officeDocument/2006/relationships/hyperlink" Target="mailto:proyectos@santiagorojas.com.co" TargetMode="External" Id="rId92"/><Relationship Type="http://schemas.openxmlformats.org/officeDocument/2006/relationships/hyperlink" Target="mailto:obras@ces.edu.co" TargetMode="External" Id="rId93"/><Relationship Type="http://schemas.openxmlformats.org/officeDocument/2006/relationships/hyperlink" Target="mailto:jjaramillo@conexoinmobiliario.com" TargetMode="External" Id="rId94"/><Relationship Type="http://schemas.openxmlformats.org/officeDocument/2006/relationships/hyperlink" Target="mailto:jjaramillo@conexoinmobiliario.com" TargetMode="External" Id="rId95"/><Relationship Type="http://schemas.openxmlformats.org/officeDocument/2006/relationships/hyperlink" Target="mailto:direccionregional@ashesfire.co" TargetMode="External" Id="rId96"/><Relationship Type="http://schemas.openxmlformats.org/officeDocument/2006/relationships/hyperlink" Target="mailto:jjaramillo@conexoinmobiliario.com" TargetMode="External" Id="rId97"/><Relationship Type="http://schemas.openxmlformats.org/officeDocument/2006/relationships/hyperlink" Target="mailto:robibimaldonado@hotmail.com" TargetMode="External" Id="rId98"/><Relationship Type="http://schemas.openxmlformats.org/officeDocument/2006/relationships/hyperlink" Target="mailto:dir.comercial@spcisas.com.co" TargetMode="External" Id="rId99"/><Relationship Type="http://schemas.openxmlformats.org/officeDocument/2006/relationships/hyperlink" Target="mailto:fevgiral@bancolombia.com.co" TargetMode="External" Id="rId100"/><Relationship Type="http://schemas.openxmlformats.org/officeDocument/2006/relationships/hyperlink" Target="mailto:fevgiral@bancolombia.com.co" TargetMode="External" Id="rId101"/><Relationship Type="http://schemas.openxmlformats.org/officeDocument/2006/relationships/hyperlink" Target="mailto:gino1037@hotmail.com" TargetMode="External" Id="rId102"/><Relationship Type="http://schemas.openxmlformats.org/officeDocument/2006/relationships/hyperlink" Target="mailto:ascomercial@securetec.com.co" TargetMode="External" Id="rId103"/><Relationship Type="http://schemas.openxmlformats.org/officeDocument/2006/relationships/hyperlink" Target="mailto:proyectos1spci@gmail.com" TargetMode="External" Id="rId104"/><Relationship Type="http://schemas.openxmlformats.org/officeDocument/2006/relationships/hyperlink" Target="mailto:elizabeth.barrientos@cnv.com.co" TargetMode="External" Id="rId105"/><Relationship Type="http://schemas.openxmlformats.org/officeDocument/2006/relationships/hyperlink" Target="mailto:clopez@rowtecnologia.com" TargetMode="External" Id="rId106"/><Relationship Type="http://schemas.openxmlformats.org/officeDocument/2006/relationships/hyperlink" Target="mailto:clopez@rowtecnologia.com" TargetMode="External" Id="rId107"/><Relationship Type="http://schemas.openxmlformats.org/officeDocument/2006/relationships/hyperlink" Target="mailto:n.garcia@condiseno.co" TargetMode="External" Id="rId108"/><Relationship Type="http://schemas.openxmlformats.org/officeDocument/2006/relationships/hyperlink" Target="mailto:alvaromanosalva@sfiregroup.com" TargetMode="External" Id="rId109"/><Relationship Type="http://schemas.openxmlformats.org/officeDocument/2006/relationships/hyperlink" Target="mailto:daironobando@estructurar.co" TargetMode="External" Id="rId110"/><Relationship Type="http://schemas.openxmlformats.org/officeDocument/2006/relationships/hyperlink" Target="mailto:david.lopera@socomes.com" TargetMode="External" Id="rId111"/><Relationship Type="http://schemas.openxmlformats.org/officeDocument/2006/relationships/hyperlink" Target="mailto:rafaelcabrera@iayc.co" TargetMode="External" Id="rId112"/><Relationship Type="http://schemas.openxmlformats.org/officeDocument/2006/relationships/hyperlink" Target="mailto:camila.debedout@cnv.com.co" TargetMode="External" Id="rId113"/><Relationship Type="http://schemas.openxmlformats.org/officeDocument/2006/relationships/hyperlink" Target="mailto:mauroguzmanspci@gmail.com" TargetMode="External" Id="rId114"/><Relationship Type="http://schemas.openxmlformats.org/officeDocument/2006/relationships/hyperlink" Target="mailto:dir.comercial@spcisas.com.co" TargetMode="External" Id="rId115"/><Relationship Type="http://schemas.openxmlformats.org/officeDocument/2006/relationships/hyperlink" Target="mailto:josemaya@firemarshal.com.co" TargetMode="External" Id="rId116"/><Relationship Type="http://schemas.openxmlformats.org/officeDocument/2006/relationships/hyperlink" Target="mailto:ing.luisalejandrov@gmail.com" TargetMode="External" Id="rId117"/><Relationship Type="http://schemas.openxmlformats.org/officeDocument/2006/relationships/hyperlink" Target="mailto:n.garcia@condiseno.co" TargetMode="External" Id="rId118"/><Relationship Type="http://schemas.openxmlformats.org/officeDocument/2006/relationships/hyperlink" Target="mailto:alvaromanosalva@sfiregroup.com" TargetMode="External" Id="rId119"/><Relationship Type="http://schemas.openxmlformats.org/officeDocument/2006/relationships/hyperlink" Target="mailto:david.lopera@socomes.com" TargetMode="External" Id="rId120"/><Relationship Type="http://schemas.openxmlformats.org/officeDocument/2006/relationships/hyperlink" Target="mailto:david.lopera@socomes.com" TargetMode="External" Id="rId121"/><Relationship Type="http://schemas.openxmlformats.org/officeDocument/2006/relationships/hyperlink" Target="mailto:ascomercial@securetec.com.co" TargetMode="External" Id="rId122"/><Relationship Type="http://schemas.openxmlformats.org/officeDocument/2006/relationships/hyperlink" Target="mailto:alejandrorestrepom@gmail.com" TargetMode="External" Id="rId123"/><Relationship Type="http://schemas.openxmlformats.org/officeDocument/2006/relationships/hyperlink" Target="mailto:alvaromanosalva@sfiregroup.com" TargetMode="External" Id="rId124"/><Relationship Type="http://schemas.openxmlformats.org/officeDocument/2006/relationships/hyperlink" Target="mailto:dir.comercial@spcisas.com.co" TargetMode="External" Id="rId125"/><Relationship Type="http://schemas.openxmlformats.org/officeDocument/2006/relationships/hyperlink" Target="mailto:estevancastano@gmail.com" TargetMode="External" Id="rId126"/><Relationship Type="http://schemas.openxmlformats.org/officeDocument/2006/relationships/hyperlink" Target="mailto:hemolinaconstrucciones@gmail.com" TargetMode="External" Id="rId127"/><Relationship Type="http://schemas.openxmlformats.org/officeDocument/2006/relationships/hyperlink" Target="mailto:proyectos@santiagorojas.com.co" TargetMode="External" Id="rId128"/><Relationship Type="http://schemas.openxmlformats.org/officeDocument/2006/relationships/hyperlink" Target="mailto:ljaramillog@sura.com.co" TargetMode="External" Id="rId129"/><Relationship Type="http://schemas.openxmlformats.org/officeDocument/2006/relationships/hyperlink" Target="mailto:ascomercial@securetec.com.co" TargetMode="External" Id="rId130"/><Relationship Type="http://schemas.openxmlformats.org/officeDocument/2006/relationships/hyperlink" Target="mailto:gustavo.canchila@udea.edu.co" TargetMode="External" Id="rId131"/><Relationship Type="http://schemas.openxmlformats.org/officeDocument/2006/relationships/hyperlink" Target="mailto:avelasquez@admirisltda.com" TargetMode="External" Id="rId132"/><Relationship Type="http://schemas.openxmlformats.org/officeDocument/2006/relationships/hyperlink" Target="mailto:comercial@ingesed.com" TargetMode="External" Id="rId133"/><Relationship Type="http://schemas.openxmlformats.org/officeDocument/2006/relationships/hyperlink" Target="mailto:cristiamondragon.spci@gmail.com" TargetMode="External" Id="rId134"/><Relationship Type="http://schemas.openxmlformats.org/officeDocument/2006/relationships/hyperlink" Target="mailto:nestor.garcia@espiral.com.co" TargetMode="External" Id="rId135"/><Relationship Type="http://schemas.openxmlformats.org/officeDocument/2006/relationships/hyperlink" Target="mailto:nestor.garcia@espiral.com.co" TargetMode="External" Id="rId136"/><Relationship Type="http://schemas.openxmlformats.org/officeDocument/2006/relationships/hyperlink" Target="mailto:casaldarriaga@ces.edu.co" TargetMode="External" Id="rId137"/><Relationship Type="http://schemas.openxmlformats.org/officeDocument/2006/relationships/hyperlink" Target="mailto:proyectos@santiagorojas.com.co" TargetMode="External" Id="rId138"/><Relationship Type="http://schemas.openxmlformats.org/officeDocument/2006/relationships/hyperlink" Target="mailto:julialzate@une.net.co" TargetMode="External" Id="rId139"/><Relationship Type="http://schemas.openxmlformats.org/officeDocument/2006/relationships/hyperlink" Target="mailto:dir.comercial@spcisas.com.co" TargetMode="External" Id="rId140"/><Relationship Type="http://schemas.openxmlformats.org/officeDocument/2006/relationships/hyperlink" Target="mailto:auxiliarmedellin@andirent.co" TargetMode="External" Id="rId141"/><Relationship Type="http://schemas.openxmlformats.org/officeDocument/2006/relationships/hyperlink" Target="mailto:roberto.pineda@rrp.com.co" TargetMode="External" Id="rId142"/><Relationship Type="http://schemas.openxmlformats.org/officeDocument/2006/relationships/hyperlink" Target="mailto:presupuestosglobalayc@gmail.com" TargetMode="External" Id="rId143"/><Relationship Type="http://schemas.openxmlformats.org/officeDocument/2006/relationships/hyperlink" Target="mailto:genios23@hotmail.com" TargetMode="External" Id="rId144"/><Relationship Type="http://schemas.openxmlformats.org/officeDocument/2006/relationships/hyperlink" Target="mailto:proyectos@prosoma.com.co" TargetMode="External" Id="rId145"/><Relationship Type="http://schemas.openxmlformats.org/officeDocument/2006/relationships/hyperlink" Target="mailto:cristiamondragon.spci@gmail.com" TargetMode="External" Id="rId146"/><Relationship Type="http://schemas.openxmlformats.org/officeDocument/2006/relationships/hyperlink" Target="mailto:amayamariac09@gmail.com" TargetMode="External" Id="rId147"/><Relationship Type="http://schemas.openxmlformats.org/officeDocument/2006/relationships/hyperlink" Target="mailto:laduque@colombina.com" TargetMode="External" Id="rId148"/><Relationship Type="http://schemas.openxmlformats.org/officeDocument/2006/relationships/hyperlink" Target="mailto:cristianlondono@mensulaingenieros.com" TargetMode="External" Id="rId149"/><Relationship Type="http://schemas.openxmlformats.org/officeDocument/2006/relationships/hyperlink" Target="mailto:proyectos1spci@gmail.com" TargetMode="External" Id="rId150"/><Relationship Type="http://schemas.openxmlformats.org/officeDocument/2006/relationships/hyperlink" Target="mailto:proyectos1spci@gmail.com" TargetMode="External" Id="rId151"/><Relationship Type="http://schemas.openxmlformats.org/officeDocument/2006/relationships/hyperlink" Target="mailto:dir.comercial@spcisas.com.co" TargetMode="External" Id="rId152"/><Relationship Type="http://schemas.openxmlformats.org/officeDocument/2006/relationships/hyperlink" Target="mailto:carolina@hidrofsalinas.com" TargetMode="External" Id="rId153"/><Relationship Type="http://schemas.openxmlformats.org/officeDocument/2006/relationships/hyperlink" Target="mailto:paolopez@ensambleespaciosvivos.com" TargetMode="External" Id="rId154"/><Relationship Type="http://schemas.openxmlformats.org/officeDocument/2006/relationships/hyperlink" Target="mailto:david.lopera@socomes.com" TargetMode="External" Id="rId155"/><Relationship Type="http://schemas.openxmlformats.org/officeDocument/2006/relationships/hyperlink" Target="mailto:administrativo@sharu.com.co" TargetMode="External" Id="rId156"/><Relationship Type="http://schemas.openxmlformats.org/officeDocument/2006/relationships/hyperlink" Target="mailto:tavojaramillo@gmail.com" TargetMode="External" Id="rId157"/><Relationship Type="http://schemas.openxmlformats.org/officeDocument/2006/relationships/hyperlink" Target="mailto:proyectos1spci@gmail.com" TargetMode="External" Id="rId158"/><Relationship Type="http://schemas.openxmlformats.org/officeDocument/2006/relationships/hyperlink" Target="mailto:david.lopera@socomes.com" TargetMode="External" Id="rId159"/><Relationship Type="http://schemas.openxmlformats.org/officeDocument/2006/relationships/hyperlink" Target="mailto:juan.londono@serviciosipm.com" TargetMode="External" Id="rId160"/><Relationship Type="http://schemas.openxmlformats.org/officeDocument/2006/relationships/hyperlink" Target="mailto:daniel.echeverri@avanteing.com" TargetMode="External" Id="rId161"/><Relationship Type="http://schemas.openxmlformats.org/officeDocument/2006/relationships/hyperlink" Target="mailto:gino1037@hotmail.com" TargetMode="External" Id="rId162"/><Relationship Type="http://schemas.openxmlformats.org/officeDocument/2006/relationships/hyperlink" Target="mailto:proyectos@santiagorojas.com.co" TargetMode="External" Id="rId163"/><Relationship Type="http://schemas.openxmlformats.org/officeDocument/2006/relationships/hyperlink" Target="mailto:dir.comercial@spcisas.com.co" TargetMode="External" Id="rId164"/><Relationship Type="http://schemas.openxmlformats.org/officeDocument/2006/relationships/hyperlink" Target="mailto:hmiranda528@gmail.com" TargetMode="External" Id="rId165"/><Relationship Type="http://schemas.openxmlformats.org/officeDocument/2006/relationships/hyperlink" Target="mailto:mferrer@interve.co" TargetMode="External" Id="rId166"/><Relationship Type="http://schemas.openxmlformats.org/officeDocument/2006/relationships/hyperlink" Target="mailto:david.lopera@socomes.com" TargetMode="External" Id="rId167"/><Relationship Type="http://schemas.openxmlformats.org/officeDocument/2006/relationships/hyperlink" Target="mailto:Proyectos2@jomarkseguridad.com" TargetMode="External" Id="rId168"/><Relationship Type="http://schemas.openxmlformats.org/officeDocument/2006/relationships/hyperlink" Target="mailto:carolina@hidrofsalinas.com" TargetMode="External" Id="rId169"/><Relationship Type="http://schemas.openxmlformats.org/officeDocument/2006/relationships/hyperlink" Target="mailto:arestrepoe@conconcreto.com" TargetMode="External" Id="rId170"/><Relationship Type="http://schemas.openxmlformats.org/officeDocument/2006/relationships/hyperlink" Target="mailto:victorsadarriaga.spci@gmail.com" TargetMode="External" Id="rId171"/><Relationship Type="http://schemas.openxmlformats.org/officeDocument/2006/relationships/hyperlink" Target="mailto:Juan.martinez@grupomingenieria.com.co" TargetMode="External" Id="rId172"/><Relationship Type="http://schemas.openxmlformats.org/officeDocument/2006/relationships/hyperlink" Target="mailto:ahmayac@hotmail.com" TargetMode="External" Id="rId173"/><Relationship Type="http://schemas.openxmlformats.org/officeDocument/2006/relationships/hyperlink" Target="mailto:n.garcia@condiseno.co" TargetMode="External" Id="rId174"/><Relationship Type="http://schemas.openxmlformats.org/officeDocument/2006/relationships/hyperlink" Target="mailto:juan.grajales@spci.com.co" TargetMode="External" Id="rId175"/><Relationship Type="http://schemas.openxmlformats.org/officeDocument/2006/relationships/hyperlink" Target="mailto:paolopez@ensambleespaciosvivos.com" TargetMode="External" Id="rId176"/><Relationship Type="http://schemas.openxmlformats.org/officeDocument/2006/relationships/hyperlink" Target="mailto:analistap1.aprovisionamiento@coprocenva.coop" TargetMode="External" Id="rId177"/><Relationship Type="http://schemas.openxmlformats.org/officeDocument/2006/relationships/hyperlink" Target="mailto:analistap1.aprovisionamiento@coprocenva.coop" TargetMode="External" Id="rId178"/><Relationship Type="http://schemas.openxmlformats.org/officeDocument/2006/relationships/hyperlink" Target="mailto:direccionregional@ashesfire.co" TargetMode="External" Id="rId179"/><Relationship Type="http://schemas.openxmlformats.org/officeDocument/2006/relationships/hyperlink" Target="mailto:trescantosk@gmail.com" TargetMode="External" Id="rId180"/><Relationship Type="http://schemas.openxmlformats.org/officeDocument/2006/relationships/hyperlink" Target="mailto:jorge.velez@socoda.com.co" TargetMode="External" Id="rId181"/><Relationship Type="http://schemas.openxmlformats.org/officeDocument/2006/relationships/hyperlink" Target="mailto:arturoalcaingenieria@gmail.com" TargetMode="External" Id="rId182"/><Relationship Type="http://schemas.openxmlformats.org/officeDocument/2006/relationships/hyperlink" Target="mailto:perspectivasciviles@gmail.com" TargetMode="External" Id="rId183"/><Relationship Type="http://schemas.openxmlformats.org/officeDocument/2006/relationships/hyperlink" Target="mailto:juan.grajales@spci.com.co" TargetMode="External" Id="rId184"/><Relationship Type="http://schemas.openxmlformats.org/officeDocument/2006/relationships/hyperlink" Target="mailto:ing.luisalejandrov@gmail.com" TargetMode="External" Id="rId185"/><Relationship Type="http://schemas.openxmlformats.org/officeDocument/2006/relationships/hyperlink" Target="mailto:jcardonm@gmail.com" TargetMode="External" Id="rId186"/><Relationship Type="http://schemas.openxmlformats.org/officeDocument/2006/relationships/hyperlink" Target="mailto:gaguirre@solciviles.com" TargetMode="External" Id="rId187"/><Relationship Type="http://schemas.openxmlformats.org/officeDocument/2006/relationships/hyperlink" Target="mailto:n.garcia@condiseno.co" TargetMode="External" Id="rId188"/><Relationship Type="http://schemas.openxmlformats.org/officeDocument/2006/relationships/hyperlink" Target="mailto:luisa.montoya@espiral.com.co" TargetMode="External" Id="rId189"/><Relationship Type="http://schemas.openxmlformats.org/officeDocument/2006/relationships/hyperlink" Target="mailto:avelasquez@admirisltda.com" TargetMode="External" Id="rId190"/><Relationship Type="http://schemas.openxmlformats.org/officeDocument/2006/relationships/hyperlink" Target="mailto:mhincapie@coninsa.co" TargetMode="External" Id="rId191"/><Relationship Type="http://schemas.openxmlformats.org/officeDocument/2006/relationships/hyperlink" Target="mailto:cristiamondragon.spci@gmail.com" TargetMode="External" Id="rId192"/><Relationship Type="http://schemas.openxmlformats.org/officeDocument/2006/relationships/hyperlink" Target="mailto:Juan.martinez@grupomingenieria.com.co" TargetMode="External" Id="rId193"/><Relationship Type="http://schemas.openxmlformats.org/officeDocument/2006/relationships/hyperlink" Target="mailto:proyectos@santiagorojas.com.co" TargetMode="External" Id="rId194"/><Relationship Type="http://schemas.openxmlformats.org/officeDocument/2006/relationships/hyperlink" Target="mailto:proyectos@santiagorojas.com.co" TargetMode="External" Id="rId195"/><Relationship Type="http://schemas.openxmlformats.org/officeDocument/2006/relationships/hyperlink" Target="mailto:arestrepoe@conconcreto.com" TargetMode="External" Id="rId196"/><Relationship Type="http://schemas.openxmlformats.org/officeDocument/2006/relationships/hyperlink" Target="mailto:jorge.escobar@espiralstudio.co" TargetMode="External" Id="rId197"/><Relationship Type="http://schemas.openxmlformats.org/officeDocument/2006/relationships/hyperlink" Target="mailto:mauroguzmanspci@gmail.com" TargetMode="External" Id="rId198"/><Relationship Type="http://schemas.openxmlformats.org/officeDocument/2006/relationships/hyperlink" Target="mailto:direccionuart@gmail.co" TargetMode="External" Id="rId199"/><Relationship Type="http://schemas.openxmlformats.org/officeDocument/2006/relationships/hyperlink" Target="mailto:interventoriacecv@tipinterventoria.com" TargetMode="External" Id="rId200"/><Relationship Type="http://schemas.openxmlformats.org/officeDocument/2006/relationships/hyperlink" Target="mailto:juan.grajales@spci.com.co" TargetMode="External" Id="rId201"/><Relationship Type="http://schemas.openxmlformats.org/officeDocument/2006/relationships/hyperlink" Target="mailto:hectorcamelo@estructurar.co" TargetMode="External" Id="rId202"/><Relationship Type="http://schemas.openxmlformats.org/officeDocument/2006/relationships/hyperlink" Target="mailto:david.lopera@socomes.com" TargetMode="External" Id="rId203"/><Relationship Type="http://schemas.openxmlformats.org/officeDocument/2006/relationships/hyperlink" Target="mailto:mauricio.gutierrez@spci.com.co" TargetMode="External" Id="rId204"/><Relationship Type="http://schemas.openxmlformats.org/officeDocument/2006/relationships/hyperlink" Target="mailto:LGLONDON@gmail.com" TargetMode="External" Id="rId205"/><Relationship Type="http://schemas.openxmlformats.org/officeDocument/2006/relationships/hyperlink" Target="mailto:cristian.alvarez@cnv.com.co" TargetMode="External" Id="rId206"/><Relationship Type="http://schemas.openxmlformats.org/officeDocument/2006/relationships/hyperlink" Target="mailto:cristinapalacio@mensulaingenieros.com" TargetMode="External" Id="rId207"/><Relationship Type="http://schemas.openxmlformats.org/officeDocument/2006/relationships/hyperlink" Target="mailto:laura.arias@studiosur.net" TargetMode="External" Id="rId208"/><Relationship Type="http://schemas.openxmlformats.org/officeDocument/2006/relationships/hyperlink" Target="mailto:serviciotecnicoayb@hotmail.com" TargetMode="External" Id="rId209"/><Relationship Type="http://schemas.openxmlformats.org/officeDocument/2006/relationships/hyperlink" Target="mailto:andrea.poveda@ospinas.com.co" TargetMode="External" Id="rId210"/><Relationship Type="http://schemas.openxmlformats.org/officeDocument/2006/relationships/hyperlink" Target="mailto:andrea.poveda@ospinas.com.co" TargetMode="External" Id="rId211"/><Relationship Type="http://schemas.openxmlformats.org/officeDocument/2006/relationships/hyperlink" Target="mailto:jcotame@agrosavia.co" TargetMode="External" Id="rId212"/><Relationship Type="http://schemas.openxmlformats.org/officeDocument/2006/relationships/hyperlink" Target="mailto:lsaldarriaga@londonogomez.com" TargetMode="External" Id="rId213"/><Relationship Type="http://schemas.openxmlformats.org/officeDocument/2006/relationships/hyperlink" Target="mailto:francisco.unda@seriinco.com" TargetMode="External" Id="rId214"/><Relationship Type="http://schemas.openxmlformats.org/officeDocument/2006/relationships/hyperlink" Target="mailto:proyectos1spci@gmail.com" TargetMode="External" Id="rId215"/><Relationship Type="http://schemas.openxmlformats.org/officeDocument/2006/relationships/hyperlink" Target="mailto:proyectos1spci@gmail.com" TargetMode="External" Id="rId216"/><Relationship Type="http://schemas.openxmlformats.org/officeDocument/2006/relationships/hyperlink" Target="mailto:juan.grajales@spci.com.co" TargetMode="External" Id="rId217"/><Relationship Type="http://schemas.openxmlformats.org/officeDocument/2006/relationships/hyperlink" Target="mailto:juan.grajales@spci.com.co" TargetMode="External" Id="rId218"/><Relationship Type="http://schemas.openxmlformats.org/officeDocument/2006/relationships/hyperlink" Target="mailto:Juan.Velandia@iff.com" TargetMode="External" Id="rId219"/><Relationship Type="http://schemas.openxmlformats.org/officeDocument/2006/relationships/hyperlink" Target="mailto:juan.grajales@spci.com.co" TargetMode="External" Id="rId220"/><Relationship Type="http://schemas.openxmlformats.org/officeDocument/2006/relationships/hyperlink" Target="mailto:juan.grajales@spci.com.co" TargetMode="External" Id="rId221"/><Relationship Type="http://schemas.openxmlformats.org/officeDocument/2006/relationships/hyperlink" Target="mailto:cristiamondragon.spci@gmail.com" TargetMode="External" Id="rId222"/><Relationship Type="http://schemas.openxmlformats.org/officeDocument/2006/relationships/hyperlink" Target="mailto:natalia.mejia@desur.gov.co" TargetMode="External" Id="rId223"/><Relationship Type="http://schemas.openxmlformats.org/officeDocument/2006/relationships/hyperlink" Target="mailto:natalia.mejia@desur.gov.co" TargetMode="External" Id="rId224"/><Relationship Type="http://schemas.openxmlformats.org/officeDocument/2006/relationships/hyperlink" Target="mailto:gino1037@hotmail.com" TargetMode="External" Id="rId225"/><Relationship Type="http://schemas.openxmlformats.org/officeDocument/2006/relationships/hyperlink" Target="mailto:juan.grajales@spci.com.co" TargetMode="External" Id="rId226"/><Relationship Type="http://schemas.openxmlformats.org/officeDocument/2006/relationships/hyperlink" Target="mailto:gerencia@projectsolutions.com.co" TargetMode="External" Id="rId227"/><Relationship Type="http://schemas.openxmlformats.org/officeDocument/2006/relationships/hyperlink" Target="mailto:lady.lopez@spci.com.co" TargetMode="External" Id="rId228"/><Relationship Type="http://schemas.openxmlformats.org/officeDocument/2006/relationships/hyperlink" Target="mailto:hudinco@gmail.com" TargetMode="External" Id="rId229"/><Relationship Type="http://schemas.openxmlformats.org/officeDocument/2006/relationships/hyperlink" Target="mailto:comercial@dcs.com.co" TargetMode="External" Id="rId230"/><Relationship Type="http://schemas.openxmlformats.org/officeDocument/2006/relationships/hyperlink" Target="mailto:comercial@dcs.com.co" TargetMode="External" Id="rId231"/><Relationship Type="http://schemas.openxmlformats.org/officeDocument/2006/relationships/hyperlink" Target="mailto:proyectos@santiagorojas.com.co" TargetMode="External" Id="rId232"/><Relationship Type="http://schemas.openxmlformats.org/officeDocument/2006/relationships/hyperlink" Target="mailto:proyectos@santiagorojas.com.co" TargetMode="External" Id="rId233"/><Relationship Type="http://schemas.openxmlformats.org/officeDocument/2006/relationships/hyperlink" Target="mailto:cristiamondragon.spci@gmail.com" TargetMode="External" Id="rId234"/><Relationship Type="http://schemas.openxmlformats.org/officeDocument/2006/relationships/hyperlink" Target="mailto:santtoce@colsubsidio.com" TargetMode="External" Id="rId235"/><Relationship Type="http://schemas.openxmlformats.org/officeDocument/2006/relationships/hyperlink" Target="mailto:Buena_mesa@hotmail.com" TargetMode="External" Id="rId236"/><Relationship Type="http://schemas.openxmlformats.org/officeDocument/2006/relationships/hyperlink" Target="mailto:johngonzalez@ensambleespaciosvivos.com" TargetMode="External" Id="rId237"/><Relationship Type="http://schemas.openxmlformats.org/officeDocument/2006/relationships/hyperlink" Target="mailto:marcela.orozco@o3ingenieria.com" TargetMode="External" Id="rId238"/><Relationship Type="http://schemas.openxmlformats.org/officeDocument/2006/relationships/hyperlink" Target="mailto:coordinacion@krearingenieria.com" TargetMode="External" Id="rId239"/><Relationship Type="http://schemas.openxmlformats.org/officeDocument/2006/relationships/hyperlink" Target="mailto:david.zuluaga@andercol.com.co" TargetMode="External" Id="rId240"/><Relationship Type="http://schemas.openxmlformats.org/officeDocument/2006/relationships/hyperlink" Target="mailto:cristianlondono@mensulaingenieros.com" TargetMode="External" Id="rId241"/><Relationship Type="http://schemas.openxmlformats.org/officeDocument/2006/relationships/hyperlink" Target="mailto:gino1037@hotmail.com" TargetMode="External" Id="rId242"/><Relationship Type="http://schemas.openxmlformats.org/officeDocument/2006/relationships/hyperlink" Target="mailto:gerencia@projectsolutions.com.co" TargetMode="External" Id="rId243"/><Relationship Type="http://schemas.openxmlformats.org/officeDocument/2006/relationships/hyperlink" Target="mailto:n.garcia@condiseno.co" TargetMode="External" Id="rId244"/><Relationship Type="http://schemas.openxmlformats.org/officeDocument/2006/relationships/hyperlink" Target="mailto:lsaldarriaga@londonogomez.com" TargetMode="External" Id="rId245"/><Relationship Type="http://schemas.openxmlformats.org/officeDocument/2006/relationships/hyperlink" Target="mailto:cristinapalacio@mensulaingenieros.com" TargetMode="External" Id="rId246"/><Relationship Type="http://schemas.openxmlformats.org/officeDocument/2006/relationships/hyperlink" Target="mailto:coordinacion@krearingenieria.com" TargetMode="External" Id="rId247"/><Relationship Type="http://schemas.openxmlformats.org/officeDocument/2006/relationships/hyperlink" Target="mailto:dircalidadytalentohumano@josema.edu.co" TargetMode="External" Id="rId248"/><Relationship Type="http://schemas.openxmlformats.org/officeDocument/2006/relationships/hyperlink" Target="mailto:jacosta@conconcreto.com" TargetMode="External" Id="rId249"/><Relationship Type="http://schemas.openxmlformats.org/officeDocument/2006/relationships/hyperlink" Target="mailto:cristiamondragon.spci@gmail.com" TargetMode="External" Id="rId250"/><Relationship Type="http://schemas.openxmlformats.org/officeDocument/2006/relationships/hyperlink" Target="mailto:proyectos1spci@gmail.com" TargetMode="External" Id="rId251"/><Relationship Type="http://schemas.openxmlformats.org/officeDocument/2006/relationships/hyperlink" Target="mailto:proyectos1spci@gmail.com" TargetMode="External" Id="rId252"/><Relationship Type="http://schemas.openxmlformats.org/officeDocument/2006/relationships/hyperlink" Target="mailto:alejandra.ochoa@sp-ing.com.co" TargetMode="External" Id="rId253"/><Relationship Type="http://schemas.openxmlformats.org/officeDocument/2006/relationships/hyperlink" Target="mailto:dir.tecnico@spcisas.com.co" TargetMode="External" Id="rId254"/><Relationship Type="http://schemas.openxmlformats.org/officeDocument/2006/relationships/hyperlink" Target="mailto:dir.tecnico@spcisas.com.co" TargetMode="External" Id="rId255"/><Relationship Type="http://schemas.openxmlformats.org/officeDocument/2006/relationships/hyperlink" Target="mailto:proyectos1spci@gmail.com" TargetMode="External" Id="rId256"/><Relationship Type="http://schemas.openxmlformats.org/officeDocument/2006/relationships/hyperlink" Target="mailto:proyectos@prosoma.com.co" TargetMode="External" Id="rId257"/><Relationship Type="http://schemas.openxmlformats.org/officeDocument/2006/relationships/hyperlink" Target="mailto:n.garcia@condiseno.co" TargetMode="External" Id="rId258"/><Relationship Type="http://schemas.openxmlformats.org/officeDocument/2006/relationships/hyperlink" Target="mailto:dir.proyectos5@spcisas.com.co" TargetMode="External" Id="rId259"/><Relationship Type="http://schemas.openxmlformats.org/officeDocument/2006/relationships/hyperlink" Target="mailto:rafaelcabrera@iayc.co" TargetMode="External" Id="rId260"/><Relationship Type="http://schemas.openxmlformats.org/officeDocument/2006/relationships/hyperlink" Target="mailto:bravo259@hotmail.com" TargetMode="External" Id="rId261"/><Relationship Type="http://schemas.openxmlformats.org/officeDocument/2006/relationships/hyperlink" Target="mailto:juan.grajales@spci.com.co" TargetMode="External" Id="rId262"/><Relationship Type="http://schemas.openxmlformats.org/officeDocument/2006/relationships/hyperlink" Target="mailto:gerencia@projectsolutions.com.co" TargetMode="External" Id="rId263"/><Relationship Type="http://schemas.openxmlformats.org/officeDocument/2006/relationships/hyperlink" Target="mailto:juan.grajales@spci.com.co" TargetMode="External" Id="rId264"/><Relationship Type="http://schemas.openxmlformats.org/officeDocument/2006/relationships/hyperlink" Target="mailto:cristiamondragon.spci@gmail.com" TargetMode="External" Id="rId265"/><Relationship Type="http://schemas.openxmlformats.org/officeDocument/2006/relationships/hyperlink" Target="mailto:cristiamondragon.spci@gmail.com" TargetMode="External" Id="rId266"/><Relationship Type="http://schemas.openxmlformats.org/officeDocument/2006/relationships/hyperlink" Target="mailto:david.lopera@socomes.com" TargetMode="External" Id="rId267"/><Relationship Type="http://schemas.openxmlformats.org/officeDocument/2006/relationships/hyperlink" Target="mailto:jcamilo.builes@ingeniobim.co" TargetMode="External" Id="rId268"/><Relationship Type="http://schemas.openxmlformats.org/officeDocument/2006/relationships/hyperlink" Target="mailto:john.gomez@obrasde.com" TargetMode="External" Id="rId269"/><Relationship Type="http://schemas.openxmlformats.org/officeDocument/2006/relationships/hyperlink" Target="mailto:juan.grajales@spci.com.co" TargetMode="External" Id="rId270"/><Relationship Type="http://schemas.openxmlformats.org/officeDocument/2006/relationships/hyperlink" Target="mailto:ljaramillog@sura.com.co" TargetMode="External" Id="rId271"/><Relationship Type="http://schemas.openxmlformats.org/officeDocument/2006/relationships/hyperlink" Target="mailto:juan.grajales@spci.com.co" TargetMode="External" Id="rId272"/><Relationship Type="http://schemas.openxmlformats.org/officeDocument/2006/relationships/hyperlink" Target="mailto:proyectos1spci@gmail.com" TargetMode="External" Id="rId273"/><Relationship Type="http://schemas.openxmlformats.org/officeDocument/2006/relationships/hyperlink" Target="mailto:jmoreno@inma.com.co" TargetMode="External" Id="rId274"/><Relationship Type="http://schemas.openxmlformats.org/officeDocument/2006/relationships/hyperlink" Target="mailto:mauricio.gutierrez@spci.com.co" TargetMode="External" Id="rId275"/><Relationship Type="http://schemas.openxmlformats.org/officeDocument/2006/relationships/hyperlink" Target="mailto:david.lopera@socomes.com" TargetMode="External" Id="rId276"/><Relationship Type="http://schemas.openxmlformats.org/officeDocument/2006/relationships/hyperlink" Target="mailto:proyectos1spci@gmail.com" TargetMode="External" Id="rId277"/><Relationship Type="http://schemas.openxmlformats.org/officeDocument/2006/relationships/hyperlink" Target="mailto:proyectos1spci@gmail.com" TargetMode="External" Id="rId278"/><Relationship Type="http://schemas.openxmlformats.org/officeDocument/2006/relationships/hyperlink" Target="mailto:mauroguzmanspci@gmail.com" TargetMode="External" Id="rId279"/><Relationship Type="http://schemas.openxmlformats.org/officeDocument/2006/relationships/hyperlink" Target="mailto:jmoreno@inma.com.co" TargetMode="External" Id="rId280"/><Relationship Type="http://schemas.openxmlformats.org/officeDocument/2006/relationships/hyperlink" Target="mailto:mcvelasquez@contex.com.co" TargetMode="External" Id="rId281"/><Relationship Type="http://schemas.openxmlformats.org/officeDocument/2006/relationships/hyperlink" Target="mailto:jzapata@contex.com.co" TargetMode="External" Id="rId282"/><Relationship Type="http://schemas.openxmlformats.org/officeDocument/2006/relationships/hyperlink" Target="mailto:cristianlondono@mensulaingenieros.com" TargetMode="External" Id="rId283"/><Relationship Type="http://schemas.openxmlformats.org/officeDocument/2006/relationships/hyperlink" Target="mailto:juan.grajales@spci.com.co" TargetMode="External" Id="rId284"/><Relationship Type="http://schemas.openxmlformats.org/officeDocument/2006/relationships/hyperlink" Target="mailto:e.rodriguez@constelec.com" TargetMode="External" Id="rId285"/><Relationship Type="http://schemas.openxmlformats.org/officeDocument/2006/relationships/hyperlink" Target="mailto:proyectos@santiagorojas.com.co" TargetMode="External" Id="rId286"/><Relationship Type="http://schemas.openxmlformats.org/officeDocument/2006/relationships/hyperlink" Target="mailto:juan.grajales@spci.com.co" TargetMode="External" Id="rId287"/><Relationship Type="http://schemas.openxmlformats.org/officeDocument/2006/relationships/hyperlink" Target="mailto:costosypresupuestos1@spcisas.com.co" TargetMode="External" Id="rId288"/><Relationship Type="http://schemas.openxmlformats.org/officeDocument/2006/relationships/hyperlink" Target="mailto:juan.grajales@spci.com.co" TargetMode="External" Id="rId289"/><Relationship Type="http://schemas.openxmlformats.org/officeDocument/2006/relationships/hyperlink" Target="mailto:clrobayo@sura.com.co" TargetMode="External" Id="rId290"/><Relationship Type="http://schemas.openxmlformats.org/officeDocument/2006/relationships/hyperlink" Target="mailto:n.garcia@condiseno.co" TargetMode="External" Id="rId291"/><Relationship Type="http://schemas.openxmlformats.org/officeDocument/2006/relationships/hyperlink" Target="mailto:costosypresupuestos1@spcisas.com.co" TargetMode="External" Id="rId292"/><Relationship Type="http://schemas.openxmlformats.org/officeDocument/2006/relationships/hyperlink" Target="mailto:mauricio.gutierrez@spci.com.co" TargetMode="External" Id="rId293"/><Relationship Type="http://schemas.openxmlformats.org/officeDocument/2006/relationships/hyperlink" Target="mailto:Emailparangor@conconcreto.com" TargetMode="External" Id="rId294"/><Relationship Type="http://schemas.openxmlformats.org/officeDocument/2006/relationships/hyperlink" Target="mailto:produccion@spcisas.com.co" TargetMode="External" Id="rId295"/><Relationship Type="http://schemas.openxmlformats.org/officeDocument/2006/relationships/hyperlink" Target="mailto:david.lopera@socomes.com" TargetMode="External" Id="rId296"/><Relationship Type="http://schemas.openxmlformats.org/officeDocument/2006/relationships/hyperlink" Target="mailto:costosypresupuestos1@spcisas.com.co" TargetMode="External" Id="rId297"/><Relationship Type="http://schemas.openxmlformats.org/officeDocument/2006/relationships/hyperlink" Target="mailto:j.olmos@link-inmobiliario.com" TargetMode="External" Id="rId298"/><Relationship Type="http://schemas.openxmlformats.org/officeDocument/2006/relationships/hyperlink" Target="mailto:j.olmos@link-inmobiliario.com" TargetMode="External" Id="rId299"/><Relationship Type="http://schemas.openxmlformats.org/officeDocument/2006/relationships/hyperlink" Target="mailto:j.olmos@link-inmobiliario.com" TargetMode="External" Id="rId300"/><Relationship Type="http://schemas.openxmlformats.org/officeDocument/2006/relationships/hyperlink" Target="mailto:juan.grajales@spci.com.co" TargetMode="External" Id="rId301"/><Relationship Type="http://schemas.openxmlformats.org/officeDocument/2006/relationships/hyperlink" Target="mailto:jefe.mantenimiento@cabarria.com" TargetMode="External" Id="rId302"/><Relationship Type="http://schemas.openxmlformats.org/officeDocument/2006/relationships/hyperlink" Target="mailto:costosypresupuestos1@spcisas.com.co" TargetMode="External" Id="rId303"/><Relationship Type="http://schemas.openxmlformats.org/officeDocument/2006/relationships/hyperlink" Target="mailto:hidraulicaymontajes@gmail.com" TargetMode="External" Id="rId304"/><Relationship Type="http://schemas.openxmlformats.org/officeDocument/2006/relationships/hyperlink" Target="mailto:gerencia@projectsolutions.com.co" TargetMode="External" Id="rId305"/><Relationship Type="http://schemas.openxmlformats.org/officeDocument/2006/relationships/hyperlink" Target="mailto:claudia.ramirez@edyfica.co" TargetMode="External" Id="rId306"/><Relationship Type="http://schemas.openxmlformats.org/officeDocument/2006/relationships/hyperlink" Target="mailto:arquitecta.alejandrasanchez@gmail.com" TargetMode="External" Id="rId307"/><Relationship Type="http://schemas.openxmlformats.org/officeDocument/2006/relationships/hyperlink" Target="mailto:juan.grajales@spci.com.co" TargetMode="External" Id="rId308"/><Relationship Type="http://schemas.openxmlformats.org/officeDocument/2006/relationships/hyperlink" Target="mailto:dir.proyectos3@spcisas.com.co" TargetMode="External" Id="rId309"/><Relationship Type="http://schemas.openxmlformats.org/officeDocument/2006/relationships/hyperlink" Target="mailto:dirproyectos@securetec.com.co" TargetMode="External" Id="rId310"/><Relationship Type="http://schemas.openxmlformats.org/officeDocument/2006/relationships/hyperlink" Target="mailto:claudia.ramirez@edyfica.co" TargetMode="External" Id="rId311"/><Relationship Type="http://schemas.openxmlformats.org/officeDocument/2006/relationships/hyperlink" Target="mailto:daniel.montoya@hbfuller.com" TargetMode="External" Id="rId312"/><Relationship Type="http://schemas.openxmlformats.org/officeDocument/2006/relationships/hyperlink" Target="mailto:proyectos@fpservices.com.co" TargetMode="External" Id="rId313"/><Relationship Type="http://schemas.openxmlformats.org/officeDocument/2006/relationships/hyperlink" Target="mailto:juan.grajales@spci.com.co" TargetMode="External" Id="rId314"/><Relationship Type="http://schemas.openxmlformats.org/officeDocument/2006/relationships/hyperlink" Target="mailto:cristiamondragon.spci@gmail.com" TargetMode="External" Id="rId315"/><Relationship Type="http://schemas.openxmlformats.org/officeDocument/2006/relationships/hyperlink" Target="mailto:Juan.Henaoo@envigado.gov.co" TargetMode="External" Id="rId316"/><Relationship Type="http://schemas.openxmlformats.org/officeDocument/2006/relationships/hyperlink" Target="mailto:ing.luisalejandrov@gmail.com" TargetMode="External" Id="rId317"/><Relationship Type="http://schemas.openxmlformats.org/officeDocument/2006/relationships/hyperlink" Target="mailto:bravo259@hotmail.com" TargetMode="External" Id="rId318"/><Relationship Type="http://schemas.openxmlformats.org/officeDocument/2006/relationships/hyperlink" Target="mailto:eceballos@contex.com.co" TargetMode="External" Id="rId319"/><Relationship Type="http://schemas.openxmlformats.org/officeDocument/2006/relationships/hyperlink" Target="mailto:asierra@sierrastudio.com.co" TargetMode="External" Id="rId320"/><Relationship Type="http://schemas.openxmlformats.org/officeDocument/2006/relationships/hyperlink" Target="mailto:blancasaldarriaga@arquitecturayconcreto.com" TargetMode="External" Id="rId321"/><Relationship Type="http://schemas.openxmlformats.org/officeDocument/2006/relationships/hyperlink" Target="mailto:blancasaldarriaga@arquitecturayconcreto.com" TargetMode="External" Id="rId322"/><Relationship Type="http://schemas.openxmlformats.org/officeDocument/2006/relationships/hyperlink" Target="mailto:juan.grajales@spci.com.co" TargetMode="External" Id="rId323"/><Relationship Type="http://schemas.openxmlformats.org/officeDocument/2006/relationships/hyperlink" Target="mailto:juan.grajales@spci.com.co" TargetMode="External" Id="rId324"/><Relationship Type="http://schemas.openxmlformats.org/officeDocument/2006/relationships/hyperlink" Target="mailto:juan.grajales@spci.com.co" TargetMode="External" Id="rId325"/><Relationship Type="http://schemas.openxmlformats.org/officeDocument/2006/relationships/hyperlink" Target="mailto:harlentrespalacios@trazosurbanos.com.co" TargetMode="External" Id="rId326"/><Relationship Type="http://schemas.openxmlformats.org/officeDocument/2006/relationships/hyperlink" Target="mailto:costosypresupuestos1@spcisas.com.co" TargetMode="External" Id="rId327"/><Relationship Type="http://schemas.openxmlformats.org/officeDocument/2006/relationships/hyperlink" Target="mailto:proyectos1spci@gmail.com" TargetMode="External" Id="rId328"/><Relationship Type="http://schemas.openxmlformats.org/officeDocument/2006/relationships/hyperlink" Target="mailto:proyectos@fpservices.com.co" TargetMode="External" Id="rId329"/><Relationship Type="http://schemas.openxmlformats.org/officeDocument/2006/relationships/hyperlink" Target="mailto:costosypresupuestos1@spcisas.com.co" TargetMode="External" Id="rId330"/><Relationship Type="http://schemas.openxmlformats.org/officeDocument/2006/relationships/hyperlink" Target="mailto:gustavomontoya@arquitecturayconcreto.com" TargetMode="External" Id="rId331"/><Relationship Type="http://schemas.openxmlformats.org/officeDocument/2006/relationships/hyperlink" Target="mailto:costosypresupuestos1@spcisas.com.co" TargetMode="External" Id="rId332"/><Relationship Type="http://schemas.openxmlformats.org/officeDocument/2006/relationships/hyperlink" Target="mailto:Proyectos2@jomarkseguridad.com" TargetMode="External" Id="rId333"/><Relationship Type="http://schemas.openxmlformats.org/officeDocument/2006/relationships/hyperlink" Target="mailto:proyectos@servimatcolombia.com" TargetMode="External" Id="rId334"/><Relationship Type="http://schemas.openxmlformats.org/officeDocument/2006/relationships/hyperlink" Target="mailto:jaristizabal@con-axion.com" TargetMode="External" Id="rId335"/><Relationship Type="http://schemas.openxmlformats.org/officeDocument/2006/relationships/hyperlink" Target="mailto:mdavila@conexoinmobiliario.com" TargetMode="External" Id="rId336"/><Relationship Type="http://schemas.openxmlformats.org/officeDocument/2006/relationships/hyperlink" Target="mailto:selvaticast@escuadra.com.co" TargetMode="External" Id="rId337"/><Relationship Type="http://schemas.openxmlformats.org/officeDocument/2006/relationships/hyperlink" Target="mailto:proyectos@santiagorojas.com.co" TargetMode="External" Id="rId338"/><Relationship Type="http://schemas.openxmlformats.org/officeDocument/2006/relationships/hyperlink" Target="mailto:costosypresupuestos1@spcisas.com.co" TargetMode="External" Id="rId339"/><Relationship Type="http://schemas.openxmlformats.org/officeDocument/2006/relationships/hyperlink" Target="mailto:costosypresupuestos1@spcisas.com.co" TargetMode="External" Id="rId340"/><Relationship Type="http://schemas.openxmlformats.org/officeDocument/2006/relationships/hyperlink" Target="mailto:gerenciafw@hotmail.com" TargetMode="External" Id="rId341"/><Relationship Type="http://schemas.openxmlformats.org/officeDocument/2006/relationships/hyperlink" Target="mailto:gerenciafw@hotmail.com" TargetMode="External" Id="rId342"/><Relationship Type="http://schemas.openxmlformats.org/officeDocument/2006/relationships/hyperlink" Target="mailto:juan.grajales@spci.com.co" TargetMode="External" Id="rId343"/><Relationship Type="http://schemas.openxmlformats.org/officeDocument/2006/relationships/hyperlink" Target="mailto:residenteciviles1@civiles-sas.com" TargetMode="External" Id="rId344"/><Relationship Type="http://schemas.openxmlformats.org/officeDocument/2006/relationships/hyperlink" Target="mailto:eceballos@contex.com.co" TargetMode="External" Id="rId345"/><Relationship Type="http://schemas.openxmlformats.org/officeDocument/2006/relationships/hyperlink" Target="mailto:costosypresupuestos1@spcisas.com.co" TargetMode="External" Id="rId346"/><Relationship Type="http://schemas.openxmlformats.org/officeDocument/2006/relationships/hyperlink" Target="mailto:gino1037@hotmail.com" TargetMode="External" Id="rId347"/><Relationship Type="http://schemas.openxmlformats.org/officeDocument/2006/relationships/hyperlink" Target="mailto:dir.proyectos4@spcisas.com.co" TargetMode="External" Id="rId348"/><Relationship Type="http://schemas.openxmlformats.org/officeDocument/2006/relationships/hyperlink" Target="mailto:ing.residente4@spcisas.com.co" TargetMode="External" Id="rId349"/><Relationship Type="http://schemas.openxmlformats.org/officeDocument/2006/relationships/hyperlink" Target="mailto:residenteobra@insigniasa.com.co" TargetMode="External" Id="rId350"/><Relationship Type="http://schemas.openxmlformats.org/officeDocument/2006/relationships/hyperlink" Target="mailto:jcotame@agrosavia.co" TargetMode="External" Id="rId351"/><Relationship Type="http://schemas.openxmlformats.org/officeDocument/2006/relationships/hyperlink" Target="mailto:proyectos@servimatcolombia.com" TargetMode="External" Id="rId352"/><Relationship Type="http://schemas.openxmlformats.org/officeDocument/2006/relationships/hyperlink" Target="mailto:daniel.montoya@hbfuller.com" TargetMode="External" Id="rId353"/><Relationship Type="http://schemas.openxmlformats.org/officeDocument/2006/relationships/hyperlink" Target="mailto:dianacardona@inhauser.co" TargetMode="External" Id="rId354"/><Relationship Type="http://schemas.openxmlformats.org/officeDocument/2006/relationships/hyperlink" Target="mailto:dianacardona@inhauser.co" TargetMode="External" Id="rId355"/><Relationship Type="http://schemas.openxmlformats.org/officeDocument/2006/relationships/hyperlink" Target="mailto:mauricio.gutierrez@spci.com.co" TargetMode="External" Id="rId356"/><Relationship Type="http://schemas.openxmlformats.org/officeDocument/2006/relationships/hyperlink" Target="mailto:avelasquez@admirisltda.com" TargetMode="External" Id="rId357"/><Relationship Type="http://schemas.openxmlformats.org/officeDocument/2006/relationships/hyperlink" Target="mailto:catalina.catajara9@gmail.com" TargetMode="External" Id="rId358"/><Relationship Type="http://schemas.openxmlformats.org/officeDocument/2006/relationships/hyperlink" Target="mailto:arquitecta.danielacordoba@gmail.com" TargetMode="External" Id="rId359"/><Relationship Type="http://schemas.openxmlformats.org/officeDocument/2006/relationships/hyperlink" Target="mailto:susana.cardona@desur.gov.co" TargetMode="External" Id="rId360"/><Relationship Type="http://schemas.openxmlformats.org/officeDocument/2006/relationships/hyperlink" Target="mailto:disenos@coinsi.com" TargetMode="External" Id="rId361"/><Relationship Type="http://schemas.openxmlformats.org/officeDocument/2006/relationships/hyperlink" Target="mailto:disenos@coinsi.com" TargetMode="External" Id="rId362"/><Relationship Type="http://schemas.openxmlformats.org/officeDocument/2006/relationships/hyperlink" Target="mailto:david.lopera@socomes.com" TargetMode="External" Id="rId363"/><Relationship Type="http://schemas.openxmlformats.org/officeDocument/2006/relationships/hyperlink" Target="mailto:sebastiangiraldo@mensulaingenieros.com" TargetMode="External" Id="rId364"/><Relationship Type="http://schemas.openxmlformats.org/officeDocument/2006/relationships/hyperlink" Target="tel:321%20636%208440" TargetMode="External" Id="rId365"/><Relationship Type="http://schemas.openxmlformats.org/officeDocument/2006/relationships/hyperlink" Target="mailto:residente2@procoi.com" TargetMode="External" Id="rId366"/><Relationship Type="http://schemas.openxmlformats.org/officeDocument/2006/relationships/hyperlink" Target="mailto:gerencia.operacion@spcisas.com.co" TargetMode="External" Id="rId367"/><Relationship Type="http://schemas.openxmlformats.org/officeDocument/2006/relationships/hyperlink" Target="mailto:costosypresupuestos1@spcisas.com.co" TargetMode="External" Id="rId368"/><Relationship Type="http://schemas.openxmlformats.org/officeDocument/2006/relationships/hyperlink" Target="mailto:costosypresupuestos1@spcisas.com.co" TargetMode="External" Id="rId369"/><Relationship Type="http://schemas.openxmlformats.org/officeDocument/2006/relationships/hyperlink" Target="mailto:proyectos@santiagorojas.com.co" TargetMode="External" Id="rId370"/><Relationship Type="http://schemas.openxmlformats.org/officeDocument/2006/relationships/hyperlink" Target="mailto:admobra@fundacioncompartir.org" TargetMode="External" Id="rId371"/><Relationship Type="http://schemas.openxmlformats.org/officeDocument/2006/relationships/hyperlink" Target="mailto:admobra@fundacioncompartir.org" TargetMode="External" Id="rId372"/><Relationship Type="http://schemas.openxmlformats.org/officeDocument/2006/relationships/hyperlink" Target="mailto:gsierra@interve.co" TargetMode="External" Id="rId373"/><Relationship Type="http://schemas.openxmlformats.org/officeDocument/2006/relationships/hyperlink" Target="mailto:ascomercial2@securetec.com.co" TargetMode="External" Id="rId374"/><Relationship Type="http://schemas.openxmlformats.org/officeDocument/2006/relationships/hyperlink" Target="mailto:casaldarriaga@ces.edu.co" TargetMode="External" Id="rId375"/><Relationship Type="http://schemas.openxmlformats.org/officeDocument/2006/relationships/hyperlink" Target="mailto:diseno4@gyd.com.co" TargetMode="External" Id="rId376"/><Relationship Type="http://schemas.openxmlformats.org/officeDocument/2006/relationships/hyperlink" Target="mailto:david.lopera@socomes.com" TargetMode="External" Id="rId377"/><Relationship Type="http://schemas.openxmlformats.org/officeDocument/2006/relationships/hyperlink" Target="mailto:carlos.munera@cuadraporcuadra.com" TargetMode="External" Id="rId378"/><Relationship Type="http://schemas.openxmlformats.org/officeDocument/2006/relationships/hyperlink" Target="mailto:residente4@procoi.com" TargetMode="External" Id="rId379"/><Relationship Type="http://schemas.openxmlformats.org/officeDocument/2006/relationships/hyperlink" Target="mailto:Proyectos2@jomarkseguridad.com" TargetMode="External" Id="rId380"/><Relationship Type="http://schemas.openxmlformats.org/officeDocument/2006/relationships/hyperlink" Target="mailto:dsaldarriaga@interve.co" TargetMode="External" Id="rId381"/><Relationship Type="http://schemas.openxmlformats.org/officeDocument/2006/relationships/hyperlink" Target="mailto:juan.grajales@spci.com.co" TargetMode="External" Id="rId382"/><Relationship Type="http://schemas.openxmlformats.org/officeDocument/2006/relationships/hyperlink" Target="mailto:Wilton.Grisales@melcol.com.co" TargetMode="External" Id="rId383"/><Relationship Type="http://schemas.openxmlformats.org/officeDocument/2006/relationships/hyperlink" Target="mailto:operaciones@complexllanogrande.com" TargetMode="External" Id="rId384"/><Relationship Type="http://schemas.openxmlformats.org/officeDocument/2006/relationships/hyperlink" Target="mailto:maria.vasquez@clinicadeoccidente.com" TargetMode="External" Id="rId385"/><Relationship Type="http://schemas.openxmlformats.org/officeDocument/2006/relationships/hyperlink" Target="mailto:proyectos2@jomarkseguridad.com" TargetMode="External" Id="rId386"/><Relationship Type="http://schemas.openxmlformats.org/officeDocument/2006/relationships/hyperlink" Target="mailto:lalopez@utp.edu.co" TargetMode="External" Id="rId387"/><Relationship Type="http://schemas.openxmlformats.org/officeDocument/2006/relationships/hyperlink" Target="mailto:carlos.munera@cuadraporcuadra.com" TargetMode="External" Id="rId388"/><Relationship Type="http://schemas.openxmlformats.org/officeDocument/2006/relationships/hyperlink" Target="mailto:mferrer@interve.co" TargetMode="External" Id="rId389"/><Relationship Type="http://schemas.openxmlformats.org/officeDocument/2006/relationships/hyperlink" Target="mailto:dir.mantenimiento@spcisas.com.co" TargetMode="External" Id="rId390"/><Relationship Type="http://schemas.openxmlformats.org/officeDocument/2006/relationships/hyperlink" Target="mailto:gerencia.operacion@spcisas.com.co" TargetMode="External" Id="rId391"/><Relationship Type="http://schemas.openxmlformats.org/officeDocument/2006/relationships/hyperlink" Target="mailto:administracion.york@bluedoors.co" TargetMode="External" Id="rId392"/><Relationship Type="http://schemas.openxmlformats.org/officeDocument/2006/relationships/hyperlink" Target="mailto:dir.proyectos2@spcisas.com.co" TargetMode="External" Id="rId393"/><Relationship Type="http://schemas.openxmlformats.org/officeDocument/2006/relationships/hyperlink" Target="mailto:hacevedo@interve.co" TargetMode="External" Id="rId394"/><Relationship Type="http://schemas.openxmlformats.org/officeDocument/2006/relationships/hyperlink" Target="mailto:d.henao@stratego.com.co" TargetMode="External" Id="rId395"/><Relationship Type="http://schemas.openxmlformats.org/officeDocument/2006/relationships/hyperlink" Target="mailto:borneo2ph@hotmail.com" TargetMode="External" Id="rId396"/><Relationship Type="http://schemas.openxmlformats.org/officeDocument/2006/relationships/hyperlink" Target="mailto:dir.mantenimiento@spcisas.com.co" TargetMode="External" Id="rId397"/><Relationship Type="http://schemas.openxmlformats.org/officeDocument/2006/relationships/hyperlink" Target="mailto:yaddy.giron@solida.com.co" TargetMode="External" Id="rId398"/><Relationship Type="http://schemas.openxmlformats.org/officeDocument/2006/relationships/hyperlink" Target="mailto:yaddy.giron@solida.com.co" TargetMode="External" Id="rId399"/><Relationship Type="http://schemas.openxmlformats.org/officeDocument/2006/relationships/hyperlink" Target="mailto:proyectos@fpservices.com.co" TargetMode="External" Id="rId400"/><Relationship Type="http://schemas.openxmlformats.org/officeDocument/2006/relationships/hyperlink" Target="mailto:alvaromanosalva@sfiregroup.com" TargetMode="External" Id="rId401"/><Relationship Type="http://schemas.openxmlformats.org/officeDocument/2006/relationships/hyperlink" Target="mailto:proyectos2@jomarkseguridad.com" TargetMode="External" Id="rId402"/><Relationship Type="http://schemas.openxmlformats.org/officeDocument/2006/relationships/hyperlink" Target="mailto:dir.proyectos2@spcisas.com.co" TargetMode="External" Id="rId403"/><Relationship Type="http://schemas.openxmlformats.org/officeDocument/2006/relationships/hyperlink" Target="mailto:proyectos2@jomarkseguridad.com" TargetMode="External" Id="rId404"/><Relationship Type="http://schemas.openxmlformats.org/officeDocument/2006/relationships/hyperlink" Target="mailto:latorresp96@gmail.com" TargetMode="External" Id="rId405"/><Relationship Type="http://schemas.openxmlformats.org/officeDocument/2006/relationships/hyperlink" Target="mailto:dirproyectos@securetec.com.co" TargetMode="External" Id="rId406"/><Relationship Type="http://schemas.openxmlformats.org/officeDocument/2006/relationships/hyperlink" Target="mailto:dir.proyectos2@spcisas.com.co" TargetMode="External" Id="rId407"/><Relationship Type="http://schemas.openxmlformats.org/officeDocument/2006/relationships/hyperlink" Target="mailto:dir.mantenimiento@spcisas.com.co" TargetMode="External" Id="rId408"/><Relationship Type="http://schemas.openxmlformats.org/officeDocument/2006/relationships/hyperlink" Target="mailto:juan.grajales@spci.com.co" TargetMode="External" Id="rId409"/><Relationship Type="http://schemas.openxmlformats.org/officeDocument/2006/relationships/hyperlink" Target="mailto:proyectos@santiagorojas.com.co" TargetMode="External" Id="rId410"/><Relationship Type="http://schemas.openxmlformats.org/officeDocument/2006/relationships/hyperlink" Target="mailto:leidyalzateq@clinicaces.edu.co" TargetMode="External" Id="rId411"/><Relationship Type="http://schemas.openxmlformats.org/officeDocument/2006/relationships/hyperlink" Target="mailto:cristinapalacio@mensulaingenieros.com" TargetMode="External" Id="rId412"/><Relationship Type="http://schemas.openxmlformats.org/officeDocument/2006/relationships/hyperlink" Target="mailto:fabervilla1@gmail.com" TargetMode="External" Id="rId413"/><Relationship Type="http://schemas.openxmlformats.org/officeDocument/2006/relationships/hyperlink" Target="mailto:dir.mantenimiento@spcisas.com.co" TargetMode="External" Id="rId414"/><Relationship Type="http://schemas.openxmlformats.org/officeDocument/2006/relationships/hyperlink" Target="mailto:valeria.haydar@upb.edu.co" TargetMode="External" Id="rId415"/><Relationship Type="http://schemas.openxmlformats.org/officeDocument/2006/relationships/hyperlink" Target="mailto:idaza@conconcreto.com" TargetMode="External" Id="rId416"/><Relationship Type="http://schemas.openxmlformats.org/officeDocument/2006/relationships/hyperlink" Target="mailto:juan.londono@serviciosipm.com" TargetMode="External" Id="rId417"/><Relationship Type="http://schemas.openxmlformats.org/officeDocument/2006/relationships/hyperlink" Target="mailto:john.gomez@obrasde.com" TargetMode="External" Id="rId418"/><Relationship Type="http://schemas.openxmlformats.org/officeDocument/2006/relationships/hyperlink" Target="mailto:costosypresupuestos1@spcisas.com.co" TargetMode="External" Id="rId419"/><Relationship Type="http://schemas.openxmlformats.org/officeDocument/2006/relationships/hyperlink" Target="mailto:arestrepoe@conconcreto.com" TargetMode="External" Id="rId420"/><Relationship Type="http://schemas.openxmlformats.org/officeDocument/2006/relationships/hyperlink" Target="mailto:gaguirre@solciviles.com" TargetMode="External" Id="rId421"/><Relationship Type="http://schemas.openxmlformats.org/officeDocument/2006/relationships/hyperlink" Target="mailto:gaguirre@solciviles.com" TargetMode="External" Id="rId422"/><Relationship Type="http://schemas.openxmlformats.org/officeDocument/2006/relationships/hyperlink" Target="mailto:meguerra0811@gmail.com" TargetMode="External" Id="rId423"/><Relationship Type="http://schemas.openxmlformats.org/officeDocument/2006/relationships/hyperlink" Target="mailto:arquitecta.alejandrasanchez@gmail.com" TargetMode="External" Id="rId424"/><Relationship Type="http://schemas.openxmlformats.org/officeDocument/2006/relationships/hyperlink" Target="mailto:hacevedo@interve.co" TargetMode="External" Id="rId425"/><Relationship Type="http://schemas.openxmlformats.org/officeDocument/2006/relationships/hyperlink" Target="mailto:juan.agudelo@hefex.co" TargetMode="External" Id="rId426"/><Relationship Type="http://schemas.openxmlformats.org/officeDocument/2006/relationships/hyperlink" Target="mailto:Johana.montoya@perfek.com.co" TargetMode="External" Id="rId427"/><Relationship Type="http://schemas.openxmlformats.org/officeDocument/2006/relationships/hyperlink" Target="mailto:disenos@coinsi.com" TargetMode="External" Id="rId428"/><Relationship Type="http://schemas.openxmlformats.org/officeDocument/2006/relationships/hyperlink" Target="mailto:susana.cardona@desur.gov.co" TargetMode="External" Id="rId429"/><Relationship Type="http://schemas.openxmlformats.org/officeDocument/2006/relationships/hyperlink" Target="mailto:Johana.montoya@perfek.com.co" TargetMode="External" Id="rId430"/><Relationship Type="http://schemas.openxmlformats.org/officeDocument/2006/relationships/hyperlink" Target="mailto:david.lopera@socomes.com" TargetMode="External" Id="rId431"/><Relationship Type="http://schemas.openxmlformats.org/officeDocument/2006/relationships/hyperlink" Target="mailto:Proyectos2@jomarkseguridad.com" TargetMode="External" Id="rId432"/><Relationship Type="http://schemas.openxmlformats.org/officeDocument/2006/relationships/hyperlink" Target="mailto:arquitectura1@pye.com.co" TargetMode="External" Id="rId433"/><Relationship Type="http://schemas.openxmlformats.org/officeDocument/2006/relationships/hyperlink" Target="mailto:maria.correa@espiral.com.co" TargetMode="External" Id="rId434"/><Relationship Type="http://schemas.openxmlformats.org/officeDocument/2006/relationships/hyperlink" Target="mailto:proyectos@santiagorojas.com.co" TargetMode="External" Id="rId435"/><Relationship Type="http://schemas.openxmlformats.org/officeDocument/2006/relationships/hyperlink" Target="mailto:alvaromanosalva@sfiregroup.com" TargetMode="External" Id="rId436"/><Relationship Type="http://schemas.openxmlformats.org/officeDocument/2006/relationships/hyperlink" Target="mailto:farboleda@interve.co" TargetMode="External" Id="rId437"/><Relationship Type="http://schemas.openxmlformats.org/officeDocument/2006/relationships/hyperlink" Target="mailto:gino1037@hotmail.com" TargetMode="External" Id="rId438"/><Relationship Type="http://schemas.openxmlformats.org/officeDocument/2006/relationships/hyperlink" Target="mailto:costosypresupuestos1@spcisas.com.co" TargetMode="External" Id="rId439"/><Relationship Type="http://schemas.openxmlformats.org/officeDocument/2006/relationships/hyperlink" Target="mailto:Brandet.Maya@epm.com.co" TargetMode="External" Id="rId440"/><Relationship Type="http://schemas.openxmlformats.org/officeDocument/2006/relationships/hyperlink" Target="mailto:julialzate@une.net.co" TargetMode="External" Id="rId441"/><Relationship Type="http://schemas.openxmlformats.org/officeDocument/2006/relationships/hyperlink" Target="mailto:proyectos1spci@gmail.com" TargetMode="External" Id="rId442"/><Relationship Type="http://schemas.openxmlformats.org/officeDocument/2006/relationships/hyperlink" Target="mailto:david.lopera@socomes.com" TargetMode="External" Id="rId443"/><Relationship Type="http://schemas.openxmlformats.org/officeDocument/2006/relationships/hyperlink" Target="mailto:proyectos1spci@gmail.com" TargetMode="External" Id="rId444"/><Relationship Type="http://schemas.openxmlformats.org/officeDocument/2006/relationships/hyperlink" Target="mailto:proyectos1spci@gmail.com" TargetMode="External" Id="rId445"/><Relationship Type="http://schemas.openxmlformats.org/officeDocument/2006/relationships/hyperlink" Target="mailto:proyectos1spci@gmail.com" TargetMode="External" Id="rId446"/><Relationship Type="http://schemas.openxmlformats.org/officeDocument/2006/relationships/hyperlink" Target="mailto:disenos@coinsi.com" TargetMode="External" Id="rId447"/><Relationship Type="http://schemas.openxmlformats.org/officeDocument/2006/relationships/hyperlink" Target="mailto:cakintero@gmail.com" TargetMode="External" Id="rId448"/><Relationship Type="http://schemas.openxmlformats.org/officeDocument/2006/relationships/hyperlink" Target="mailto:cakintero@gmail.com" TargetMode="External" Id="rId449"/><Relationship Type="http://schemas.openxmlformats.org/officeDocument/2006/relationships/hyperlink" Target="mailto:cnoguera@corparques.co" TargetMode="External" Id="rId450"/><Relationship Type="http://schemas.openxmlformats.org/officeDocument/2006/relationships/hyperlink" Target="mailto:rectoria@politecnicodecolombia.edu.co" TargetMode="External" Id="rId451"/><Relationship Type="http://schemas.openxmlformats.org/officeDocument/2006/relationships/hyperlink" Target="mailto:proyectos1spci@gmail.com" TargetMode="External" Id="rId452"/><Relationship Type="http://schemas.openxmlformats.org/officeDocument/2006/relationships/hyperlink" Target="mailto:hectorcamelo@estructurar.co" TargetMode="External" Id="rId453"/><Relationship Type="http://schemas.openxmlformats.org/officeDocument/2006/relationships/hyperlink" Target="mailto:david.lopera@socomes.com" TargetMode="External" Id="rId454"/><Relationship Type="http://schemas.openxmlformats.org/officeDocument/2006/relationships/hyperlink" Target="mailto:cristinapalacio@mensulaingenieros.com" TargetMode="External" Id="rId455"/><Relationship Type="http://schemas.openxmlformats.org/officeDocument/2006/relationships/hyperlink" Target="mailto:ingandreasantiago@hotmail.com" TargetMode="External" Id="rId456"/><Relationship Type="http://schemas.openxmlformats.org/officeDocument/2006/relationships/hyperlink" Target="mailto:julian.gutierrez@espiral.com.co" TargetMode="External" Id="rId457"/><Relationship Type="http://schemas.openxmlformats.org/officeDocument/2006/relationships/hyperlink" Target="mailto:costosypresupuestos1@spcisas.com.co" TargetMode="External" Id="rId458"/><Relationship Type="http://schemas.openxmlformats.org/officeDocument/2006/relationships/hyperlink" Target="mailto:info@ambitotaller.com" TargetMode="External" Id="rId459"/><Relationship Type="http://schemas.openxmlformats.org/officeDocument/2006/relationships/hyperlink" Target="mailto:paolopez@ensambleespaciosvivos.com" TargetMode="External" Id="rId460"/><Relationship Type="http://schemas.openxmlformats.org/officeDocument/2006/relationships/hyperlink" Target="mailto:blancasaldarriaga@arquitecturayconcreto.com" TargetMode="External" Id="rId461"/><Relationship Type="http://schemas.openxmlformats.org/officeDocument/2006/relationships/hyperlink" Target="mailto:hola@sensibleestudio.com" TargetMode="External" Id="rId462"/><Relationship Type="http://schemas.openxmlformats.org/officeDocument/2006/relationships/hyperlink" Target="mailto:dir.obramirasol@fundacioncompartir.org" TargetMode="External" Id="rId463"/><Relationship Type="http://schemas.openxmlformats.org/officeDocument/2006/relationships/hyperlink" Target="mailto:360proyectosingenieria@gmail.com" TargetMode="External" Id="rId464"/><Relationship Type="http://schemas.openxmlformats.org/officeDocument/2006/relationships/hyperlink" Target="mailto:360proyectosingenieria@gmail.com" TargetMode="External" Id="rId465"/><Relationship Type="http://schemas.openxmlformats.org/officeDocument/2006/relationships/hyperlink" Target="mailto:costosypresupuestos1@spcisas.com.co" TargetMode="External" Id="rId466"/><Relationship Type="http://schemas.openxmlformats.org/officeDocument/2006/relationships/hyperlink" Target="mailto:costosypresupuestos1@spcisas.com.co" TargetMode="External" Id="rId467"/><Relationship Type="http://schemas.openxmlformats.org/officeDocument/2006/relationships/hyperlink" Target="mailto:sebastian.rojasvi@gmail.com" TargetMode="External" Id="rId468"/><Relationship Type="http://schemas.openxmlformats.org/officeDocument/2006/relationships/hyperlink" Target="mailto:ed@zupetrol.com" TargetMode="External" Id="rId469"/><Relationship Type="http://schemas.openxmlformats.org/officeDocument/2006/relationships/hyperlink" Target="mailto:residente@ideastangibles.co" TargetMode="External" Id="rId470"/><Relationship Type="http://schemas.openxmlformats.org/officeDocument/2006/relationships/hyperlink" Target="mailto:cva.arquitectos@gmail.com" TargetMode="External" Id="rId471"/><Relationship Type="http://schemas.openxmlformats.org/officeDocument/2006/relationships/hyperlink" Target="mailto:360proyectosingenieria@gmail.com" TargetMode="External" Id="rId472"/><Relationship Type="http://schemas.openxmlformats.org/officeDocument/2006/relationships/hyperlink" Target="mailto:n.garcia@condiseno.co" TargetMode="External" Id="rId473"/><Relationship Type="http://schemas.openxmlformats.org/officeDocument/2006/relationships/hyperlink" Target="mailto:residente1@a5arquitectura.com" TargetMode="External" Id="rId474"/><Relationship Type="http://schemas.openxmlformats.org/officeDocument/2006/relationships/hyperlink" Target="mailto:juan.grajales@spci.com.co" TargetMode="External" Id="rId475"/><Relationship Type="http://schemas.openxmlformats.org/officeDocument/2006/relationships/hyperlink" Target="mailto:andrea.sanchez@studiosur.net" TargetMode="External" Id="rId476"/><Relationship Type="http://schemas.openxmlformats.org/officeDocument/2006/relationships/hyperlink" Target="mailto:Jorge.rodriguez@ospinas.com.co" TargetMode="External" Id="rId477"/><Relationship Type="http://schemas.openxmlformats.org/officeDocument/2006/relationships/hyperlink" Target="mailto:n.garcia@condiseno.co" TargetMode="External" Id="rId478"/><Relationship Type="http://schemas.openxmlformats.org/officeDocument/2006/relationships/hyperlink" Target="mailto:epantoja@contex.com.co" TargetMode="External" Id="rId479"/><Relationship Type="http://schemas.openxmlformats.org/officeDocument/2006/relationships/hyperlink" Target="mailto:costosypresupuestos1@spcisas.com.co" TargetMode="External" Id="rId480"/><Relationship Type="http://schemas.openxmlformats.org/officeDocument/2006/relationships/hyperlink" Target="mailto:lidertecnico@coinsi.com" TargetMode="External" Id="rId481"/><Relationship Type="http://schemas.openxmlformats.org/officeDocument/2006/relationships/hyperlink" Target="mailto:andrea.sanchez@studiosur.net" TargetMode="External" Id="rId482"/><Relationship Type="http://schemas.openxmlformats.org/officeDocument/2006/relationships/hyperlink" Target="mailto:gino1037@hotmail.com" TargetMode="External" Id="rId483"/><Relationship Type="http://schemas.openxmlformats.org/officeDocument/2006/relationships/hyperlink" Target="mailto:juan.grajales@spci.com.co" TargetMode="External" Id="rId484"/><Relationship Type="http://schemas.openxmlformats.org/officeDocument/2006/relationships/hyperlink" Target="mailto:camilo.quintero@spci.com.co" TargetMode="External" Id="rId485"/><Relationship Type="http://schemas.openxmlformats.org/officeDocument/2006/relationships/hyperlink" Target="mailto:juan.grajales@spci.com.co" TargetMode="External" Id="rId486"/><Relationship Type="http://schemas.openxmlformats.org/officeDocument/2006/relationships/hyperlink" Target="mailto:berincesas@gmail.com" TargetMode="External" Id="rId487"/><Relationship Type="http://schemas.openxmlformats.org/officeDocument/2006/relationships/hyperlink" Target="mailto:jalon.apolo21@gmail.com" TargetMode="External" Id="rId488"/><Relationship Type="http://schemas.openxmlformats.org/officeDocument/2006/relationships/hyperlink" Target="mailto:Ingenieria@iproin.com.co" TargetMode="External" Id="rId489"/><Relationship Type="http://schemas.openxmlformats.org/officeDocument/2006/relationships/hyperlink" Target="mailto:arqjunior@ideabasearquitectos.com" TargetMode="External" Id="rId490"/><Relationship Type="http://schemas.openxmlformats.org/officeDocument/2006/relationships/hyperlink" Target="mailto:admobra@fundacioncompartir.org" TargetMode="External" Id="rId491"/><Relationship Type="http://schemas.openxmlformats.org/officeDocument/2006/relationships/hyperlink" Target="mailto:edwin.cortes@grupoexcala.com" TargetMode="External" Id="rId492"/><Relationship Type="http://schemas.openxmlformats.org/officeDocument/2006/relationships/hyperlink" Target="mailto:edwin.cortes@grupoexcala.com" TargetMode="External" Id="rId493"/><Relationship Type="http://schemas.openxmlformats.org/officeDocument/2006/relationships/hyperlink" Target="mailto:residente1@a5arquitectura.com" TargetMode="External" Id="rId494"/><Relationship Type="http://schemas.openxmlformats.org/officeDocument/2006/relationships/hyperlink" Target="mailto:residenteciviles1@civiles-sas.com" TargetMode="External" Id="rId495"/><Relationship Type="http://schemas.openxmlformats.org/officeDocument/2006/relationships/hyperlink" Target="mailto:edwin.cortes@grupoexcala.com" TargetMode="External" Id="rId496"/><Relationship Type="http://schemas.openxmlformats.org/officeDocument/2006/relationships/hyperlink" Target="mailto:sarafrancorendon@gmail.com" TargetMode="External" Id="rId497"/><Relationship Type="http://schemas.openxmlformats.org/officeDocument/2006/relationships/hyperlink" Target="mailto:yaddy.giron@solida.com.co" TargetMode="External" Id="rId498"/><Relationship Type="http://schemas.openxmlformats.org/officeDocument/2006/relationships/hyperlink" Target="mailto:gino1037@hotmail.com" TargetMode="External" Id="rId499"/><Relationship Type="http://schemas.openxmlformats.org/officeDocument/2006/relationships/hyperlink" Target="mailto:gino1037@hotmail.com" TargetMode="External" Id="rId500"/><Relationship Type="http://schemas.openxmlformats.org/officeDocument/2006/relationships/hyperlink" Target="mailto:yvelez@hdgerenciaintegral.com" TargetMode="External" Id="rId501"/><Relationship Type="http://schemas.openxmlformats.org/officeDocument/2006/relationships/hyperlink" Target="mailto:Proyectos2@jomarkseguridad.com" TargetMode="External" Id="rId502"/><Relationship Type="http://schemas.openxmlformats.org/officeDocument/2006/relationships/hyperlink" Target="mailto:yaddy.giron@solida.com.co" TargetMode="External" Id="rId503"/><Relationship Type="http://schemas.openxmlformats.org/officeDocument/2006/relationships/hyperlink" Target="mailto:john.gomez@obrasde.com" TargetMode="External" Id="rId504"/><Relationship Type="http://schemas.openxmlformats.org/officeDocument/2006/relationships/hyperlink" Target="mailto:jecheverri@londonogomez.com" TargetMode="External" Id="rId505"/><Relationship Type="http://schemas.openxmlformats.org/officeDocument/2006/relationships/hyperlink" Target="mailto:costosypresupuestos1@spcisas.com.co" TargetMode="External" Id="rId506"/><Relationship Type="http://schemas.openxmlformats.org/officeDocument/2006/relationships/hyperlink" Target="mailto:Vanessazapata.fcr@gmail.com" TargetMode="External" Id="rId507"/><Relationship Type="http://schemas.openxmlformats.org/officeDocument/2006/relationships/hyperlink" Target="mailto:Vanessazapata.fcr@gmail.com" TargetMode="External" Id="rId508"/><Relationship Type="http://schemas.openxmlformats.org/officeDocument/2006/relationships/hyperlink" Target="mailto:carlos.henao@seriinco.com" TargetMode="External" Id="rId509"/><Relationship Type="http://schemas.openxmlformats.org/officeDocument/2006/relationships/hyperlink" Target="mailto:sebastian_fonseca@baxter.com" TargetMode="External" Id="rId510"/><Relationship Type="http://schemas.openxmlformats.org/officeDocument/2006/relationships/hyperlink" Target="mailto:yaddy.giron@solida.com.co" TargetMode="External" Id="rId511"/><Relationship Type="http://schemas.openxmlformats.org/officeDocument/2006/relationships/hyperlink" Target="mailto:proyectos@santiagorojas.com.co" TargetMode="External" Id="rId512"/><Relationship Type="http://schemas.openxmlformats.org/officeDocument/2006/relationships/hyperlink" Target="mailto:costosypresupuestos1@spcisas.com.co" TargetMode="External" Id="rId513"/><Relationship Type="http://schemas.openxmlformats.org/officeDocument/2006/relationships/hyperlink" Target="mailto:Proyectos2@jomarkseguridad.com" TargetMode="External" Id="rId514"/><Relationship Type="http://schemas.openxmlformats.org/officeDocument/2006/relationships/hyperlink" Target="mailto:Proyectos2@jomarkseguridad.com" TargetMode="External" Id="rId515"/><Relationship Type="http://schemas.openxmlformats.org/officeDocument/2006/relationships/hyperlink" Target="mailto:ingenieria@3mingenieros.com.co" TargetMode="External" Id="rId516"/><Relationship Type="http://schemas.openxmlformats.org/officeDocument/2006/relationships/hyperlink" Target="mailto:juan.londono@serviciosipm.com" TargetMode="External" Id="rId517"/><Relationship Type="http://schemas.openxmlformats.org/officeDocument/2006/relationships/hyperlink" Target="mailto:Vanessazapata.fcr@gmail.com" TargetMode="External" Id="rId518"/><Relationship Type="http://schemas.openxmlformats.org/officeDocument/2006/relationships/hyperlink" Target="mailto:Lrestrepo@con-axion.com" TargetMode="External" Id="rId519"/><Relationship Type="http://schemas.openxmlformats.org/officeDocument/2006/relationships/hyperlink" Target="mailto:juan.grajales@spci.com.co" TargetMode="External" Id="rId520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mailto:proyectos3@jomarkseguridad.com" TargetMode="External" Id="rId1"/><Relationship Type="http://schemas.openxmlformats.org/officeDocument/2006/relationships/hyperlink" Target="mailto:cristinapalacio@mensulaingenieros.com" TargetMode="External" Id="rId2"/><Relationship Type="http://schemas.openxmlformats.org/officeDocument/2006/relationships/hyperlink" Target="mailto:juan.grajales@spci.com.co" TargetMode="External" Id="rId3"/><Relationship Type="http://schemas.openxmlformats.org/officeDocument/2006/relationships/hyperlink" Target="mailto:francisco.unda@seriinco.com" TargetMode="External" Id="rId4"/><Relationship Type="http://schemas.openxmlformats.org/officeDocument/2006/relationships/hyperlink" Target="mailto:camilo.quintero@spci.com.co" TargetMode="External" Id="rId5"/><Relationship Type="http://schemas.openxmlformats.org/officeDocument/2006/relationships/hyperlink" Target="mailto:juan.londono@serviciosipm.com" TargetMode="External" Id="rId6"/><Relationship Type="http://schemas.openxmlformats.org/officeDocument/2006/relationships/hyperlink" Target="mailto:jrestrepo@bienesybienes.com.co" TargetMode="External" Id="rId7"/><Relationship Type="http://schemas.openxmlformats.org/officeDocument/2006/relationships/hyperlink" Target="mailto:dir.tecnico@spcisas.com.co" TargetMode="External" Id="rId8"/><Relationship Type="http://schemas.openxmlformats.org/officeDocument/2006/relationships/hyperlink" Target="mailto:gustavo.canchila@udea.edu.co" TargetMode="External" Id="rId9"/><Relationship Type="http://schemas.openxmlformats.org/officeDocument/2006/relationships/hyperlink" Target="mailto:ana.restrepo@spci.com.co" TargetMode="External" Id="rId10"/><Relationship Type="http://schemas.openxmlformats.org/officeDocument/2006/relationships/hyperlink" Target="mailto:luisa.londono@ingeniobim.co" TargetMode="External" Id="rId11"/><Relationship Type="http://schemas.openxmlformats.org/officeDocument/2006/relationships/hyperlink" Target="mailto:mlopez@hdgerenciaintegral.com" TargetMode="External" Id="rId12"/><Relationship Type="http://schemas.openxmlformats.org/officeDocument/2006/relationships/hyperlink" Target="mailto:dsaldarriaga@interve.co" TargetMode="External" Id="rId13"/><Relationship Type="http://schemas.openxmlformats.org/officeDocument/2006/relationships/hyperlink" Target="mailto:alvaromanosalva@sfiregroup.com" TargetMode="External" Id="rId14"/><Relationship Type="http://schemas.openxmlformats.org/officeDocument/2006/relationships/hyperlink" Target="mailto:gino1037@hotmail.com" TargetMode="External" Id="rId15"/><Relationship Type="http://schemas.openxmlformats.org/officeDocument/2006/relationships/hyperlink" Target="mailto:gino1037@hotmail.com" TargetMode="External" Id="rId16"/><Relationship Type="http://schemas.openxmlformats.org/officeDocument/2006/relationships/hyperlink" Target="mailto:proyectos2@jomarkseguridad.com" TargetMode="External" Id="rId17"/><Relationship Type="http://schemas.openxmlformats.org/officeDocument/2006/relationships/hyperlink" Target="mailto:carlos.henao@seriinco.com" TargetMode="External" Id="rId18"/><Relationship Type="http://schemas.openxmlformats.org/officeDocument/2006/relationships/hyperlink" Target="mailto:proyectos2@jomarkseguridad.com" TargetMode="External" Id="rId19"/><Relationship Type="http://schemas.openxmlformats.org/officeDocument/2006/relationships/hyperlink" Target="mailto:mauricio.guzman@spci.com.co" TargetMode="External" Id="rId20"/><Relationship Type="http://schemas.openxmlformats.org/officeDocument/2006/relationships/hyperlink" Target="mailto:juan.grajales@spci.com.co" TargetMode="External" Id="rId21"/><Relationship Type="http://schemas.openxmlformats.org/officeDocument/2006/relationships/hyperlink" Target="mailto:juan.grajales@spci.com.co" TargetMode="External" Id="rId22"/><Relationship Type="http://schemas.openxmlformats.org/officeDocument/2006/relationships/hyperlink" Target="mailto:gerencia@projectsolutions.com.co" TargetMode="External" Id="rId23"/><Relationship Type="http://schemas.openxmlformats.org/officeDocument/2006/relationships/hyperlink" Target="mailto:proyectos2@jomarkseguridad.com" TargetMode="External" Id="rId24"/><Relationship Type="http://schemas.openxmlformats.org/officeDocument/2006/relationships/hyperlink" Target="mailto:n.garcia@condiseno.co" TargetMode="External" Id="rId25"/><Relationship Type="http://schemas.openxmlformats.org/officeDocument/2006/relationships/hyperlink" Target="mailto:direccionmazanti@gmail.com" TargetMode="External" Id="rId26"/><Relationship Type="http://schemas.openxmlformats.org/officeDocument/2006/relationships/hyperlink" Target="mailto:dianaperez@convel.co" TargetMode="External" Id="rId27"/><Relationship Type="http://schemas.openxmlformats.org/officeDocument/2006/relationships/hyperlink" Target="mailto:angelabravo@mensulaingenieros.com" TargetMode="External" Id="rId28"/><Relationship Type="http://schemas.openxmlformats.org/officeDocument/2006/relationships/hyperlink" Target="mailto:olmes.rodriguez@desur.gov.co" TargetMode="External" Id="rId29"/><Relationship Type="http://schemas.openxmlformats.org/officeDocument/2006/relationships/hyperlink" Target="mailto:fjrestrepo@conconcreto.com" TargetMode="External" Id="rId30"/><Relationship Type="http://schemas.openxmlformats.org/officeDocument/2006/relationships/hyperlink" Target="mailto:fjrestrepo@conconcreto.com" TargetMode="External" Id="rId31"/><Relationship Type="http://schemas.openxmlformats.org/officeDocument/2006/relationships/hyperlink" Target="mailto:stellaibarra@gmail.com" TargetMode="External" Id="rId32"/><Relationship Type="http://schemas.openxmlformats.org/officeDocument/2006/relationships/hyperlink" Target="mailto:stellaibarra@gmail.com" TargetMode="External" Id="rId33"/><Relationship Type="http://schemas.openxmlformats.org/officeDocument/2006/relationships/hyperlink" Target="mailto:gino1037@hotmail.com" TargetMode="External" Id="rId34"/><Relationship Type="http://schemas.openxmlformats.org/officeDocument/2006/relationships/hyperlink" Target="mailto:amontoya@contex.com.co" TargetMode="External" Id="rId35"/><Relationship Type="http://schemas.openxmlformats.org/officeDocument/2006/relationships/hyperlink" Target="mailto:danielavelez.fcr@gmail.com" TargetMode="External" Id="rId36"/><Relationship Type="http://schemas.openxmlformats.org/officeDocument/2006/relationships/hyperlink" Target="mailto:daniel.uribe@spci.com.co" TargetMode="External" Id="rId37"/><Relationship Type="http://schemas.openxmlformats.org/officeDocument/2006/relationships/hyperlink" Target="mailto:epantoja@contex.com.co" TargetMode="External" Id="rId38"/><Relationship Type="http://schemas.openxmlformats.org/officeDocument/2006/relationships/hyperlink" Target="mailto:jgiraldo@solucionesinmobiliariassas.com6" TargetMode="External" Id="rId39"/><Relationship Type="http://schemas.openxmlformats.org/officeDocument/2006/relationships/hyperlink" Target="mailto:direccionmazanti@gmail.com" TargetMode="External" Id="rId40"/><Relationship Type="http://schemas.openxmlformats.org/officeDocument/2006/relationships/hyperlink" Target="mailto:ana.restrepo@spci.com.co" TargetMode="External" Id="rId41"/><Relationship Type="http://schemas.openxmlformats.org/officeDocument/2006/relationships/hyperlink" Target="mailto:proyectos@santiagorojas.com.co" TargetMode="External" Id="rId42"/><Relationship Type="http://schemas.openxmlformats.org/officeDocument/2006/relationships/hyperlink" Target="mailto:ana.restrepo@spci.com.co" TargetMode="External" Id="rId43"/><Relationship Type="http://schemas.openxmlformats.org/officeDocument/2006/relationships/hyperlink" Target="mailto:ana.restrepo@spci.com.co" TargetMode="External" Id="rId44"/><Relationship Type="http://schemas.openxmlformats.org/officeDocument/2006/relationships/hyperlink" Target="mailto:proyectos@santiagorojas.com.co" TargetMode="External" Id="rId45"/><Relationship Type="http://schemas.openxmlformats.org/officeDocument/2006/relationships/hyperlink" Target="mailto:david.lopera@socomes.com" TargetMode="External" Id="rId46"/><Relationship Type="http://schemas.openxmlformats.org/officeDocument/2006/relationships/hyperlink" Target="mailto:gerencia@projectsolutions.com.co" TargetMode="External" Id="rId47"/><Relationship Type="http://schemas.openxmlformats.org/officeDocument/2006/relationships/hyperlink" Target="mailto:gerencia@projectsolutions.com.co" TargetMode="External" Id="rId48"/><Relationship Type="http://schemas.openxmlformats.org/officeDocument/2006/relationships/hyperlink" Target="mailto:ana.restrepo@spci.com.co" TargetMode="External" Id="rId49"/><Relationship Type="http://schemas.openxmlformats.org/officeDocument/2006/relationships/hyperlink" Target="mailto:linagonzalez@terrazino.co" TargetMode="External" Id="rId50"/><Relationship Type="http://schemas.openxmlformats.org/officeDocument/2006/relationships/hyperlink" Target="mailto:n.garcia@condiseno.co" TargetMode="External" Id="rId51"/><Relationship Type="http://schemas.openxmlformats.org/officeDocument/2006/relationships/hyperlink" Target="mailto:ana.restrepo@spci.com.co" TargetMode="External" Id="rId52"/><Relationship Type="http://schemas.openxmlformats.org/officeDocument/2006/relationships/hyperlink" Target="mailto:camilo.quintero@spci.com.co" TargetMode="External" Id="rId53"/><Relationship Type="http://schemas.openxmlformats.org/officeDocument/2006/relationships/hyperlink" Target="mailto:linagonzalez@terrazino.co" TargetMode="External" Id="rId54"/><Relationship Type="http://schemas.openxmlformats.org/officeDocument/2006/relationships/hyperlink" Target="mailto:camilo.quintero@spci.com.co" TargetMode="External" Id="rId55"/><Relationship Type="http://schemas.openxmlformats.org/officeDocument/2006/relationships/hyperlink" Target="mailto:avelasquez@admirisltda.com" TargetMode="External" Id="rId56"/><Relationship Type="http://schemas.openxmlformats.org/officeDocument/2006/relationships/hyperlink" Target="mailto:manaceve@bancolombia.com.co" TargetMode="External" Id="rId57"/><Relationship Type="http://schemas.openxmlformats.org/officeDocument/2006/relationships/hyperlink" Target="mailto:manaceve@bancolombia.com.co" TargetMode="External" Id="rId58"/><Relationship Type="http://schemas.openxmlformats.org/officeDocument/2006/relationships/hyperlink" Target="mailto:santiagolopez@mensulaingenieros.com" TargetMode="External" Id="rId59"/><Relationship Type="http://schemas.openxmlformats.org/officeDocument/2006/relationships/hyperlink" Target="mailto:mlopez@hdgerenciaintegral.com" TargetMode="External" Id="rId60"/><Relationship Type="http://schemas.openxmlformats.org/officeDocument/2006/relationships/hyperlink" Target="mailto:ana.restrepo@spci.com.co" TargetMode="External" Id="rId61"/><Relationship Type="http://schemas.openxmlformats.org/officeDocument/2006/relationships/hyperlink" Target="mailto:valeriahaydar@gmail.com" TargetMode="External" Id="rId62"/><Relationship Type="http://schemas.openxmlformats.org/officeDocument/2006/relationships/hyperlink" Target="mailto:dfelipediaz@gmail.com" TargetMode="External" Id="rId63"/><Relationship Type="http://schemas.openxmlformats.org/officeDocument/2006/relationships/hyperlink" Target="mailto:arquitectura@labinmobiliario.com" TargetMode="External" Id="rId64"/><Relationship Type="http://schemas.openxmlformats.org/officeDocument/2006/relationships/hyperlink" Target="mailto:manaceve@bancolombia.com.co" TargetMode="External" Id="rId65"/><Relationship Type="http://schemas.openxmlformats.org/officeDocument/2006/relationships/hyperlink" Target="mailto:mferrer@interve.co" TargetMode="External" Id="rId66"/><Relationship Type="http://schemas.openxmlformats.org/officeDocument/2006/relationships/hyperlink" Target="mailto:d.henao@stratego.com.co" TargetMode="External" Id="rId67"/><Relationship Type="http://schemas.openxmlformats.org/officeDocument/2006/relationships/hyperlink" Target="mailto:avelasquez@admirisltda.com" TargetMode="External" Id="rId68"/><Relationship Type="http://schemas.openxmlformats.org/officeDocument/2006/relationships/hyperlink" Target="mailto:direccionoperativa@oviedo.com.co" TargetMode="External" Id="rId69"/><Relationship Type="http://schemas.openxmlformats.org/officeDocument/2006/relationships/hyperlink" Target="mailto:dirproyectos@securetec.com.co" TargetMode="External" Id="rId70"/><Relationship Type="http://schemas.openxmlformats.org/officeDocument/2006/relationships/hyperlink" Target="mailto:dirproyectos@securetec.com.co" TargetMode="External" Id="rId71"/><Relationship Type="http://schemas.openxmlformats.org/officeDocument/2006/relationships/hyperlink" Target="mailto:Oscar.AcunaHernandez@teleperformance.com" TargetMode="External" Id="rId72"/><Relationship Type="http://schemas.openxmlformats.org/officeDocument/2006/relationships/hyperlink" Target="mailto:espaciosdehogar@gmail.com" TargetMode="External" Id="rId73"/><Relationship Type="http://schemas.openxmlformats.org/officeDocument/2006/relationships/hyperlink" Target="mailto:n.garcia@condiseno.co" TargetMode="External" Id="rId74"/><Relationship Type="http://schemas.openxmlformats.org/officeDocument/2006/relationships/hyperlink" Target="mailto:juan.grajales@spci.com.co" TargetMode="External" Id="rId75"/><Relationship Type="http://schemas.openxmlformats.org/officeDocument/2006/relationships/hyperlink" Target="mailto:ana.restrepo@spci.com.co" TargetMode="External" Id="rId76"/><Relationship Type="http://schemas.openxmlformats.org/officeDocument/2006/relationships/hyperlink" Target="mailto:ingenieriabrickcya@gmail.com" TargetMode="External" Id="rId77"/><Relationship Type="http://schemas.openxmlformats.org/officeDocument/2006/relationships/hyperlink" Target="mailto:david.lopera@socomes.com" TargetMode="External" Id="rId78"/><Relationship Type="http://schemas.openxmlformats.org/officeDocument/2006/relationships/hyperlink" Target="mailto:david.lopera@socomes.com" TargetMode="External" Id="rId79"/><Relationship Type="http://schemas.openxmlformats.org/officeDocument/2006/relationships/hyperlink" Target="mailto:laura.arias@studiosur.net" TargetMode="External" Id="rId80"/><Relationship Type="http://schemas.openxmlformats.org/officeDocument/2006/relationships/hyperlink" Target="mailto:cristiam.mondragon@spci.com.co" TargetMode="External" Id="rId81"/><Relationship Type="http://schemas.openxmlformats.org/officeDocument/2006/relationships/hyperlink" Target="mailto:simon.mesa@desur.gov.co" TargetMode="External" Id="rId82"/><Relationship Type="http://schemas.openxmlformats.org/officeDocument/2006/relationships/hyperlink" Target="mailto:camilo.quintero@spci.com.co" TargetMode="External" Id="rId83"/><Relationship Type="http://schemas.openxmlformats.org/officeDocument/2006/relationships/hyperlink" Target="mailto:jrodriguez@ingesed.com" TargetMode="External" Id="rId84"/><Relationship Type="http://schemas.openxmlformats.org/officeDocument/2006/relationships/hyperlink" Target="mailto:fgil@corona.com.co" TargetMode="External" Id="rId85"/><Relationship Type="http://schemas.openxmlformats.org/officeDocument/2006/relationships/hyperlink" Target="mailto:fgil@corona.com.co" TargetMode="External" Id="rId86"/><Relationship Type="http://schemas.openxmlformats.org/officeDocument/2006/relationships/hyperlink" Target="mailto:gaguirre@solciviles.com" TargetMode="External" Id="rId87"/><Relationship Type="http://schemas.openxmlformats.org/officeDocument/2006/relationships/hyperlink" Target="mailto:wilsonsanchez@coninsa.co" TargetMode="External" Id="rId88"/><Relationship Type="http://schemas.openxmlformats.org/officeDocument/2006/relationships/hyperlink" Target="mailto:lalopez@utp.edu.co" TargetMode="External" Id="rId89"/><Relationship Type="http://schemas.openxmlformats.org/officeDocument/2006/relationships/hyperlink" Target="mailto:alejandra.cuervo@desur.gov.co" TargetMode="External" Id="rId90"/><Relationship Type="http://schemas.openxmlformats.org/officeDocument/2006/relationships/hyperlink" Target="mailto:yaddy.giron@solida.com.co" TargetMode="External" Id="rId91"/><Relationship Type="http://schemas.openxmlformats.org/officeDocument/2006/relationships/hyperlink" Target="mailto:david.guzman@soportica.com" TargetMode="External" Id="rId92"/><Relationship Type="http://schemas.openxmlformats.org/officeDocument/2006/relationships/hyperlink" Target="mailto:ana.restrepo@spci.com.co" TargetMode="External" Id="rId93"/><Relationship Type="http://schemas.openxmlformats.org/officeDocument/2006/relationships/hyperlink" Target="mailto:dirproyectos@socomes.com" TargetMode="External" Id="rId94"/><Relationship Type="http://schemas.openxmlformats.org/officeDocument/2006/relationships/hyperlink" Target="mailto:gino1037@hotmail.com" TargetMode="External" Id="rId95"/><Relationship Type="http://schemas.openxmlformats.org/officeDocument/2006/relationships/hyperlink" Target="mailto:gino1037@hotmail.com" TargetMode="External" Id="rId96"/><Relationship Type="http://schemas.openxmlformats.org/officeDocument/2006/relationships/hyperlink" Target="mailto:gerencia@securetec.com.co" TargetMode="External" Id="rId97"/><Relationship Type="http://schemas.openxmlformats.org/officeDocument/2006/relationships/hyperlink" Target="mailto:risksolutiong@gmail.com" TargetMode="External" Id="rId98"/><Relationship Type="http://schemas.openxmlformats.org/officeDocument/2006/relationships/hyperlink" Target="mailto:juan.londono@serviciosipm.com" TargetMode="External" Id="rId99"/><Relationship Type="http://schemas.openxmlformats.org/officeDocument/2006/relationships/hyperlink" Target="mailto:gino1037@hotmail.com" TargetMode="External" Id="rId100"/><Relationship Type="http://schemas.openxmlformats.org/officeDocument/2006/relationships/hyperlink" Target="mailto:ana.restrepo@spci.com.co" TargetMode="External" Id="rId101"/><Relationship Type="http://schemas.openxmlformats.org/officeDocument/2006/relationships/hyperlink" Target="mailto:mlopez@hdgerenciaintegral.com" TargetMode="External" Id="rId102"/><Relationship Type="http://schemas.openxmlformats.org/officeDocument/2006/relationships/hyperlink" Target="mailto:francisco.unda@seriinco.com" TargetMode="External" Id="rId103"/><Relationship Type="http://schemas.openxmlformats.org/officeDocument/2006/relationships/hyperlink" Target="mailto:gerencia@projectsolutions.com.co" TargetMode="External" Id="rId104"/><Relationship Type="http://schemas.openxmlformats.org/officeDocument/2006/relationships/hyperlink" Target="mailto:cjimenez@coninsa.co" TargetMode="External" Id="rId105"/><Relationship Type="http://schemas.openxmlformats.org/officeDocument/2006/relationships/hyperlink" Target="mailto:asistente@santiagorojas.com.co" TargetMode="External" Id="rId106"/><Relationship Type="http://schemas.openxmlformats.org/officeDocument/2006/relationships/hyperlink" Target="mailto:juan.grajales@spci.com.co" TargetMode="External" Id="rId107"/><Relationship Type="http://schemas.openxmlformats.org/officeDocument/2006/relationships/hyperlink" Target="mailto:carlos.quintero@bienesybienes.com.co" TargetMode="External" Id="rId108"/><Relationship Type="http://schemas.openxmlformats.org/officeDocument/2006/relationships/hyperlink" Target="mailto:ana.restrepo@spci.com.co" TargetMode="External" Id="rId109"/><Relationship Type="http://schemas.openxmlformats.org/officeDocument/2006/relationships/hyperlink" Target="mailto:s.valencia@g4ingenieros.com" TargetMode="External" Id="rId110"/><Relationship Type="http://schemas.openxmlformats.org/officeDocument/2006/relationships/hyperlink" Target="mailto:ceditierragrodirecciondeobra@gmail.com" TargetMode="External" Id="rId111"/><Relationship Type="http://schemas.openxmlformats.org/officeDocument/2006/relationships/hyperlink" Target="mailto:n.garcia@condiseno.co" TargetMode="External" Id="rId112"/><Relationship Type="http://schemas.openxmlformats.org/officeDocument/2006/relationships/hyperlink" Target="mailto:disenos@coinsi.com" TargetMode="External" Id="rId113"/><Relationship Type="http://schemas.openxmlformats.org/officeDocument/2006/relationships/hyperlink" Target="mailto:ana.restrepo@spci.com.co" TargetMode="External" Id="rId114"/><Relationship Type="http://schemas.openxmlformats.org/officeDocument/2006/relationships/hyperlink" Target="mailto:julianp@icaroconsulting.com.co" TargetMode="External" Id="rId115"/><Relationship Type="http://schemas.openxmlformats.org/officeDocument/2006/relationships/hyperlink" Target="mailto:risksolutiong@gmail.com" TargetMode="External" Id="rId116"/><Relationship Type="http://schemas.openxmlformats.org/officeDocument/2006/relationships/hyperlink" Target="mailto:andresreinosa@iayc.co" TargetMode="External" Id="rId117"/><Relationship Type="http://schemas.openxmlformats.org/officeDocument/2006/relationships/hyperlink" Target="mailto:ana.restrepo@spci.com.co" TargetMode="External" Id="rId118"/><Relationship Type="http://schemas.openxmlformats.org/officeDocument/2006/relationships/hyperlink" Target="mailto:camilomejia@trazosurbanos.com.co" TargetMode="External" Id="rId119"/><Relationship Type="http://schemas.openxmlformats.org/officeDocument/2006/relationships/hyperlink" Target="mailto:cristianlondono@mensulaingenieros.com" TargetMode="External" Id="rId120"/><Relationship Type="http://schemas.openxmlformats.org/officeDocument/2006/relationships/hyperlink" Target="mailto:juan.grajales@spci.com.co" TargetMode="External" Id="rId121"/><Relationship Type="http://schemas.openxmlformats.org/officeDocument/2006/relationships/hyperlink" Target="mailto:alvaro.rojas@rrp.com.co" TargetMode="External" Id="rId122"/><Relationship Type="http://schemas.openxmlformats.org/officeDocument/2006/relationships/hyperlink" Target="mailto:camilo.quintero@spci.com.co" TargetMode="External" Id="rId123"/><Relationship Type="http://schemas.openxmlformats.org/officeDocument/2006/relationships/hyperlink" Target="mailto:ana.restrepo@spci.com.co" TargetMode="External" Id="rId124"/><Relationship Type="http://schemas.openxmlformats.org/officeDocument/2006/relationships/hyperlink" Target="mailto:parangor@conconcreto.com" TargetMode="External" Id="rId125"/><Relationship Type="http://schemas.openxmlformats.org/officeDocument/2006/relationships/hyperlink" Target="mailto:germaneduardo.plata@fla.com.co" TargetMode="External" Id="rId126"/><Relationship Type="http://schemas.openxmlformats.org/officeDocument/2006/relationships/hyperlink" Target="mailto:ana.restrepo@spci.com.co" TargetMode="External" Id="rId127"/><Relationship Type="http://schemas.openxmlformats.org/officeDocument/2006/relationships/hyperlink" Target="mailto:jaristizabal@con-axion.com" TargetMode="External" Id="rId128"/><Relationship Type="http://schemas.openxmlformats.org/officeDocument/2006/relationships/hyperlink" Target="mailto:daniel.guzman@ingeniobim.co" TargetMode="External" Id="rId129"/><Relationship Type="http://schemas.openxmlformats.org/officeDocument/2006/relationships/hyperlink" Target="mailto:danielpernett@centrosur.co" TargetMode="External" Id="rId130"/><Relationship Type="http://schemas.openxmlformats.org/officeDocument/2006/relationships/hyperlink" Target="mailto:danielpernett@centrosur.co" TargetMode="External" Id="rId131"/><Relationship Type="http://schemas.openxmlformats.org/officeDocument/2006/relationships/hyperlink" Target="mailto:ablanco@contex.com.co" TargetMode="External" Id="rId132"/><Relationship Type="http://schemas.openxmlformats.org/officeDocument/2006/relationships/hyperlink" Target="mailto:ingenierotecnico1@g4ingenieros.com" TargetMode="External" Id="rId133"/><Relationship Type="http://schemas.openxmlformats.org/officeDocument/2006/relationships/hyperlink" Target="mailto:s.valencia@g4ingenieros.com" TargetMode="External" Id="rId134"/><Relationship Type="http://schemas.openxmlformats.org/officeDocument/2006/relationships/hyperlink" Target="mailto:paolalechter@chilco.com.co" TargetMode="External" Id="rId135"/><Relationship Type="http://schemas.openxmlformats.org/officeDocument/2006/relationships/hyperlink" Target="mailto:daniel.uribe@spci.com.co" TargetMode="External" Id="rId136"/><Relationship Type="http://schemas.openxmlformats.org/officeDocument/2006/relationships/hyperlink" Target="mailto:camilo.quintero@spci.com.co" TargetMode="External" Id="rId137"/><Relationship Type="http://schemas.openxmlformats.org/officeDocument/2006/relationships/hyperlink" Target="mailto:interventoriadeboraetapa2@gmail.com" TargetMode="External" Id="rId138"/><Relationship Type="http://schemas.openxmlformats.org/officeDocument/2006/relationships/hyperlink" Target="mailto:gerencia.atca@gmail.com" TargetMode="External" Id="rId139"/><Relationship Type="http://schemas.openxmlformats.org/officeDocument/2006/relationships/hyperlink" Target="mailto:ascomercial@securetec.com.co" TargetMode="External" Id="rId140"/><Relationship Type="http://schemas.openxmlformats.org/officeDocument/2006/relationships/hyperlink" Target="mailto:nataliacruz@mensulaingenieros.com" TargetMode="External" Id="rId141"/><Relationship Type="http://schemas.openxmlformats.org/officeDocument/2006/relationships/hyperlink" Target="mailto:francisco.unda@seriinco.com" TargetMode="External" Id="rId142"/><Relationship Type="http://schemas.openxmlformats.org/officeDocument/2006/relationships/hyperlink" Target="mailto:yeisongonzalez@mensulaingenieros.com" TargetMode="External" Id="rId143"/><Relationship Type="http://schemas.openxmlformats.org/officeDocument/2006/relationships/hyperlink" Target="mailto:yeisongonzalez@mensulaingenieros.com" TargetMode="External" Id="rId144"/><Relationship Type="http://schemas.openxmlformats.org/officeDocument/2006/relationships/hyperlink" Target="mailto:coordinacion@conintel.com.co" TargetMode="External" Id="rId145"/><Relationship Type="http://schemas.openxmlformats.org/officeDocument/2006/relationships/hyperlink" Target="mailto:ana.restrepo@spci.com.co" TargetMode="External" Id="rId146"/><Relationship Type="http://schemas.openxmlformats.org/officeDocument/2006/relationships/hyperlink" Target="mailto:jbernal@interve.co" TargetMode="External" Id="rId147"/><Relationship Type="http://schemas.openxmlformats.org/officeDocument/2006/relationships/hyperlink" Target="mailto:eceballos@contex.com.co" TargetMode="External" Id="rId148"/><Relationship Type="http://schemas.openxmlformats.org/officeDocument/2006/relationships/hyperlink" Target="mailto:camilo.quintero@spci.com.co" TargetMode="External" Id="rId149"/><Relationship Type="http://schemas.openxmlformats.org/officeDocument/2006/relationships/hyperlink" Target="mailto:ascomercial@securetec.com.co" TargetMode="External" Id="rId150"/><Relationship Type="http://schemas.openxmlformats.org/officeDocument/2006/relationships/hyperlink" Target="mailto:juan.grajales@spci.com.co" TargetMode="External" Id="rId151"/><Relationship Type="http://schemas.openxmlformats.org/officeDocument/2006/relationships/hyperlink" Target="mailto:juan.grajales@spci.com.co" TargetMode="External" Id="rId152"/><Relationship Type="http://schemas.openxmlformats.org/officeDocument/2006/relationships/hyperlink" Target="mailto:juan.londono@serviciosipm.com" TargetMode="External" Id="rId153"/><Relationship Type="http://schemas.openxmlformats.org/officeDocument/2006/relationships/hyperlink" Target="mailto:juan.londono@serviciosipm.com" TargetMode="External" Id="rId154"/><Relationship Type="http://schemas.openxmlformats.org/officeDocument/2006/relationships/hyperlink" Target="mailto:eceballos@contex.com.co" TargetMode="External" Id="rId155"/><Relationship Type="http://schemas.openxmlformats.org/officeDocument/2006/relationships/hyperlink" Target="mailto:eceballos@contex.com.co" TargetMode="External" Id="rId156"/><Relationship Type="http://schemas.openxmlformats.org/officeDocument/2006/relationships/hyperlink" Target="mailto:cesarlopez@convel.co" TargetMode="External" Id="rId157"/><Relationship Type="http://schemas.openxmlformats.org/officeDocument/2006/relationships/hyperlink" Target="mailto:jbetancur@arquitecturayconcreto.com" TargetMode="External" Id="rId158"/><Relationship Type="http://schemas.openxmlformats.org/officeDocument/2006/relationships/hyperlink" Target="mailto:mauricio.guzman@spci.com.co" TargetMode="External" Id="rId159"/><Relationship Type="http://schemas.openxmlformats.org/officeDocument/2006/relationships/hyperlink" Target="mailto:cristiam.mondragon@spci.com.co" TargetMode="External" Id="rId160"/><Relationship Type="http://schemas.openxmlformats.org/officeDocument/2006/relationships/hyperlink" Target="mailto:gaguirre@solciviles.com" TargetMode="External" Id="rId161"/><Relationship Type="http://schemas.openxmlformats.org/officeDocument/2006/relationships/hyperlink" Target="mailto:cristianlondono@mensulaingenieros.com" TargetMode="External" Id="rId162"/><Relationship Type="http://schemas.openxmlformats.org/officeDocument/2006/relationships/hyperlink" Target="mailto:proyectos2@jomarkseguridad.com" TargetMode="External" Id="rId163"/><Relationship Type="http://schemas.openxmlformats.org/officeDocument/2006/relationships/hyperlink" Target="mailto:cristianlondono@mensulaingenieros.com" TargetMode="External" Id="rId164"/><Relationship Type="http://schemas.openxmlformats.org/officeDocument/2006/relationships/hyperlink" Target="mailto:esteban.escobar@apicdecolombia.com" TargetMode="External" Id="rId165"/><Relationship Type="http://schemas.openxmlformats.org/officeDocument/2006/relationships/hyperlink" Target="mailto:juan.grajales@spci.com.co" TargetMode="External" Id="rId166"/><Relationship Type="http://schemas.openxmlformats.org/officeDocument/2006/relationships/hyperlink" Target="mailto:carlos.henao@seriinco.com" TargetMode="External" Id="rId167"/><Relationship Type="http://schemas.openxmlformats.org/officeDocument/2006/relationships/hyperlink" Target="mailto:carlos.henao@seriinco.com" TargetMode="External" Id="rId168"/><Relationship Type="http://schemas.openxmlformats.org/officeDocument/2006/relationships/hyperlink" Target="mailto:dir.obramirasol@fundacioncompartir.org" TargetMode="External" Id="rId169"/><Relationship Type="http://schemas.openxmlformats.org/officeDocument/2006/relationships/hyperlink" Target="mailto:dir.obramirasol@fundacioncompartir.org" TargetMode="External" Id="rId170"/><Relationship Type="http://schemas.openxmlformats.org/officeDocument/2006/relationships/hyperlink" Target="mailto:mauricio.guzman@spci.com.co" TargetMode="External" Id="rId171"/><Relationship Type="http://schemas.openxmlformats.org/officeDocument/2006/relationships/hyperlink" Target="mailto:gaguirre@solciviles.com" TargetMode="External" Id="rId172"/><Relationship Type="http://schemas.openxmlformats.org/officeDocument/2006/relationships/hyperlink" Target="mailto:villaterrat2@gmail.com" TargetMode="External" Id="rId173"/><Relationship Type="http://schemas.openxmlformats.org/officeDocument/2006/relationships/hyperlink" Target="mailto:villaterrat2@gmail.com" TargetMode="External" Id="rId174"/><Relationship Type="http://schemas.openxmlformats.org/officeDocument/2006/relationships/hyperlink" Target="mailto:gino1037@hotmail.com" TargetMode="External" Id="rId175"/><Relationship Type="http://schemas.openxmlformats.org/officeDocument/2006/relationships/hyperlink" Target="mailto:camilomejia@trazosurbanos.com.co" TargetMode="External" Id="rId176"/><Relationship Type="http://schemas.openxmlformats.org/officeDocument/2006/relationships/hyperlink" Target="mailto:Vanessazapata.fcr@gmail.com" TargetMode="External" Id="rId177"/><Relationship Type="http://schemas.openxmlformats.org/officeDocument/2006/relationships/hyperlink" Target="mailto:juan.grajales@spci.com.co" TargetMode="External" Id="rId178"/><Relationship Type="http://schemas.openxmlformats.org/officeDocument/2006/relationships/hyperlink" Target="mailto:ascomercial@securetec.com.co" TargetMode="External" Id="rId179"/><Relationship Type="http://schemas.openxmlformats.org/officeDocument/2006/relationships/hyperlink" Target="mailto:dzapata@conconcreto.com" TargetMode="External" Id="rId180"/><Relationship Type="http://schemas.openxmlformats.org/officeDocument/2006/relationships/hyperlink" Target="mailto:dzapata@conconcreto.com" TargetMode="External" Id="rId181"/><Relationship Type="http://schemas.openxmlformats.org/officeDocument/2006/relationships/hyperlink" Target="mailto:lrestrepo@javierlondono.com.co" TargetMode="External" Id="rId182"/><Relationship Type="http://schemas.openxmlformats.org/officeDocument/2006/relationships/hyperlink" Target="mailto:juan.londono@serviciosipm.com" TargetMode="External" Id="rId183"/><Relationship Type="http://schemas.openxmlformats.org/officeDocument/2006/relationships/hyperlink" Target="mailto:juan.londono@serviciosipm.com" TargetMode="External" Id="rId184"/><Relationship Type="http://schemas.openxmlformats.org/officeDocument/2006/relationships/hyperlink" Target="mailto:francisco.unda@seriinco.com" TargetMode="External" Id="rId185"/><Relationship Type="http://schemas.openxmlformats.org/officeDocument/2006/relationships/hyperlink" Target="mailto:lrestrepo@javierlondono.com.co" TargetMode="External" Id="rId186"/><Relationship Type="http://schemas.openxmlformats.org/officeDocument/2006/relationships/hyperlink" Target="mailto:cristiam.mondragon@spci.com.co" TargetMode="External" Id="rId187"/><Relationship Type="http://schemas.openxmlformats.org/officeDocument/2006/relationships/hyperlink" Target="mailto:ana.restrepo@spci.com.co" TargetMode="External" Id="rId188"/><Relationship Type="http://schemas.openxmlformats.org/officeDocument/2006/relationships/hyperlink" Target="mailto:jjosorio@conconcreto.com" TargetMode="External" Id="rId189"/><Relationship Type="http://schemas.openxmlformats.org/officeDocument/2006/relationships/hyperlink" Target="mailto:simon.agudelo@labinmobiliario.com" TargetMode="External" Id="rId190"/><Relationship Type="http://schemas.openxmlformats.org/officeDocument/2006/relationships/hyperlink" Target="mailto:juan.londono@serviciosipm.com" TargetMode="External" Id="rId191"/><Relationship Type="http://schemas.openxmlformats.org/officeDocument/2006/relationships/hyperlink" Target="mailto:juan.londono@serviciosipm.com" TargetMode="External" Id="rId192"/><Relationship Type="http://schemas.openxmlformats.org/officeDocument/2006/relationships/hyperlink" Target="mailto:dzapata@conconcreto.com" TargetMode="External" Id="rId193"/><Relationship Type="http://schemas.openxmlformats.org/officeDocument/2006/relationships/hyperlink" Target="mailto:dzapata@conconcreto.com" TargetMode="External" Id="rId194"/><Relationship Type="http://schemas.openxmlformats.org/officeDocument/2006/relationships/hyperlink" Target="mailto:juan.grajales@spci.com.co" TargetMode="External" Id="rId195"/><Relationship Type="http://schemas.openxmlformats.org/officeDocument/2006/relationships/hyperlink" Target="mailto:cristiam.mondragon@spci.com.co" TargetMode="External" Id="rId196"/><Relationship Type="http://schemas.openxmlformats.org/officeDocument/2006/relationships/hyperlink" Target="mailto:david.restrepo1205@gmail.com" TargetMode="External" Id="rId197"/><Relationship Type="http://schemas.openxmlformats.org/officeDocument/2006/relationships/hyperlink" Target="mailto:david.restrepo1205@gmail.com" TargetMode="External" Id="rId198"/><Relationship Type="http://schemas.openxmlformats.org/officeDocument/2006/relationships/hyperlink" Target="mailto:ce.prana26@gmail.com" TargetMode="External" Id="rId199"/><Relationship Type="http://schemas.openxmlformats.org/officeDocument/2006/relationships/hyperlink" Target="mailto:n.garcia@condiseno.co" TargetMode="External" Id="rId200"/><Relationship Type="http://schemas.openxmlformats.org/officeDocument/2006/relationships/hyperlink" Target="mailto:camilo.quintero@spci.com.co" TargetMode="External" Id="rId201"/><Relationship Type="http://schemas.openxmlformats.org/officeDocument/2006/relationships/hyperlink" Target="mailto:obrazonaescuadra@gmail.com" TargetMode="External" Id="rId202"/><Relationship Type="http://schemas.openxmlformats.org/officeDocument/2006/relationships/hyperlink" Target="mailto:directorlean@inserco.com.co" TargetMode="External" Id="rId203"/><Relationship Type="http://schemas.openxmlformats.org/officeDocument/2006/relationships/hyperlink" Target="mailto:cesarllanosarquitectura@gmail.com" TargetMode="External" Id="rId204"/><Relationship Type="http://schemas.openxmlformats.org/officeDocument/2006/relationships/hyperlink" Target="mailto:camilo.quintero@spci.com.co" TargetMode="External" Id="rId205"/><Relationship Type="http://schemas.openxmlformats.org/officeDocument/2006/relationships/hyperlink" Target="mailto:asistente@santiagorojas.com.co" TargetMode="External" Id="rId206"/><Relationship Type="http://schemas.openxmlformats.org/officeDocument/2006/relationships/hyperlink" Target="mailto:camilo.quintero@spci.com.co" TargetMode="External" Id="rId207"/><Relationship Type="http://schemas.openxmlformats.org/officeDocument/2006/relationships/hyperlink" Target="mailto:camilo.quintero@spci.com.co" TargetMode="External" Id="rId208"/><Relationship Type="http://schemas.openxmlformats.org/officeDocument/2006/relationships/hyperlink" Target="mailto:camilo.quintero@spci.com.co" TargetMode="External" Id="rId209"/><Relationship Type="http://schemas.openxmlformats.org/officeDocument/2006/relationships/hyperlink" Target="mailto:cristiam.mondragon@spci.com.co" TargetMode="External" Id="rId210"/><Relationship Type="http://schemas.openxmlformats.org/officeDocument/2006/relationships/hyperlink" Target="mailto:n.garcia@condiseno.co" TargetMode="External" Id="rId211"/><Relationship Type="http://schemas.openxmlformats.org/officeDocument/2006/relationships/hyperlink" Target="mailto:cristiam.mondragon@spci.com.co" TargetMode="External" Id="rId212"/><Relationship Type="http://schemas.openxmlformats.org/officeDocument/2006/relationships/hyperlink" Target="mailto:direccionobra@procicsas.com" TargetMode="External" Id="rId213"/><Relationship Type="http://schemas.openxmlformats.org/officeDocument/2006/relationships/hyperlink" Target="mailto:carmenza.guzman@urco.com.co" TargetMode="External" Id="rId214"/><Relationship Type="http://schemas.openxmlformats.org/officeDocument/2006/relationships/hyperlink" Target="mailto:vmonsalve@conaltura.com," TargetMode="External" Id="rId215"/><Relationship Type="http://schemas.openxmlformats.org/officeDocument/2006/relationships/hyperlink" Target="mailto:gerencia@securetec.com.co" TargetMode="External" Id="rId216"/><Relationship Type="http://schemas.openxmlformats.org/officeDocument/2006/relationships/hyperlink" Target="mailto:gjtamayo@gmail.com" TargetMode="External" Id="rId217"/><Relationship Type="http://schemas.openxmlformats.org/officeDocument/2006/relationships/hyperlink" Target="mailto:daironobando@estructurar.co" TargetMode="External" Id="rId218"/><Relationship Type="http://schemas.openxmlformats.org/officeDocument/2006/relationships/hyperlink" Target="mailto:gaguirre@solciviles.com" TargetMode="External" Id="rId219"/><Relationship Type="http://schemas.openxmlformats.org/officeDocument/2006/relationships/hyperlink" Target="mailto:ana.restrepo@spci.com.co" TargetMode="External" Id="rId220"/><Relationship Type="http://schemas.openxmlformats.org/officeDocument/2006/relationships/hyperlink" Target="mailto:ana.restrepo@spci.com.co" TargetMode="External" Id="rId221"/><Relationship Type="http://schemas.openxmlformats.org/officeDocument/2006/relationships/hyperlink" Target="mailto:ana.restrepo@spci.com.co" TargetMode="External" Id="rId222"/><Relationship Type="http://schemas.openxmlformats.org/officeDocument/2006/relationships/hyperlink" Target="mailto:cristiam.mondragon@spci.com.co" TargetMode="External" Id="rId223"/><Relationship Type="http://schemas.openxmlformats.org/officeDocument/2006/relationships/hyperlink" Target="mailto:cristiam.mondragon@spci.com.co" TargetMode="External" Id="rId224"/><Relationship Type="http://schemas.openxmlformats.org/officeDocument/2006/relationships/hyperlink" Target="mailto:bravo259@hotmail.com" TargetMode="External" Id="rId225"/><Relationship Type="http://schemas.openxmlformats.org/officeDocument/2006/relationships/hyperlink" Target="mailto:cristiam.mondragon@spci.com.co" TargetMode="External" Id="rId226"/><Relationship Type="http://schemas.openxmlformats.org/officeDocument/2006/relationships/hyperlink" Target="mailto:andresreinosa@iayc.co" TargetMode="External" Id="rId227"/><Relationship Type="http://schemas.openxmlformats.org/officeDocument/2006/relationships/hyperlink" Target="mailto:blancasaldarriaga@arquitecturayconcreto.com" TargetMode="External" Id="rId228"/><Relationship Type="http://schemas.openxmlformats.org/officeDocument/2006/relationships/hyperlink" Target="mailto:juan.grajales@spci.com.co" TargetMode="External" Id="rId229"/><Relationship Type="http://schemas.openxmlformats.org/officeDocument/2006/relationships/hyperlink" Target="mailto:juan.grajales@spci.com.co" TargetMode="External" Id="rId230"/><Relationship Type="http://schemas.openxmlformats.org/officeDocument/2006/relationships/hyperlink" Target="mailto:ana.restrepo@spci.com.co" TargetMode="External" Id="rId231"/><Relationship Type="http://schemas.openxmlformats.org/officeDocument/2006/relationships/hyperlink" Target="mailto:directorlean@inserco.com.co" TargetMode="External" Id="rId232"/><Relationship Type="http://schemas.openxmlformats.org/officeDocument/2006/relationships/hyperlink" Target="mailto:cristiam.mondragon@spci.com.co" TargetMode="External" Id="rId233"/><Relationship Type="http://schemas.openxmlformats.org/officeDocument/2006/relationships/hyperlink" Target="mailto:mafe.focusdi@gmail.com" TargetMode="External" Id="rId234"/><Relationship Type="http://schemas.openxmlformats.org/officeDocument/2006/relationships/hyperlink" Target="mailto:david.lopera@socomes.com" TargetMode="External" Id="rId235"/><Relationship Type="http://schemas.openxmlformats.org/officeDocument/2006/relationships/hyperlink" Target="mailto:david.lopera@socomes.com" TargetMode="External" Id="rId236"/><Relationship Type="http://schemas.openxmlformats.org/officeDocument/2006/relationships/hyperlink" Target="mailto:ascomercial@securetec.com.co" TargetMode="External" Id="rId237"/><Relationship Type="http://schemas.openxmlformats.org/officeDocument/2006/relationships/hyperlink" Target="mailto:juan.grajales@spci.com.co" TargetMode="External" Id="rId238"/><Relationship Type="http://schemas.openxmlformats.org/officeDocument/2006/relationships/hyperlink" Target="mailto:dir.proyectos5@spcisas.com.co" TargetMode="External" Id="rId239"/><Relationship Type="http://schemas.openxmlformats.org/officeDocument/2006/relationships/hyperlink" Target="mailto:carlos.quintero@bienesybienes.com.co" TargetMode="External" Id="rId240"/><Relationship Type="http://schemas.openxmlformats.org/officeDocument/2006/relationships/hyperlink" Target="mailto:alejandrogomezvillegas@gmail.com" TargetMode="External" Id="rId241"/><Relationship Type="http://schemas.openxmlformats.org/officeDocument/2006/relationships/hyperlink" Target="mailto:s.herran@condiseno.co" TargetMode="External" Id="rId242"/><Relationship Type="http://schemas.openxmlformats.org/officeDocument/2006/relationships/hyperlink" Target="mailto:mblanco@contex.com.co" TargetMode="External" Id="rId243"/><Relationship Type="http://schemas.openxmlformats.org/officeDocument/2006/relationships/hyperlink" Target="mailto:santi.car9@hotmail.com" TargetMode="External" Id="rId244"/><Relationship Type="http://schemas.openxmlformats.org/officeDocument/2006/relationships/hyperlink" Target="mailto:camilogomez@convel.co" TargetMode="External" Id="rId245"/><Relationship Type="http://schemas.openxmlformats.org/officeDocument/2006/relationships/hyperlink" Target="mailto:jahir.manrique@spci.com.co" TargetMode="External" Id="rId246"/><Relationship Type="http://schemas.openxmlformats.org/officeDocument/2006/relationships/hyperlink" Target="mailto:jllamas@hidromaq-gt.com" TargetMode="External" Id="rId247"/><Relationship Type="http://schemas.openxmlformats.org/officeDocument/2006/relationships/hyperlink" Target="mailto:daniel.uribe@spci.com.co" TargetMode="External" Id="rId248"/><Relationship Type="http://schemas.openxmlformats.org/officeDocument/2006/relationships/hyperlink" Target="mailto:ivonnev.caballero@urosario.edu.co" TargetMode="External" Id="rId249"/><Relationship Type="http://schemas.openxmlformats.org/officeDocument/2006/relationships/hyperlink" Target="mailto:cristinapalacio@mensulaingenieros.com" TargetMode="External" Id="rId250"/><Relationship Type="http://schemas.openxmlformats.org/officeDocument/2006/relationships/hyperlink" Target="mailto:gerencia@securetec.com.co" TargetMode="External" Id="rId251"/><Relationship Type="http://schemas.openxmlformats.org/officeDocument/2006/relationships/hyperlink" Target="mailto:juan.londono@serviciosipm.com" TargetMode="External" Id="rId252"/><Relationship Type="http://schemas.openxmlformats.org/officeDocument/2006/relationships/hyperlink" Target="mailto:cristiam.mondragon@spci.com.co" TargetMode="External" Id="rId253"/><Relationship Type="http://schemas.openxmlformats.org/officeDocument/2006/relationships/hyperlink" Target="mailto:cristiam.mondragon@spci.com.co" TargetMode="External" Id="rId254"/><Relationship Type="http://schemas.openxmlformats.org/officeDocument/2006/relationships/hyperlink" Target="mailto:proyectosbim@cantagirone.com" TargetMode="External" Id="rId255"/><Relationship Type="http://schemas.openxmlformats.org/officeDocument/2006/relationships/hyperlink" Target="mailto:eceballos@contex.com.co" TargetMode="External" Id="rId256"/><Relationship Type="http://schemas.openxmlformats.org/officeDocument/2006/relationships/hyperlink" Target="mailto:proyectosbim@cantagirone.com" TargetMode="External" Id="rId257"/><Relationship Type="http://schemas.openxmlformats.org/officeDocument/2006/relationships/hyperlink" Target="mailto:camilogomez@convel.co" TargetMode="External" Id="rId258"/><Relationship Type="http://schemas.openxmlformats.org/officeDocument/2006/relationships/hyperlink" Target="mailto:jllamas@hidromaq-gt.com" TargetMode="External" Id="rId259"/><Relationship Type="http://schemas.openxmlformats.org/officeDocument/2006/relationships/hyperlink" Target="mailto:juan.grajales@spci.com.co" TargetMode="External" Id="rId260"/><Relationship Type="http://schemas.openxmlformats.org/officeDocument/2006/relationships/hyperlink" Target="mailto:ana.restrepo@spci.com.co" TargetMode="External" Id="rId261"/><Relationship Type="http://schemas.openxmlformats.org/officeDocument/2006/relationships/hyperlink" Target="mailto:maribel.osorioespinosa@gmail.com" TargetMode="External" Id="rId262"/><Relationship Type="http://schemas.openxmlformats.org/officeDocument/2006/relationships/hyperlink" Target="mailto:dsaldarriaga@interve.co" TargetMode="External" Id="rId263"/><Relationship Type="http://schemas.openxmlformats.org/officeDocument/2006/relationships/hyperlink" Target="mailto:dsaldarriaga@interve.co" TargetMode="External" Id="rId264"/><Relationship Type="http://schemas.openxmlformats.org/officeDocument/2006/relationships/hyperlink" Target="mailto:juan.grajales@spci.com.co" TargetMode="External" Id="rId265"/><Relationship Type="http://schemas.openxmlformats.org/officeDocument/2006/relationships/hyperlink" Target="mailto:l.cuartas@verticeing.com" TargetMode="External" Id="rId266"/><Relationship Type="http://schemas.openxmlformats.org/officeDocument/2006/relationships/hyperlink" Target="mailto:l.cuartas@verticeing.com" TargetMode="External" Id="rId267"/><Relationship Type="http://schemas.openxmlformats.org/officeDocument/2006/relationships/hyperlink" Target="mailto:juan.grajales@spci.com.co" TargetMode="External" Id="rId268"/><Relationship Type="http://schemas.openxmlformats.org/officeDocument/2006/relationships/hyperlink" Target="mailto:abelplasencia@convel.co" TargetMode="External" Id="rId269"/><Relationship Type="http://schemas.openxmlformats.org/officeDocument/2006/relationships/hyperlink" Target="mailto:david.lopera@socomes.com" TargetMode="External" Id="rId270"/><Relationship Type="http://schemas.openxmlformats.org/officeDocument/2006/relationships/hyperlink" Target="mailto:carlos.quintero@bienesybienes.com.co" TargetMode="External" Id="rId271"/><Relationship Type="http://schemas.openxmlformats.org/officeDocument/2006/relationships/hyperlink" Target="mailto:juan.grajales@spci.com.co" TargetMode="External" Id="rId272"/><Relationship Type="http://schemas.openxmlformats.org/officeDocument/2006/relationships/hyperlink" Target="mailto:ana.restrepo@spci.com.co" TargetMode="External" Id="rId273"/><Relationship Type="http://schemas.openxmlformats.org/officeDocument/2006/relationships/hyperlink" Target="mailto:n.garcia@condiseno.co" TargetMode="External" Id="rId274"/><Relationship Type="http://schemas.openxmlformats.org/officeDocument/2006/relationships/hyperlink" Target="mailto:cristinapalacio@mensulaingenieros.com" TargetMode="External" Id="rId275"/><Relationship Type="http://schemas.openxmlformats.org/officeDocument/2006/relationships/hyperlink" Target="mailto:alvaro.garcia@seriinco.com" TargetMode="External" Id="rId276"/><Relationship Type="http://schemas.openxmlformats.org/officeDocument/2006/relationships/hyperlink" Target="mailto:camilo.quintero@spci.com.co" TargetMode="External" Id="rId277"/><Relationship Type="http://schemas.openxmlformats.org/officeDocument/2006/relationships/hyperlink" Target="mailto:david.lopera@socomes.com" TargetMode="External" Id="rId278"/><Relationship Type="http://schemas.openxmlformats.org/officeDocument/2006/relationships/hyperlink" Target="mailto:copropiedades2@une.net.co" TargetMode="External" Id="rId279"/><Relationship Type="http://schemas.openxmlformats.org/officeDocument/2006/relationships/hyperlink" Target="mailto:ascomercial@securetec.com.co" TargetMode="External" Id="rId280"/><Relationship Type="http://schemas.openxmlformats.org/officeDocument/2006/relationships/hyperlink" Target="mailto:cristiam.mondragon@spci.com.co" TargetMode="External" Id="rId281"/><Relationship Type="http://schemas.openxmlformats.org/officeDocument/2006/relationships/hyperlink" Target="mailto:dsaldarriaga@interve.co" TargetMode="External" Id="rId282"/><Relationship Type="http://schemas.openxmlformats.org/officeDocument/2006/relationships/hyperlink" Target="mailto:Vanessazapata.fcr@gmail.com" TargetMode="External" Id="rId283"/><Relationship Type="http://schemas.openxmlformats.org/officeDocument/2006/relationships/hyperlink" Target="mailto:angela.toro@bienesybienes.com.co" TargetMode="External" Id="rId284"/><Relationship Type="http://schemas.openxmlformats.org/officeDocument/2006/relationships/hyperlink" Target="mailto:jorge.lopez@conveccion.com" TargetMode="External" Id="rId285"/><Relationship Type="http://schemas.openxmlformats.org/officeDocument/2006/relationships/hyperlink" Target="mailto:jugsanch@bancolombia.com.co" TargetMode="External" Id="rId286"/><Relationship Type="http://schemas.openxmlformats.org/officeDocument/2006/relationships/hyperlink" Target="mailto:angela.toro@bienesybienes.com.co" TargetMode="External" Id="rId287"/><Relationship Type="http://schemas.openxmlformats.org/officeDocument/2006/relationships/hyperlink" Target="mailto:angela.toro@bienesybienes.com.co" TargetMode="External" Id="rId288"/><Relationship Type="http://schemas.openxmlformats.org/officeDocument/2006/relationships/hyperlink" Target="mailto:angela.toro@bienesybienes.com.co" TargetMode="External" Id="rId289"/><Relationship Type="http://schemas.openxmlformats.org/officeDocument/2006/relationships/hyperlink" Target="mailto:lcely@mdconstructora.com" TargetMode="External" Id="rId290"/><Relationship Type="http://schemas.openxmlformats.org/officeDocument/2006/relationships/hyperlink" Target="mailto:cristiam.mondragon@spci.com.co" TargetMode="External" Id="rId291"/><Relationship Type="http://schemas.openxmlformats.org/officeDocument/2006/relationships/hyperlink" Target="mailto:cristiam.mondragon@spci.com.co" TargetMode="External" Id="rId292"/><Relationship Type="http://schemas.openxmlformats.org/officeDocument/2006/relationships/hyperlink" Target="mailto:unespacioarquitectos@gmail.com" TargetMode="External" Id="rId293"/><Relationship Type="http://schemas.openxmlformats.org/officeDocument/2006/relationships/hyperlink" Target="mailto:disenos@coinsi.com" TargetMode="External" Id="rId294"/><Relationship Type="http://schemas.openxmlformats.org/officeDocument/2006/relationships/hyperlink" Target="mailto:cristiam.mondragon@spci.com.co" TargetMode="External" Id="rId295"/><Relationship Type="http://schemas.openxmlformats.org/officeDocument/2006/relationships/hyperlink" Target="mailto:cristiam.mondragon@spci.com.co" TargetMode="External" Id="rId296"/><Relationship Type="http://schemas.openxmlformats.org/officeDocument/2006/relationships/hyperlink" Target="mailto:camilo.quintero@spci.com.co" TargetMode="External" Id="rId297"/><Relationship Type="http://schemas.openxmlformats.org/officeDocument/2006/relationships/hyperlink" Target="mailto:mlhenao@conconcreto.com" TargetMode="External" Id="rId298"/><Relationship Type="http://schemas.openxmlformats.org/officeDocument/2006/relationships/hyperlink" Target="mailto:claudia.ramirez@edyfica.co" TargetMode="External" Id="rId299"/><Relationship Type="http://schemas.openxmlformats.org/officeDocument/2006/relationships/hyperlink" Target="mailto:camilo.quintero@spci.com.co" TargetMode="External" Id="rId300"/><Relationship Type="http://schemas.openxmlformats.org/officeDocument/2006/relationships/hyperlink" Target="mailto:hudinco@gmail.com" TargetMode="External" Id="rId301"/><Relationship Type="http://schemas.openxmlformats.org/officeDocument/2006/relationships/hyperlink" Target="mailto:jugsanch@bancolombia.com.co" TargetMode="External" Id="rId302"/><Relationship Type="http://schemas.openxmlformats.org/officeDocument/2006/relationships/hyperlink" Target="mailto:proyectosbim@cantagirone.com" TargetMode="External" Id="rId303"/><Relationship Type="http://schemas.openxmlformats.org/officeDocument/2006/relationships/hyperlink" Target="mailto:n.garcia@condiseno.co" TargetMode="External" Id="rId304"/><Relationship Type="http://schemas.openxmlformats.org/officeDocument/2006/relationships/hyperlink" Target="mailto:ana.restrepo@spci.com.co" TargetMode="External" Id="rId305"/><Relationship Type="http://schemas.openxmlformats.org/officeDocument/2006/relationships/hyperlink" Target="mailto:juan.londono@serviciosipm.com" TargetMode="External" Id="rId306"/><Relationship Type="http://schemas.openxmlformats.org/officeDocument/2006/relationships/hyperlink" Target="mailto:omercial@comexinternacional.com.co" TargetMode="External" Id="rId307"/><Relationship Type="http://schemas.openxmlformats.org/officeDocument/2006/relationships/hyperlink" Target="mailto:comercial@comexinternacional.com.co" TargetMode="External" Id="rId308"/><Relationship Type="http://schemas.openxmlformats.org/officeDocument/2006/relationships/hyperlink" Target="mailto:angelabravo@mensulaingenieros.com" TargetMode="External" Id="rId309"/><Relationship Type="http://schemas.openxmlformats.org/officeDocument/2006/relationships/hyperlink" Target="mailto:luiferrestrepo@gmail.com" TargetMode="External" Id="rId310"/><Relationship Type="http://schemas.openxmlformats.org/officeDocument/2006/relationships/hyperlink" Target="mailto:cristiam.mondragon@spci.com.co" TargetMode="External" Id="rId311"/><Relationship Type="http://schemas.openxmlformats.org/officeDocument/2006/relationships/hyperlink" Target="mailto:hborda@mab.com.co" TargetMode="External" Id="rId312"/><Relationship Type="http://schemas.openxmlformats.org/officeDocument/2006/relationships/hyperlink" Target="mailto:n.garcia@condiseno.co" TargetMode="External" Id="rId313"/><Relationship Type="http://schemas.openxmlformats.org/officeDocument/2006/relationships/hyperlink" Target="mailto:gerencia@projectsolutions.com.co" TargetMode="External" Id="rId314"/><Relationship Type="http://schemas.openxmlformats.org/officeDocument/2006/relationships/hyperlink" Target="mailto:cristiam.mondragon@spci.com.co" TargetMode="External" Id="rId315"/><Relationship Type="http://schemas.openxmlformats.org/officeDocument/2006/relationships/hyperlink" Target="mailto:ahernandez@solucionesinmobiliariassas.com" TargetMode="External" Id="rId316"/><Relationship Type="http://schemas.openxmlformats.org/officeDocument/2006/relationships/hyperlink" Target="mailto:Proyectos@clinicalasvegas.com" TargetMode="External" Id="rId317"/><Relationship Type="http://schemas.openxmlformats.org/officeDocument/2006/relationships/hyperlink" Target="mailto:comercial@comexinternacional.com.co" TargetMode="External" Id="rId318"/><Relationship Type="http://schemas.openxmlformats.org/officeDocument/2006/relationships/hyperlink" Target="mailto:cristian.marin@espiral.com.co" TargetMode="External" Id="rId319"/><Relationship Type="http://schemas.openxmlformats.org/officeDocument/2006/relationships/hyperlink" Target="mailto:danielavelez.fcr@gmail.com" TargetMode="External" Id="rId320"/><Relationship Type="http://schemas.openxmlformats.org/officeDocument/2006/relationships/hyperlink" Target="mailto:jahir.manrique@spci.com.co" TargetMode="External" Id="rId321"/><Relationship Type="http://schemas.openxmlformats.org/officeDocument/2006/relationships/hyperlink" Target="mailto:juan.londono@serviciosipm.com" TargetMode="External" Id="rId322"/><Relationship Type="http://schemas.openxmlformats.org/officeDocument/2006/relationships/hyperlink" Target="mailto:carlos.henao@seriinco.com" TargetMode="External" Id="rId323"/><Relationship Type="http://schemas.openxmlformats.org/officeDocument/2006/relationships/hyperlink" Target="mailto:milton.garzon@lasamericas.com.co" TargetMode="External" Id="rId324"/><Relationship Type="http://schemas.openxmlformats.org/officeDocument/2006/relationships/hyperlink" Target="mailto:angela.toro@bienesybienes.com.co" TargetMode="External" Id="rId325"/><Relationship Type="http://schemas.openxmlformats.org/officeDocument/2006/relationships/hyperlink" Target="mailto:parangor@conconcreto.com" TargetMode="External" Id="rId326"/><Relationship Type="http://schemas.openxmlformats.org/officeDocument/2006/relationships/hyperlink" Target="mailto:proyectos2@jomarkseguridad.com" TargetMode="External" Id="rId327"/><Relationship Type="http://schemas.openxmlformats.org/officeDocument/2006/relationships/hyperlink" Target="mailto:cristiam.mondragon@spci.com.co" TargetMode="External" Id="rId328"/><Relationship Type="http://schemas.openxmlformats.org/officeDocument/2006/relationships/hyperlink" Target="mailto:eataborda.sedic@serviciosnutresa.com" TargetMode="External" Id="rId329"/><Relationship Type="http://schemas.openxmlformats.org/officeDocument/2006/relationships/hyperlink" Target="mailto:eataborda.sedic@serviciosnutresa.com" TargetMode="External" Id="rId330"/><Relationship Type="http://schemas.openxmlformats.org/officeDocument/2006/relationships/hyperlink" Target="mailto:cristiam.mondragon@spci.com.co" TargetMode="External" Id="rId331"/><Relationship Type="http://schemas.openxmlformats.org/officeDocument/2006/relationships/hyperlink" Target="mailto:david.lopera@socomes.com" TargetMode="External" Id="rId332"/><Relationship Type="http://schemas.openxmlformats.org/officeDocument/2006/relationships/hyperlink" Target="mailto:truanda@hotmail.com" TargetMode="External" Id="rId333"/><Relationship Type="http://schemas.openxmlformats.org/officeDocument/2006/relationships/hyperlink" Target="mailto:proyectos2@jomarkseguridad.com" TargetMode="External" Id="rId334"/><Relationship Type="http://schemas.openxmlformats.org/officeDocument/2006/relationships/hyperlink" Target="mailto:jorgerojas@iayc.co" TargetMode="External" Id="rId335"/><Relationship Type="http://schemas.openxmlformats.org/officeDocument/2006/relationships/hyperlink" Target="mailto:ccvivas@spci.com.co" TargetMode="External" Id="rId336"/><Relationship Type="http://schemas.openxmlformats.org/officeDocument/2006/relationships/hyperlink" Target="mailto:gino1037@hotmail.com" TargetMode="External" Id="rId337"/><Relationship Type="http://schemas.openxmlformats.org/officeDocument/2006/relationships/hyperlink" Target="mailto:gino1037@hotmail.com" TargetMode="External" Id="rId338"/><Relationship Type="http://schemas.openxmlformats.org/officeDocument/2006/relationships/hyperlink" Target="mailto:obinsonmarulanda@arquitecturayconcreto.com" TargetMode="External" Id="rId339"/><Relationship Type="http://schemas.openxmlformats.org/officeDocument/2006/relationships/hyperlink" Target="mailto:obinsonmarulanda@arquitecturayconcreto.com" TargetMode="External" Id="rId340"/><Relationship Type="http://schemas.openxmlformats.org/officeDocument/2006/relationships/hyperlink" Target="mailto:eleven.obras@gmail.com" TargetMode="External" Id="rId341"/><Relationship Type="http://schemas.openxmlformats.org/officeDocument/2006/relationships/hyperlink" Target="mailto:omercial@comexinternacional.com.co" TargetMode="External" Id="rId342"/><Relationship Type="http://schemas.openxmlformats.org/officeDocument/2006/relationships/hyperlink" Target="mailto:camilo.quintero@spci.com.co" TargetMode="External" Id="rId343"/><Relationship Type="http://schemas.openxmlformats.org/officeDocument/2006/relationships/hyperlink" Target="mailto:cristiam.mondragon@spci.com.co" TargetMode="External" Id="rId344"/><Relationship Type="http://schemas.openxmlformats.org/officeDocument/2006/relationships/hyperlink" Target="mailto:camilo.quintero@spci.com.co" TargetMode="External" Id="rId345"/><Relationship Type="http://schemas.openxmlformats.org/officeDocument/2006/relationships/hyperlink" Target="mailto:santiago.cardona@spci.com.co" TargetMode="External" Id="rId346"/><Relationship Type="http://schemas.openxmlformats.org/officeDocument/2006/relationships/hyperlink" Target="mailto:dir.vispenol@gmail.com" TargetMode="External" Id="rId347"/><Relationship Type="http://schemas.openxmlformats.org/officeDocument/2006/relationships/hyperlink" Target="mailto:clrobayo@sura.com.co" TargetMode="External" Id="rId348"/><Relationship Type="http://schemas.openxmlformats.org/officeDocument/2006/relationships/hyperlink" Target="mailto:daniel.melguizo@mineros.com.co" TargetMode="External" Id="rId349"/><Relationship Type="http://schemas.openxmlformats.org/officeDocument/2006/relationships/hyperlink" Target="mailto:santiagoduque@solucionesinmobiliariassas.com" TargetMode="External" Id="rId350"/><Relationship Type="http://schemas.openxmlformats.org/officeDocument/2006/relationships/hyperlink" Target="mailto:santiagoduque@solucionesinmobiliariassas.com" TargetMode="External" Id="rId351"/><Relationship Type="http://schemas.openxmlformats.org/officeDocument/2006/relationships/hyperlink" Target="mailto:n.garcia@condiseno.co" TargetMode="External" Id="rId352"/><Relationship Type="http://schemas.openxmlformats.org/officeDocument/2006/relationships/hyperlink" Target="mailto:gino1037@hotmail.com" TargetMode="External" Id="rId353"/><Relationship Type="http://schemas.openxmlformats.org/officeDocument/2006/relationships/hyperlink" Target="mailto:cristinapalacio@mensulaingenieros.com" TargetMode="External" Id="rId354"/><Relationship Type="http://schemas.openxmlformats.org/officeDocument/2006/relationships/hyperlink" Target="mailto:interventoriaiuebloque14@gmail.com" TargetMode="External" Id="rId355"/><Relationship Type="http://schemas.openxmlformats.org/officeDocument/2006/relationships/hyperlink" Target="mailto:cristiam.mondragon@spci.com.co" TargetMode="External" Id="rId356"/><Relationship Type="http://schemas.openxmlformats.org/officeDocument/2006/relationships/hyperlink" Target="mailto:cristiam.mondragon@spci.com.co" TargetMode="External" Id="rId357"/><Relationship Type="http://schemas.openxmlformats.org/officeDocument/2006/relationships/hyperlink" Target="mailto:gerencia@projectsolutions.com.co" TargetMode="External" Id="rId358"/><Relationship Type="http://schemas.openxmlformats.org/officeDocument/2006/relationships/hyperlink" Target="mailto:diseno4@gyd.com.co" TargetMode="External" Id="rId359"/><Relationship Type="http://schemas.openxmlformats.org/officeDocument/2006/relationships/hyperlink" Target="mailto:mmontoya@interve.co" TargetMode="External" Id="rId360"/><Relationship Type="http://schemas.openxmlformats.org/officeDocument/2006/relationships/hyperlink" Target="mailto:gaguirre@solciviles.com" TargetMode="External" Id="rId361"/><Relationship Type="http://schemas.openxmlformats.org/officeDocument/2006/relationships/hyperlink" Target="mailto:comercial@comexinternacional.com.co" TargetMode="External" Id="rId362"/><Relationship Type="http://schemas.openxmlformats.org/officeDocument/2006/relationships/hyperlink" Target="mailto:ascomercial2@securetec.com.co" TargetMode="External" Id="rId363"/><Relationship Type="http://schemas.openxmlformats.org/officeDocument/2006/relationships/hyperlink" Target="mailto:comercial@comexinternacional.com.co" TargetMode="External" Id="rId364"/><Relationship Type="http://schemas.openxmlformats.org/officeDocument/2006/relationships/hyperlink" Target="mailto:joan.manuel.durango@gmail.com" TargetMode="External" Id="rId365"/><Relationship Type="http://schemas.openxmlformats.org/officeDocument/2006/relationships/hyperlink" Target="mailto:comercial@comexinternacional.com.co" TargetMode="External" Id="rId366"/><Relationship Type="http://schemas.openxmlformats.org/officeDocument/2006/relationships/hyperlink" Target="mailto:proyectos2@jomarkseguridad.com" TargetMode="External" Id="rId367"/><Relationship Type="http://schemas.openxmlformats.org/officeDocument/2006/relationships/hyperlink" Target="mailto:juliana.hoyos@solida.com.co" TargetMode="External" Id="rId368"/><Relationship Type="http://schemas.openxmlformats.org/officeDocument/2006/relationships/hyperlink" Target="mailto:mmontoya@interve.co" TargetMode="External" Id="rId369"/><Relationship Type="http://schemas.openxmlformats.org/officeDocument/2006/relationships/hyperlink" Target="mailto:carlos.quintero@bienesybienes.com.co" TargetMode="External" Id="rId370"/><Relationship Type="http://schemas.openxmlformats.org/officeDocument/2006/relationships/hyperlink" Target="mailto:jaristizabal@conaltura.com" TargetMode="External" Id="rId371"/><Relationship Type="http://schemas.openxmlformats.org/officeDocument/2006/relationships/hyperlink" Target="mailto:jaristizabal@conaltura.com" TargetMode="External" Id="rId372"/><Relationship Type="http://schemas.openxmlformats.org/officeDocument/2006/relationships/hyperlink" Target="mailto:jgomez@interve.co" TargetMode="External" Id="rId373"/><Relationship Type="http://schemas.openxmlformats.org/officeDocument/2006/relationships/hyperlink" Target="mailto:cristiam.mondragon@spci.com.co" TargetMode="External" Id="rId374"/><Relationship Type="http://schemas.openxmlformats.org/officeDocument/2006/relationships/hyperlink" Target="mailto:laura.arias@studiosur.net" TargetMode="External" Id="rId375"/><Relationship Type="http://schemas.openxmlformats.org/officeDocument/2006/relationships/hyperlink" Target="mailto:Daniela.Alzate@smurfitkappa.com" TargetMode="External" Id="rId376"/><Relationship Type="http://schemas.openxmlformats.org/officeDocument/2006/relationships/hyperlink" Target="mailto:Daniela.Alzate@smurfitkappa.com" TargetMode="External" Id="rId377"/><Relationship Type="http://schemas.openxmlformats.org/officeDocument/2006/relationships/hyperlink" Target="mailto:juan.londono@serviciosipm.com" TargetMode="External" Id="rId378"/><Relationship Type="http://schemas.openxmlformats.org/officeDocument/2006/relationships/hyperlink" Target="mailto:camilo.quintero@spci.com.co" TargetMode="External" Id="rId379"/><Relationship Type="http://schemas.openxmlformats.org/officeDocument/2006/relationships/hyperlink" Target="mailto:camilo.quintero@spci.com.co" TargetMode="External" Id="rId380"/><Relationship Type="http://schemas.openxmlformats.org/officeDocument/2006/relationships/hyperlink" Target="mailto:cristiam.mondragon@spci.com.co" TargetMode="External" Id="rId381"/><Relationship Type="http://schemas.openxmlformats.org/officeDocument/2006/relationships/hyperlink" Target="mailto:gcortes@cesde.edu.co" TargetMode="External" Id="rId382"/><Relationship Type="http://schemas.openxmlformats.org/officeDocument/2006/relationships/hyperlink" Target="mailto:director.administrativo@coprocenva.coop" TargetMode="External" Id="rId383"/><Relationship Type="http://schemas.openxmlformats.org/officeDocument/2006/relationships/hyperlink" Target="mailto:ernesto.castrillon@picso.com.co" TargetMode="External" Id="rId384"/><Relationship Type="http://schemas.openxmlformats.org/officeDocument/2006/relationships/hyperlink" Target="mailto:proyectos2@jomarkseguridad.com" TargetMode="External" Id="rId385"/><Relationship Type="http://schemas.openxmlformats.org/officeDocument/2006/relationships/hyperlink" Target="mailto:cristiam.mondragon@spci.com.co" TargetMode="External" Id="rId386"/><Relationship Type="http://schemas.openxmlformats.org/officeDocument/2006/relationships/hyperlink" Target="mailto:coordinacionbiomedica@incare.com.co" TargetMode="External" Id="rId387"/><Relationship Type="http://schemas.openxmlformats.org/officeDocument/2006/relationships/hyperlink" Target="mailto:n.garcia@condiseno.co" TargetMode="External" Id="rId388"/><Relationship Type="http://schemas.openxmlformats.org/officeDocument/2006/relationships/hyperlink" Target="mailto:cristianlondono@mensulaingenieros.com" TargetMode="External" Id="rId389"/><Relationship Type="http://schemas.openxmlformats.org/officeDocument/2006/relationships/hyperlink" Target="mailto:dsaldarriaga@interve.co" TargetMode="External" Id="rId390"/><Relationship Type="http://schemas.openxmlformats.org/officeDocument/2006/relationships/hyperlink" Target="mailto:camilo.quintero@spci.com.co" TargetMode="External" Id="rId391"/><Relationship Type="http://schemas.openxmlformats.org/officeDocument/2006/relationships/hyperlink" Target="mailto:bernardo.white@casa.com.co" TargetMode="External" Id="rId392"/><Relationship Type="http://schemas.openxmlformats.org/officeDocument/2006/relationships/hyperlink" Target="mailto:camilo.quintero@spci.com.co" TargetMode="External" Id="rId393"/><Relationship Type="http://schemas.openxmlformats.org/officeDocument/2006/relationships/hyperlink" Target="mailto:director@calfa2019.com" TargetMode="External" Id="rId394"/><Relationship Type="http://schemas.openxmlformats.org/officeDocument/2006/relationships/hyperlink" Target="mailto:dirproyectos@securetec.com.co" TargetMode="External" Id="rId395"/><Relationship Type="http://schemas.openxmlformats.org/officeDocument/2006/relationships/hyperlink" Target="mailto:mcvelasquez@contex.com.co" TargetMode="External" Id="rId396"/><Relationship Type="http://schemas.openxmlformats.org/officeDocument/2006/relationships/hyperlink" Target="mailto:jorgerojas@iayc.co" TargetMode="External" Id="rId397"/><Relationship Type="http://schemas.openxmlformats.org/officeDocument/2006/relationships/hyperlink" Target="mailto:dsaldarriaga@interve.co" TargetMode="External" Id="rId398"/><Relationship Type="http://schemas.openxmlformats.org/officeDocument/2006/relationships/hyperlink" Target="mailto:cadquisiciones@cantagirone.com" TargetMode="External" Id="rId399"/><Relationship Type="http://schemas.openxmlformats.org/officeDocument/2006/relationships/hyperlink" Target="mailto:gcortes@cesde.edu.co" TargetMode="External" Id="rId400"/><Relationship Type="http://schemas.openxmlformats.org/officeDocument/2006/relationships/hyperlink" Target="mailto:proyectos2@jomarkseguridad.com" TargetMode="External" Id="rId401"/><Relationship Type="http://schemas.openxmlformats.org/officeDocument/2006/relationships/hyperlink" Target="mailto:proyectos2@jomarkseguridad.com" TargetMode="External" Id="rId402"/><Relationship Type="http://schemas.openxmlformats.org/officeDocument/2006/relationships/hyperlink" Target="mailto:calmanya@jomarkseguridad.com" TargetMode="External" Id="rId403"/><Relationship Type="http://schemas.openxmlformats.org/officeDocument/2006/relationships/hyperlink" Target="mailto:proyectos2@jomarkseguridad.com" TargetMode="External" Id="rId404"/><Relationship Type="http://schemas.openxmlformats.org/officeDocument/2006/relationships/hyperlink" Target="mailto:mzapata@grupocolviva.com" TargetMode="External" Id="rId405"/><Relationship Type="http://schemas.openxmlformats.org/officeDocument/2006/relationships/hyperlink" Target="mailto:juan.grajales@spci.com.co" TargetMode="External" Id="rId406"/><Relationship Type="http://schemas.openxmlformats.org/officeDocument/2006/relationships/hyperlink" Target="mailto:sraic.asistente@gmail.com" TargetMode="External" Id="rId407"/><Relationship Type="http://schemas.openxmlformats.org/officeDocument/2006/relationships/hyperlink" Target="mailto:rcigasyredes@gmail.com" TargetMode="External" Id="rId408"/><Relationship Type="http://schemas.openxmlformats.org/officeDocument/2006/relationships/hyperlink" Target="mailto:jjaramillo@conexoinmobiliario.com" TargetMode="External" Id="rId409"/><Relationship Type="http://schemas.openxmlformats.org/officeDocument/2006/relationships/hyperlink" Target="mailto:luiscuartas@gmail.com" TargetMode="External" Id="rId410"/><Relationship Type="http://schemas.openxmlformats.org/officeDocument/2006/relationships/hyperlink" Target="mailto:comercial@comexinternacional.com.co" TargetMode="External" Id="rId411"/><Relationship Type="http://schemas.openxmlformats.org/officeDocument/2006/relationships/hyperlink" Target="mailto:gaguirre@solciviles.com" TargetMode="External" Id="rId412"/><Relationship Type="http://schemas.openxmlformats.org/officeDocument/2006/relationships/hyperlink" Target="mailto:maria.correa@espiral.com.co" TargetMode="External" Id="rId413"/><Relationship Type="http://schemas.openxmlformats.org/officeDocument/2006/relationships/hyperlink" Target="mailto:laura.jaramillo@cnv.com.co" TargetMode="External" Id="rId414"/><Relationship Type="http://schemas.openxmlformats.org/officeDocument/2006/relationships/hyperlink" Target="mailto:sraic.asistente@gmail.com" TargetMode="External" Id="rId415"/><Relationship Type="http://schemas.openxmlformats.org/officeDocument/2006/relationships/hyperlink" Target="mailto:cristiam.mondragon@spci.com.co" TargetMode="External" Id="rId416"/><Relationship Type="http://schemas.openxmlformats.org/officeDocument/2006/relationships/hyperlink" Target="mailto:hernan.ortiz@spci.com.co" TargetMode="External" Id="rId417"/><Relationship Type="http://schemas.openxmlformats.org/officeDocument/2006/relationships/hyperlink" Target="mailto:jpgarcia@primarioayd.com" TargetMode="External" Id="rId418"/><Relationship Type="http://schemas.openxmlformats.org/officeDocument/2006/relationships/hyperlink" Target="mailto:lmontoya@iconstructora.com.co" TargetMode="External" Id="rId419"/><Relationship Type="http://schemas.openxmlformats.org/officeDocument/2006/relationships/hyperlink" Target="mailto:cristianospina@arquitecturayconcreto.com" TargetMode="External" Id="rId420"/><Relationship Type="http://schemas.openxmlformats.org/officeDocument/2006/relationships/hyperlink" Target="mailto:ana.ramirez@bienesybienes.com.co" TargetMode="External" Id="rId421"/><Relationship Type="http://schemas.openxmlformats.org/officeDocument/2006/relationships/hyperlink" Target="mailto:danielpernett@centrosur.co" TargetMode="External" Id="rId422"/><Relationship Type="http://schemas.openxmlformats.org/officeDocument/2006/relationships/hyperlink" Target="mailto:carlos.cuello@pcmejia.com.co" TargetMode="External" Id="rId423"/><Relationship Type="http://schemas.openxmlformats.org/officeDocument/2006/relationships/hyperlink" Target="mailto:daniel.uribe@spcisas.com.co" TargetMode="External" Id="rId424"/><Relationship Type="http://schemas.openxmlformats.org/officeDocument/2006/relationships/hyperlink" Target="mailto:gerencia@projectsolutions.com.co" TargetMode="External" Id="rId425"/><Relationship Type="http://schemas.openxmlformats.org/officeDocument/2006/relationships/hyperlink" Target="mailto:gerencia@projectsolutions.com.co" TargetMode="External" Id="rId426"/><Relationship Type="http://schemas.openxmlformats.org/officeDocument/2006/relationships/hyperlink" Target="mailto:zmlopez@coninsa.co" TargetMode="External" Id="rId427"/><Relationship Type="http://schemas.openxmlformats.org/officeDocument/2006/relationships/hyperlink" Target="mailto:Camilo.Chavez@quironsalud.com" TargetMode="External" Id="rId428"/><Relationship Type="http://schemas.openxmlformats.org/officeDocument/2006/relationships/hyperlink" Target="mailto:angela.toro@bienesybienes.com.co" TargetMode="External" Id="rId429"/><Relationship Type="http://schemas.openxmlformats.org/officeDocument/2006/relationships/hyperlink" Target="mailto:n.garcia@condiseno.co" TargetMode="External" Id="rId430"/><Relationship Type="http://schemas.openxmlformats.org/officeDocument/2006/relationships/hyperlink" Target="mailto:ana.restrepo@spci.com.co" TargetMode="External" Id="rId431"/><Relationship Type="http://schemas.openxmlformats.org/officeDocument/2006/relationships/hyperlink" Target="mailto:jmezaarcia@gmail.com" TargetMode="External" Id="rId432"/><Relationship Type="http://schemas.openxmlformats.org/officeDocument/2006/relationships/hyperlink" Target="mailto:daniel.uribe@spcisas.com.co" TargetMode="External" Id="rId433"/><Relationship Type="http://schemas.openxmlformats.org/officeDocument/2006/relationships/hyperlink" Target="mailto:mlopez@hdgerenciaintegral.com" TargetMode="External" Id="rId434"/><Relationship Type="http://schemas.openxmlformats.org/officeDocument/2006/relationships/hyperlink" Target="mailto:camilo.quintero@spci.com.co" TargetMode="External" Id="rId435"/><Relationship Type="http://schemas.openxmlformats.org/officeDocument/2006/relationships/hyperlink" Target="mailto:dirproyectos@securetec.com.co" TargetMode="External" Id="rId436"/><Relationship Type="http://schemas.openxmlformats.org/officeDocument/2006/relationships/hyperlink" Target="mailto:cristiam.mondragon@spci.com.co" TargetMode="External" Id="rId437"/><Relationship Type="http://schemas.openxmlformats.org/officeDocument/2006/relationships/hyperlink" Target="mailto:andrea.poveda@ospinas.com.co" TargetMode="External" Id="rId438"/><Relationship Type="http://schemas.openxmlformats.org/officeDocument/2006/relationships/hyperlink" Target="mailto:camilo.quintero@spci.com.co" TargetMode="External" Id="rId439"/><Relationship Type="http://schemas.openxmlformats.org/officeDocument/2006/relationships/hyperlink" Target="mailto:camilo.quintero@spci.com.co" TargetMode="External" Id="rId440"/><Relationship Type="http://schemas.openxmlformats.org/officeDocument/2006/relationships/hyperlink" Target="mailto:cristiam.mondragon@spci.com.co" TargetMode="External" Id="rId441"/><Relationship Type="http://schemas.openxmlformats.org/officeDocument/2006/relationships/hyperlink" Target="mailto:dsaldarriaga@interve.co" TargetMode="External" Id="rId442"/><Relationship Type="http://schemas.openxmlformats.org/officeDocument/2006/relationships/hyperlink" Target="mailto:daniel.uribe@spci.com.co" TargetMode="External" Id="rId443"/><Relationship Type="http://schemas.openxmlformats.org/officeDocument/2006/relationships/hyperlink" Target="mailto:n.garcia@condiseno.co" TargetMode="External" Id="rId444"/><Relationship Type="http://schemas.openxmlformats.org/officeDocument/2006/relationships/hyperlink" Target="mailto:judithelenatrujillo@gmail.com" TargetMode="External" Id="rId445"/><Relationship Type="http://schemas.openxmlformats.org/officeDocument/2006/relationships/hyperlink" Target="mailto:daniel.uribe@spci.com.co" TargetMode="External" Id="rId446"/><Relationship Type="http://schemas.openxmlformats.org/officeDocument/2006/relationships/hyperlink" Target="mailto:daniel.uribe@spci.com.co" TargetMode="External" Id="rId447"/><Relationship Type="http://schemas.openxmlformats.org/officeDocument/2006/relationships/hyperlink" Target="mailto:mferrer@interve.co" TargetMode="External" Id="rId448"/><Relationship Type="http://schemas.openxmlformats.org/officeDocument/2006/relationships/hyperlink" Target="mailto:l.cuartas@verticeing.com" TargetMode="External" Id="rId449"/><Relationship Type="http://schemas.openxmlformats.org/officeDocument/2006/relationships/hyperlink" Target="mailto:cristiam.mondragon@spci.com.co" TargetMode="External" Id="rId450"/><Relationship Type="http://schemas.openxmlformats.org/officeDocument/2006/relationships/hyperlink" Target="mailto:arestrepoe@conconcreto.com" TargetMode="External" Id="rId451"/><Relationship Type="http://schemas.openxmlformats.org/officeDocument/2006/relationships/hyperlink" Target="mailto:cristiam.mondragon@spci.com.co" TargetMode="External" Id="rId452"/><Relationship Type="http://schemas.openxmlformats.org/officeDocument/2006/relationships/hyperlink" Target="mailto:hidraulicaymontajes@gmail.com" TargetMode="External" Id="rId453"/><Relationship Type="http://schemas.openxmlformats.org/officeDocument/2006/relationships/hyperlink" Target="mailto:clopez@viva1a.com.co" TargetMode="External" Id="rId454"/><Relationship Type="http://schemas.openxmlformats.org/officeDocument/2006/relationships/hyperlink" Target="mailto:rcigasyredes@gmail.com" TargetMode="External" Id="rId455"/><Relationship Type="http://schemas.openxmlformats.org/officeDocument/2006/relationships/hyperlink" Target="mailto:info@mercomputo.com" TargetMode="External" Id="rId456"/><Relationship Type="http://schemas.openxmlformats.org/officeDocument/2006/relationships/hyperlink" Target="mailto:cristiam.mondragon@spci.com.co" TargetMode="External" Id="rId457"/><Relationship Type="http://schemas.openxmlformats.org/officeDocument/2006/relationships/hyperlink" Target="mailto:santiagoisaza@convel.co" TargetMode="External" Id="rId458"/><Relationship Type="http://schemas.openxmlformats.org/officeDocument/2006/relationships/hyperlink" Target="mailto:carlos.henao@seriinco.com" TargetMode="External" Id="rId459"/><Relationship Type="http://schemas.openxmlformats.org/officeDocument/2006/relationships/hyperlink" Target="mailto:cristiam.mondragon@spci.com.co" TargetMode="External" Id="rId460"/><Relationship Type="http://schemas.openxmlformats.org/officeDocument/2006/relationships/hyperlink" Target="mailto:gerencia@projectsolutions.com.co" TargetMode="External" Id="rId461"/><Relationship Type="http://schemas.openxmlformats.org/officeDocument/2006/relationships/hyperlink" Target="mailto:cristiam.mondragon@spci.com.co" TargetMode="External" Id="rId462"/><Relationship Type="http://schemas.openxmlformats.org/officeDocument/2006/relationships/hyperlink" Target="mailto:mlopez@hdgerenciaintegral.com" TargetMode="External" Id="rId463"/><Relationship Type="http://schemas.openxmlformats.org/officeDocument/2006/relationships/hyperlink" Target="mailto:maria1998gonzalez@hotmail.com" TargetMode="External" Id="rId464"/><Relationship Type="http://schemas.openxmlformats.org/officeDocument/2006/relationships/hyperlink" Target="mailto:gerencia@projectsolutions.com.co" TargetMode="External" Id="rId465"/><Relationship Type="http://schemas.openxmlformats.org/officeDocument/2006/relationships/hyperlink" Target="mailto:mauricio.gutierrez@spci.com.co" TargetMode="External" Id="rId466"/><Relationship Type="http://schemas.openxmlformats.org/officeDocument/2006/relationships/hyperlink" Target="mailto:mauricio.gutierrez@spci.com.co" TargetMode="External" Id="rId467"/><Relationship Type="http://schemas.openxmlformats.org/officeDocument/2006/relationships/hyperlink" Target="mailto:famazo@mt.com.co" TargetMode="External" Id="rId468"/><Relationship Type="http://schemas.openxmlformats.org/officeDocument/2006/relationships/hyperlink" Target="mailto:jherrerau@conconcreto.com" TargetMode="External" Id="rId469"/><Relationship Type="http://schemas.openxmlformats.org/officeDocument/2006/relationships/hyperlink" Target="mailto:mauricio.gutierrez@spci.com.co" TargetMode="External" Id="rId470"/><Relationship Type="http://schemas.openxmlformats.org/officeDocument/2006/relationships/hyperlink" Target="mailto:camilo.quintero@spci.com.co" TargetMode="External" Id="rId471"/><Relationship Type="http://schemas.openxmlformats.org/officeDocument/2006/relationships/hyperlink" Target="mailto:johanna.manjarres@ospinas.com.co" TargetMode="External" Id="rId472"/><Relationship Type="http://schemas.openxmlformats.org/officeDocument/2006/relationships/hyperlink" Target="mailto:camilo.quintero@spci.com.co" TargetMode="External" Id="rId473"/><Relationship Type="http://schemas.openxmlformats.org/officeDocument/2006/relationships/hyperlink" Target="mailto:juan.grajales@spci.com.co" TargetMode="External" Id="rId474"/><Relationship Type="http://schemas.openxmlformats.org/officeDocument/2006/relationships/hyperlink" Target="mailto:construccion.sacproyectos@gmail.com" TargetMode="External" Id="rId475"/><Relationship Type="http://schemas.openxmlformats.org/officeDocument/2006/relationships/hyperlink" Target="mailto:jhhhongarcia@gmail.com" TargetMode="External" Id="rId476"/><Relationship Type="http://schemas.openxmlformats.org/officeDocument/2006/relationships/hyperlink" Target="mailto:robinsonmarulanda@arquitecturayconcreto.com" TargetMode="External" Id="rId477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mailto:alvaromanosalva@sfiregroup.com" TargetMode="External" Id="rId1"/><Relationship Type="http://schemas.openxmlformats.org/officeDocument/2006/relationships/hyperlink" Target="mailto:gino1037@hotmail.com" TargetMode="External" Id="rId2"/><Relationship Type="http://schemas.openxmlformats.org/officeDocument/2006/relationships/hyperlink" Target="mailto:gino1037@hotmail.com" TargetMode="External" Id="rId3"/><Relationship Type="http://schemas.openxmlformats.org/officeDocument/2006/relationships/hyperlink" Target="mailto:obrasms84@gmail.com" TargetMode="External" Id="rId4"/><Relationship Type="http://schemas.openxmlformats.org/officeDocument/2006/relationships/hyperlink" Target="mailto:jhonatan.aguirre@construgen.com" TargetMode="External" Id="rId5"/><Relationship Type="http://schemas.openxmlformats.org/officeDocument/2006/relationships/hyperlink" Target="mailto:mantenimiento@hrd.gov.co" TargetMode="External" Id="rId6"/><Relationship Type="http://schemas.openxmlformats.org/officeDocument/2006/relationships/hyperlink" Target="mailto:victor.saldarriaga@spci.com.co" TargetMode="External" Id="rId7"/><Relationship Type="http://schemas.openxmlformats.org/officeDocument/2006/relationships/hyperlink" Target="mailto:victor.saldarriaga@spci.com.co" TargetMode="External" Id="rId8"/><Relationship Type="http://schemas.openxmlformats.org/officeDocument/2006/relationships/hyperlink" Target="mailto:luisa.londono@ingeniobim.co" TargetMode="External" Id="rId9"/><Relationship Type="http://schemas.openxmlformats.org/officeDocument/2006/relationships/hyperlink" Target="mailto:ana.restrepo@spci.com.co" TargetMode="External" Id="rId10"/><Relationship Type="http://schemas.openxmlformats.org/officeDocument/2006/relationships/hyperlink" Target="mailto:david.lopera@socomes.com" TargetMode="External" Id="rId11"/><Relationship Type="http://schemas.openxmlformats.org/officeDocument/2006/relationships/hyperlink" Target="mailto:david.lopera@socomes.com" TargetMode="External" Id="rId12"/><Relationship Type="http://schemas.openxmlformats.org/officeDocument/2006/relationships/hyperlink" Target="mailto:danielpernett@centrosur.co" TargetMode="External" Id="rId13"/><Relationship Type="http://schemas.openxmlformats.org/officeDocument/2006/relationships/hyperlink" Target="mailto:apb2573@yahoo.es" TargetMode="External" Id="rId14"/><Relationship Type="http://schemas.openxmlformats.org/officeDocument/2006/relationships/hyperlink" Target="mailto:valentina.chacon@desur.gov.co" TargetMode="External" Id="rId15"/><Relationship Type="http://schemas.openxmlformats.org/officeDocument/2006/relationships/hyperlink" Target="mailto:equipo@4rqstudio.com" TargetMode="External" Id="rId16"/><Relationship Type="http://schemas.openxmlformats.org/officeDocument/2006/relationships/hyperlink" Target="mailto:mauricio.guzman@spci.com.co" TargetMode="External" Id="rId17"/><Relationship Type="http://schemas.openxmlformats.org/officeDocument/2006/relationships/hyperlink" Target="mailto:pduque@columbus.edu.co" TargetMode="External" Id="rId18"/><Relationship Type="http://schemas.openxmlformats.org/officeDocument/2006/relationships/hyperlink" Target="mailto:cristian.cano@lasamericas.com.co" TargetMode="External" Id="rId19"/><Relationship Type="http://schemas.openxmlformats.org/officeDocument/2006/relationships/hyperlink" Target="mailto:licitaciones@spci.com.co" TargetMode="External" Id="rId20"/><Relationship Type="http://schemas.openxmlformats.org/officeDocument/2006/relationships/hyperlink" Target="mailto:paradigmaarquitecturasas@gmail.com" TargetMode="External" Id="rId21"/><Relationship Type="http://schemas.openxmlformats.org/officeDocument/2006/relationships/hyperlink" Target="mailto:gerencia@securetec.com.co" TargetMode="External" Id="rId22"/><Relationship Type="http://schemas.openxmlformats.org/officeDocument/2006/relationships/hyperlink" Target="mailto:epantoja@contex.com.co" TargetMode="External" Id="rId23"/><Relationship Type="http://schemas.openxmlformats.org/officeDocument/2006/relationships/hyperlink" Target="mailto:alvaromanosalva@sfiregroup.com" TargetMode="External" Id="rId24"/><Relationship Type="http://schemas.openxmlformats.org/officeDocument/2006/relationships/hyperlink" Target="mailto:n.garcia@condiseno.co" TargetMode="External" Id="rId25"/><Relationship Type="http://schemas.openxmlformats.org/officeDocument/2006/relationships/hyperlink" Target="mailto:Camilo.Chavez@quironsalud.com" TargetMode="External" Id="rId26"/><Relationship Type="http://schemas.openxmlformats.org/officeDocument/2006/relationships/hyperlink" Target="mailto:cristiam.mondragon@spci.com.co" TargetMode="External" Id="rId27"/><Relationship Type="http://schemas.openxmlformats.org/officeDocument/2006/relationships/hyperlink" Target="mailto:cristiam.mondragon@spci.com.co" TargetMode="External" Id="rId28"/><Relationship Type="http://schemas.openxmlformats.org/officeDocument/2006/relationships/hyperlink" Target="mailto:kevin15batista@gmail.com" TargetMode="External" Id="rId29"/><Relationship Type="http://schemas.openxmlformats.org/officeDocument/2006/relationships/hyperlink" Target="mailto:daniel.uribe@spci.com.co" TargetMode="External" Id="rId30"/><Relationship Type="http://schemas.openxmlformats.org/officeDocument/2006/relationships/hyperlink" Target="mailto:aguasingenieriamed@gmail.com" TargetMode="External" Id="rId31"/><Relationship Type="http://schemas.openxmlformats.org/officeDocument/2006/relationships/hyperlink" Target="mailto:jfontalvo@viva1a.com.co" TargetMode="External" Id="rId32"/><Relationship Type="http://schemas.openxmlformats.org/officeDocument/2006/relationships/hyperlink" Target="mailto:pduque@columbus.edu.co" TargetMode="External" Id="rId33"/><Relationship Type="http://schemas.openxmlformats.org/officeDocument/2006/relationships/hyperlink" Target="mailto:jtoro@con-axion.com" TargetMode="External" Id="rId34"/><Relationship Type="http://schemas.openxmlformats.org/officeDocument/2006/relationships/hyperlink" Target="mailto:diseno@constructoradeobras.com" TargetMode="External" Id="rId35"/><Relationship Type="http://schemas.openxmlformats.org/officeDocument/2006/relationships/hyperlink" Target="mailto:daniel.uribe@spci.com.co" TargetMode="External" Id="rId36"/><Relationship Type="http://schemas.openxmlformats.org/officeDocument/2006/relationships/hyperlink" Target="mailto:zmlopez@coninsa.co" TargetMode="External" Id="rId37"/><Relationship Type="http://schemas.openxmlformats.org/officeDocument/2006/relationships/hyperlink" Target="mailto:obrasms84@gmail.com" TargetMode="External" Id="rId38"/><Relationship Type="http://schemas.openxmlformats.org/officeDocument/2006/relationships/hyperlink" Target="mailto:david.lopera@socomes.com" TargetMode="External" Id="rId39"/><Relationship Type="http://schemas.openxmlformats.org/officeDocument/2006/relationships/hyperlink" Target="mailto:cristiam.mondragon@spci.com.co" TargetMode="External" Id="rId40"/><Relationship Type="http://schemas.openxmlformats.org/officeDocument/2006/relationships/hyperlink" Target="mailto:gino1037@hotmail.com" TargetMode="External" Id="rId41"/><Relationship Type="http://schemas.openxmlformats.org/officeDocument/2006/relationships/hyperlink" Target="mailto:bayron.puerta@spci.com.co" TargetMode="External" Id="rId42"/><Relationship Type="http://schemas.openxmlformats.org/officeDocument/2006/relationships/hyperlink" Target="mailto:sraic.diseno@gmail.com" TargetMode="External" Id="rId43"/><Relationship Type="http://schemas.openxmlformats.org/officeDocument/2006/relationships/hyperlink" Target="mailto:alvaromanosalva@sfiregroup.com" TargetMode="External" Id="rId44"/><Relationship Type="http://schemas.openxmlformats.org/officeDocument/2006/relationships/hyperlink" Target="mailto:alvaromanosalva@sfiregroup.com" TargetMode="External" Id="rId45"/><Relationship Type="http://schemas.openxmlformats.org/officeDocument/2006/relationships/hyperlink" Target="mailto:juan.grajales@spci.com.co" TargetMode="External" Id="rId46"/><Relationship Type="http://schemas.openxmlformats.org/officeDocument/2006/relationships/hyperlink" Target="mailto:mauricio.guzman@spci.com.co" TargetMode="External" Id="rId47"/><Relationship Type="http://schemas.openxmlformats.org/officeDocument/2006/relationships/hyperlink" Target="mailto:maurogavi@une.net.co" TargetMode="External" Id="rId48"/><Relationship Type="http://schemas.openxmlformats.org/officeDocument/2006/relationships/hyperlink" Target="mailto:jorgemolano@macca.com.co" TargetMode="External" Id="rId49"/><Relationship Type="http://schemas.openxmlformats.org/officeDocument/2006/relationships/hyperlink" Target="mailto:ascomercial2@securetec.com.co" TargetMode="External" Id="rId50"/><Relationship Type="http://schemas.openxmlformats.org/officeDocument/2006/relationships/hyperlink" Target="mailto:david.lopera@socomes.com" TargetMode="External" Id="rId51"/><Relationship Type="http://schemas.openxmlformats.org/officeDocument/2006/relationships/hyperlink" Target="mailto:mcvelasquez@contex.com.co" TargetMode="External" Id="rId52"/><Relationship Type="http://schemas.openxmlformats.org/officeDocument/2006/relationships/hyperlink" Target="mailto:juan.grajales@spci.com.co" TargetMode="External" Id="rId53"/><Relationship Type="http://schemas.openxmlformats.org/officeDocument/2006/relationships/hyperlink" Target="mailto:laura.arias@studiosur.net" TargetMode="External" Id="rId54"/><Relationship Type="http://schemas.openxmlformats.org/officeDocument/2006/relationships/hyperlink" Target="mailto:carlos.henao@seriinco.com" TargetMode="External" Id="rId55"/><Relationship Type="http://schemas.openxmlformats.org/officeDocument/2006/relationships/hyperlink" Target="mailto:maritzam@sohinco.com" TargetMode="External" Id="rId56"/><Relationship Type="http://schemas.openxmlformats.org/officeDocument/2006/relationships/hyperlink" Target="mailto:dirproyectos@securetec.com.co" TargetMode="External" Id="rId57"/><Relationship Type="http://schemas.openxmlformats.org/officeDocument/2006/relationships/hyperlink" Target="mailto:cristiam.mondragon@spci.com.co" TargetMode="External" Id="rId58"/><Relationship Type="http://schemas.openxmlformats.org/officeDocument/2006/relationships/hyperlink" Target="mailto:jorgerojas@iayc.co" TargetMode="External" Id="rId59"/><Relationship Type="http://schemas.openxmlformats.org/officeDocument/2006/relationships/hyperlink" Target="mailto:ana.restrepo@spci.com.co" TargetMode="External" Id="rId60"/><Relationship Type="http://schemas.openxmlformats.org/officeDocument/2006/relationships/hyperlink" Target="mailto:comercial@comexinternacional.com.co" TargetMode="External" Id="rId61"/><Relationship Type="http://schemas.openxmlformats.org/officeDocument/2006/relationships/hyperlink" Target="mailto:pduque@columbus.edu.co" TargetMode="External" Id="rId62"/><Relationship Type="http://schemas.openxmlformats.org/officeDocument/2006/relationships/hyperlink" Target="mailto:dsaldarriaga@interve.co" TargetMode="External" Id="rId63"/><Relationship Type="http://schemas.openxmlformats.org/officeDocument/2006/relationships/hyperlink" Target="mailto:proyectos2@jomarkseguridad.com" TargetMode="External" Id="rId64"/><Relationship Type="http://schemas.openxmlformats.org/officeDocument/2006/relationships/hyperlink" Target="mailto:n.garcia@condiseno.co" TargetMode="External" Id="rId65"/><Relationship Type="http://schemas.openxmlformats.org/officeDocument/2006/relationships/hyperlink" Target="mailto:hidraulicaymontajes@gmail.com" TargetMode="External" Id="rId66"/><Relationship Type="http://schemas.openxmlformats.org/officeDocument/2006/relationships/hyperlink" Target="mailto:david.lopera@socomes.com" TargetMode="External" Id="rId67"/><Relationship Type="http://schemas.openxmlformats.org/officeDocument/2006/relationships/hyperlink" Target="mailto:maritzam@sohinco.com" TargetMode="External" Id="rId68"/><Relationship Type="http://schemas.openxmlformats.org/officeDocument/2006/relationships/hyperlink" Target="mailto:maritzam@sohinco.com" TargetMode="External" Id="rId69"/><Relationship Type="http://schemas.openxmlformats.org/officeDocument/2006/relationships/hyperlink" Target="mailto:n.garcia@condiseno.co" TargetMode="External" Id="rId70"/><Relationship Type="http://schemas.openxmlformats.org/officeDocument/2006/relationships/hyperlink" Target="mailto:parangor@conconcreto.com" TargetMode="External" Id="rId71"/><Relationship Type="http://schemas.openxmlformats.org/officeDocument/2006/relationships/hyperlink" Target="mailto:posventasconintel@gmail.com" TargetMode="External" Id="rId72"/><Relationship Type="http://schemas.openxmlformats.org/officeDocument/2006/relationships/hyperlink" Target="mailto:johnvelezconsultorias@gmail.com" TargetMode="External" Id="rId73"/><Relationship Type="http://schemas.openxmlformats.org/officeDocument/2006/relationships/hyperlink" Target="mailto:gino1037@hotmail.com" TargetMode="External" Id="rId74"/><Relationship Type="http://schemas.openxmlformats.org/officeDocument/2006/relationships/hyperlink" Target="mailto:eortiz@byr.com.co" TargetMode="External" Id="rId75"/><Relationship Type="http://schemas.openxmlformats.org/officeDocument/2006/relationships/hyperlink" Target="mailto:bayron.puerta@spci.com.co" TargetMode="External" Id="rId76"/><Relationship Type="http://schemas.openxmlformats.org/officeDocument/2006/relationships/hyperlink" Target="mailto:diseno4@gyd.com.co" TargetMode="External" Id="rId77"/><Relationship Type="http://schemas.openxmlformats.org/officeDocument/2006/relationships/hyperlink" Target="mailto:juan.grajales@spci.com.co" TargetMode="External" Id="rId78"/><Relationship Type="http://schemas.openxmlformats.org/officeDocument/2006/relationships/hyperlink" Target="mailto:david.velez@spci.com.co" TargetMode="External" Id="rId79"/><Relationship Type="http://schemas.openxmlformats.org/officeDocument/2006/relationships/hyperlink" Target="mailto:bayron.puerta@spci.com.co" TargetMode="External" Id="rId80"/><Relationship Type="http://schemas.openxmlformats.org/officeDocument/2006/relationships/hyperlink" Target="mailto:carlos.henao@seriinco.com" TargetMode="External" Id="rId81"/><Relationship Type="http://schemas.openxmlformats.org/officeDocument/2006/relationships/hyperlink" Target="mailto:carlos.henao@seriinco.com" TargetMode="External" Id="rId82"/><Relationship Type="http://schemas.openxmlformats.org/officeDocument/2006/relationships/hyperlink" Target="mailto:jorgemolano@macca.com.co" TargetMode="External" Id="rId83"/><Relationship Type="http://schemas.openxmlformats.org/officeDocument/2006/relationships/hyperlink" Target="mailto:e.ramirez@verticeing.com" TargetMode="External" Id="rId84"/><Relationship Type="http://schemas.openxmlformats.org/officeDocument/2006/relationships/hyperlink" Target="mailto:cristiam.mondragon@spci.com.co" TargetMode="External" Id="rId85"/><Relationship Type="http://schemas.openxmlformats.org/officeDocument/2006/relationships/hyperlink" Target="mailto:cristiam.mondragon@spci.com.co" TargetMode="External" Id="rId86"/><Relationship Type="http://schemas.openxmlformats.org/officeDocument/2006/relationships/hyperlink" Target="mailto:jjaramillo@conexoinmobiliario.com" TargetMode="External" Id="rId87"/><Relationship Type="http://schemas.openxmlformats.org/officeDocument/2006/relationships/hyperlink" Target="mailto:cristianlondono@mensulaingenieros.com" TargetMode="External" Id="rId88"/><Relationship Type="http://schemas.openxmlformats.org/officeDocument/2006/relationships/hyperlink" Target="mailto:n.garcia@condiseno.co" TargetMode="External" Id="rId89"/><Relationship Type="http://schemas.openxmlformats.org/officeDocument/2006/relationships/hyperlink" Target="mailto:carlos.henao@seriinco.com" TargetMode="External" Id="rId90"/><Relationship Type="http://schemas.openxmlformats.org/officeDocument/2006/relationships/hyperlink" Target="mailto:jorge.escobar@espiral.com.co" TargetMode="External" Id="rId91"/><Relationship Type="http://schemas.openxmlformats.org/officeDocument/2006/relationships/hyperlink" Target="mailto:jcardonm@gmail.com" TargetMode="External" Id="rId92"/><Relationship Type="http://schemas.openxmlformats.org/officeDocument/2006/relationships/hyperlink" Target="mailto:carlos.henao@seriinco.com" TargetMode="External" Id="rId93"/><Relationship Type="http://schemas.openxmlformats.org/officeDocument/2006/relationships/hyperlink" Target="mailto:juan.grajales@spci.com.co" TargetMode="External" Id="rId94"/><Relationship Type="http://schemas.openxmlformats.org/officeDocument/2006/relationships/hyperlink" Target="mailto:cristiam.mondragon@spci.com.co" TargetMode="External" Id="rId95"/><Relationship Type="http://schemas.openxmlformats.org/officeDocument/2006/relationships/hyperlink" Target="mailto:ana.restrepo@spci.com.co" TargetMode="External" Id="rId96"/><Relationship Type="http://schemas.openxmlformats.org/officeDocument/2006/relationships/hyperlink" Target="mailto:hidraulicaymontajes@gmail.com" TargetMode="External" Id="rId97"/><Relationship Type="http://schemas.openxmlformats.org/officeDocument/2006/relationships/hyperlink" Target="mailto:proyectos2@jomarkseguridad.com" TargetMode="External" Id="rId98"/><Relationship Type="http://schemas.openxmlformats.org/officeDocument/2006/relationships/hyperlink" Target="mailto:jherrerau@conconcreto.com" TargetMode="External" Id="rId99"/><Relationship Type="http://schemas.openxmlformats.org/officeDocument/2006/relationships/hyperlink" Target="mailto:cristiam.mondragon@spci.com.co" TargetMode="External" Id="rId100"/><Relationship Type="http://schemas.openxmlformats.org/officeDocument/2006/relationships/hyperlink" Target="mailto:sebastianbedoya@paralelo-group.com" TargetMode="External" Id="rId101"/><Relationship Type="http://schemas.openxmlformats.org/officeDocument/2006/relationships/hyperlink" Target="mailto:alvaromanosalva@sfiregroup.com" TargetMode="External" Id="rId102"/><Relationship Type="http://schemas.openxmlformats.org/officeDocument/2006/relationships/hyperlink" Target="mailto:mauricio.guzman@spci.com.co" TargetMode="External" Id="rId103"/><Relationship Type="http://schemas.openxmlformats.org/officeDocument/2006/relationships/hyperlink" Target="mailto:directorlean@inserco.com.co" TargetMode="External" Id="rId104"/><Relationship Type="http://schemas.openxmlformats.org/officeDocument/2006/relationships/hyperlink" Target="mailto:jherrerau@conconcreto.com" TargetMode="External" Id="rId105"/><Relationship Type="http://schemas.openxmlformats.org/officeDocument/2006/relationships/hyperlink" Target="mailto:jorge.escobar@espiral.com.co" TargetMode="External" Id="rId106"/><Relationship Type="http://schemas.openxmlformats.org/officeDocument/2006/relationships/hyperlink" Target="mailto:juan.grajales@spci.com.co" TargetMode="External" Id="rId107"/><Relationship Type="http://schemas.openxmlformats.org/officeDocument/2006/relationships/hyperlink" Target="mailto:cvivas@conaltura.com" TargetMode="External" Id="rId108"/><Relationship Type="http://schemas.openxmlformats.org/officeDocument/2006/relationships/hyperlink" Target="mailto:comercial@comexinternacional.com.co" TargetMode="External" Id="rId109"/><Relationship Type="http://schemas.openxmlformats.org/officeDocument/2006/relationships/hyperlink" Target="mailto:david.lopera@socomes.com" TargetMode="External" Id="rId110"/><Relationship Type="http://schemas.openxmlformats.org/officeDocument/2006/relationships/hyperlink" Target="mailto:david.lopera@socomes.com" TargetMode="External" Id="rId111"/><Relationship Type="http://schemas.openxmlformats.org/officeDocument/2006/relationships/hyperlink" Target="mailto:maria.madrid@bienesybienes.com.co" TargetMode="External" Id="rId112"/><Relationship Type="http://schemas.openxmlformats.org/officeDocument/2006/relationships/hyperlink" Target="mailto:maria.jimenez@bataua.com" TargetMode="External" Id="rId113"/><Relationship Type="http://schemas.openxmlformats.org/officeDocument/2006/relationships/hyperlink" Target="mailto:yeisongonzalez@mensulaingenieros.com" TargetMode="External" Id="rId114"/><Relationship Type="http://schemas.openxmlformats.org/officeDocument/2006/relationships/hyperlink" Target="mailto:n.garcia@condiseno.co" TargetMode="External" Id="rId115"/><Relationship Type="http://schemas.openxmlformats.org/officeDocument/2006/relationships/hyperlink" Target="mailto:diseno4@gyd.com.co" TargetMode="External" Id="rId116"/><Relationship Type="http://schemas.openxmlformats.org/officeDocument/2006/relationships/hyperlink" Target="mailto:ana.restrepo@spci.com.co" TargetMode="External" Id="rId117"/><Relationship Type="http://schemas.openxmlformats.org/officeDocument/2006/relationships/hyperlink" Target="mailto:david.lopera@socomes.com" TargetMode="External" Id="rId118"/><Relationship Type="http://schemas.openxmlformats.org/officeDocument/2006/relationships/hyperlink" Target="mailto:gerencia@securetec.com.co" TargetMode="External" Id="rId119"/><Relationship Type="http://schemas.openxmlformats.org/officeDocument/2006/relationships/hyperlink" Target="mailto:esteban.perez@tzd.com.co" TargetMode="External" Id="rId120"/><Relationship Type="http://schemas.openxmlformats.org/officeDocument/2006/relationships/hyperlink" Target="mailto:hidraulicaymontajes@gmail.com" TargetMode="External" Id="rId121"/><Relationship Type="http://schemas.openxmlformats.org/officeDocument/2006/relationships/hyperlink" Target="mailto:hidraulicaymontajes@gmail.com" TargetMode="External" Id="rId122"/><Relationship Type="http://schemas.openxmlformats.org/officeDocument/2006/relationships/hyperlink" Target="mailto:maria.madrid@bienesybienes.com.co" TargetMode="External" Id="rId123"/><Relationship Type="http://schemas.openxmlformats.org/officeDocument/2006/relationships/hyperlink" Target="mailto:cristina@sumario.co" TargetMode="External" Id="rId124"/><Relationship Type="http://schemas.openxmlformats.org/officeDocument/2006/relationships/hyperlink" Target="mailto:ana.restrepo@spci.com.co" TargetMode="External" Id="rId125"/><Relationship Type="http://schemas.openxmlformats.org/officeDocument/2006/relationships/hyperlink" Target="mailto:lmontoya@iconstructora.com.co" TargetMode="External" Id="rId126"/><Relationship Type="http://schemas.openxmlformats.org/officeDocument/2006/relationships/hyperlink" Target="mailto:maurenvalenciatoro@gmail.com" TargetMode="External" Id="rId127"/><Relationship Type="http://schemas.openxmlformats.org/officeDocument/2006/relationships/hyperlink" Target="mailto:camilo.torres@espiral.com.co" TargetMode="External" Id="rId128"/><Relationship Type="http://schemas.openxmlformats.org/officeDocument/2006/relationships/hyperlink" Target="mailto:camilo.torres@espiral.com.co" TargetMode="External" Id="rId129"/><Relationship Type="http://schemas.openxmlformats.org/officeDocument/2006/relationships/hyperlink" Target="mailto:david.lopera@socomes.com" TargetMode="External" Id="rId130"/><Relationship Type="http://schemas.openxmlformats.org/officeDocument/2006/relationships/hyperlink" Target="mailto:equipo@4rqstudio.com" TargetMode="External" Id="rId131"/><Relationship Type="http://schemas.openxmlformats.org/officeDocument/2006/relationships/hyperlink" Target="mailto:jlarrota@ordenhospitalaria.org" TargetMode="External" Id="rId132"/><Relationship Type="http://schemas.openxmlformats.org/officeDocument/2006/relationships/hyperlink" Target="mailto:carlos.gil@risksg.com" TargetMode="External" Id="rId133"/><Relationship Type="http://schemas.openxmlformats.org/officeDocument/2006/relationships/hyperlink" Target="mailto:camilo.quintero@spci.com.co" TargetMode="External" Id="rId134"/><Relationship Type="http://schemas.openxmlformats.org/officeDocument/2006/relationships/hyperlink" Target="mailto:cristiam.mondragon@spci.com.co" TargetMode="External" Id="rId135"/><Relationship Type="http://schemas.openxmlformats.org/officeDocument/2006/relationships/hyperlink" Target="mailto:diseno4@gyd.com.co" TargetMode="External" Id="rId136"/><Relationship Type="http://schemas.openxmlformats.org/officeDocument/2006/relationships/hyperlink" Target="mailto:calmanya@jomarkseguridad.com" TargetMode="External" Id="rId137"/><Relationship Type="http://schemas.openxmlformats.org/officeDocument/2006/relationships/hyperlink" Target="mailto:cristianospina@arquitecturayconcreto.com" TargetMode="External" Id="rId138"/><Relationship Type="http://schemas.openxmlformats.org/officeDocument/2006/relationships/hyperlink" Target="mailto:laura.arias@studiosur.net" TargetMode="External" Id="rId139"/><Relationship Type="http://schemas.openxmlformats.org/officeDocument/2006/relationships/hyperlink" Target="mailto:william.hernandez@construgen.com" TargetMode="External" Id="rId140"/><Relationship Type="http://schemas.openxmlformats.org/officeDocument/2006/relationships/hyperlink" Target="mailto:luisa.londono@ingeniobim.co" TargetMode="External" Id="rId141"/><Relationship Type="http://schemas.openxmlformats.org/officeDocument/2006/relationships/hyperlink" Target="mailto:alvaromanosalva@sfiregroup.com" TargetMode="External" Id="rId142"/><Relationship Type="http://schemas.openxmlformats.org/officeDocument/2006/relationships/hyperlink" Target="mailto:dacorrea@rcimontajes.co" TargetMode="External" Id="rId143"/><Relationship Type="http://schemas.openxmlformats.org/officeDocument/2006/relationships/hyperlink" Target="mailto:sraic.diseno@gmail.com" TargetMode="External" Id="rId144"/><Relationship Type="http://schemas.openxmlformats.org/officeDocument/2006/relationships/hyperlink" Target="mailto:victor.saldarriaga@spci.com.co" TargetMode="External" Id="rId145"/><Relationship Type="http://schemas.openxmlformats.org/officeDocument/2006/relationships/hyperlink" Target="mailto:jrodriguez@ingesed.com" TargetMode="External" Id="rId146"/><Relationship Type="http://schemas.openxmlformats.org/officeDocument/2006/relationships/hyperlink" Target="mailto:hseqsuper@gmail.com" TargetMode="External" Id="rId147"/><Relationship Type="http://schemas.openxmlformats.org/officeDocument/2006/relationships/hyperlink" Target="mailto:leidyalzateq@clinicaces.edu.co" TargetMode="External" Id="rId148"/><Relationship Type="http://schemas.openxmlformats.org/officeDocument/2006/relationships/hyperlink" Target="mailto:juan.londono@serviciosipm.com" TargetMode="External" Id="rId149"/><Relationship Type="http://schemas.openxmlformats.org/officeDocument/2006/relationships/hyperlink" Target="mailto:juan.londono@serviciosipm.com" TargetMode="External" Id="rId150"/><Relationship Type="http://schemas.openxmlformats.org/officeDocument/2006/relationships/hyperlink" Target="mailto:proyectos2@jomarkseguridad.com" TargetMode="External" Id="rId151"/><Relationship Type="http://schemas.openxmlformats.org/officeDocument/2006/relationships/hyperlink" Target="mailto:obrasms84@gmail.com" TargetMode="External" Id="rId152"/><Relationship Type="http://schemas.openxmlformats.org/officeDocument/2006/relationships/hyperlink" Target="mailto:obrasms84@gmail.com" TargetMode="External" Id="rId153"/><Relationship Type="http://schemas.openxmlformats.org/officeDocument/2006/relationships/hyperlink" Target="mailto:anuri.obra@gmail.com" TargetMode="External" Id="rId154"/><Relationship Type="http://schemas.openxmlformats.org/officeDocument/2006/relationships/hyperlink" Target="mailto:ana.restrepo@spci.com.co" TargetMode="External" Id="rId155"/><Relationship Type="http://schemas.openxmlformats.org/officeDocument/2006/relationships/hyperlink" Target="mailto:jrodriguez@ingesed.com" TargetMode="External" Id="rId156"/><Relationship Type="http://schemas.openxmlformats.org/officeDocument/2006/relationships/hyperlink" Target="mailto:analistasst@ccpremiumplaza.com" TargetMode="External" Id="rId157"/><Relationship Type="http://schemas.openxmlformats.org/officeDocument/2006/relationships/hyperlink" Target="mailto:camilo.quintero@spci.com.co" TargetMode="External" Id="rId158"/><Relationship Type="http://schemas.openxmlformats.org/officeDocument/2006/relationships/hyperlink" Target="mailto:ana.restrepo@spci.com.co" TargetMode="External" Id="rId159"/><Relationship Type="http://schemas.openxmlformats.org/officeDocument/2006/relationships/hyperlink" Target="mailto:miguelrobayo@sfiregroup.com" TargetMode="External" Id="rId160"/><Relationship Type="http://schemas.openxmlformats.org/officeDocument/2006/relationships/hyperlink" Target="mailto:epantoja@contex.com.co" TargetMode="External" Id="rId161"/><Relationship Type="http://schemas.openxmlformats.org/officeDocument/2006/relationships/hyperlink" Target="mailto:jefe.mantenimiento@mic.com.co" TargetMode="External" Id="rId162"/><Relationship Type="http://schemas.openxmlformats.org/officeDocument/2006/relationships/hyperlink" Target="mailto:spava@exsolven.com.co" TargetMode="External" Id="rId163"/><Relationship Type="http://schemas.openxmlformats.org/officeDocument/2006/relationships/hyperlink" Target="mailto:mauricio.guzman@spci.com.co" TargetMode="External" Id="rId164"/><Relationship Type="http://schemas.openxmlformats.org/officeDocument/2006/relationships/hyperlink" Target="mailto:pduque@columbus.edu.co" TargetMode="External" Id="rId165"/><Relationship Type="http://schemas.openxmlformats.org/officeDocument/2006/relationships/hyperlink" Target="mailto:santiago.cardona@spci.com.co" TargetMode="External" Id="rId166"/><Relationship Type="http://schemas.openxmlformats.org/officeDocument/2006/relationships/hyperlink" Target="mailto:dirproyectos@securetec.com.co" TargetMode="External" Id="rId167"/><Relationship Type="http://schemas.openxmlformats.org/officeDocument/2006/relationships/hyperlink" Target="mailto:laura.arias@studiosur.net" TargetMode="External" Id="rId168"/><Relationship Type="http://schemas.openxmlformats.org/officeDocument/2006/relationships/hyperlink" Target="mailto:dirproyectos@securetec.com.co" TargetMode="External" Id="rId169"/><Relationship Type="http://schemas.openxmlformats.org/officeDocument/2006/relationships/hyperlink" Target="mailto:sraic.asistente@gmail.com" TargetMode="External" Id="rId170"/><Relationship Type="http://schemas.openxmlformats.org/officeDocument/2006/relationships/hyperlink" Target="mailto:gino1037@hotmail.com" TargetMode="External" Id="rId171"/><Relationship Type="http://schemas.openxmlformats.org/officeDocument/2006/relationships/hyperlink" Target="mailto:edgar.lopez@abile.co" TargetMode="External" Id="rId172"/><Relationship Type="http://schemas.openxmlformats.org/officeDocument/2006/relationships/hyperlink" Target="mailto:gino1037@hotmail.com" TargetMode="External" Id="rId173"/><Relationship Type="http://schemas.openxmlformats.org/officeDocument/2006/relationships/hyperlink" Target="mailto:frodriguez@conaltura.com" TargetMode="External" Id="rId174"/><Relationship Type="http://schemas.openxmlformats.org/officeDocument/2006/relationships/hyperlink" Target="mailto:frodriguez@conaltura.com" TargetMode="External" Id="rId175"/><Relationship Type="http://schemas.openxmlformats.org/officeDocument/2006/relationships/hyperlink" Target="mailto:frodriguez@conaltura.com" TargetMode="External" Id="rId176"/><Relationship Type="http://schemas.openxmlformats.org/officeDocument/2006/relationships/hyperlink" Target="mailto:frodriguez@conaltura.com" TargetMode="External" Id="rId177"/><Relationship Type="http://schemas.openxmlformats.org/officeDocument/2006/relationships/hyperlink" Target="mailto:camilo.quintero@spci.com.co" TargetMode="External" Id="rId178"/><Relationship Type="http://schemas.openxmlformats.org/officeDocument/2006/relationships/hyperlink" Target="mailto:camilo.quintero@spci.com.co" TargetMode="External" Id="rId179"/><Relationship Type="http://schemas.openxmlformats.org/officeDocument/2006/relationships/hyperlink" Target="mailto:cristiam.mondragon@spci.com.co" TargetMode="External" Id="rId180"/><Relationship Type="http://schemas.openxmlformats.org/officeDocument/2006/relationships/hyperlink" Target="mailto:camilo.quintero@spci.com.co" TargetMode="External" Id="rId181"/><Relationship Type="http://schemas.openxmlformats.org/officeDocument/2006/relationships/hyperlink" Target="mailto:gaguirre@solciviles.com" TargetMode="External" Id="rId182"/><Relationship Type="http://schemas.openxmlformats.org/officeDocument/2006/relationships/hyperlink" Target="mailto:ldelgado@bomberosenvigado.org" TargetMode="External" Id="rId183"/><Relationship Type="http://schemas.openxmlformats.org/officeDocument/2006/relationships/hyperlink" Target="mailto:diseno4@gyd.com.co" TargetMode="External" Id="rId184"/><Relationship Type="http://schemas.openxmlformats.org/officeDocument/2006/relationships/hyperlink" Target="mailto:juan.londono@serviciosipm.com" TargetMode="External" Id="rId185"/><Relationship Type="http://schemas.openxmlformats.org/officeDocument/2006/relationships/hyperlink" Target="mailto:cristiam.mondragon@spci.com.co" TargetMode="External" Id="rId186"/><Relationship Type="http://schemas.openxmlformats.org/officeDocument/2006/relationships/hyperlink" Target="mailto:camilo.quintero@spci.com.co" TargetMode="External" Id="rId187"/><Relationship Type="http://schemas.openxmlformats.org/officeDocument/2006/relationships/hyperlink" Target="mailto:juan.londono@serviciosipm.com" TargetMode="External" Id="rId188"/><Relationship Type="http://schemas.openxmlformats.org/officeDocument/2006/relationships/hyperlink" Target="mailto:berincesas@gmail.com" TargetMode="External" Id="rId189"/><Relationship Type="http://schemas.openxmlformats.org/officeDocument/2006/relationships/hyperlink" Target="mailto:lsaldarriaga@interlg.com" TargetMode="External" Id="rId190"/><Relationship Type="http://schemas.openxmlformats.org/officeDocument/2006/relationships/hyperlink" Target="mailto:directorlean@inserco.com.co" TargetMode="External" Id="rId191"/><Relationship Type="http://schemas.openxmlformats.org/officeDocument/2006/relationships/hyperlink" Target="mailto:david.lopera@socomes.com" TargetMode="External" Id="rId192"/><Relationship Type="http://schemas.openxmlformats.org/officeDocument/2006/relationships/hyperlink" Target="mailto:luisa.londono@ingeniobim.co" TargetMode="External" Id="rId193"/><Relationship Type="http://schemas.openxmlformats.org/officeDocument/2006/relationships/hyperlink" Target="mailto:liliana.gutierrez@studiosur.net" TargetMode="External" Id="rId194"/><Relationship Type="http://schemas.openxmlformats.org/officeDocument/2006/relationships/hyperlink" Target="mailto:camilo.quintero@spci.com.co" TargetMode="External" Id="rId195"/><Relationship Type="http://schemas.openxmlformats.org/officeDocument/2006/relationships/hyperlink" Target="mailto:cristiam.mondragon@spci.com.co" TargetMode="External" Id="rId196"/><Relationship Type="http://schemas.openxmlformats.org/officeDocument/2006/relationships/hyperlink" Target="mailto:pduque@columbus.edu.co" TargetMode="External" Id="rId197"/><Relationship Type="http://schemas.openxmlformats.org/officeDocument/2006/relationships/hyperlink" Target="mailto:angie.foronda@plasticosminipet.com" TargetMode="External" Id="rId198"/><Relationship Type="http://schemas.openxmlformats.org/officeDocument/2006/relationships/hyperlink" Target="mailto:proyectos2@jomarkseguridad.com" TargetMode="External" Id="rId199"/><Relationship Type="http://schemas.openxmlformats.org/officeDocument/2006/relationships/hyperlink" Target="mailto:daniel.gomez@edyfica.co" TargetMode="External" Id="rId200"/><Relationship Type="http://schemas.openxmlformats.org/officeDocument/2006/relationships/hyperlink" Target="mailto:luisa.londono@ingeniobim.co" TargetMode="External" Id="rId201"/><Relationship Type="http://schemas.openxmlformats.org/officeDocument/2006/relationships/hyperlink" Target="mailto:sebastianochoa@arquitecturayconcreto.com" TargetMode="External" Id="rId202"/><Relationship Type="http://schemas.openxmlformats.org/officeDocument/2006/relationships/hyperlink" Target="mailto:fcrtamarapuerta@gmail.com" TargetMode="External" Id="rId203"/><Relationship Type="http://schemas.openxmlformats.org/officeDocument/2006/relationships/hyperlink" Target="mailto:comercial@comexinternacional.com.co" TargetMode="External" Id="rId204"/><Relationship Type="http://schemas.openxmlformats.org/officeDocument/2006/relationships/hyperlink" Target="mailto:david.lopera@socomes.com" TargetMode="External" Id="rId205"/><Relationship Type="http://schemas.openxmlformats.org/officeDocument/2006/relationships/hyperlink" Target="mailto:n.garcia@condiseno.co" TargetMode="External" Id="rId206"/><Relationship Type="http://schemas.openxmlformats.org/officeDocument/2006/relationships/hyperlink" Target="mailto:danielavelez.fcr@gmail.com" TargetMode="External" Id="rId207"/><Relationship Type="http://schemas.openxmlformats.org/officeDocument/2006/relationships/hyperlink" Target="mailto:dirobra.gruposanremo@gmail.com" TargetMode="External" Id="rId208"/><Relationship Type="http://schemas.openxmlformats.org/officeDocument/2006/relationships/hyperlink" Target="mailto:Kathe.jara@hotmail.com" TargetMode="External" Id="rId209"/><Relationship Type="http://schemas.openxmlformats.org/officeDocument/2006/relationships/hyperlink" Target="mailto:dirproyectos@securetec.com.co" TargetMode="External" Id="rId210"/><Relationship Type="http://schemas.openxmlformats.org/officeDocument/2006/relationships/hyperlink" Target="mailto:eidyalzateq@clinicaces.edu.co" TargetMode="External" Id="rId211"/><Relationship Type="http://schemas.openxmlformats.org/officeDocument/2006/relationships/hyperlink" Target="mailto:lmontoya@iconstructora.com.co" TargetMode="External" Id="rId212"/><Relationship Type="http://schemas.openxmlformats.org/officeDocument/2006/relationships/hyperlink" Target="mailto:william.hernandez@construgen.com" TargetMode="External" Id="rId213"/><Relationship Type="http://schemas.openxmlformats.org/officeDocument/2006/relationships/hyperlink" Target="mailto:lsaldarriaga@interlg.com" TargetMode="External" Id="rId214"/><Relationship Type="http://schemas.openxmlformats.org/officeDocument/2006/relationships/hyperlink" Target="mailto:fjrestrepo@conconcreto.com" TargetMode="External" Id="rId215"/><Relationship Type="http://schemas.openxmlformats.org/officeDocument/2006/relationships/hyperlink" Target="mailto:ventas@felingenieria.onmicrosoft.com" TargetMode="External" Id="rId216"/><Relationship Type="http://schemas.openxmlformats.org/officeDocument/2006/relationships/hyperlink" Target="mailto:hgallego@conconcreto.com" TargetMode="External" Id="rId217"/><Relationship Type="http://schemas.openxmlformats.org/officeDocument/2006/relationships/hyperlink" Target="mailto:parangor@conconcreto.com" TargetMode="External" Id="rId218"/><Relationship Type="http://schemas.openxmlformats.org/officeDocument/2006/relationships/hyperlink" Target="mailto:ana.restrepo@spci.com.co" TargetMode="External" Id="rId219"/><Relationship Type="http://schemas.openxmlformats.org/officeDocument/2006/relationships/hyperlink" Target="mailto:gino1037@hotmail.com" TargetMode="External" Id="rId220"/><Relationship Type="http://schemas.openxmlformats.org/officeDocument/2006/relationships/hyperlink" Target="mailto:esteban.perez@tzd.com.co" TargetMode="External" Id="rId221"/><Relationship Type="http://schemas.openxmlformats.org/officeDocument/2006/relationships/hyperlink" Target="mailto:jrodriguez@ingesed.com" TargetMode="External" Id="rId222"/><Relationship Type="http://schemas.openxmlformats.org/officeDocument/2006/relationships/hyperlink" Target="mailto:gino1037@hotmail.com" TargetMode="External" Id="rId223"/><Relationship Type="http://schemas.openxmlformats.org/officeDocument/2006/relationships/hyperlink" Target="mailto:lmontoya@iconstructora.com.co" TargetMode="External" Id="rId224"/><Relationship Type="http://schemas.openxmlformats.org/officeDocument/2006/relationships/hyperlink" Target="mailto:oscar.rivas@greenland.co" TargetMode="External" Id="rId225"/><Relationship Type="http://schemas.openxmlformats.org/officeDocument/2006/relationships/hyperlink" Target="mailto:mauricio.guzman@spci.com.co" TargetMode="External" Id="rId226"/><Relationship Type="http://schemas.openxmlformats.org/officeDocument/2006/relationships/hyperlink" Target="mailto:olgallego@sena.edu.co" TargetMode="External" Id="rId227"/><Relationship Type="http://schemas.openxmlformats.org/officeDocument/2006/relationships/hyperlink" Target="mailto:igiraldo@proyectosurbanos.com.co" TargetMode="External" Id="rId228"/><Relationship Type="http://schemas.openxmlformats.org/officeDocument/2006/relationships/hyperlink" Target="mailto:proyectos2@jomarkseguridad.com" TargetMode="External" Id="rId229"/><Relationship Type="http://schemas.openxmlformats.org/officeDocument/2006/relationships/hyperlink" Target="mailto:gerenciaproyectos@rpmedicas.co" TargetMode="External" Id="rId230"/><Relationship Type="http://schemas.openxmlformats.org/officeDocument/2006/relationships/hyperlink" Target="mailto:zmlopez@coninsa.co" TargetMode="External" Id="rId231"/><Relationship Type="http://schemas.openxmlformats.org/officeDocument/2006/relationships/hyperlink" Target="mailto:juan.grajales@spci.com.co" TargetMode="External" Id="rId232"/><Relationship Type="http://schemas.openxmlformats.org/officeDocument/2006/relationships/hyperlink" Target="mailto:Vanessazapata.fcr@gmail.com" TargetMode="External" Id="rId233"/><Relationship Type="http://schemas.openxmlformats.org/officeDocument/2006/relationships/hyperlink" Target="mailto:zmlopez@coninsa.co" TargetMode="External" Id="rId234"/><Relationship Type="http://schemas.openxmlformats.org/officeDocument/2006/relationships/hyperlink" Target="mailto:zmlopez@coninsa.co" TargetMode="External" Id="rId235"/><Relationship Type="http://schemas.openxmlformats.org/officeDocument/2006/relationships/hyperlink" Target="mailto:zmlopez@coninsa.co" TargetMode="External" Id="rId236"/><Relationship Type="http://schemas.openxmlformats.org/officeDocument/2006/relationships/hyperlink" Target="mailto:gerenciaproyectos@rpmedicas.co" TargetMode="External" Id="rId237"/><Relationship Type="http://schemas.openxmlformats.org/officeDocument/2006/relationships/hyperlink" Target="mailto:cristiam.mondragon@spci.com.co" TargetMode="External" Id="rId238"/><Relationship Type="http://schemas.openxmlformats.org/officeDocument/2006/relationships/hyperlink" Target="mailto:camilo.quintero@spci.com.co" TargetMode="External" Id="rId239"/><Relationship Type="http://schemas.openxmlformats.org/officeDocument/2006/relationships/hyperlink" Target="mailto:cristiam.mondragon@spci.com.co" TargetMode="External" Id="rId240"/><Relationship Type="http://schemas.openxmlformats.org/officeDocument/2006/relationships/hyperlink" Target="mailto:mauricio.guzman@spci.com.co" TargetMode="External" Id="rId241"/><Relationship Type="http://schemas.openxmlformats.org/officeDocument/2006/relationships/hyperlink" Target="mailto:dvelez@contex.com.co" TargetMode="External" Id="rId242"/><Relationship Type="http://schemas.openxmlformats.org/officeDocument/2006/relationships/hyperlink" Target="mailto:mauricio.guzman@spci.com.co" TargetMode="External" Id="rId243"/><Relationship Type="http://schemas.openxmlformats.org/officeDocument/2006/relationships/hyperlink" Target="mailto:diseno4@gyd.com.co" TargetMode="External" Id="rId244"/><Relationship Type="http://schemas.openxmlformats.org/officeDocument/2006/relationships/hyperlink" Target="mailto:ana.restrepo@spci.com.co" TargetMode="External" Id="rId245"/><Relationship Type="http://schemas.openxmlformats.org/officeDocument/2006/relationships/hyperlink" Target="mailto:dirproyectos@securetec.com.co" TargetMode="External" Id="rId246"/><Relationship Type="http://schemas.openxmlformats.org/officeDocument/2006/relationships/hyperlink" Target="mailto:johana.rojas@bienesybienes.com.co" TargetMode="External" Id="rId247"/><Relationship Type="http://schemas.openxmlformats.org/officeDocument/2006/relationships/hyperlink" Target="mailto:dirproyectos@securetec.com.co" TargetMode="External" Id="rId248"/><Relationship Type="http://schemas.openxmlformats.org/officeDocument/2006/relationships/hyperlink" Target="mailto:comercial@firesupply.com.co" TargetMode="External" Id="rId249"/><Relationship Type="http://schemas.openxmlformats.org/officeDocument/2006/relationships/hyperlink" Target="mailto:mauricio.gutierrez@spci.com.co" TargetMode="External" Id="rId250"/><Relationship Type="http://schemas.openxmlformats.org/officeDocument/2006/relationships/hyperlink" Target="mailto:mauricio.gutierrez@spci.com.co" TargetMode="External" Id="rId251"/><Relationship Type="http://schemas.openxmlformats.org/officeDocument/2006/relationships/hyperlink" Target="mailto:camilo.quintero@spci.com.co" TargetMode="External" Id="rId252"/><Relationship Type="http://schemas.openxmlformats.org/officeDocument/2006/relationships/hyperlink" Target="mailto:cristiam.mondragon@spci.com.co" TargetMode="External" Id="rId253"/><Relationship Type="http://schemas.openxmlformats.org/officeDocument/2006/relationships/hyperlink" Target="mailto:andres.gomez@aia.com.co" TargetMode="External" Id="rId254"/><Relationship Type="http://schemas.openxmlformats.org/officeDocument/2006/relationships/hyperlink" Target="mailto:andres.gomez@aia.com.co" TargetMode="External" Id="rId255"/><Relationship Type="http://schemas.openxmlformats.org/officeDocument/2006/relationships/hyperlink" Target="mailto:cristiam.mondragon@spci.com.co" TargetMode="External" Id="rId256"/><Relationship Type="http://schemas.openxmlformats.org/officeDocument/2006/relationships/hyperlink" Target="mailto:liliana.gutierrez@studiosur.net" TargetMode="External" Id="rId257"/><Relationship Type="http://schemas.openxmlformats.org/officeDocument/2006/relationships/hyperlink" Target="mailto:Daniel.Vasquez@camaramedellin.com.co" TargetMode="External" Id="rId258"/><Relationship Type="http://schemas.openxmlformats.org/officeDocument/2006/relationships/hyperlink" Target="mailto:camilo.quintero@spci.com.co" TargetMode="External" Id="rId259"/><Relationship Type="http://schemas.openxmlformats.org/officeDocument/2006/relationships/hyperlink" Target="mailto:daniel.guzman@ingeniobim.co" TargetMode="External" Id="rId260"/><Relationship Type="http://schemas.openxmlformats.org/officeDocument/2006/relationships/hyperlink" Target="mailto:ascomercial2@securetec.com.co" TargetMode="External" Id="rId261"/><Relationship Type="http://schemas.openxmlformats.org/officeDocument/2006/relationships/hyperlink" Target="mailto:proyectos@prosoma.com.co" TargetMode="External" Id="rId262"/><Relationship Type="http://schemas.openxmlformats.org/officeDocument/2006/relationships/hyperlink" Target="mailto:proyectos@prosoma.com.co" TargetMode="External" Id="rId263"/><Relationship Type="http://schemas.openxmlformats.org/officeDocument/2006/relationships/hyperlink" Target="mailto:proyectos@prosoma.com.co" TargetMode="External" Id="rId264"/><Relationship Type="http://schemas.openxmlformats.org/officeDocument/2006/relationships/hyperlink" Target="mailto:miguelrobayo@sfiregroup.com" TargetMode="External" Id="rId265"/><Relationship Type="http://schemas.openxmlformats.org/officeDocument/2006/relationships/hyperlink" Target="mailto:lmontoya@iconstructora.com.co" TargetMode="External" Id="rId266"/><Relationship Type="http://schemas.openxmlformats.org/officeDocument/2006/relationships/hyperlink" Target="mailto:hernan.ortiz@spci.com.co" TargetMode="External" Id="rId267"/><Relationship Type="http://schemas.openxmlformats.org/officeDocument/2006/relationships/hyperlink" Target="mailto:jorgerojas@iayc.co" TargetMode="External" Id="rId268"/><Relationship Type="http://schemas.openxmlformats.org/officeDocument/2006/relationships/hyperlink" Target="mailto:dirproyectos@securetec.com.co" TargetMode="External" Id="rId269"/><Relationship Type="http://schemas.openxmlformats.org/officeDocument/2006/relationships/hyperlink" Target="mailto:cristiam.mondragon@spci.com.co" TargetMode="External" Id="rId270"/><Relationship Type="http://schemas.openxmlformats.org/officeDocument/2006/relationships/hyperlink" Target="mailto:alvaromanosalva@sfiregroup.com" TargetMode="External" Id="rId271"/><Relationship Type="http://schemas.openxmlformats.org/officeDocument/2006/relationships/hyperlink" Target="mailto:interventoria.menteplena@gmail.com" TargetMode="External" Id="rId272"/><Relationship Type="http://schemas.openxmlformats.org/officeDocument/2006/relationships/hyperlink" Target="mailto:daniel.guzman@ingeniobim.co" TargetMode="External" Id="rId273"/><Relationship Type="http://schemas.openxmlformats.org/officeDocument/2006/relationships/hyperlink" Target="mailto:obinsonmarulanda@arquitecturayconcreto.com" TargetMode="External" Id="rId274"/><Relationship Type="http://schemas.openxmlformats.org/officeDocument/2006/relationships/hyperlink" Target="mailto:daniel.guzman@ingeniobim.co" TargetMode="External" Id="rId275"/><Relationship Type="http://schemas.openxmlformats.org/officeDocument/2006/relationships/hyperlink" Target="mailto:comercial@ingesed.com" TargetMode="External" Id="rId276"/><Relationship Type="http://schemas.openxmlformats.org/officeDocument/2006/relationships/hyperlink" Target="mailto:cristiam.mondragon@spci.com.co" TargetMode="External" Id="rId277"/><Relationship Type="http://schemas.openxmlformats.org/officeDocument/2006/relationships/hyperlink" Target="mailto:ascomercial2@securetec.com.co" TargetMode="External" Id="rId278"/><Relationship Type="http://schemas.openxmlformats.org/officeDocument/2006/relationships/hyperlink" Target="mailto:ascomercial2@securetec.com.co" TargetMode="External" Id="rId279"/><Relationship Type="http://schemas.openxmlformats.org/officeDocument/2006/relationships/hyperlink" Target="mailto:camilo.quintero@spci.com.co" TargetMode="External" Id="rId280"/><Relationship Type="http://schemas.openxmlformats.org/officeDocument/2006/relationships/hyperlink" Target="mailto:fgomez@viva1a.com.co" TargetMode="External" Id="rId281"/><Relationship Type="http://schemas.openxmlformats.org/officeDocument/2006/relationships/hyperlink" Target="mailto:licitaciones@spci.com.co" TargetMode="External" Id="rId282"/><Relationship Type="http://schemas.openxmlformats.org/officeDocument/2006/relationships/hyperlink" Target="mailto:sandra@urbica.co" TargetMode="External" Id="rId283"/><Relationship Type="http://schemas.openxmlformats.org/officeDocument/2006/relationships/hyperlink" Target="mailto:comercial@ingesed.com" TargetMode="External" Id="rId284"/><Relationship Type="http://schemas.openxmlformats.org/officeDocument/2006/relationships/hyperlink" Target="mailto:villaterrat2@gmail.com" TargetMode="External" Id="rId285"/><Relationship Type="http://schemas.openxmlformats.org/officeDocument/2006/relationships/hyperlink" Target="mailto:cristiam.mondragon@spci.com.co" TargetMode="External" Id="rId286"/><Relationship Type="http://schemas.openxmlformats.org/officeDocument/2006/relationships/hyperlink" Target="mailto:david.lopera@socomes.com" TargetMode="External" Id="rId287"/><Relationship Type="http://schemas.openxmlformats.org/officeDocument/2006/relationships/hyperlink" Target="mailto:juan.vanegas@spci.com.co" TargetMode="External" Id="rId288"/><Relationship Type="http://schemas.openxmlformats.org/officeDocument/2006/relationships/hyperlink" Target="mailto:n.garcia@condiseno.co" TargetMode="External" Id="rId289"/><Relationship Type="http://schemas.openxmlformats.org/officeDocument/2006/relationships/hyperlink" Target="mailto:j.alvarez@celesteypiedra.com" TargetMode="External" Id="rId290"/><Relationship Type="http://schemas.openxmlformats.org/officeDocument/2006/relationships/hyperlink" Target="mailto:plablomateo@yahoo.com" TargetMode="External" Id="rId291"/><Relationship Type="http://schemas.openxmlformats.org/officeDocument/2006/relationships/hyperlink" Target="mailto:plablomateo@yahoo.com" TargetMode="External" Id="rId292"/><Relationship Type="http://schemas.openxmlformats.org/officeDocument/2006/relationships/hyperlink" Target="mailto:obinsonmarulanda@arquitecturayconcreto.com" TargetMode="External" Id="rId293"/><Relationship Type="http://schemas.openxmlformats.org/officeDocument/2006/relationships/hyperlink" Target="mailto:carlos.henao@seriinco.com" TargetMode="External" Id="rId294"/><Relationship Type="http://schemas.openxmlformats.org/officeDocument/2006/relationships/hyperlink" Target="mailto:aplostudio.info@gmail.com" TargetMode="External" Id="rId295"/><Relationship Type="http://schemas.openxmlformats.org/officeDocument/2006/relationships/hyperlink" Target="mailto:arquitectura4@molinoviejo.co" TargetMode="External" Id="rId296"/><Relationship Type="http://schemas.openxmlformats.org/officeDocument/2006/relationships/hyperlink" Target="mailto:obra.lacalleja.fcr@gmail.com" TargetMode="External" Id="rId297"/><Relationship Type="http://schemas.openxmlformats.org/officeDocument/2006/relationships/hyperlink" Target="mailto:david.lopera@socomes.com" TargetMode="External" Id="rId298"/><Relationship Type="http://schemas.openxmlformats.org/officeDocument/2006/relationships/hyperlink" Target="mailto:carlos.henao@seriinco.com" TargetMode="External" Id="rId299"/><Relationship Type="http://schemas.openxmlformats.org/officeDocument/2006/relationships/hyperlink" Target="mailto:obinsonmarulanda@arquitecturayconcreto.com" TargetMode="External" Id="rId300"/><Relationship Type="http://schemas.openxmlformats.org/officeDocument/2006/relationships/hyperlink" Target="mailto:cristiam.mondragon@spci.com.co" TargetMode="External" Id="rId301"/><Relationship Type="http://schemas.openxmlformats.org/officeDocument/2006/relationships/hyperlink" Target="mailto:cristiam.mondragon@spci.com.co" TargetMode="External" Id="rId302"/><Relationship Type="http://schemas.openxmlformats.org/officeDocument/2006/relationships/hyperlink" Target="mailto:juan.grajales@spci.com.co" TargetMode="External" Id="rId303"/><Relationship Type="http://schemas.openxmlformats.org/officeDocument/2006/relationships/hyperlink" Target="mailto:david.lopera@socomes.com" TargetMode="External" Id="rId304"/><Relationship Type="http://schemas.openxmlformats.org/officeDocument/2006/relationships/hyperlink" Target="mailto:david.lopera@socomes.com" TargetMode="External" Id="rId305"/><Relationship Type="http://schemas.openxmlformats.org/officeDocument/2006/relationships/hyperlink" Target="mailto:obinsonmarulanda@arquitecturayconcreto.com" TargetMode="External" Id="rId306"/><Relationship Type="http://schemas.openxmlformats.org/officeDocument/2006/relationships/hyperlink" Target="mailto:parangor@conconcreto.com" TargetMode="External" Id="rId307"/><Relationship Type="http://schemas.openxmlformats.org/officeDocument/2006/relationships/hyperlink" Target="mailto:escapeto28@gmail.com" TargetMode="External" Id="rId308"/><Relationship Type="http://schemas.openxmlformats.org/officeDocument/2006/relationships/hyperlink" Target="mailto:ingrossosas@gmail.com" TargetMode="External" Id="rId309"/><Relationship Type="http://schemas.openxmlformats.org/officeDocument/2006/relationships/hyperlink" Target="mailto:david.lopera@socomes.com" TargetMode="External" Id="rId310"/><Relationship Type="http://schemas.openxmlformats.org/officeDocument/2006/relationships/hyperlink" Target="mailto:juan.vanegas@spci.com.co" TargetMode="External" Id="rId311"/><Relationship Type="http://schemas.openxmlformats.org/officeDocument/2006/relationships/hyperlink" Target="mailto:david.lopera@socomes.com" TargetMode="External" Id="rId312"/><Relationship Type="http://schemas.openxmlformats.org/officeDocument/2006/relationships/hyperlink" Target="mailto:francisco.unda@seriinco.com" TargetMode="External" Id="rId313"/><Relationship Type="http://schemas.openxmlformats.org/officeDocument/2006/relationships/hyperlink" Target="mailto:juan.londono@serviciosipm.com" TargetMode="External" Id="rId314"/><Relationship Type="http://schemas.openxmlformats.org/officeDocument/2006/relationships/hyperlink" Target="mailto:cristina@sumario.co" TargetMode="External" Id="rId315"/><Relationship Type="http://schemas.openxmlformats.org/officeDocument/2006/relationships/hyperlink" Target="mailto:mcvelasquez@contex.com.co" TargetMode="External" Id="rId316"/><Relationship Type="http://schemas.openxmlformats.org/officeDocument/2006/relationships/hyperlink" Target="mailto:btamayo@ipcproyectos.co" TargetMode="External" Id="rId317"/><Relationship Type="http://schemas.openxmlformats.org/officeDocument/2006/relationships/hyperlink" Target="mailto:btamayo@ipcproyectos.co" TargetMode="External" Id="rId318"/><Relationship Type="http://schemas.openxmlformats.org/officeDocument/2006/relationships/hyperlink" Target="mailto:valentinaortega@mensulaingenieros.com" TargetMode="External" Id="rId319"/><Relationship Type="http://schemas.openxmlformats.org/officeDocument/2006/relationships/hyperlink" Target="mailto:camilo.quintero@spci.com.co" TargetMode="External" Id="rId320"/><Relationship Type="http://schemas.openxmlformats.org/officeDocument/2006/relationships/hyperlink" Target="mailto:francisco.unda@seriinco.com" TargetMode="External" Id="rId321"/><Relationship Type="http://schemas.openxmlformats.org/officeDocument/2006/relationships/hyperlink" Target="mailto:aprendizsst@grupomilagros.com" TargetMode="External" Id="rId322"/><Relationship Type="http://schemas.openxmlformats.org/officeDocument/2006/relationships/hyperlink" Target="mailto:venaver@une.net.co" TargetMode="External" Id="rId323"/><Relationship Type="http://schemas.openxmlformats.org/officeDocument/2006/relationships/hyperlink" Target="mailto:dbetancur@aia.com.co" TargetMode="External" Id="rId324"/><Relationship Type="http://schemas.openxmlformats.org/officeDocument/2006/relationships/hyperlink" Target="mailto:dbetancur@aia.com.co" TargetMode="External" Id="rId325"/><Relationship Type="http://schemas.openxmlformats.org/officeDocument/2006/relationships/hyperlink" Target="mailto:sraic.diseno@gmail.com" TargetMode="External" Id="rId326"/><Relationship Type="http://schemas.openxmlformats.org/officeDocument/2006/relationships/hyperlink" Target="mailto:alvarol@toroposada.com" TargetMode="External" Id="rId327"/><Relationship Type="http://schemas.openxmlformats.org/officeDocument/2006/relationships/hyperlink" Target="mailto:jcamilo.builes@ingeniobim.co" TargetMode="External" Id="rId328"/><Relationship Type="http://schemas.openxmlformats.org/officeDocument/2006/relationships/hyperlink" Target="mailto:jcamilo.builes@ingeniobim.co" TargetMode="External" Id="rId329"/><Relationship Type="http://schemas.openxmlformats.org/officeDocument/2006/relationships/hyperlink" Target="mailto:cristiam.mondragon@spci.com.co" TargetMode="External" Id="rId330"/><Relationship Type="http://schemas.openxmlformats.org/officeDocument/2006/relationships/hyperlink" Target="mailto:cristiam.mondragon@spci.com.co" TargetMode="External" Id="rId331"/><Relationship Type="http://schemas.openxmlformats.org/officeDocument/2006/relationships/hyperlink" Target="mailto:victor.saldarriaga@spci.com.co" TargetMode="External" Id="rId332"/><Relationship Type="http://schemas.openxmlformats.org/officeDocument/2006/relationships/hyperlink" Target="mailto:victor.saldarriaga@spci.com.co" TargetMode="External" Id="rId333"/><Relationship Type="http://schemas.openxmlformats.org/officeDocument/2006/relationships/hyperlink" Target="mailto:rafaelb@toroposada.com" TargetMode="External" Id="rId334"/><Relationship Type="http://schemas.openxmlformats.org/officeDocument/2006/relationships/hyperlink" Target="mailto:gino1037@hotmail.com" TargetMode="External" Id="rId335"/><Relationship Type="http://schemas.openxmlformats.org/officeDocument/2006/relationships/hyperlink" Target="mailto:camilo.quintero@spci.com.co" TargetMode="External" Id="rId336"/><Relationship Type="http://schemas.openxmlformats.org/officeDocument/2006/relationships/hyperlink" Target="mailto:camilo.quintero@spci.com.co" TargetMode="External" Id="rId337"/><Relationship Type="http://schemas.openxmlformats.org/officeDocument/2006/relationships/hyperlink" Target="mailto:cristiam.mondragon@spci.com.co" TargetMode="External" Id="rId338"/><Relationship Type="http://schemas.openxmlformats.org/officeDocument/2006/relationships/hyperlink" Target="mailto:alvaromanosalva@sfiregroup.com" TargetMode="External" Id="rId339"/><Relationship Type="http://schemas.openxmlformats.org/officeDocument/2006/relationships/hyperlink" Target="mailto:cristiam.mondragon@spci.com.co" TargetMode="External" Id="rId340"/><Relationship Type="http://schemas.openxmlformats.org/officeDocument/2006/relationships/hyperlink" Target="mailto:crendono@grupo-exito.com" TargetMode="External" Id="rId341"/><Relationship Type="http://schemas.openxmlformats.org/officeDocument/2006/relationships/hyperlink" Target="mailto:camilo.quintero@spci.com.co" TargetMode="External" Id="rId342"/><Relationship Type="http://schemas.openxmlformats.org/officeDocument/2006/relationships/hyperlink" Target="mailto:rvasquez@estudiotransversal.com.co" TargetMode="External" Id="rId343"/><Relationship Type="http://schemas.openxmlformats.org/officeDocument/2006/relationships/hyperlink" Target="mailto:ldominguezt@conconcreto.com" TargetMode="External" Id="rId344"/><Relationship Type="http://schemas.openxmlformats.org/officeDocument/2006/relationships/hyperlink" Target="mailto:n.garcia@condiseno.co" TargetMode="External" Id="rId345"/><Relationship Type="http://schemas.openxmlformats.org/officeDocument/2006/relationships/hyperlink" Target="mailto:gersonmarulanda@mensulaingenieros.com" TargetMode="External" Id="rId346"/><Relationship Type="http://schemas.openxmlformats.org/officeDocument/2006/relationships/hyperlink" Target="mailto:lsaldarriaga@interlg.com" TargetMode="External" Id="rId347"/><Relationship Type="http://schemas.openxmlformats.org/officeDocument/2006/relationships/hyperlink" Target="mailto:gino1037@hotmail.com" TargetMode="External" Id="rId348"/><Relationship Type="http://schemas.openxmlformats.org/officeDocument/2006/relationships/hyperlink" Target="mailto:juan.grajales@spci.com.co" TargetMode="External" Id="rId349"/><Relationship Type="http://schemas.openxmlformats.org/officeDocument/2006/relationships/hyperlink" Target="mailto:wledesma@viva1a.com.co" TargetMode="External" Id="rId350"/><Relationship Type="http://schemas.openxmlformats.org/officeDocument/2006/relationships/hyperlink" Target="mailto:jorge.escobar@espiral.com.co" TargetMode="External" Id="rId351"/><Relationship Type="http://schemas.openxmlformats.org/officeDocument/2006/relationships/hyperlink" Target="mailto:juan.grajales@spci.com.co" TargetMode="External" Id="rId352"/><Relationship Type="http://schemas.openxmlformats.org/officeDocument/2006/relationships/hyperlink" Target="mailto:jtamayol@unal.edu.co" TargetMode="External" Id="rId353"/><Relationship Type="http://schemas.openxmlformats.org/officeDocument/2006/relationships/hyperlink" Target="mailto:escapeto28@gmail.com" TargetMode="External" Id="rId354"/><Relationship Type="http://schemas.openxmlformats.org/officeDocument/2006/relationships/hyperlink" Target="mailto:josemaya@firemarshal.com.co" TargetMode="External" Id="rId355"/><Relationship Type="http://schemas.openxmlformats.org/officeDocument/2006/relationships/hyperlink" Target="mailto:dirarquitectura@casasbee.com" TargetMode="External" Id="rId356"/><Relationship Type="http://schemas.openxmlformats.org/officeDocument/2006/relationships/hyperlink" Target="mailto:victor.saldarriaga@spci.com.co" TargetMode="External" Id="rId357"/><Relationship Type="http://schemas.openxmlformats.org/officeDocument/2006/relationships/hyperlink" Target="mailto:liliana.gutierrez@studiosur.net" TargetMode="External" Id="rId358"/><Relationship Type="http://schemas.openxmlformats.org/officeDocument/2006/relationships/hyperlink" Target="mailto:gino1037@hotmail.com" TargetMode="External" Id="rId359"/><Relationship Type="http://schemas.openxmlformats.org/officeDocument/2006/relationships/hyperlink" Target="mailto:gino1037@hotmail.com" TargetMode="External" Id="rId360"/><Relationship Type="http://schemas.openxmlformats.org/officeDocument/2006/relationships/hyperlink" Target="mailto:gino1037@hotmail.com" TargetMode="External" Id="rId361"/><Relationship Type="http://schemas.openxmlformats.org/officeDocument/2006/relationships/hyperlink" Target="mailto:jorgemaya@centrosur.co" TargetMode="External" Id="rId362"/><Relationship Type="http://schemas.openxmlformats.org/officeDocument/2006/relationships/hyperlink" Target="mailto:juanfranco@mt.com.co" TargetMode="External" Id="rId363"/><Relationship Type="http://schemas.openxmlformats.org/officeDocument/2006/relationships/hyperlink" Target="mailto:asistenteadmonverticall@gmail.com" TargetMode="External" Id="rId364"/><Relationship Type="http://schemas.openxmlformats.org/officeDocument/2006/relationships/hyperlink" Target="mailto:dbetancur@aia.com.co" TargetMode="External" Id="rId365"/><Relationship Type="http://schemas.openxmlformats.org/officeDocument/2006/relationships/hyperlink" Target="mailto:dbetancur@aia.com.co" TargetMode="External" Id="rId366"/><Relationship Type="http://schemas.openxmlformats.org/officeDocument/2006/relationships/hyperlink" Target="mailto:paolopez@paoarq.com" TargetMode="External" Id="rId367"/><Relationship Type="http://schemas.openxmlformats.org/officeDocument/2006/relationships/hyperlink" Target="mailto:comercial@ingesed.com" TargetMode="External" Id="rId368"/><Relationship Type="http://schemas.openxmlformats.org/officeDocument/2006/relationships/hyperlink" Target="mailto:admin@studiosur.net" TargetMode="External" Id="rId369"/><Relationship Type="http://schemas.openxmlformats.org/officeDocument/2006/relationships/hyperlink" Target="mailto:admin@studiosur.net" TargetMode="External" Id="rId370"/><Relationship Type="http://schemas.openxmlformats.org/officeDocument/2006/relationships/hyperlink" Target="mailto:mauricio.gutierrez@spci.com.co" TargetMode="External" Id="rId371"/><Relationship Type="http://schemas.openxmlformats.org/officeDocument/2006/relationships/hyperlink" Target="mailto:mlugo@viva1a.com.co" TargetMode="External" Id="rId372"/><Relationship Type="http://schemas.openxmlformats.org/officeDocument/2006/relationships/hyperlink" Target="mailto:sraic.asistente@gmail.com" TargetMode="External" Id="rId373"/><Relationship Type="http://schemas.openxmlformats.org/officeDocument/2006/relationships/hyperlink" Target="mailto:camilo.quintero@spci.com.co" TargetMode="External" Id="rId374"/><Relationship Type="http://schemas.openxmlformats.org/officeDocument/2006/relationships/hyperlink" Target="mailto:mhincapie@coninsa.co" TargetMode="External" Id="rId375"/><Relationship Type="http://schemas.openxmlformats.org/officeDocument/2006/relationships/hyperlink" Target="mailto:carolina@hidrofsalinas.com" TargetMode="External" Id="rId376"/><Relationship Type="http://schemas.openxmlformats.org/officeDocument/2006/relationships/hyperlink" Target="mailto:camilo.quintero@spci.com.co" TargetMode="External" Id="rId377"/><Relationship Type="http://schemas.openxmlformats.org/officeDocument/2006/relationships/hyperlink" Target="mailto:interventoriamontry@gmail.com" TargetMode="External" Id="rId378"/><Relationship Type="http://schemas.openxmlformats.org/officeDocument/2006/relationships/hyperlink" Target="mailto:camilo.quintero@spci.com.co" TargetMode="External" Id="rId379"/><Relationship Type="http://schemas.openxmlformats.org/officeDocument/2006/relationships/hyperlink" Target="mailto:camilo.quintero@spci.com.co" TargetMode="External" Id="rId380"/><Relationship Type="http://schemas.openxmlformats.org/officeDocument/2006/relationships/hyperlink" Target="mailto:mlugo@viva1a.com.co" TargetMode="External" Id="rId381"/><Relationship Type="http://schemas.openxmlformats.org/officeDocument/2006/relationships/hyperlink" Target="mailto:carolina@hidrofsalinas.com" TargetMode="External" Id="rId382"/><Relationship Type="http://schemas.openxmlformats.org/officeDocument/2006/relationships/hyperlink" Target="mailto:juan.grajales@spci.com.co" TargetMode="External" Id="rId383"/><Relationship Type="http://schemas.openxmlformats.org/officeDocument/2006/relationships/hyperlink" Target="mailto:jbernal@interve.co" TargetMode="External" Id="rId384"/><Relationship Type="http://schemas.openxmlformats.org/officeDocument/2006/relationships/hyperlink" Target="mailto:krendon@kyjingenieros.co" TargetMode="External" Id="rId385"/><Relationship Type="http://schemas.openxmlformats.org/officeDocument/2006/relationships/hyperlink" Target="mailto:camilo.quintero@spci.com.co" TargetMode="External" Id="rId386"/><Relationship Type="http://schemas.openxmlformats.org/officeDocument/2006/relationships/hyperlink" Target="mailto:construdelllano23@gmail.com" TargetMode="External" Id="rId387"/><Relationship Type="http://schemas.openxmlformats.org/officeDocument/2006/relationships/hyperlink" Target="mailto:juannaranjo@convel.co" TargetMode="External" Id="rId388"/><Relationship Type="http://schemas.openxmlformats.org/officeDocument/2006/relationships/hyperlink" Target="mailto:Braian.Lopez@hbfuller.com" TargetMode="External" Id="rId389"/><Relationship Type="http://schemas.openxmlformats.org/officeDocument/2006/relationships/hyperlink" Target="mailto:marsoluc.construcciones@gmail.com" TargetMode="External" Id="rId390"/><Relationship Type="http://schemas.openxmlformats.org/officeDocument/2006/relationships/hyperlink" Target="mailto:arquitectura2@mg.com.co" TargetMode="External" Id="rId391"/><Relationship Type="http://schemas.openxmlformats.org/officeDocument/2006/relationships/hyperlink" Target="mailto:camilo.quintero@spci.com.co" TargetMode="External" Id="rId392"/><Relationship Type="http://schemas.openxmlformats.org/officeDocument/2006/relationships/hyperlink" Target="mailto:camilo.quintero@spci.com.co" TargetMode="External" Id="rId393"/><Relationship Type="http://schemas.openxmlformats.org/officeDocument/2006/relationships/hyperlink" Target="mailto:camilo.quintero@spci.com.co" TargetMode="External" Id="rId394"/><Relationship Type="http://schemas.openxmlformats.org/officeDocument/2006/relationships/hyperlink" Target="mailto:dir.tecnico@spci.com.co" TargetMode="External" Id="rId395"/><Relationship Type="http://schemas.openxmlformats.org/officeDocument/2006/relationships/hyperlink" Target="mailto:mlugo@viva1a.com.co" TargetMode="External" Id="rId396"/><Relationship Type="http://schemas.openxmlformats.org/officeDocument/2006/relationships/hyperlink" Target="mailto:clopez@viva1a.com.co" TargetMode="External" Id="rId397"/><Relationship Type="http://schemas.openxmlformats.org/officeDocument/2006/relationships/hyperlink" Target="mailto:clopez@viva1a.com.co" TargetMode="External" Id="rId398"/><Relationship Type="http://schemas.openxmlformats.org/officeDocument/2006/relationships/hyperlink" Target="mailto:alexander.moreno@construgen.com" TargetMode="External" Id="rId399"/><Relationship Type="http://schemas.openxmlformats.org/officeDocument/2006/relationships/hyperlink" Target="mailto:johner.payares@bienesybienes.com.co" TargetMode="External" Id="rId400"/><Relationship Type="http://schemas.openxmlformats.org/officeDocument/2006/relationships/hyperlink" Target="mailto:aagudelol@conconcreto.com" TargetMode="External" Id="rId401"/><Relationship Type="http://schemas.openxmlformats.org/officeDocument/2006/relationships/hyperlink" Target="mailto:calmanya@jomarkseguridad.com" TargetMode="External" Id="rId402"/><Relationship Type="http://schemas.openxmlformats.org/officeDocument/2006/relationships/hyperlink" Target="mailto:lidersst@institutodelcorazon.org.co" TargetMode="External" Id="rId403"/><Relationship Type="http://schemas.openxmlformats.org/officeDocument/2006/relationships/hyperlink" Target="mailto:mdfernandez@humiclima.com" TargetMode="External" Id="rId404"/><Relationship Type="http://schemas.openxmlformats.org/officeDocument/2006/relationships/hyperlink" Target="mailto:ngonima@aia.com.co" TargetMode="External" Id="rId405"/><Relationship Type="http://schemas.openxmlformats.org/officeDocument/2006/relationships/hyperlink" Target="mailto:david.lopera@socomes.com" TargetMode="External" Id="rId406"/><Relationship Type="http://schemas.openxmlformats.org/officeDocument/2006/relationships/hyperlink" Target="mailto:construccionbazar@tipinterventoria.com" TargetMode="External" Id="rId407"/><Relationship Type="http://schemas.openxmlformats.org/officeDocument/2006/relationships/hyperlink" Target="mailto:comercial@ingesed.com" TargetMode="External" Id="rId408"/><Relationship Type="http://schemas.openxmlformats.org/officeDocument/2006/relationships/hyperlink" Target="mailto:asierra@sierrastudio.com.co" TargetMode="External" Id="rId409"/><Relationship Type="http://schemas.openxmlformats.org/officeDocument/2006/relationships/hyperlink" Target="mailto:directorlean@inserco.com.co" TargetMode="External" Id="rId410"/><Relationship Type="http://schemas.openxmlformats.org/officeDocument/2006/relationships/hyperlink" Target="mailto:directorlean@inserco.com.co" TargetMode="External" Id="rId411"/><Relationship Type="http://schemas.openxmlformats.org/officeDocument/2006/relationships/hyperlink" Target="mailto:juan.grajales@spci.com.co" TargetMode="External" Id="rId412"/><Relationship Type="http://schemas.openxmlformats.org/officeDocument/2006/relationships/hyperlink" Target="mailto:amtorres@conconcreto.com" TargetMode="External" Id="rId413"/><Relationship Type="http://schemas.openxmlformats.org/officeDocument/2006/relationships/hyperlink" Target="mailto:calmanya@jomarkseguridad.com" TargetMode="External" Id="rId414"/><Relationship Type="http://schemas.openxmlformats.org/officeDocument/2006/relationships/hyperlink" Target="mailto:mauricio.gutierrez@spci.com.co" TargetMode="External" Id="rId415"/><Relationship Type="http://schemas.openxmlformats.org/officeDocument/2006/relationships/hyperlink" Target="mailto:arielg@sohinco.com" TargetMode="External" Id="rId416"/><Relationship Type="http://schemas.openxmlformats.org/officeDocument/2006/relationships/hyperlink" Target="mailto:arielg@sohinco.com" TargetMode="External" Id="rId417"/><Relationship Type="http://schemas.openxmlformats.org/officeDocument/2006/relationships/hyperlink" Target="mailto:lcastillo@conaltura.com" TargetMode="External" Id="rId418"/><Relationship Type="http://schemas.openxmlformats.org/officeDocument/2006/relationships/hyperlink" Target="mailto:lcastillo@conaltura.com" TargetMode="External" Id="rId419"/><Relationship Type="http://schemas.openxmlformats.org/officeDocument/2006/relationships/hyperlink" Target="mailto:lcastillo@conaltura.com" TargetMode="External" Id="rId420"/><Relationship Type="http://schemas.openxmlformats.org/officeDocument/2006/relationships/hyperlink" Target="mailto:lcastillo@conaltura.com" TargetMode="External" Id="rId421"/><Relationship Type="http://schemas.openxmlformats.org/officeDocument/2006/relationships/hyperlink" Target="mailto:calmanya@jomarkseguridad.com" TargetMode="External" Id="rId422"/><Relationship Type="http://schemas.openxmlformats.org/officeDocument/2006/relationships/hyperlink" Target="mailto:gersonmarulanda@mensulaingenieros.com" TargetMode="External" Id="rId423"/><Relationship Type="http://schemas.openxmlformats.org/officeDocument/2006/relationships/hyperlink" Target="mailto:juan.grajales@spci.com.co" TargetMode="External" Id="rId424"/><Relationship Type="http://schemas.openxmlformats.org/officeDocument/2006/relationships/hyperlink" Target="mailto:ngonima@aia.com.co" TargetMode="External" Id="rId425"/><Relationship Type="http://schemas.openxmlformats.org/officeDocument/2006/relationships/hyperlink" Target="mailto:dir.tecnico@spci.com.co" TargetMode="External" Id="rId426"/><Relationship Type="http://schemas.openxmlformats.org/officeDocument/2006/relationships/hyperlink" Target="mailto:comercial@comexinternacional.com.co" TargetMode="External" Id="rId427"/><Relationship Type="http://schemas.openxmlformats.org/officeDocument/2006/relationships/hyperlink" Target="mailto:proyectos@clinicaelrosario.com" TargetMode="External" Id="rId428"/><Relationship Type="http://schemas.openxmlformats.org/officeDocument/2006/relationships/hyperlink" Target="mailto:proyectos@clinicaelrosario.com" TargetMode="External" Id="rId429"/><Relationship Type="http://schemas.openxmlformats.org/officeDocument/2006/relationships/hyperlink" Target="mailto:calmanya@jomarkseguridad.com" TargetMode="External" Id="rId430"/><Relationship Type="http://schemas.openxmlformats.org/officeDocument/2006/relationships/hyperlink" Target="mailto:coordinacion@conintel.com.co" TargetMode="External" Id="rId431"/><Relationship Type="http://schemas.openxmlformats.org/officeDocument/2006/relationships/hyperlink" Target="mailto:camilo.quintero@spci.com.co" TargetMode="External" Id="rId432"/><Relationship Type="http://schemas.openxmlformats.org/officeDocument/2006/relationships/hyperlink" Target="mailto:carlos.henao@seriinco.com" TargetMode="External" Id="rId433"/><Relationship Type="http://schemas.openxmlformats.org/officeDocument/2006/relationships/hyperlink" Target="mailto:francisco.unda@seriinco.com" TargetMode="External" Id="rId434"/><Relationship Type="http://schemas.openxmlformats.org/officeDocument/2006/relationships/hyperlink" Target="mailto:alvaromanosalva@sfiregroup.com" TargetMode="External" Id="rId435"/><Relationship Type="http://schemas.openxmlformats.org/officeDocument/2006/relationships/hyperlink" Target="mailto:proyectos2@jomarkseguridad.com" TargetMode="External" Id="rId436"/><Relationship Type="http://schemas.openxmlformats.org/officeDocument/2006/relationships/hyperlink" Target="mailto:sebra.arq@gmail.com" TargetMode="External" Id="rId437"/><Relationship Type="http://schemas.openxmlformats.org/officeDocument/2006/relationships/hyperlink" Target="mailto:david.lopera@socomes.com" TargetMode="External" Id="rId438"/><Relationship Type="http://schemas.openxmlformats.org/officeDocument/2006/relationships/hyperlink" Target="mailto:david.lopera@socomes.com" TargetMode="External" Id="rId439"/><Relationship Type="http://schemas.openxmlformats.org/officeDocument/2006/relationships/hyperlink" Target="mailto:obinsonmarulanda@arquitecturayconcreto.com" TargetMode="External" Id="rId440"/><Relationship Type="http://schemas.openxmlformats.org/officeDocument/2006/relationships/hyperlink" Target="mailto:lsaldarriaga@interlg.com" TargetMode="External" Id="rId441"/><Relationship Type="http://schemas.openxmlformats.org/officeDocument/2006/relationships/hyperlink" Target="mailto:comercial@ingesed.com" TargetMode="External" Id="rId442"/><Relationship Type="http://schemas.openxmlformats.org/officeDocument/2006/relationships/hyperlink" Target="mailto:comercial@ingesed.com" TargetMode="External" Id="rId443"/><Relationship Type="http://schemas.openxmlformats.org/officeDocument/2006/relationships/hyperlink" Target="mailto:david.lopera@socomes.com" TargetMode="External" Id="rId444"/><Relationship Type="http://schemas.openxmlformats.org/officeDocument/2006/relationships/hyperlink" Target="mailto:arqlinagil@gmail.com" TargetMode="External" Id="rId445"/><Relationship Type="http://schemas.openxmlformats.org/officeDocument/2006/relationships/hyperlink" Target="mailto:dacorrea@rcimontajes.co" TargetMode="External" Id="rId446"/><Relationship Type="http://schemas.openxmlformats.org/officeDocument/2006/relationships/hyperlink" Target="mailto:juan.grajales@spci.com.co" TargetMode="External" Id="rId447"/><Relationship Type="http://schemas.openxmlformats.org/officeDocument/2006/relationships/hyperlink" Target="mailto:coordinadorobra@gruporaiz.com.co" TargetMode="External" Id="rId448"/><Relationship Type="http://schemas.openxmlformats.org/officeDocument/2006/relationships/hyperlink" Target="mailto:sebastianochoa@arquitecturayconcreto.com" TargetMode="External" Id="rId449"/><Relationship Type="http://schemas.openxmlformats.org/officeDocument/2006/relationships/hyperlink" Target="mailto:cristiam.mondragon@spci.com.co" TargetMode="External" Id="rId450"/><Relationship Type="http://schemas.openxmlformats.org/officeDocument/2006/relationships/hyperlink" Target="mailto:david.lopera@socomes.com" TargetMode="External" Id="rId451"/><Relationship Type="http://schemas.openxmlformats.org/officeDocument/2006/relationships/hyperlink" Target="mailto:ascomercial2@securetec.com.co" TargetMode="External" Id="rId452"/><Relationship Type="http://schemas.openxmlformats.org/officeDocument/2006/relationships/hyperlink" Target="mailto:ascomercial2@securetec.com.co" TargetMode="External" Id="rId453"/><Relationship Type="http://schemas.openxmlformats.org/officeDocument/2006/relationships/hyperlink" Target="mailto:arestrepoe@conconcreto.com" TargetMode="External" Id="rId454"/><Relationship Type="http://schemas.openxmlformats.org/officeDocument/2006/relationships/hyperlink" Target="mailto:amtorres@conconcreto.com" TargetMode="External" Id="rId455"/><Relationship Type="http://schemas.openxmlformats.org/officeDocument/2006/relationships/hyperlink" Target="mailto:arquitectura@gradeco.com.co" TargetMode="External" Id="rId456"/><Relationship Type="http://schemas.openxmlformats.org/officeDocument/2006/relationships/hyperlink" Target="mailto:dirproyectos@securetec.com.co" TargetMode="External" Id="rId457"/><Relationship Type="http://schemas.openxmlformats.org/officeDocument/2006/relationships/hyperlink" Target="mailto:arquitectura@gradeco.com.co" TargetMode="External" Id="rId458"/><Relationship Type="http://schemas.openxmlformats.org/officeDocument/2006/relationships/hyperlink" Target="mailto:keylagarcia@estructurar.co" TargetMode="External" Id="rId459"/><Relationship Type="http://schemas.openxmlformats.org/officeDocument/2006/relationships/hyperlink" Target="mailto:dir.tecnico@spci.com.co" TargetMode="External" Id="rId460"/><Relationship Type="http://schemas.openxmlformats.org/officeDocument/2006/relationships/hyperlink" Target="mailto:rafaelb@toroposada.com" TargetMode="External" Id="rId461"/><Relationship Type="http://schemas.openxmlformats.org/officeDocument/2006/relationships/hyperlink" Target="mailto:dacorrea@rcimontajes.co" TargetMode="External" Id="rId462"/><Relationship Type="http://schemas.openxmlformats.org/officeDocument/2006/relationships/hyperlink" Target="mailto:Anaduque@solucionesinmobiliairiassas.com" TargetMode="External" Id="rId463"/><Relationship Type="http://schemas.openxmlformats.org/officeDocument/2006/relationships/hyperlink" Target="mailto:mallkilometrozero@gmail.com" TargetMode="External" Id="rId464"/><Relationship Type="http://schemas.openxmlformats.org/officeDocument/2006/relationships/hyperlink" Target="mailto:cristiam.mondragon@spci.com.co" TargetMode="External" Id="rId465"/><Relationship Type="http://schemas.openxmlformats.org/officeDocument/2006/relationships/hyperlink" Target="mailto:arielg@sohinco.com" TargetMode="External" Id="rId466"/><Relationship Type="http://schemas.openxmlformats.org/officeDocument/2006/relationships/hyperlink" Target="mailto:sraic.asistente@gmail.com" TargetMode="External" Id="rId467"/><Relationship Type="http://schemas.openxmlformats.org/officeDocument/2006/relationships/hyperlink" Target="mailto:cristiam.mondragon@spci.com.co" TargetMode="External" Id="rId468"/><Relationship Type="http://schemas.openxmlformats.org/officeDocument/2006/relationships/hyperlink" Target="mailto:david.lopera@socomes.com" TargetMode="External" Id="rId469"/><Relationship Type="http://schemas.openxmlformats.org/officeDocument/2006/relationships/hyperlink" Target="mailto:oscarfcr2@gmail.com" TargetMode="External" Id="rId470"/><Relationship Type="http://schemas.openxmlformats.org/officeDocument/2006/relationships/hyperlink" Target="mailto:cristiam.mondragon@spci.com.co" TargetMode="External" Id="rId471"/><Relationship Type="http://schemas.openxmlformats.org/officeDocument/2006/relationships/hyperlink" Target="mailto:cmesa@coninsa.co" TargetMode="External" Id="rId472"/><Relationship Type="http://schemas.openxmlformats.org/officeDocument/2006/relationships/hyperlink" Target="mailto:jsalazar@nivelum.com" TargetMode="External" Id="rId473"/><Relationship Type="http://schemas.openxmlformats.org/officeDocument/2006/relationships/hyperlink" Target="mailto:francisco.unda@seriinco.com" TargetMode="External" Id="rId474"/><Relationship Type="http://schemas.openxmlformats.org/officeDocument/2006/relationships/hyperlink" Target="mailto:n.garcia@condiseno.co" TargetMode="External" Id="rId475"/><Relationship Type="http://schemas.openxmlformats.org/officeDocument/2006/relationships/hyperlink" Target="mailto:estefania.ospina@dinpro.com.co" TargetMode="External" Id="rId476"/><Relationship Type="http://schemas.openxmlformats.org/officeDocument/2006/relationships/hyperlink" Target="mailto:estefania.ospina@dinpro.com.co" TargetMode="External" Id="rId477"/><Relationship Type="http://schemas.openxmlformats.org/officeDocument/2006/relationships/hyperlink" Target="mailto:jcardonm@gmail.com" TargetMode="External" Id="rId478"/><Relationship Type="http://schemas.openxmlformats.org/officeDocument/2006/relationships/hyperlink" Target="mailto:johner.payares@bienesybienes.com.co" TargetMode="External" Id="rId479"/><Relationship Type="http://schemas.openxmlformats.org/officeDocument/2006/relationships/hyperlink" Target="mailto:hwagner519@gmail.com" TargetMode="External" Id="rId480"/><Relationship Type="http://schemas.openxmlformats.org/officeDocument/2006/relationships/hyperlink" Target="mailto:andresramirez@convel.co" TargetMode="External" Id="rId481"/><Relationship Type="http://schemas.openxmlformats.org/officeDocument/2006/relationships/hyperlink" Target="mailto:ascomercial2@securetec.com.co" TargetMode="External" Id="rId482"/><Relationship Type="http://schemas.openxmlformats.org/officeDocument/2006/relationships/hyperlink" Target="mailto:info@ismd.com.co" TargetMode="External" Id="rId483"/><Relationship Type="http://schemas.openxmlformats.org/officeDocument/2006/relationships/hyperlink" Target="mailto:jenifer.orozco@ingeniobim.co" TargetMode="External" Id="rId484"/><Relationship Type="http://schemas.openxmlformats.org/officeDocument/2006/relationships/hyperlink" Target="mailto:carlos.henao@seriinco.com" TargetMode="External" Id="rId485"/><Relationship Type="http://schemas.openxmlformats.org/officeDocument/2006/relationships/hyperlink" Target="mailto:auxiliar.socomes@gmail.com" TargetMode="External" Id="rId486"/><Relationship Type="http://schemas.openxmlformats.org/officeDocument/2006/relationships/hyperlink" Target="mailto:n.garcia@condiseno.co" TargetMode="External" Id="rId487"/><Relationship Type="http://schemas.openxmlformats.org/officeDocument/2006/relationships/hyperlink" Target="mailto:dir.tecnico@spci.com.co" TargetMode="External" Id="rId488"/><Relationship Type="http://schemas.openxmlformats.org/officeDocument/2006/relationships/hyperlink" Target="mailto:dir.tecnico@spci.com.co" TargetMode="External" Id="rId489"/><Relationship Type="http://schemas.openxmlformats.org/officeDocument/2006/relationships/hyperlink" Target="mailto:detectarsystems@gmail.com" TargetMode="External" Id="rId490"/><Relationship Type="http://schemas.openxmlformats.org/officeDocument/2006/relationships/hyperlink" Target="mailto:alvaromanosalva@sfiregroup.com" TargetMode="External" Id="rId491"/><Relationship Type="http://schemas.openxmlformats.org/officeDocument/2006/relationships/hyperlink" Target="mailto:tatiana@tipinterventoria.com" TargetMode="External" Id="rId492"/><Relationship Type="http://schemas.openxmlformats.org/officeDocument/2006/relationships/hyperlink" Target="mailto:johner.payares@bienesybienes.com.co" TargetMode="External" Id="rId493"/><Relationship Type="http://schemas.openxmlformats.org/officeDocument/2006/relationships/hyperlink" Target="mailto:directorlean@inserco.com.co" TargetMode="External" Id="rId494"/><Relationship Type="http://schemas.openxmlformats.org/officeDocument/2006/relationships/hyperlink" Target="mailto:residentebelen.sinergia@gmail.com" TargetMode="External" Id="rId495"/><Relationship Type="http://schemas.openxmlformats.org/officeDocument/2006/relationships/hyperlink" Target="mailto:valentinaortega@mensulaingenieros.com" TargetMode="External" Id="rId49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directorlean@inserco.com.co" TargetMode="External" Id="rId1"/><Relationship Type="http://schemas.openxmlformats.org/officeDocument/2006/relationships/hyperlink" Target="mailto:krendon@kyjingenieros.co" TargetMode="External" Id="rId2"/><Relationship Type="http://schemas.openxmlformats.org/officeDocument/2006/relationships/hyperlink" Target="mailto:administrativo2@lf.edu.co" TargetMode="External" Id="rId3"/><Relationship Type="http://schemas.openxmlformats.org/officeDocument/2006/relationships/hyperlink" Target="mailto:caleorca26@gmail.com" TargetMode="External" Id="rId4"/><Relationship Type="http://schemas.openxmlformats.org/officeDocument/2006/relationships/hyperlink" Target="mailto:dir.tecnico@spci.com.co" TargetMode="External" Id="rId5"/><Relationship Type="http://schemas.openxmlformats.org/officeDocument/2006/relationships/hyperlink" Target="mailto:dir.tecnico@spci.com.co" TargetMode="External" Id="rId6"/><Relationship Type="http://schemas.openxmlformats.org/officeDocument/2006/relationships/hyperlink" Target="mailto:carlos.henao@seriinco.com" TargetMode="External" Id="rId7"/><Relationship Type="http://schemas.openxmlformats.org/officeDocument/2006/relationships/hyperlink" Target="mailto:valentinaortega@mensulaingenieros.com" TargetMode="External" Id="rId8"/><Relationship Type="http://schemas.openxmlformats.org/officeDocument/2006/relationships/hyperlink" Target="mailto:comercial@comexinternacional.com.co" TargetMode="External" Id="rId9"/><Relationship Type="http://schemas.openxmlformats.org/officeDocument/2006/relationships/hyperlink" Target="mailto:calmanya@jomarkseguridad.com" TargetMode="External" Id="rId10"/><Relationship Type="http://schemas.openxmlformats.org/officeDocument/2006/relationships/hyperlink" Target="mailto:jose.ojeda@spci.com.co" TargetMode="External" Id="rId11"/><Relationship Type="http://schemas.openxmlformats.org/officeDocument/2006/relationships/hyperlink" Target="mailto:comercial@ingesed.com" TargetMode="External" Id="rId12"/><Relationship Type="http://schemas.openxmlformats.org/officeDocument/2006/relationships/hyperlink" Target="mailto:david.lopera@socomes.com" TargetMode="External" Id="rId13"/><Relationship Type="http://schemas.openxmlformats.org/officeDocument/2006/relationships/hyperlink" Target="mailto:mcvelasquez@contex.com.co" TargetMode="External" Id="rId14"/><Relationship Type="http://schemas.openxmlformats.org/officeDocument/2006/relationships/hyperlink" Target="mailto:residente3@solucionesinmobiliariassas.com" TargetMode="External" Id="rId15"/><Relationship Type="http://schemas.openxmlformats.org/officeDocument/2006/relationships/hyperlink" Target="mailto:residente3@solucionesinmobiliariassas.com" TargetMode="External" Id="rId16"/><Relationship Type="http://schemas.openxmlformats.org/officeDocument/2006/relationships/hyperlink" Target="mailto:dacorrea@rcimontajes.co" TargetMode="External" Id="rId17"/><Relationship Type="http://schemas.openxmlformats.org/officeDocument/2006/relationships/hyperlink" Target="mailto:juan.grajales@spci.com.co" TargetMode="External" Id="rId18"/><Relationship Type="http://schemas.openxmlformats.org/officeDocument/2006/relationships/hyperlink" Target="mailto:gcia.torresalianza@solucionesinmobiliariassas.com" TargetMode="External" Id="rId19"/><Relationship Type="http://schemas.openxmlformats.org/officeDocument/2006/relationships/hyperlink" Target="mailto:n.garcia@condiseno.co" TargetMode="External" Id="rId20"/><Relationship Type="http://schemas.openxmlformats.org/officeDocument/2006/relationships/hyperlink" Target="mailto:claudia.ramirez@edyfica.co" TargetMode="External" Id="rId21"/><Relationship Type="http://schemas.openxmlformats.org/officeDocument/2006/relationships/hyperlink" Target="mailto:jecheverri@londonogomez.com" TargetMode="External" Id="rId22"/><Relationship Type="http://schemas.openxmlformats.org/officeDocument/2006/relationships/hyperlink" Target="mailto:melissalopez@mltarq.com" TargetMode="External" Id="rId23"/><Relationship Type="http://schemas.openxmlformats.org/officeDocument/2006/relationships/hyperlink" Target="mailto:dacorrea@rcimontajes.co" TargetMode="External" Id="rId24"/><Relationship Type="http://schemas.openxmlformats.org/officeDocument/2006/relationships/hyperlink" Target="mailto:robinsonmarulanda@arquitecturayconcreto.com" TargetMode="External" Id="rId25"/><Relationship Type="http://schemas.openxmlformats.org/officeDocument/2006/relationships/hyperlink" Target="mailto:camilo.quintero@spci.com.co" TargetMode="External" Id="rId26"/><Relationship Type="http://schemas.openxmlformats.org/officeDocument/2006/relationships/hyperlink" Target="mailto:parangor@conconcreto.com" TargetMode="External" Id="rId27"/><Relationship Type="http://schemas.openxmlformats.org/officeDocument/2006/relationships/hyperlink" Target="mailto:lmontoya@iconstructora.com.co" TargetMode="External" Id="rId28"/><Relationship Type="http://schemas.openxmlformats.org/officeDocument/2006/relationships/hyperlink" Target="mailto:camilo.quintero@spci.com.co" TargetMode="External" Id="rId29"/><Relationship Type="http://schemas.openxmlformats.org/officeDocument/2006/relationships/hyperlink" Target="mailto:carlos.henao@seriinco.com" TargetMode="External" Id="rId30"/><Relationship Type="http://schemas.openxmlformats.org/officeDocument/2006/relationships/hyperlink" Target="mailto:diseno4@gyd.com.co" TargetMode="External" Id="rId31"/><Relationship Type="http://schemas.openxmlformats.org/officeDocument/2006/relationships/hyperlink" Target="mailto:pequibo1@gmail.com" TargetMode="External" Id="rId32"/><Relationship Type="http://schemas.openxmlformats.org/officeDocument/2006/relationships/hyperlink" Target="mailto:carlos.henao@seriinco.com" TargetMode="External" Id="rId33"/><Relationship Type="http://schemas.openxmlformats.org/officeDocument/2006/relationships/hyperlink" Target="mailto:comercial@comexinternacional.com.co" TargetMode="External" Id="rId34"/><Relationship Type="http://schemas.openxmlformats.org/officeDocument/2006/relationships/hyperlink" Target="mailto:juan.grajales@spci.com.co" TargetMode="External" Id="rId35"/><Relationship Type="http://schemas.openxmlformats.org/officeDocument/2006/relationships/hyperlink" Target="mailto:Nathalybarrerapalacio@gmail.com" TargetMode="External" Id="rId36"/><Relationship Type="http://schemas.openxmlformats.org/officeDocument/2006/relationships/hyperlink" Target="mailto:johana.montoya@perfek.com.co" TargetMode="External" Id="rId37"/><Relationship Type="http://schemas.openxmlformats.org/officeDocument/2006/relationships/hyperlink" Target="mailto:jlopezv3@kenvue.com" TargetMode="External" Id="rId38"/><Relationship Type="http://schemas.openxmlformats.org/officeDocument/2006/relationships/hyperlink" Target="mailto:jherrerau@conconcreto.com" TargetMode="External" Id="rId39"/><Relationship Type="http://schemas.openxmlformats.org/officeDocument/2006/relationships/hyperlink" Target="mailto:proyectos@clinicaelrosario.com" TargetMode="External" Id="rId40"/><Relationship Type="http://schemas.openxmlformats.org/officeDocument/2006/relationships/hyperlink" Target="mailto:proyectos@clinicaelrosario.com" TargetMode="External" Id="rId41"/><Relationship Type="http://schemas.openxmlformats.org/officeDocument/2006/relationships/hyperlink" Target="mailto:carlos.henao@seriinco.com" TargetMode="External" Id="rId42"/><Relationship Type="http://schemas.openxmlformats.org/officeDocument/2006/relationships/hyperlink" Target="mailto:gestionhumana@cromatex.com.co" TargetMode="External" Id="rId43"/><Relationship Type="http://schemas.openxmlformats.org/officeDocument/2006/relationships/hyperlink" Target="mailto:carlos.henao@seriinco.com" TargetMode="External" Id="rId44"/><Relationship Type="http://schemas.openxmlformats.org/officeDocument/2006/relationships/hyperlink" Target="mailto:camilo.quintero@spci.com.co" TargetMode="External" Id="rId45"/><Relationship Type="http://schemas.openxmlformats.org/officeDocument/2006/relationships/hyperlink" Target="mailto:carlos.henao@seriinco.com" TargetMode="External" Id="rId46"/><Relationship Type="http://schemas.openxmlformats.org/officeDocument/2006/relationships/hyperlink" Target="mailto:gerencia@projectsolutions.com.co" TargetMode="External" Id="rId47"/><Relationship Type="http://schemas.openxmlformats.org/officeDocument/2006/relationships/hyperlink" Target="mailto:comercial@ingesed.com" TargetMode="External" Id="rId48"/><Relationship Type="http://schemas.openxmlformats.org/officeDocument/2006/relationships/hyperlink" Target="mailto:comercial@ingesed.com" TargetMode="External" Id="rId49"/><Relationship Type="http://schemas.openxmlformats.org/officeDocument/2006/relationships/hyperlink" Target="mailto:mnieto@aia.com.co" TargetMode="External" Id="rId50"/><Relationship Type="http://schemas.openxmlformats.org/officeDocument/2006/relationships/hyperlink" Target="mailto:jenifer.orozco@ingeniobim.co" TargetMode="External" Id="rId51"/><Relationship Type="http://schemas.openxmlformats.org/officeDocument/2006/relationships/hyperlink" Target="mailto:proyectos8.arkec@gmail.com" TargetMode="External" Id="rId52"/><Relationship Type="http://schemas.openxmlformats.org/officeDocument/2006/relationships/hyperlink" Target="mailto:josorio@vid.org.co" TargetMode="External" Id="rId53"/><Relationship Type="http://schemas.openxmlformats.org/officeDocument/2006/relationships/hyperlink" Target="mailto:pduque@columbus.edu.co" TargetMode="External" Id="rId54"/><Relationship Type="http://schemas.openxmlformats.org/officeDocument/2006/relationships/hyperlink" Target="mailto:juan.grajales@spci.com.co" TargetMode="External" Id="rId55"/><Relationship Type="http://schemas.openxmlformats.org/officeDocument/2006/relationships/hyperlink" Target="mailto:camilo.quintero@spci.com.co" TargetMode="External" Id="rId56"/><Relationship Type="http://schemas.openxmlformats.org/officeDocument/2006/relationships/hyperlink" Target="mailto:dir.tecnico@spci.com.co" TargetMode="External" Id="rId57"/><Relationship Type="http://schemas.openxmlformats.org/officeDocument/2006/relationships/hyperlink" Target="mailto:carlos.henao@seriinco.com" TargetMode="External" Id="rId58"/><Relationship Type="http://schemas.openxmlformats.org/officeDocument/2006/relationships/hyperlink" Target="mailto:carlos.henao@seriinco.com" TargetMode="External" Id="rId59"/><Relationship Type="http://schemas.openxmlformats.org/officeDocument/2006/relationships/hyperlink" Target="mailto:ascomercial2@securetec.com.co" TargetMode="External" Id="rId60"/><Relationship Type="http://schemas.openxmlformats.org/officeDocument/2006/relationships/hyperlink" Target="mailto:carlos.henao@seriinco.com" TargetMode="External" Id="rId61"/><Relationship Type="http://schemas.openxmlformats.org/officeDocument/2006/relationships/hyperlink" Target="mailto:germanmartinez@arquitecturayconcreto.com" TargetMode="External" Id="rId62"/><Relationship Type="http://schemas.openxmlformats.org/officeDocument/2006/relationships/hyperlink" Target="mailto:claudia.ramirez@edyfica.co" TargetMode="External" Id="rId63"/><Relationship Type="http://schemas.openxmlformats.org/officeDocument/2006/relationships/hyperlink" Target="mailto:detectarsystems@gmail.com" TargetMode="External" Id="rId64"/><Relationship Type="http://schemas.openxmlformats.org/officeDocument/2006/relationships/hyperlink" Target="mailto:camilo.quintero@spci.com.co" TargetMode="External" Id="rId65"/><Relationship Type="http://schemas.openxmlformats.org/officeDocument/2006/relationships/hyperlink" Target="mailto:NBerrio@ingenierosmecanicos.com.co" TargetMode="External" Id="rId66"/><Relationship Type="http://schemas.openxmlformats.org/officeDocument/2006/relationships/hyperlink" Target="mailto:paolopez@paoarq.com" TargetMode="External" Id="rId67"/><Relationship Type="http://schemas.openxmlformats.org/officeDocument/2006/relationships/hyperlink" Target="mailto:jherrerau@conconcreto.com" TargetMode="External" Id="rId68"/><Relationship Type="http://schemas.openxmlformats.org/officeDocument/2006/relationships/hyperlink" Target="mailto:goingenieriaysoluciones@gmail.com" TargetMode="External" Id="rId69"/><Relationship Type="http://schemas.openxmlformats.org/officeDocument/2006/relationships/hyperlink" Target="mailto:santiagolopez@mensulaingenieros.com" TargetMode="External" Id="rId70"/><Relationship Type="http://schemas.openxmlformats.org/officeDocument/2006/relationships/hyperlink" Target="mailto:camilo.quintero@spci.com.co" TargetMode="External" Id="rId71"/><Relationship Type="http://schemas.openxmlformats.org/officeDocument/2006/relationships/hyperlink" Target="mailto:obraesquinadelhueco@gmail.com" TargetMode="External" Id="rId72"/><Relationship Type="http://schemas.openxmlformats.org/officeDocument/2006/relationships/hyperlink" Target="mailto:NBerrio@ingenierosmecanicos.com.co" TargetMode="External" Id="rId73"/><Relationship Type="http://schemas.openxmlformats.org/officeDocument/2006/relationships/hyperlink" Target="mailto:camilo.quintero@spci.com.co" TargetMode="External" Id="rId74"/><Relationship Type="http://schemas.openxmlformats.org/officeDocument/2006/relationships/hyperlink" Target="mailto:camilo.quintero@spci.com.co" TargetMode="External" Id="rId75"/><Relationship Type="http://schemas.openxmlformats.org/officeDocument/2006/relationships/hyperlink" Target="mailto:comercial@ingesed.com" TargetMode="External" Id="rId76"/><Relationship Type="http://schemas.openxmlformats.org/officeDocument/2006/relationships/hyperlink" Target="mailto:cristianortega@firemarshal.com.co" TargetMode="External" Id="rId77"/><Relationship Type="http://schemas.openxmlformats.org/officeDocument/2006/relationships/hyperlink" Target="mailto:david.lopera@socomes.com" TargetMode="External" Id="rId78"/><Relationship Type="http://schemas.openxmlformats.org/officeDocument/2006/relationships/hyperlink" Target="mailto:comercial@ingesed.com" TargetMode="External" Id="rId79"/><Relationship Type="http://schemas.openxmlformats.org/officeDocument/2006/relationships/hyperlink" Target="mailto:dir.tecnico@spci.com.co" TargetMode="External" Id="rId80"/><Relationship Type="http://schemas.openxmlformats.org/officeDocument/2006/relationships/hyperlink" Target="mailto:mzuluaga1996@gmail.com" TargetMode="External" Id="rId81"/><Relationship Type="http://schemas.openxmlformats.org/officeDocument/2006/relationships/hyperlink" Target="mailto:carlos.henao@seriinco.com" TargetMode="External" Id="rId82"/><Relationship Type="http://schemas.openxmlformats.org/officeDocument/2006/relationships/hyperlink" Target="mailto:fcrtamarapuerta@gmail.com" TargetMode="External" Id="rId83"/><Relationship Type="http://schemas.openxmlformats.org/officeDocument/2006/relationships/hyperlink" Target="mailto:camilo.quintero@spci.com.co" TargetMode="External" Id="rId84"/><Relationship Type="http://schemas.openxmlformats.org/officeDocument/2006/relationships/hyperlink" Target="mailto:carlos.henao@seriinco.com" TargetMode="External" Id="rId85"/><Relationship Type="http://schemas.openxmlformats.org/officeDocument/2006/relationships/hyperlink" Target="mailto:santiagoduque@solucionesinmobiliariassas.com" TargetMode="External" Id="rId86"/><Relationship Type="http://schemas.openxmlformats.org/officeDocument/2006/relationships/hyperlink" Target="mailto:directora.activos@aceis.com.co" TargetMode="External" Id="rId87"/><Relationship Type="http://schemas.openxmlformats.org/officeDocument/2006/relationships/hyperlink" Target="mailto:juan.montoyahidro@gmail.com" TargetMode="External" Id="rId88"/><Relationship Type="http://schemas.openxmlformats.org/officeDocument/2006/relationships/hyperlink" Target="mailto:nalvarez@solciviles.com" TargetMode="External" Id="rId89"/><Relationship Type="http://schemas.openxmlformats.org/officeDocument/2006/relationships/hyperlink" Target="mailto:jesus3933@hotmail.com" TargetMode="External" Id="rId90"/><Relationship Type="http://schemas.openxmlformats.org/officeDocument/2006/relationships/hyperlink" Target="mailto:johana.rojas@bienesybienes.com.co" TargetMode="External" Id="rId91"/><Relationship Type="http://schemas.openxmlformats.org/officeDocument/2006/relationships/hyperlink" Target="mailto:diseno4@gyd.com.co" TargetMode="External" Id="rId92"/><Relationship Type="http://schemas.openxmlformats.org/officeDocument/2006/relationships/hyperlink" Target="mailto:juan.grajales@spci.com.co" TargetMode="External" Id="rId93"/><Relationship Type="http://schemas.openxmlformats.org/officeDocument/2006/relationships/hyperlink" Target="mailto:juan.grajales@spci.com.co" TargetMode="External" Id="rId94"/><Relationship Type="http://schemas.openxmlformats.org/officeDocument/2006/relationships/hyperlink" Target="mailto:goingenieriaysoluciones@gmail.com" TargetMode="External" Id="rId95"/><Relationship Type="http://schemas.openxmlformats.org/officeDocument/2006/relationships/hyperlink" Target="mailto:gerencia@projectsolutions.com.co" TargetMode="External" Id="rId96"/><Relationship Type="http://schemas.openxmlformats.org/officeDocument/2006/relationships/hyperlink" Target="mailto:goingenieriaysoluciones@gmail.com" TargetMode="External" Id="rId97"/><Relationship Type="http://schemas.openxmlformats.org/officeDocument/2006/relationships/hyperlink" Target="mailto:calmanya@jomarkseguridad.com" TargetMode="External" Id="rId98"/><Relationship Type="http://schemas.openxmlformats.org/officeDocument/2006/relationships/hyperlink" Target="mailto:goingenieriaysoluciones@gmail.com" TargetMode="External" Id="rId99"/><Relationship Type="http://schemas.openxmlformats.org/officeDocument/2006/relationships/hyperlink" Target="mailto:detectarsystems@gmail.com" TargetMode="External" Id="rId100"/><Relationship Type="http://schemas.openxmlformats.org/officeDocument/2006/relationships/hyperlink" Target="mailto:mlopez@hdgerenciaintegral.com" TargetMode="External" Id="rId101"/><Relationship Type="http://schemas.openxmlformats.org/officeDocument/2006/relationships/hyperlink" Target="mailto:cristinapalacio@mensulaingenieros.com" TargetMode="External" Id="rId102"/><Relationship Type="http://schemas.openxmlformats.org/officeDocument/2006/relationships/hyperlink" Target="mailto:carlos.henao@seriinco.com" TargetMode="External" Id="rId103"/><Relationship Type="http://schemas.openxmlformats.org/officeDocument/2006/relationships/hyperlink" Target="mailto:cristinapalacio@mensulaingenieros.com" TargetMode="External" Id="rId104"/><Relationship Type="http://schemas.openxmlformats.org/officeDocument/2006/relationships/hyperlink" Target="mailto:dir.tecnico@spci.com.co" TargetMode="External" Id="rId105"/><Relationship Type="http://schemas.openxmlformats.org/officeDocument/2006/relationships/hyperlink" Target="mailto:hidraulicaymontajes@gmail.com" TargetMode="External" Id="rId106"/><Relationship Type="http://schemas.openxmlformats.org/officeDocument/2006/relationships/hyperlink" Target="mailto:parangor@conconcreto.com" TargetMode="External" Id="rId107"/><Relationship Type="http://schemas.openxmlformats.org/officeDocument/2006/relationships/hyperlink" Target="mailto:danielrestrepo0804@gmail.com" TargetMode="External" Id="rId108"/><Relationship Type="http://schemas.openxmlformats.org/officeDocument/2006/relationships/hyperlink" Target="mailto:dir.tecnico@spci.com.co" TargetMode="External" Id="rId109"/><Relationship Type="http://schemas.openxmlformats.org/officeDocument/2006/relationships/hyperlink" Target="mailto:proyectos@complementoretail.com" TargetMode="External" Id="rId110"/><Relationship Type="http://schemas.openxmlformats.org/officeDocument/2006/relationships/hyperlink" Target="mailto:jmaserrano@gmail.com" TargetMode="External" Id="rId111"/><Relationship Type="http://schemas.openxmlformats.org/officeDocument/2006/relationships/hyperlink" Target="mailto:andreanunez@firemarshal.com.co" TargetMode="External" Id="rId112"/><Relationship Type="http://schemas.openxmlformats.org/officeDocument/2006/relationships/hyperlink" Target="mailto:alvaromanosalva@sfiregroup.com" TargetMode="External" Id="rId113"/><Relationship Type="http://schemas.openxmlformats.org/officeDocument/2006/relationships/hyperlink" Target="mailto:detectarsystems@gmail.com" TargetMode="External" Id="rId114"/><Relationship Type="http://schemas.openxmlformats.org/officeDocument/2006/relationships/hyperlink" Target="mailto:mateo@a3consulting.com.co" TargetMode="External" Id="rId115"/><Relationship Type="http://schemas.openxmlformats.org/officeDocument/2006/relationships/hyperlink" Target="mailto:ana.ramirez@bienesybienes.com.co" TargetMode="External" Id="rId116"/><Relationship Type="http://schemas.openxmlformats.org/officeDocument/2006/relationships/hyperlink" Target="mailto:jennifer.morales@asul.co" TargetMode="External" Id="rId117"/><Relationship Type="http://schemas.openxmlformats.org/officeDocument/2006/relationships/hyperlink" Target="mailto:jose.vargas@celesteypiedra.com" TargetMode="External" Id="rId118"/><Relationship Type="http://schemas.openxmlformats.org/officeDocument/2006/relationships/hyperlink" Target="mailto:josemaya@firemarshal.com.co" TargetMode="External" Id="rId119"/><Relationship Type="http://schemas.openxmlformats.org/officeDocument/2006/relationships/hyperlink" Target="mailto:claudia.ramirez@edyfica.co" TargetMode="External" Id="rId120"/><Relationship Type="http://schemas.openxmlformats.org/officeDocument/2006/relationships/hyperlink" Target="mailto:gerencia@jmingenieriatotal.com.co" TargetMode="External" Id="rId121"/><Relationship Type="http://schemas.openxmlformats.org/officeDocument/2006/relationships/hyperlink" Target="mailto:josemaya@firemarshal.com.co" TargetMode="External" Id="rId122"/><Relationship Type="http://schemas.openxmlformats.org/officeDocument/2006/relationships/hyperlink" Target="mailto:gerencia@jmingenieriatotal.com.co" TargetMode="External" Id="rId123"/><Relationship Type="http://schemas.openxmlformats.org/officeDocument/2006/relationships/hyperlink" Target="mailto:ascomercial2@securetec.com.co" TargetMode="External" Id="rId124"/><Relationship Type="http://schemas.openxmlformats.org/officeDocument/2006/relationships/hyperlink" Target="mailto:obraesquinadelhueco@gmail.com" TargetMode="External" Id="rId125"/><Relationship Type="http://schemas.openxmlformats.org/officeDocument/2006/relationships/hyperlink" Target="mailto:luisa.renteria@geniussports.com" TargetMode="External" Id="rId126"/><Relationship Type="http://schemas.openxmlformats.org/officeDocument/2006/relationships/hyperlink" Target="mailto:camiloz@vivenciartearquitectura.com" TargetMode="External" Id="rId127"/><Relationship Type="http://schemas.openxmlformats.org/officeDocument/2006/relationships/hyperlink" Target="mailto:scorreab@conconcreto.com" TargetMode="External" Id="rId128"/><Relationship Type="http://schemas.openxmlformats.org/officeDocument/2006/relationships/hyperlink" Target="mailto:scorreab@conconcreto.com" TargetMode="External" Id="rId129"/><Relationship Type="http://schemas.openxmlformats.org/officeDocument/2006/relationships/hyperlink" Target="mailto:ascomercial2@securetec.com.co" TargetMode="External" Id="rId130"/><Relationship Type="http://schemas.openxmlformats.org/officeDocument/2006/relationships/hyperlink" Target="mailto:eceballos@contex.com.co" TargetMode="External" Id="rId131"/><Relationship Type="http://schemas.openxmlformats.org/officeDocument/2006/relationships/hyperlink" Target="mailto:dirproyectos@securetec.com.co" TargetMode="External" Id="rId132"/><Relationship Type="http://schemas.openxmlformats.org/officeDocument/2006/relationships/hyperlink" Target="mailto:dirproyectos@securetec.com.co" TargetMode="External" Id="rId133"/><Relationship Type="http://schemas.openxmlformats.org/officeDocument/2006/relationships/hyperlink" Target="mailto:dir.tecnico@spci.com.co" TargetMode="External" Id="rId134"/><Relationship Type="http://schemas.openxmlformats.org/officeDocument/2006/relationships/hyperlink" Target="mailto:inmobiliariayconstructorasj@gmail.com" TargetMode="External" Id="rId135"/><Relationship Type="http://schemas.openxmlformats.org/officeDocument/2006/relationships/hyperlink" Target="mailto:johana.rojas@bienesybienes.com.co" TargetMode="External" Id="rId136"/><Relationship Type="http://schemas.openxmlformats.org/officeDocument/2006/relationships/hyperlink" Target="mailto:aagudelol@conconcreto.com" TargetMode="External" Id="rId137"/><Relationship Type="http://schemas.openxmlformats.org/officeDocument/2006/relationships/hyperlink" Target="mailto:GERENCIA@obrain.co" TargetMode="External" Id="rId138"/><Relationship Type="http://schemas.openxmlformats.org/officeDocument/2006/relationships/hyperlink" Target="mailto:aagudelol@conconcreto.com" TargetMode="External" Id="rId139"/><Relationship Type="http://schemas.openxmlformats.org/officeDocument/2006/relationships/hyperlink" Target="mailto:ascomercial2@securetec.com.co" TargetMode="External" Id="rId140"/><Relationship Type="http://schemas.openxmlformats.org/officeDocument/2006/relationships/hyperlink" Target="mailto:dir.tecnico@spci.com.co" TargetMode="External" Id="rId141"/><Relationship Type="http://schemas.openxmlformats.org/officeDocument/2006/relationships/hyperlink" Target="mailto:carolina@hidrofsalinas.com" TargetMode="External" Id="rId142"/><Relationship Type="http://schemas.openxmlformats.org/officeDocument/2006/relationships/hyperlink" Target="mailto:ascomercial2@securetec.com.co" TargetMode="External" Id="rId143"/><Relationship Type="http://schemas.openxmlformats.org/officeDocument/2006/relationships/hyperlink" Target="mailto:eceballos@contex.com.co" TargetMode="External" Id="rId144"/><Relationship Type="http://schemas.openxmlformats.org/officeDocument/2006/relationships/hyperlink" Target="mailto:josemaya@firemarshal.com.co" TargetMode="External" Id="rId145"/><Relationship Type="http://schemas.openxmlformats.org/officeDocument/2006/relationships/hyperlink" Target="mailto:directordeobra2024@gmail.com" TargetMode="External" Id="rId146"/><Relationship Type="http://schemas.openxmlformats.org/officeDocument/2006/relationships/hyperlink" Target="mailto:Julicardonab15@gmail.com" TargetMode="External" Id="rId147"/><Relationship Type="http://schemas.openxmlformats.org/officeDocument/2006/relationships/hyperlink" Target="mailto:jlopezv3@kenvue.com" TargetMode="External" Id="rId148"/><Relationship Type="http://schemas.openxmlformats.org/officeDocument/2006/relationships/hyperlink" Target="mailto:n.garcia@condiseno.co" TargetMode="External" Id="rId149"/><Relationship Type="http://schemas.openxmlformats.org/officeDocument/2006/relationships/hyperlink" Target="mailto:lduque@emergentslnes.com.co" TargetMode="External" Id="rId150"/><Relationship Type="http://schemas.openxmlformats.org/officeDocument/2006/relationships/hyperlink" Target="mailto:berincesas@gmail.com" TargetMode="External" Id="rId151"/><Relationship Type="http://schemas.openxmlformats.org/officeDocument/2006/relationships/hyperlink" Target="mailto:ventas@verlimpio.com" TargetMode="External" Id="rId152"/><Relationship Type="http://schemas.openxmlformats.org/officeDocument/2006/relationships/hyperlink" Target="mailto:lduque@emergentslnes.com.co" TargetMode="External" Id="rId153"/><Relationship Type="http://schemas.openxmlformats.org/officeDocument/2006/relationships/hyperlink" Target="mailto:lduque@emergentslnes.com.co" TargetMode="External" Id="rId154"/><Relationship Type="http://schemas.openxmlformats.org/officeDocument/2006/relationships/hyperlink" Target="mailto:liliana.gutierrez@studiosur.net" TargetMode="External" Id="rId155"/><Relationship Type="http://schemas.openxmlformats.org/officeDocument/2006/relationships/hyperlink" Target="mailto:ventas@verlimpio.com" TargetMode="External" Id="rId156"/><Relationship Type="http://schemas.openxmlformats.org/officeDocument/2006/relationships/hyperlink" Target="mailto:cmesa@coninsa.co" TargetMode="External" Id="rId157"/><Relationship Type="http://schemas.openxmlformats.org/officeDocument/2006/relationships/hyperlink" Target="mailto:diseno4@gyd.com.co" TargetMode="External" Id="rId158"/><Relationship Type="http://schemas.openxmlformats.org/officeDocument/2006/relationships/hyperlink" Target="mailto:santi.car9@hotmail.com" TargetMode="External" Id="rId159"/><Relationship Type="http://schemas.openxmlformats.org/officeDocument/2006/relationships/hyperlink" Target="mailto:casaldarriaga@ces.edu.co" TargetMode="External" Id="rId160"/><Relationship Type="http://schemas.openxmlformats.org/officeDocument/2006/relationships/hyperlink" Target="mailto:ventas@verlimpio.com" TargetMode="External" Id="rId161"/><Relationship Type="http://schemas.openxmlformats.org/officeDocument/2006/relationships/hyperlink" Target="mailto:dir.tecnico@spci.com.co" TargetMode="External" Id="rId162"/><Relationship Type="http://schemas.openxmlformats.org/officeDocument/2006/relationships/hyperlink" Target="mailto:dir.proyectos@goodgroup.com.co" TargetMode="External" Id="rId163"/><Relationship Type="http://schemas.openxmlformats.org/officeDocument/2006/relationships/hyperlink" Target="mailto:juannaranjo@convel.co" TargetMode="External" Id="rId164"/><Relationship Type="http://schemas.openxmlformats.org/officeDocument/2006/relationships/hyperlink" Target="mailto:juannaranjo@convel.co" TargetMode="External" Id="rId165"/><Relationship Type="http://schemas.openxmlformats.org/officeDocument/2006/relationships/hyperlink" Target="mailto:carolina@hidrofsalinas.com" TargetMode="External" Id="rId166"/><Relationship Type="http://schemas.openxmlformats.org/officeDocument/2006/relationships/hyperlink" Target="mailto:josemaya@firemarshal.com.co" TargetMode="External" Id="rId167"/><Relationship Type="http://schemas.openxmlformats.org/officeDocument/2006/relationships/hyperlink" Target="mailto:lfvalderrama@interve.co" TargetMode="External" Id="rId168"/><Relationship Type="http://schemas.openxmlformats.org/officeDocument/2006/relationships/hyperlink" Target="mailto:vanessazapata.fcr@gmail.com" TargetMode="External" Id="rId169"/><Relationship Type="http://schemas.openxmlformats.org/officeDocument/2006/relationships/hyperlink" Target="mailto:camilo.quintero@spci.com.co" TargetMode="External" Id="rId170"/><Relationship Type="http://schemas.openxmlformats.org/officeDocument/2006/relationships/hyperlink" Target="mailto:proyectos1@rcimontajes.co" TargetMode="External" Id="rId171"/><Relationship Type="http://schemas.openxmlformats.org/officeDocument/2006/relationships/hyperlink" Target="mailto:calmanya@jomarkseguridad.com" TargetMode="External" Id="rId172"/><Relationship Type="http://schemas.openxmlformats.org/officeDocument/2006/relationships/hyperlink" Target="mailto:cristihan@solenium.co" TargetMode="External" Id="rId173"/><Relationship Type="http://schemas.openxmlformats.org/officeDocument/2006/relationships/hyperlink" Target="mailto:francisco.unda@seriinco.com" TargetMode="External" Id="rId174"/><Relationship Type="http://schemas.openxmlformats.org/officeDocument/2006/relationships/hyperlink" Target="mailto:aux.proyectos@dryrefor.com" TargetMode="External" Id="rId175"/><Relationship Type="http://schemas.openxmlformats.org/officeDocument/2006/relationships/hyperlink" Target="mailto:lduque@emergentslnes.com.co" TargetMode="External" Id="rId176"/><Relationship Type="http://schemas.openxmlformats.org/officeDocument/2006/relationships/hyperlink" Target="mailto:dir.tecnico@spci.com.co" TargetMode="External" Id="rId177"/><Relationship Type="http://schemas.openxmlformats.org/officeDocument/2006/relationships/hyperlink" Target="mailto:proyectos@clinicaelrosario.com" TargetMode="External" Id="rId178"/><Relationship Type="http://schemas.openxmlformats.org/officeDocument/2006/relationships/hyperlink" Target="mailto:n.garcia@condiseno.co" TargetMode="External" Id="rId179"/><Relationship Type="http://schemas.openxmlformats.org/officeDocument/2006/relationships/hyperlink" Target="mailto:dir.tecnico@spci.com.co" TargetMode="External" Id="rId180"/><Relationship Type="http://schemas.openxmlformats.org/officeDocument/2006/relationships/hyperlink" Target="mailto:laura.arias@studiosur.net" TargetMode="External" Id="rId181"/><Relationship Type="http://schemas.openxmlformats.org/officeDocument/2006/relationships/hyperlink" Target="mailto:vanessazapata.fcr@gmail.com" TargetMode="External" Id="rId182"/><Relationship Type="http://schemas.openxmlformats.org/officeDocument/2006/relationships/hyperlink" Target="mailto:ytamayo@coninsa.co" TargetMode="External" Id="rId183"/><Relationship Type="http://schemas.openxmlformats.org/officeDocument/2006/relationships/hyperlink" Target="mailto:analistacompras@smart.edu.co" TargetMode="External" Id="rId184"/><Relationship Type="http://schemas.openxmlformats.org/officeDocument/2006/relationships/hyperlink" Target="mailto:carolina@hidrofsalinas.com" TargetMode="External" Id="rId185"/><Relationship Type="http://schemas.openxmlformats.org/officeDocument/2006/relationships/hyperlink" Target="mailto:julianmartinezp99@gmail.com" TargetMode="External" Id="rId186"/><Relationship Type="http://schemas.openxmlformats.org/officeDocument/2006/relationships/hyperlink" Target="mailto:dir.tecnico@spci.com.co" TargetMode="External" Id="rId187"/><Relationship Type="http://schemas.openxmlformats.org/officeDocument/2006/relationships/hyperlink" Target="mailto:alvaromanosalva@sfiregroup.com" TargetMode="External" Id="rId188"/><Relationship Type="http://schemas.openxmlformats.org/officeDocument/2006/relationships/hyperlink" Target="mailto:proyectos@prosoma.com.co" TargetMode="External" Id="rId189"/><Relationship Type="http://schemas.openxmlformats.org/officeDocument/2006/relationships/hyperlink" Target="mailto:francisco.unda@seriinco.com" TargetMode="External" Id="rId190"/><Relationship Type="http://schemas.openxmlformats.org/officeDocument/2006/relationships/hyperlink" Target="mailto:coordinadorproyectos1@g4ingenieros.com" TargetMode="External" Id="rId191"/><Relationship Type="http://schemas.openxmlformats.org/officeDocument/2006/relationships/hyperlink" Target="mailto:licitaciones@spci.com.co" TargetMode="External" Id="rId192"/><Relationship Type="http://schemas.openxmlformats.org/officeDocument/2006/relationships/hyperlink" Target="mailto:ascomercial2@securetec.com.co" TargetMode="External" Id="rId193"/><Relationship Type="http://schemas.openxmlformats.org/officeDocument/2006/relationships/hyperlink" Target="mailto:johnnatan.duque@seriinco.com" TargetMode="External" Id="rId194"/><Relationship Type="http://schemas.openxmlformats.org/officeDocument/2006/relationships/hyperlink" Target="mailto:aagudelol@conconcreto.com" TargetMode="External" Id="rId195"/><Relationship Type="http://schemas.openxmlformats.org/officeDocument/2006/relationships/hyperlink" Target="mailto:detectarsystems@gmail.com" TargetMode="External" Id="rId196"/><Relationship Type="http://schemas.openxmlformats.org/officeDocument/2006/relationships/hyperlink" Target="mailto:dir.tecnico@spci.com.co" TargetMode="External" Id="rId197"/><Relationship Type="http://schemas.openxmlformats.org/officeDocument/2006/relationships/hyperlink" Target="mailto:wilmer.chirivi@colgas.com" TargetMode="External" Id="rId198"/><Relationship Type="http://schemas.openxmlformats.org/officeDocument/2006/relationships/hyperlink" Target="mailto:diseno4@gyd.com.co" TargetMode="External" Id="rId199"/><Relationship Type="http://schemas.openxmlformats.org/officeDocument/2006/relationships/hyperlink" Target="mailto:pubenza@tipinterventoria.com" TargetMode="External" Id="rId200"/><Relationship Type="http://schemas.openxmlformats.org/officeDocument/2006/relationships/hyperlink" Target="mailto:dirproyectos@securetec.com.co" TargetMode="External" Id="rId201"/><Relationship Type="http://schemas.openxmlformats.org/officeDocument/2006/relationships/hyperlink" Target="mailto:awhite@mt.com.co" TargetMode="External" Id="rId202"/><Relationship Type="http://schemas.openxmlformats.org/officeDocument/2006/relationships/hyperlink" Target="mailto:n.garcia@condiseno.co" TargetMode="External" Id="rId203"/><Relationship Type="http://schemas.openxmlformats.org/officeDocument/2006/relationships/hyperlink" Target="mailto:ascomercial2@securetec.com.co" TargetMode="External" Id="rId204"/><Relationship Type="http://schemas.openxmlformats.org/officeDocument/2006/relationships/hyperlink" Target="mailto:dir.tecnico@spci.com.co" TargetMode="External" Id="rId205"/><Relationship Type="http://schemas.openxmlformats.org/officeDocument/2006/relationships/hyperlink" Target="mailto:dir.tecnico@spci.com.co" TargetMode="External" Id="rId206"/><Relationship Type="http://schemas.openxmlformats.org/officeDocument/2006/relationships/hyperlink" Target="mailto:andrea.sanchez@studiosur.net" TargetMode="External" Id="rId207"/><Relationship Type="http://schemas.openxmlformats.org/officeDocument/2006/relationships/hyperlink" Target="mailto:heder.cardozo@isciviles.com.co" TargetMode="External" Id="rId208"/><Relationship Type="http://schemas.openxmlformats.org/officeDocument/2006/relationships/hyperlink" Target="mailto:heder.cardozo@isciviles.com.co" TargetMode="External" Id="rId209"/><Relationship Type="http://schemas.openxmlformats.org/officeDocument/2006/relationships/hyperlink" Target="mailto:analistaambiental@intecplast.com.co" TargetMode="External" Id="rId210"/><Relationship Type="http://schemas.openxmlformats.org/officeDocument/2006/relationships/hyperlink" Target="mailto:analistaambiental@intecplast.com.co" TargetMode="External" Id="rId211"/><Relationship Type="http://schemas.openxmlformats.org/officeDocument/2006/relationships/hyperlink" Target="mailto:ascomercial2@securetec.com.co" TargetMode="External" Id="rId212"/><Relationship Type="http://schemas.openxmlformats.org/officeDocument/2006/relationships/hyperlink" Target="mailto:afatt@proyectosurbanos.com.co" TargetMode="External" Id="rId213"/><Relationship Type="http://schemas.openxmlformats.org/officeDocument/2006/relationships/hyperlink" Target="mailto:detectarsystems@gmail.com" TargetMode="External" Id="rId214"/><Relationship Type="http://schemas.openxmlformats.org/officeDocument/2006/relationships/hyperlink" Target="mailto:mhernandezm@conconcreto.com" TargetMode="External" Id="rId215"/><Relationship Type="http://schemas.openxmlformats.org/officeDocument/2006/relationships/hyperlink" Target="mailto:johner.payares@bienesybienes.com.co" TargetMode="External" Id="rId216"/><Relationship Type="http://schemas.openxmlformats.org/officeDocument/2006/relationships/hyperlink" Target="mailto:laura.arias@studiosur.net" TargetMode="External" Id="rId217"/><Relationship Type="http://schemas.openxmlformats.org/officeDocument/2006/relationships/hyperlink" Target="mailto:dirproyectos@securetec.com.co" TargetMode="External" Id="rId218"/><Relationship Type="http://schemas.openxmlformats.org/officeDocument/2006/relationships/hyperlink" Target="mailto:ingenieria@inge10.com" TargetMode="External" Id="rId219"/><Relationship Type="http://schemas.openxmlformats.org/officeDocument/2006/relationships/hyperlink" Target="mailto:carlos.henao@seriinco.com" TargetMode="External" Id="rId220"/><Relationship Type="http://schemas.openxmlformats.org/officeDocument/2006/relationships/hyperlink" Target="mailto:carlos.henao@seriinco.com" TargetMode="External" Id="rId221"/><Relationship Type="http://schemas.openxmlformats.org/officeDocument/2006/relationships/hyperlink" Target="mailto:laura.rpo19@gmail.com" TargetMode="External" Id="rId222"/><Relationship Type="http://schemas.openxmlformats.org/officeDocument/2006/relationships/hyperlink" Target="mailto:geodr.182@hotmail.com" TargetMode="External" Id="rId223"/><Relationship Type="http://schemas.openxmlformats.org/officeDocument/2006/relationships/hyperlink" Target="mailto:Jhonocampoarq@gmail.com" TargetMode="External" Id="rId224"/><Relationship Type="http://schemas.openxmlformats.org/officeDocument/2006/relationships/hyperlink" Target="mailto:Jhonocampoarq@gmail.com" TargetMode="External" Id="rId225"/><Relationship Type="http://schemas.openxmlformats.org/officeDocument/2006/relationships/hyperlink" Target="mailto:Jhonocampoarq@gmail.com" TargetMode="External" Id="rId226"/><Relationship Type="http://schemas.openxmlformats.org/officeDocument/2006/relationships/hyperlink" Target="mailto:sandras@progressa.com.co" TargetMode="External" Id="rId227"/><Relationship Type="http://schemas.openxmlformats.org/officeDocument/2006/relationships/hyperlink" Target="mailto:sandras@progressa.com.co" TargetMode="External" Id="rId228"/><Relationship Type="http://schemas.openxmlformats.org/officeDocument/2006/relationships/hyperlink" Target="mailto:amtorres@conconcreto.com" TargetMode="External" Id="rId229"/><Relationship Type="http://schemas.openxmlformats.org/officeDocument/2006/relationships/hyperlink" Target="mailto:amtorres@conconcreto.com" TargetMode="External" Id="rId230"/><Relationship Type="http://schemas.openxmlformats.org/officeDocument/2006/relationships/hyperlink" Target="mailto:robinsonmarulanda@arquitecturayconcreto.com" TargetMode="External" Id="rId231"/><Relationship Type="http://schemas.openxmlformats.org/officeDocument/2006/relationships/hyperlink" Target="mailto:cmesa@coninsa.co" TargetMode="External" Id="rId232"/><Relationship Type="http://schemas.openxmlformats.org/officeDocument/2006/relationships/hyperlink" Target="mailto:carlos.henao@seriinco.com" TargetMode="External" Id="rId233"/><Relationship Type="http://schemas.openxmlformats.org/officeDocument/2006/relationships/hyperlink" Target="mailto:Jhonocampoarq@gmail.com" TargetMode="External" Id="rId234"/><Relationship Type="http://schemas.openxmlformats.org/officeDocument/2006/relationships/hyperlink" Target="mailto:amtorres@conconcreto.com" TargetMode="External" Id="rId235"/><Relationship Type="http://schemas.openxmlformats.org/officeDocument/2006/relationships/hyperlink" Target="mailto:escapeto28@gmail.com" TargetMode="External" Id="rId236"/><Relationship Type="http://schemas.openxmlformats.org/officeDocument/2006/relationships/hyperlink" Target="mailto:coordinacion@conintel.com.co" TargetMode="External" Id="rId237"/><Relationship Type="http://schemas.openxmlformats.org/officeDocument/2006/relationships/hyperlink" Target="mailto:gerencia@projectsolutions.com.co" TargetMode="External" Id="rId238"/><Relationship Type="http://schemas.openxmlformats.org/officeDocument/2006/relationships/hyperlink" Target="mailto:paula.montoya@ieb.co" TargetMode="External" Id="rId239"/><Relationship Type="http://schemas.openxmlformats.org/officeDocument/2006/relationships/hyperlink" Target="mailto:carlos.henao@seriinco.com" TargetMode="External" Id="rId240"/><Relationship Type="http://schemas.openxmlformats.org/officeDocument/2006/relationships/hyperlink" Target="mailto:david.lopera@socomes.com" TargetMode="External" Id="rId241"/><Relationship Type="http://schemas.openxmlformats.org/officeDocument/2006/relationships/hyperlink" Target="mailto:jgomez@acierto.com.co" TargetMode="External" Id="rId242"/><Relationship Type="http://schemas.openxmlformats.org/officeDocument/2006/relationships/hyperlink" Target="mailto:dir.tecnico@spci.com.co" TargetMode="External" Id="rId243"/><Relationship Type="http://schemas.openxmlformats.org/officeDocument/2006/relationships/hyperlink" Target="mailto:dir.tecnico@spci.com.co" TargetMode="External" Id="rId244"/><Relationship Type="http://schemas.openxmlformats.org/officeDocument/2006/relationships/hyperlink" Target="mailto:dir.tecnico@spci.com.co" TargetMode="External" Id="rId245"/><Relationship Type="http://schemas.openxmlformats.org/officeDocument/2006/relationships/hyperlink" Target="mailto:alvaromanosalva@sfiregroup.com" TargetMode="External" Id="rId246"/><Relationship Type="http://schemas.openxmlformats.org/officeDocument/2006/relationships/hyperlink" Target="mailto:alvaromanosalva@sfiregroup.com" TargetMode="External" Id="rId247"/><Relationship Type="http://schemas.openxmlformats.org/officeDocument/2006/relationships/hyperlink" Target="mailto:constru.hg@gmail.com" TargetMode="External" Id="rId248"/><Relationship Type="http://schemas.openxmlformats.org/officeDocument/2006/relationships/hyperlink" Target="mailto:operaciones@goodgroup.com.co" TargetMode="External" Id="rId249"/><Relationship Type="http://schemas.openxmlformats.org/officeDocument/2006/relationships/hyperlink" Target="mailto:juan.grajales@spci.com.co" TargetMode="External" Id="rId250"/><Relationship Type="http://schemas.openxmlformats.org/officeDocument/2006/relationships/hyperlink" Target="mailto:juan.grajales@spci.com.co" TargetMode="External" Id="rId251"/><Relationship Type="http://schemas.openxmlformats.org/officeDocument/2006/relationships/hyperlink" Target="mailto:heder.cardozo@isciviles.com.co" TargetMode="External" Id="rId252"/><Relationship Type="http://schemas.openxmlformats.org/officeDocument/2006/relationships/hyperlink" Target="mailto:alvaromanosalva@sfiregroup.com" TargetMode="External" Id="rId253"/><Relationship Type="http://schemas.openxmlformats.org/officeDocument/2006/relationships/hyperlink" Target="mailto:alvaromanosalva@sfiregroup.com" TargetMode="External" Id="rId254"/><Relationship Type="http://schemas.openxmlformats.org/officeDocument/2006/relationships/hyperlink" Target="mailto:jmorao@conconcreto.com" TargetMode="External" Id="rId255"/><Relationship Type="http://schemas.openxmlformats.org/officeDocument/2006/relationships/hyperlink" Target="mailto:david.lopera@socomes.com" TargetMode="External" Id="rId256"/><Relationship Type="http://schemas.openxmlformats.org/officeDocument/2006/relationships/hyperlink" Target="mailto:david.lopera@socomes.com" TargetMode="External" Id="rId257"/><Relationship Type="http://schemas.openxmlformats.org/officeDocument/2006/relationships/hyperlink" Target="mailto:plantacopagea@gmail.com" TargetMode="External" Id="rId258"/><Relationship Type="http://schemas.openxmlformats.org/officeDocument/2006/relationships/hyperlink" Target="mailto:coordisenos@consorcioccnc.com.co" TargetMode="External" Id="rId259"/><Relationship Type="http://schemas.openxmlformats.org/officeDocument/2006/relationships/hyperlink" Target="mailto:mauricio.gutierrez@spci.com.co" TargetMode="External" Id="rId260"/><Relationship Type="http://schemas.openxmlformats.org/officeDocument/2006/relationships/hyperlink" Target="mailto:diseno4@gyd.com.co" TargetMode="External" Id="rId261"/><Relationship Type="http://schemas.openxmlformats.org/officeDocument/2006/relationships/hyperlink" Target="mailto:david.lopera@socomes.com" TargetMode="External" Id="rId262"/><Relationship Type="http://schemas.openxmlformats.org/officeDocument/2006/relationships/hyperlink" Target="mailto:proyectos@prosoma.com.co" TargetMode="External" Id="rId263"/><Relationship Type="http://schemas.openxmlformats.org/officeDocument/2006/relationships/hyperlink" Target="mailto:robinsonmarulanda@arquitecturayconcreto.com" TargetMode="External" Id="rId264"/><Relationship Type="http://schemas.openxmlformats.org/officeDocument/2006/relationships/hyperlink" Target="mailto:dir.tecnico@spci.com.co" TargetMode="External" Id="rId265"/><Relationship Type="http://schemas.openxmlformats.org/officeDocument/2006/relationships/hyperlink" Target="mailto:dir.tecnico@spci.com.co" TargetMode="External" Id="rId266"/><Relationship Type="http://schemas.openxmlformats.org/officeDocument/2006/relationships/hyperlink" Target="mailto:nidiazuluaga@mt.com.co" TargetMode="External" Id="rId267"/><Relationship Type="http://schemas.openxmlformats.org/officeDocument/2006/relationships/hyperlink" Target="mailto:dir.tecnico@spci.com.co" TargetMode="External" Id="rId268"/><Relationship Type="http://schemas.openxmlformats.org/officeDocument/2006/relationships/hyperlink" Target="mailto:bryanstvn22@gmail.com" TargetMode="External" Id="rId269"/><Relationship Type="http://schemas.openxmlformats.org/officeDocument/2006/relationships/hyperlink" Target="mailto:josemaya@firemarshal.com.co" TargetMode="External" Id="rId270"/><Relationship Type="http://schemas.openxmlformats.org/officeDocument/2006/relationships/hyperlink" Target="mailto:a.parra@viveloop.com" TargetMode="External" Id="rId271"/><Relationship Type="http://schemas.openxmlformats.org/officeDocument/2006/relationships/hyperlink" Target="mailto:ascomercial2@securetec.com.co" TargetMode="External" Id="rId272"/><Relationship Type="http://schemas.openxmlformats.org/officeDocument/2006/relationships/hyperlink" Target="mailto:andreanunez@firemarshal.com.co" TargetMode="External" Id="rId273"/><Relationship Type="http://schemas.openxmlformats.org/officeDocument/2006/relationships/hyperlink" Target="mailto:info@cigsismoresistencia.com" TargetMode="External" Id="rId274"/><Relationship Type="http://schemas.openxmlformats.org/officeDocument/2006/relationships/hyperlink" Target="mailto:hernan.ortiz@kardinal.com.co" TargetMode="External" Id="rId275"/><Relationship Type="http://schemas.openxmlformats.org/officeDocument/2006/relationships/hyperlink" Target="mailto:jorge.escobar@espiral.com.co" TargetMode="External" Id="rId276"/><Relationship Type="http://schemas.openxmlformats.org/officeDocument/2006/relationships/hyperlink" Target="mailto:jmorao@conconcreto.com" TargetMode="External" Id="rId277"/><Relationship Type="http://schemas.openxmlformats.org/officeDocument/2006/relationships/hyperlink" Target="mailto:dir.tecnico@spci.com.co" TargetMode="External" Id="rId278"/><Relationship Type="http://schemas.openxmlformats.org/officeDocument/2006/relationships/hyperlink" Target="mailto:dir.tecnico@spci.com.co" TargetMode="External" Id="rId279"/><Relationship Type="http://schemas.openxmlformats.org/officeDocument/2006/relationships/hyperlink" Target="mailto:dir.tecnico@spci.com.co" TargetMode="External" Id="rId280"/><Relationship Type="http://schemas.openxmlformats.org/officeDocument/2006/relationships/hyperlink" Target="mailto:camiloar@toroposada.com" TargetMode="External" Id="rId281"/><Relationship Type="http://schemas.openxmlformats.org/officeDocument/2006/relationships/hyperlink" Target="mailto:interventoria@westquimica.com" TargetMode="External" Id="rId282"/><Relationship Type="http://schemas.openxmlformats.org/officeDocument/2006/relationships/hyperlink" Target="mailto:dipenagos@solla.com" TargetMode="External" Id="rId283"/><Relationship Type="http://schemas.openxmlformats.org/officeDocument/2006/relationships/hyperlink" Target="mailto:dipenagos@solla.com" TargetMode="External" Id="rId284"/><Relationship Type="http://schemas.openxmlformats.org/officeDocument/2006/relationships/hyperlink" Target="mailto:dsosa@aia.com.co" TargetMode="External" Id="rId285"/><Relationship Type="http://schemas.openxmlformats.org/officeDocument/2006/relationships/hyperlink" Target="mailto:goingenieriaysoluciones@gmail.com" TargetMode="External" Id="rId286"/><Relationship Type="http://schemas.openxmlformats.org/officeDocument/2006/relationships/hyperlink" Target="mailto:aldiaz@otacc.com" TargetMode="External" Id="rId287"/><Relationship Type="http://schemas.openxmlformats.org/officeDocument/2006/relationships/hyperlink" Target="mailto:dirproyectos@securetec.com.co" TargetMode="External" Id="rId288"/><Relationship Type="http://schemas.openxmlformats.org/officeDocument/2006/relationships/hyperlink" Target="mailto:carlos.henao@seriinco.com" TargetMode="External" Id="rId289"/><Relationship Type="http://schemas.openxmlformats.org/officeDocument/2006/relationships/hyperlink" Target="mailto:carlos.henao@seriinco.com" TargetMode="External" Id="rId290"/><Relationship Type="http://schemas.openxmlformats.org/officeDocument/2006/relationships/hyperlink" Target="mailto:n.garcia@condiseno.co" TargetMode="External" Id="rId291"/><Relationship Type="http://schemas.openxmlformats.org/officeDocument/2006/relationships/hyperlink" Target="mailto:david.lopera@socomes.com" TargetMode="External" Id="rId292"/><Relationship Type="http://schemas.openxmlformats.org/officeDocument/2006/relationships/hyperlink" Target="mailto:dir.tecnico@spci.com.co" TargetMode="External" Id="rId293"/><Relationship Type="http://schemas.openxmlformats.org/officeDocument/2006/relationships/hyperlink" Target="mailto:laura.arias@studiosur.net" TargetMode="External" Id="rId294"/><Relationship Type="http://schemas.openxmlformats.org/officeDocument/2006/relationships/hyperlink" Target="mailto:luis.marin@coordi-integral.com.co" TargetMode="External" Id="rId295"/><Relationship Type="http://schemas.openxmlformats.org/officeDocument/2006/relationships/hyperlink" Target="mailto:bmarquitecturayconstruccion@gmail.com" TargetMode="External" Id="rId296"/><Relationship Type="http://schemas.openxmlformats.org/officeDocument/2006/relationships/hyperlink" Target="mailto:andreanunez@firemarshal.com.co" TargetMode="External" Id="rId297"/><Relationship Type="http://schemas.openxmlformats.org/officeDocument/2006/relationships/hyperlink" Target="mailto:paula.cortes@divemotor.co" TargetMode="External" Id="rId298"/><Relationship Type="http://schemas.openxmlformats.org/officeDocument/2006/relationships/hyperlink" Target="mailto:dir.tecnico@spci.com.co" TargetMode="External" Id="rId299"/><Relationship Type="http://schemas.openxmlformats.org/officeDocument/2006/relationships/hyperlink" Target="mailto:mferrer@interve.co" TargetMode="External" Id="rId300"/><Relationship Type="http://schemas.openxmlformats.org/officeDocument/2006/relationships/hyperlink" Target="mailto:bmarquitecturayconstruccion@gmail.com" TargetMode="External" Id="rId301"/><Relationship Type="http://schemas.openxmlformats.org/officeDocument/2006/relationships/hyperlink" Target="mailto:heder.cardozo@isciviles.com.co" TargetMode="External" Id="rId302"/><Relationship Type="http://schemas.openxmlformats.org/officeDocument/2006/relationships/hyperlink" Target="mailto:heder.cardozo@isciviles.com.co" TargetMode="External" Id="rId303"/><Relationship Type="http://schemas.openxmlformats.org/officeDocument/2006/relationships/hyperlink" Target="mailto:Geinermontoya2015@gmail.com" TargetMode="External" Id="rId304"/><Relationship Type="http://schemas.openxmlformats.org/officeDocument/2006/relationships/hyperlink" Target="mailto:dir.tecnico@spci.com.co" TargetMode="External" Id="rId305"/><Relationship Type="http://schemas.openxmlformats.org/officeDocument/2006/relationships/hyperlink" Target="mailto:daniela.rios@ieb.co" TargetMode="External" Id="rId306"/><Relationship Type="http://schemas.openxmlformats.org/officeDocument/2006/relationships/hyperlink" Target="mailto:daniela.rios@ieb.co" TargetMode="External" Id="rId307"/><Relationship Type="http://schemas.openxmlformats.org/officeDocument/2006/relationships/hyperlink" Target="mailto:ascomercial2@securetec.com.co" TargetMode="External" Id="rId308"/><Relationship Type="http://schemas.openxmlformats.org/officeDocument/2006/relationships/hyperlink" Target="mailto:cristina@sumario.co" TargetMode="External" Id="rId309"/><Relationship Type="http://schemas.openxmlformats.org/officeDocument/2006/relationships/hyperlink" Target="mailto:cristina@sumario.co" TargetMode="External" Id="rId310"/><Relationship Type="http://schemas.openxmlformats.org/officeDocument/2006/relationships/hyperlink" Target="mailto:ccarrillom@conconcreto.com" TargetMode="External" Id="rId311"/><Relationship Type="http://schemas.openxmlformats.org/officeDocument/2006/relationships/hyperlink" Target="mailto:tecnico@quiraproyecto.com" TargetMode="External" Id="rId312"/><Relationship Type="http://schemas.openxmlformats.org/officeDocument/2006/relationships/hyperlink" Target="mailto:anamariagarces@casdiquim.com.co" TargetMode="External" Id="rId313"/><Relationship Type="http://schemas.openxmlformats.org/officeDocument/2006/relationships/hyperlink" Target="mailto:helena.mahecha@d1.com.co" TargetMode="External" Id="rId314"/><Relationship Type="http://schemas.openxmlformats.org/officeDocument/2006/relationships/hyperlink" Target="mailto:anamariagarces@casdiquim.com.co" TargetMode="External" Id="rId315"/><Relationship Type="http://schemas.openxmlformats.org/officeDocument/2006/relationships/hyperlink" Target="mailto:sebastianochoa@arquitecturayconcreto.com" TargetMode="External" Id="rId316"/><Relationship Type="http://schemas.openxmlformats.org/officeDocument/2006/relationships/hyperlink" Target="mailto:sebastianochoa@arquitecturayconcreto.com" TargetMode="External" Id="rId317"/><Relationship Type="http://schemas.openxmlformats.org/officeDocument/2006/relationships/hyperlink" Target="mailto:robinsonmarulanda@arquitecturayconcreto.com" TargetMode="External" Id="rId318"/><Relationship Type="http://schemas.openxmlformats.org/officeDocument/2006/relationships/hyperlink" Target="mailto:dir.tecnico@spci.com.co" TargetMode="External" Id="rId319"/><Relationship Type="http://schemas.openxmlformats.org/officeDocument/2006/relationships/hyperlink" Target="mailto:arestrepoe@conconcreto.com" TargetMode="External" Id="rId320"/><Relationship Type="http://schemas.openxmlformats.org/officeDocument/2006/relationships/hyperlink" Target="mailto:ccarrillom@conconcreto.com" TargetMode="External" Id="rId321"/><Relationship Type="http://schemas.openxmlformats.org/officeDocument/2006/relationships/hyperlink" Target="mailto:dir.proyectos@goodgroup.com.co" TargetMode="External" Id="rId322"/><Relationship Type="http://schemas.openxmlformats.org/officeDocument/2006/relationships/hyperlink" Target="mailto:analucia@arangoarango.com" TargetMode="External" Id="rId323"/><Relationship Type="http://schemas.openxmlformats.org/officeDocument/2006/relationships/hyperlink" Target="mailto:mhernandezm@conconcreto.com" TargetMode="External" Id="rId324"/><Relationship Type="http://schemas.openxmlformats.org/officeDocument/2006/relationships/hyperlink" Target="mailto:robinsonmarulanda@arquitecturayconcreto.com" TargetMode="External" Id="rId325"/><Relationship Type="http://schemas.openxmlformats.org/officeDocument/2006/relationships/hyperlink" Target="mailto:mauricio.gutierrez@spci.com.co" TargetMode="External" Id="rId326"/><Relationship Type="http://schemas.openxmlformats.org/officeDocument/2006/relationships/hyperlink" Target="mailto:sposada@mt.com.co" TargetMode="External" Id="rId327"/><Relationship Type="http://schemas.openxmlformats.org/officeDocument/2006/relationships/hyperlink" Target="mailto:gmonroy@mipko.co" TargetMode="External" Id="rId328"/><Relationship Type="http://schemas.openxmlformats.org/officeDocument/2006/relationships/hyperlink" Target="mailto:robinsonmarulanda@arquitecturayconcreto.com" TargetMode="External" Id="rId329"/><Relationship Type="http://schemas.openxmlformats.org/officeDocument/2006/relationships/hyperlink" Target="mailto:eceballos@contex.com.co" TargetMode="External" Id="rId330"/><Relationship Type="http://schemas.openxmlformats.org/officeDocument/2006/relationships/hyperlink" Target="mailto:helena.mahecha@d1.com.co" TargetMode="External" Id="rId331"/><Relationship Type="http://schemas.openxmlformats.org/officeDocument/2006/relationships/hyperlink" Target="mailto:carlos.henao@seriinco.com" TargetMode="External" Id="rId332"/><Relationship Type="http://schemas.openxmlformats.org/officeDocument/2006/relationships/hyperlink" Target="mailto:hduque@hdgerenciaintegral.com" TargetMode="External" Id="rId333"/><Relationship Type="http://schemas.openxmlformats.org/officeDocument/2006/relationships/hyperlink" Target="mailto:n.garcia@condiseno.co" TargetMode="External" Id="rId334"/><Relationship Type="http://schemas.openxmlformats.org/officeDocument/2006/relationships/hyperlink" Target="mailto:dise&#241;o4@gyd.com.co" TargetMode="External" Id="rId335"/><Relationship Type="http://schemas.openxmlformats.org/officeDocument/2006/relationships/hyperlink" Target="mailto:n.garcia@condiseno.co" TargetMode="External" Id="rId336"/><Relationship Type="http://schemas.openxmlformats.org/officeDocument/2006/relationships/hyperlink" Target="mailto:dir.tecnico@spci.com.co" TargetMode="External" Id="rId337"/><Relationship Type="http://schemas.openxmlformats.org/officeDocument/2006/relationships/hyperlink" Target="mailto:dir.tecnico@spci.com.co" TargetMode="External" Id="rId338"/><Relationship Type="http://schemas.openxmlformats.org/officeDocument/2006/relationships/hyperlink" Target="mailto:coordinacionvitral@gmail.com" TargetMode="External" Id="rId339"/><Relationship Type="http://schemas.openxmlformats.org/officeDocument/2006/relationships/hyperlink" Target="mailto:coordinadorasst@productoseterna.com.co" TargetMode="External" Id="rId340"/><Relationship Type="http://schemas.openxmlformats.org/officeDocument/2006/relationships/hyperlink" Target="mailto:ascomercial2@securetec.com.co" TargetMode="External" Id="rId341"/><Relationship Type="http://schemas.openxmlformats.org/officeDocument/2006/relationships/hyperlink" Target="mailto:juan.grajales@spci.com.co" TargetMode="External" Id="rId342"/><Relationship Type="http://schemas.openxmlformats.org/officeDocument/2006/relationships/hyperlink" Target="mailto:diseno4@gyd.com.co" TargetMode="External" Id="rId343"/><Relationship Type="http://schemas.openxmlformats.org/officeDocument/2006/relationships/hyperlink" Target="mailto:dirproyectos@securetec.com.co" TargetMode="External" Id="rId344"/><Relationship Type="http://schemas.openxmlformats.org/officeDocument/2006/relationships/hyperlink" Target="mailto:ascomercial2@securetec.com.co" TargetMode="External" Id="rId345"/><Relationship Type="http://schemas.openxmlformats.org/officeDocument/2006/relationships/hyperlink" Target="mailto:comercialipci1jomarkseguridad@gmail.com" TargetMode="External" Id="rId346"/><Relationship Type="http://schemas.openxmlformats.org/officeDocument/2006/relationships/hyperlink" Target="mailto:mateo.restrepo@ingeniobim.co" TargetMode="External" Id="rId347"/><Relationship Type="http://schemas.openxmlformats.org/officeDocument/2006/relationships/hyperlink" Target="mailto:camilo.quintero@spci.com.co" TargetMode="External" Id="rId348"/><Relationship Type="http://schemas.openxmlformats.org/officeDocument/2006/relationships/hyperlink" Target="mailto:andres.rativa@roingenieria.com" TargetMode="External" Id="rId349"/><Relationship Type="http://schemas.openxmlformats.org/officeDocument/2006/relationships/hyperlink" Target="mailto:e.ramirez@verticeing.com" TargetMode="External" Id="rId350"/><Relationship Type="http://schemas.openxmlformats.org/officeDocument/2006/relationships/hyperlink" Target="mailto:e.ramirez@verticeing.com" TargetMode="External" Id="rId351"/><Relationship Type="http://schemas.openxmlformats.org/officeDocument/2006/relationships/hyperlink" Target="mailto:Sergio@alammo.com.co" TargetMode="External" Id="rId352"/><Relationship Type="http://schemas.openxmlformats.org/officeDocument/2006/relationships/hyperlink" Target="mailto:carlos.henao@seriinco.com" TargetMode="External" Id="rId353"/><Relationship Type="http://schemas.openxmlformats.org/officeDocument/2006/relationships/hyperlink" Target="mailto:david.lopera@socomes.com" TargetMode="External" Id="rId354"/><Relationship Type="http://schemas.openxmlformats.org/officeDocument/2006/relationships/hyperlink" Target="mailto:david.lopera@socomes.com" TargetMode="External" Id="rId355"/><Relationship Type="http://schemas.openxmlformats.org/officeDocument/2006/relationships/hyperlink" Target="mailto:david.lopera@socomes.com" TargetMode="External" Id="rId356"/><Relationship Type="http://schemas.openxmlformats.org/officeDocument/2006/relationships/hyperlink" Target="mailto:reservas@lamayoria.com" TargetMode="External" Id="rId357"/><Relationship Type="http://schemas.openxmlformats.org/officeDocument/2006/relationships/hyperlink" Target="mailto:jecheverri@londonogomez.com" TargetMode="External" Id="rId358"/><Relationship Type="http://schemas.openxmlformats.org/officeDocument/2006/relationships/hyperlink" Target="mailto:gaguirre@solciviles.com" TargetMode="External" Id="rId359"/><Relationship Type="http://schemas.openxmlformats.org/officeDocument/2006/relationships/hyperlink" Target="mailto:gerencia@goodgroup.com.co" TargetMode="External" Id="rId360"/><Relationship Type="http://schemas.openxmlformats.org/officeDocument/2006/relationships/hyperlink" Target="mailto:mcvelasquez@contex.com.co" TargetMode="External" Id="rId361"/><Relationship Type="http://schemas.openxmlformats.org/officeDocument/2006/relationships/hyperlink" Target="mailto:ana.toro@labinmobiliario.com" TargetMode="External" Id="rId362"/><Relationship Type="http://schemas.openxmlformats.org/officeDocument/2006/relationships/hyperlink" Target="mailto:calmanya@jomarkseguridad.com" TargetMode="External" Id="rId363"/><Relationship Type="http://schemas.openxmlformats.org/officeDocument/2006/relationships/hyperlink" Target="mailto:ascomercial2@securetec.com.co" TargetMode="External" Id="rId364"/><Relationship Type="http://schemas.openxmlformats.org/officeDocument/2006/relationships/hyperlink" Target="mailto:gestioncompras@conaltura.com" TargetMode="External" Id="rId365"/><Relationship Type="http://schemas.openxmlformats.org/officeDocument/2006/relationships/hyperlink" Target="mailto:gestioncompras@conaltura.com" TargetMode="External" Id="rId366"/><Relationship Type="http://schemas.openxmlformats.org/officeDocument/2006/relationships/hyperlink" Target="mailto:gestioncompras@conaltura.com" TargetMode="External" Id="rId367"/><Relationship Type="http://schemas.openxmlformats.org/officeDocument/2006/relationships/hyperlink" Target="mailto:gestioncompras@conaltura.com" TargetMode="External" Id="rId368"/><Relationship Type="http://schemas.openxmlformats.org/officeDocument/2006/relationships/hyperlink" Target="mailto:gestioncompras@conaltura.com" TargetMode="External" Id="rId369"/><Relationship Type="http://schemas.openxmlformats.org/officeDocument/2006/relationships/hyperlink" Target="mailto:calmanya@jomarkseguridad.com" TargetMode="External" Id="rId370"/><Relationship Type="http://schemas.openxmlformats.org/officeDocument/2006/relationships/hyperlink" Target="mailto:gerencia@projectsolutions.com.co" TargetMode="External" Id="rId371"/><Relationship Type="http://schemas.openxmlformats.org/officeDocument/2006/relationships/hyperlink" Target="mailto:jarboleda@isometrico.com.co" TargetMode="External" Id="rId372"/><Relationship Type="http://schemas.openxmlformats.org/officeDocument/2006/relationships/hyperlink" Target="mailto:danielavelez.fcr@gmail.com" TargetMode="External" Id="rId373"/><Relationship Type="http://schemas.openxmlformats.org/officeDocument/2006/relationships/hyperlink" Target="mailto:jvenegas@conexoinmobiliario.com" TargetMode="External" Id="rId374"/><Relationship Type="http://schemas.openxmlformats.org/officeDocument/2006/relationships/hyperlink" Target="mailto:cotizaciones@sanmartin.edu.co" TargetMode="External" Id="rId375"/><Relationship Type="http://schemas.openxmlformats.org/officeDocument/2006/relationships/hyperlink" Target="mailto:leidyalzateq@clinicaces.edu.co" TargetMode="External" Id="rId376"/><Relationship Type="http://schemas.openxmlformats.org/officeDocument/2006/relationships/hyperlink" Target="mailto:dir.tecnico@spci.com.co" TargetMode="External" Id="rId377"/><Relationship Type="http://schemas.openxmlformats.org/officeDocument/2006/relationships/hyperlink" Target="mailto:daniela.rios@ieb.co" TargetMode="External" Id="rId378"/><Relationship Type="http://schemas.openxmlformats.org/officeDocument/2006/relationships/hyperlink" Target="mailto:robinsonmarulanda@arquitecturayconcreto.com" TargetMode="External" Id="rId379"/><Relationship Type="http://schemas.openxmlformats.org/officeDocument/2006/relationships/hyperlink" Target="mailto:dirproyectos@securetec.com.co" TargetMode="External" Id="rId380"/><Relationship Type="http://schemas.openxmlformats.org/officeDocument/2006/relationships/hyperlink" Target="mailto:diseno4@gyd.com.co" TargetMode="External" Id="rId381"/><Relationship Type="http://schemas.openxmlformats.org/officeDocument/2006/relationships/hyperlink" Target="mailto:r.lopez@ceadnv.com" TargetMode="External" Id="rId382"/><Relationship Type="http://schemas.openxmlformats.org/officeDocument/2006/relationships/hyperlink" Target="mailto:david.lopera@socomes.com" TargetMode="External" Id="rId383"/><Relationship Type="http://schemas.openxmlformats.org/officeDocument/2006/relationships/hyperlink" Target="mailto:escapeto28@gmail.com" TargetMode="External" Id="rId384"/><Relationship Type="http://schemas.openxmlformats.org/officeDocument/2006/relationships/hyperlink" Target="mailto:amtorres@conconcreto.com" TargetMode="External" Id="rId385"/><Relationship Type="http://schemas.openxmlformats.org/officeDocument/2006/relationships/hyperlink" Target="mailto:dguzman@stop.com.co" TargetMode="External" Id="rId386"/><Relationship Type="http://schemas.openxmlformats.org/officeDocument/2006/relationships/hyperlink" Target="mailto:vivianagomez@paralelo-group.com" TargetMode="External" Id="rId387"/><Relationship Type="http://schemas.openxmlformats.org/officeDocument/2006/relationships/hyperlink" Target="mailto:dir.tecnico@spci.com.co" TargetMode="External" Id="rId388"/><Relationship Type="http://schemas.openxmlformats.org/officeDocument/2006/relationships/hyperlink" Target="mailto:adriana@a3consulting.com.co" TargetMode="External" Id="rId389"/><Relationship Type="http://schemas.openxmlformats.org/officeDocument/2006/relationships/hyperlink" Target="mailto:sebastianaguirrebu@gmail.com" TargetMode="External" Id="rId390"/><Relationship Type="http://schemas.openxmlformats.org/officeDocument/2006/relationships/hyperlink" Target="mailto:n.garcia@condiseno.co" TargetMode="External" Id="rId391"/><Relationship Type="http://schemas.openxmlformats.org/officeDocument/2006/relationships/hyperlink" Target="mailto:farboleda@interve.co" TargetMode="External" Id="rId392"/><Relationship Type="http://schemas.openxmlformats.org/officeDocument/2006/relationships/hyperlink" Target="mailto:andresmunoz@convel.co" TargetMode="External" Id="rId393"/><Relationship Type="http://schemas.openxmlformats.org/officeDocument/2006/relationships/hyperlink" Target="mailto:hmalagonm@conconcreto.com" TargetMode="External" Id="rId394"/><Relationship Type="http://schemas.openxmlformats.org/officeDocument/2006/relationships/hyperlink" Target="mailto:vivianagomez@paralelo-group.com" TargetMode="External" Id="rId395"/><Relationship Type="http://schemas.openxmlformats.org/officeDocument/2006/relationships/hyperlink" Target="mailto:curibe@compose.com.co" TargetMode="External" Id="rId396"/><Relationship Type="http://schemas.openxmlformats.org/officeDocument/2006/relationships/hyperlink" Target="mailto:aldiaz@otacc.com" TargetMode="External" Id="rId397"/><Relationship Type="http://schemas.openxmlformats.org/officeDocument/2006/relationships/hyperlink" Target="mailto:juliomillan@fpservices.com.co" TargetMode="External" Id="rId398"/><Relationship Type="http://schemas.openxmlformats.org/officeDocument/2006/relationships/hyperlink" Target="mailto:pubenza@tipinterventoria.com" TargetMode="External" Id="rId399"/><Relationship Type="http://schemas.openxmlformats.org/officeDocument/2006/relationships/hyperlink" Target="mailto:juan.grajales@spci.com.co" TargetMode="External" Id="rId400"/><Relationship Type="http://schemas.openxmlformats.org/officeDocument/2006/relationships/hyperlink" Target="mailto:residenteadministrativo@progressa.com.co" TargetMode="External" Id="rId401"/><Relationship Type="http://schemas.openxmlformats.org/officeDocument/2006/relationships/hyperlink" Target="mailto:coordinadoracomercial@securetec.com.co" TargetMode="External" Id="rId402"/><Relationship Type="http://schemas.openxmlformats.org/officeDocument/2006/relationships/hyperlink" Target="mailto:carlos.henao@seriinco.com" TargetMode="External" Id="rId403"/><Relationship Type="http://schemas.openxmlformats.org/officeDocument/2006/relationships/hyperlink" Target="mailto:detectarsystems@gmail.com" TargetMode="External" Id="rId404"/><Relationship Type="http://schemas.openxmlformats.org/officeDocument/2006/relationships/hyperlink" Target="mailto:mcvelasquez@contex.com.co" TargetMode="External" Id="rId405"/><Relationship Type="http://schemas.openxmlformats.org/officeDocument/2006/relationships/hyperlink" Target="mailto:calmanya@jomarkseguridad.com" TargetMode="External" Id="rId406"/><Relationship Type="http://schemas.openxmlformats.org/officeDocument/2006/relationships/hyperlink" Target="mailto:ernestov@progressa.com.co" TargetMode="External" Id="rId407"/><Relationship Type="http://schemas.openxmlformats.org/officeDocument/2006/relationships/hyperlink" Target="mailto:ernestov@progressa.com.co" TargetMode="External" Id="rId408"/><Relationship Type="http://schemas.openxmlformats.org/officeDocument/2006/relationships/hyperlink" Target="mailto:zmlopez@coninsa.co" TargetMode="External" Id="rId409"/><Relationship Type="http://schemas.openxmlformats.org/officeDocument/2006/relationships/hyperlink" Target="mailto:camilo.quintero@spci.com.co" TargetMode="External" Id="rId410"/><Relationship Type="http://schemas.openxmlformats.org/officeDocument/2006/relationships/hyperlink" Target="mailto:mantenimientosantillana@mts.com.co" TargetMode="External" Id="rId411"/><Relationship Type="http://schemas.openxmlformats.org/officeDocument/2006/relationships/hyperlink" Target="mailto:operacionesingesed@gmail.com" TargetMode="External" Id="rId412"/><Relationship Type="http://schemas.openxmlformats.org/officeDocument/2006/relationships/hyperlink" Target="mailto:operacionesingesed@gmail.com" TargetMode="External" Id="rId413"/><Relationship Type="http://schemas.openxmlformats.org/officeDocument/2006/relationships/hyperlink" Target="mailto:dir.tecnico@spci.com.co" TargetMode="External" Id="rId414"/><Relationship Type="http://schemas.openxmlformats.org/officeDocument/2006/relationships/hyperlink" Target="mailto:scarmona@ains.com.co" TargetMode="External" Id="rId415"/><Relationship Type="http://schemas.openxmlformats.org/officeDocument/2006/relationships/hyperlink" Target="mailto:operacionesingesed@gmail.com" TargetMode="External" Id="rId416"/><Relationship Type="http://schemas.openxmlformats.org/officeDocument/2006/relationships/hyperlink" Target="mailto:aortiz@nivelum.com" TargetMode="External" Id="rId417"/><Relationship Type="http://schemas.openxmlformats.org/officeDocument/2006/relationships/hyperlink" Target="mailto:proyectos.fpservices@gmail.com" TargetMode="External" Id="rId418"/><Relationship Type="http://schemas.openxmlformats.org/officeDocument/2006/relationships/hyperlink" Target="mailto:juan.montoya@clk.com.co" TargetMode="External" Id="rId419"/><Relationship Type="http://schemas.openxmlformats.org/officeDocument/2006/relationships/hyperlink" Target="mailto:javierzapa25@gmail.com" TargetMode="External" Id="rId420"/><Relationship Type="http://schemas.openxmlformats.org/officeDocument/2006/relationships/hyperlink" Target="mailto:mmendez@alumina.com" TargetMode="External" Id="rId421"/><Relationship Type="http://schemas.openxmlformats.org/officeDocument/2006/relationships/hyperlink" Target="mailto:proyectos@prosoma.com.co" TargetMode="External" Id="rId422"/><Relationship Type="http://schemas.openxmlformats.org/officeDocument/2006/relationships/hyperlink" Target="mailto:proyectos@prosoma.com.co" TargetMode="External" Id="rId423"/><Relationship Type="http://schemas.openxmlformats.org/officeDocument/2006/relationships/hyperlink" Target="mailto:proyectos@prosoma.com.co" TargetMode="External" Id="rId424"/><Relationship Type="http://schemas.openxmlformats.org/officeDocument/2006/relationships/hyperlink" Target="mailto:proyectos@prosoma.com.co" TargetMode="External" Id="rId425"/><Relationship Type="http://schemas.openxmlformats.org/officeDocument/2006/relationships/hyperlink" Target="mailto:proyectos@prosoma.com.co" TargetMode="External" Id="rId426"/><Relationship Type="http://schemas.openxmlformats.org/officeDocument/2006/relationships/hyperlink" Target="mailto:proyectos@prosoma.com.co" TargetMode="External" Id="rId427"/><Relationship Type="http://schemas.openxmlformats.org/officeDocument/2006/relationships/hyperlink" Target="mailto:constructora.house19@gmail.com" TargetMode="External" Id="rId428"/><Relationship Type="http://schemas.openxmlformats.org/officeDocument/2006/relationships/hyperlink" Target="mailto:carlos.henao@seriinco.com" TargetMode="External" Id="rId429"/><Relationship Type="http://schemas.openxmlformats.org/officeDocument/2006/relationships/hyperlink" Target="mailto:residenteadministrativo@progressa.com.co" TargetMode="External" Id="rId430"/><Relationship Type="http://schemas.openxmlformats.org/officeDocument/2006/relationships/hyperlink" Target="mailto:detectarsystems@gmail.com" TargetMode="External" Id="rId431"/><Relationship Type="http://schemas.openxmlformats.org/officeDocument/2006/relationships/hyperlink" Target="mailto:carlos.henao@seriinco.com" TargetMode="External" Id="rId432"/><Relationship Type="http://schemas.openxmlformats.org/officeDocument/2006/relationships/hyperlink" Target="mailto:Jhonocampoarq@gmail.com" TargetMode="External" Id="rId433"/><Relationship Type="http://schemas.openxmlformats.org/officeDocument/2006/relationships/hyperlink" Target="mailto:Jhonocampoarq@gmail.com" TargetMode="External" Id="rId434"/><Relationship Type="http://schemas.openxmlformats.org/officeDocument/2006/relationships/hyperlink" Target="mailto:david.lopera@socomes.com" TargetMode="External" Id="rId435"/><Relationship Type="http://schemas.openxmlformats.org/officeDocument/2006/relationships/hyperlink" Target="mailto:d.tjang-a-sjin@ceadnv.com" TargetMode="External" Id="rId436"/><Relationship Type="http://schemas.openxmlformats.org/officeDocument/2006/relationships/hyperlink" Target="mailto:juliomillan@fpservices.com.co" TargetMode="External" Id="rId437"/><Relationship Type="http://schemas.openxmlformats.org/officeDocument/2006/relationships/hyperlink" Target="mailto:zmlopez@coninsa.co" TargetMode="External" Id="rId438"/><Relationship Type="http://schemas.openxmlformats.org/officeDocument/2006/relationships/hyperlink" Target="mailto:dir.tecnico@spci.com.co" TargetMode="External" Id="rId439"/><Relationship Type="http://schemas.openxmlformats.org/officeDocument/2006/relationships/hyperlink" Target="mailto:robinsonmarulanda@arquitecturayconcreto.com" TargetMode="External" Id="rId440"/><Relationship Type="http://schemas.openxmlformats.org/officeDocument/2006/relationships/hyperlink" Target="mailto:laura.arias@studiosur.net" TargetMode="External" Id="rId441"/><Relationship Type="http://schemas.openxmlformats.org/officeDocument/2006/relationships/hyperlink" Target="mailto:tecnicoboho@gmail.com" TargetMode="External" Id="rId442"/><Relationship Type="http://schemas.openxmlformats.org/officeDocument/2006/relationships/hyperlink" Target="mailto:operacionesingesed@gmail.com" TargetMode="External" Id="rId443"/><Relationship Type="http://schemas.openxmlformats.org/officeDocument/2006/relationships/hyperlink" Target="mailto:julian.gutierrez@espiral.com.co" TargetMode="External" Id="rId444"/><Relationship Type="http://schemas.openxmlformats.org/officeDocument/2006/relationships/hyperlink" Target="mailto:dpobregon@westquimica.com" TargetMode="External" Id="rId445"/><Relationship Type="http://schemas.openxmlformats.org/officeDocument/2006/relationships/hyperlink" Target="mailto:operacionesingesed@gmail.com" TargetMode="External" Id="rId446"/><Relationship Type="http://schemas.openxmlformats.org/officeDocument/2006/relationships/hyperlink" Target="mailto:camilo.quintero@spci.com.co" TargetMode="External" Id="rId447"/><Relationship Type="http://schemas.openxmlformats.org/officeDocument/2006/relationships/hyperlink" Target="mailto:carlos.henao@seriinco.com" TargetMode="External" Id="rId448"/><Relationship Type="http://schemas.openxmlformats.org/officeDocument/2006/relationships/hyperlink" Target="mailto:dir.tecnico@spci.com.co" TargetMode="External" Id="rId449"/><Relationship Type="http://schemas.openxmlformats.org/officeDocument/2006/relationships/hyperlink" Target="mailto:dir.tecnico@spci.com.co" TargetMode="External" Id="rId450"/><Relationship Type="http://schemas.openxmlformats.org/officeDocument/2006/relationships/hyperlink" Target="mailto:paola.cruz@masterplan.com.co" TargetMode="External" Id="rId451"/><Relationship Type="http://schemas.openxmlformats.org/officeDocument/2006/relationships/hyperlink" Target="mailto:awhite@mt.com.co" TargetMode="External" Id="rId452"/><Relationship Type="http://schemas.openxmlformats.org/officeDocument/2006/relationships/hyperlink" Target="mailto:jhoyos@conexoinmobiliario.com" TargetMode="External" Id="rId453"/><Relationship Type="http://schemas.openxmlformats.org/officeDocument/2006/relationships/hyperlink" Target="mailto:analista.presupuesto@seriinco.com" TargetMode="External" Id="rId454"/><Relationship Type="http://schemas.openxmlformats.org/officeDocument/2006/relationships/hyperlink" Target="mailto:robinsonmarulanda@arquitecturayconcreto.com" TargetMode="External" Id="rId455"/><Relationship Type="http://schemas.openxmlformats.org/officeDocument/2006/relationships/hyperlink" Target="mailto:juliomillan@fpservices.com.co" TargetMode="External" Id="rId456"/><Relationship Type="http://schemas.openxmlformats.org/officeDocument/2006/relationships/hyperlink" Target="mailto:dir.tecnico@spci.com.co" TargetMode="External" Id="rId457"/><Relationship Type="http://schemas.openxmlformats.org/officeDocument/2006/relationships/hyperlink" Target="mailto:coordinadoracomercial@securetec.com.co" TargetMode="External" Id="rId458"/><Relationship Type="http://schemas.openxmlformats.org/officeDocument/2006/relationships/hyperlink" Target="mailto:jhoyos@conexoinmobiliario.com" TargetMode="External" Id="rId459"/><Relationship Type="http://schemas.openxmlformats.org/officeDocument/2006/relationships/hyperlink" Target="mailto:nestor.garcia@espiral.com.co" TargetMode="External" Id="rId460"/><Relationship Type="http://schemas.openxmlformats.org/officeDocument/2006/relationships/hyperlink" Target="mailto:coordinadoracomercial@securetec.com.co" TargetMode="External" Id="rId461"/><Relationship Type="http://schemas.openxmlformats.org/officeDocument/2006/relationships/hyperlink" Target="mailto:mhernandezm@conconcreto.com" TargetMode="External" Id="rId462"/><Relationship Type="http://schemas.openxmlformats.org/officeDocument/2006/relationships/hyperlink" Target="mailto:manuela.henao@desur.gov.co" TargetMode="External" Id="rId463"/><Relationship Type="http://schemas.openxmlformats.org/officeDocument/2006/relationships/hyperlink" Target="mailto:directora.activos@aceis.com.co" TargetMode="External" Id="rId464"/><Relationship Type="http://schemas.openxmlformats.org/officeDocument/2006/relationships/hyperlink" Target="mailto:dircambulos@constructoradeobras.com" TargetMode="External" Id="rId465"/><Relationship Type="http://schemas.openxmlformats.org/officeDocument/2006/relationships/hyperlink" Target="mailto:dir.tecnico@spci.com.co" TargetMode="External" Id="rId466"/><Relationship Type="http://schemas.openxmlformats.org/officeDocument/2006/relationships/hyperlink" Target="mailto:hernan.ortiz@rentingspci.com.co" TargetMode="External" Id="rId467"/><Relationship Type="http://schemas.openxmlformats.org/officeDocument/2006/relationships/hyperlink" Target="mailto:carlosgomez@lineasismica.com.co" TargetMode="External" Id="rId468"/><Relationship Type="http://schemas.openxmlformats.org/officeDocument/2006/relationships/hyperlink" Target="mailto:carlosgomez@lineasismica.com.co" TargetMode="External" Id="rId469"/><Relationship Type="http://schemas.openxmlformats.org/officeDocument/2006/relationships/hyperlink" Target="mailto:construdelllano23@gmail.com" TargetMode="External" Id="rId470"/><Relationship Type="http://schemas.openxmlformats.org/officeDocument/2006/relationships/hyperlink" Target="mailto:juan.grajales@spci.com.co" TargetMode="External" Id="rId471"/><Relationship Type="http://schemas.openxmlformats.org/officeDocument/2006/relationships/hyperlink" Target="mailto:mhernandezm@conconcreto.com" TargetMode="External" Id="rId472"/><Relationship Type="http://schemas.openxmlformats.org/officeDocument/2006/relationships/hyperlink" Target="mailto:vanessazapata.fcr@gmail.com" TargetMode="External" Id="rId473"/><Relationship Type="http://schemas.openxmlformats.org/officeDocument/2006/relationships/hyperlink" Target="mailto:posventas@perfek.com.co" TargetMode="External" Id="rId474"/><Relationship Type="http://schemas.openxmlformats.org/officeDocument/2006/relationships/hyperlink" Target="mailto:garciakathe.96@gmail.com" TargetMode="External" Id="rId475"/><Relationship Type="http://schemas.openxmlformats.org/officeDocument/2006/relationships/hyperlink" Target="mailto:luisa.alarcon@bitacoraingenieria.com" TargetMode="External" Id="rId476"/><Relationship Type="http://schemas.openxmlformats.org/officeDocument/2006/relationships/hyperlink" Target="mailto:manuela.henao@desur.gov.co" TargetMode="External" Id="rId477"/><Relationship Type="http://schemas.openxmlformats.org/officeDocument/2006/relationships/hyperlink" Target="mailto:dir.tecnico@spci.com.co" TargetMode="External" Id="rId478"/><Relationship Type="http://schemas.openxmlformats.org/officeDocument/2006/relationships/hyperlink" Target="mailto:dir.tecnico@spci.com.co" TargetMode="External" Id="rId479"/><Relationship Type="http://schemas.openxmlformats.org/officeDocument/2006/relationships/hyperlink" Target="mailto:dir.tecnico@spci.com.co" TargetMode="External" Id="rId480"/><Relationship Type="http://schemas.openxmlformats.org/officeDocument/2006/relationships/hyperlink" Target="mailto:operacionesingesed@gmail.com" TargetMode="External" Id="rId481"/><Relationship Type="http://schemas.openxmlformats.org/officeDocument/2006/relationships/hyperlink" Target="mailto:operacionesingesed@gmail.com" TargetMode="External" Id="rId482"/><Relationship Type="http://schemas.openxmlformats.org/officeDocument/2006/relationships/hyperlink" Target="mailto:proyectoselectricosamd@gmail.com" TargetMode="External" Id="rId483"/><Relationship Type="http://schemas.openxmlformats.org/officeDocument/2006/relationships/hyperlink" Target="mailto:trescantosk@gmail.com" TargetMode="External" Id="rId484"/><Relationship Type="http://schemas.openxmlformats.org/officeDocument/2006/relationships/hyperlink" Target="mailto:nataliavasquez@centrosur.co" TargetMode="External" Id="rId485"/><Relationship Type="http://schemas.openxmlformats.org/officeDocument/2006/relationships/hyperlink" Target="mailto:juliomillan@fpservices.com.co" TargetMode="External" Id="rId486"/><Relationship Type="http://schemas.openxmlformats.org/officeDocument/2006/relationships/hyperlink" Target="mailto:leidyalzateq@clinicaces.edu.co" TargetMode="External" Id="rId487"/><Relationship Type="http://schemas.openxmlformats.org/officeDocument/2006/relationships/hyperlink" Target="mailto:operacionesingesed@gmail.com" TargetMode="External" Id="rId488"/><Relationship Type="http://schemas.openxmlformats.org/officeDocument/2006/relationships/hyperlink" Target="mailto:gino1037@hotmail.com" TargetMode="External" Id="rId489"/><Relationship Type="http://schemas.openxmlformats.org/officeDocument/2006/relationships/hyperlink" Target="mailto:gaguirre@solciviles.com" TargetMode="External" Id="rId490"/><Relationship Type="http://schemas.openxmlformats.org/officeDocument/2006/relationships/hyperlink" Target="mailto:proyectos.afcprofire@gmail.com" TargetMode="External" Id="rId491"/><Relationship Type="http://schemas.openxmlformats.org/officeDocument/2006/relationships/hyperlink" Target="mailto:daniel.echeverri@avanteing.com" TargetMode="External" Id="rId492"/><Relationship Type="http://schemas.openxmlformats.org/officeDocument/2006/relationships/hyperlink" Target="mailto:escapeto28@gmail.com" TargetMode="External" Id="rId493"/><Relationship Type="http://schemas.openxmlformats.org/officeDocument/2006/relationships/hyperlink" Target="mailto:d.tjang-a-sjin@ceadnv.com" TargetMode="External" Id="rId494"/><Relationship Type="http://schemas.openxmlformats.org/officeDocument/2006/relationships/hyperlink" Target="mailto:dirproyectos@securetec.com.co" TargetMode="External" Id="rId495"/><Relationship Type="http://schemas.openxmlformats.org/officeDocument/2006/relationships/hyperlink" Target="mailto:carlos.henao@seriinco.com" TargetMode="External" Id="rId496"/><Relationship Type="http://schemas.openxmlformats.org/officeDocument/2006/relationships/hyperlink" Target="mailto:dir.tecnico@spci.com.co" TargetMode="External" Id="rId497"/><Relationship Type="http://schemas.openxmlformats.org/officeDocument/2006/relationships/hyperlink" Target="mailto:mhernandezm@conconcreto.com" TargetMode="External" Id="rId498"/><Relationship Type="http://schemas.openxmlformats.org/officeDocument/2006/relationships/hyperlink" Target="mailto:amartineza@conconcreto.com" TargetMode="External" Id="rId499"/><Relationship Type="http://schemas.openxmlformats.org/officeDocument/2006/relationships/hyperlink" Target="mailto:dduque@pulsoproyectos.com" TargetMode="External" Id="rId500"/><Relationship Type="http://schemas.openxmlformats.org/officeDocument/2006/relationships/hyperlink" Target="mailto:dir.tecnico@spci.com.co" TargetMode="External" Id="rId501"/><Relationship Type="http://schemas.openxmlformats.org/officeDocument/2006/relationships/hyperlink" Target="mailto:dir.tecnico@spci.com.co" TargetMode="External" Id="rId502"/><Relationship Type="http://schemas.openxmlformats.org/officeDocument/2006/relationships/hyperlink" Target="mailto:dir.tecnico@spci.com.co" TargetMode="External" Id="rId503"/><Relationship Type="http://schemas.openxmlformats.org/officeDocument/2006/relationships/hyperlink" Target="mailto:gerencia@projectsolutions.com.co" TargetMode="External" Id="rId504"/><Relationship Type="http://schemas.openxmlformats.org/officeDocument/2006/relationships/hyperlink" Target="mailto:zmlopez@coninsa.co" TargetMode="External" Id="rId505"/><Relationship Type="http://schemas.openxmlformats.org/officeDocument/2006/relationships/hyperlink" Target="mailto:Paola.MOYA@mccain.com.co" TargetMode="External" Id="rId506"/><Relationship Type="http://schemas.openxmlformats.org/officeDocument/2006/relationships/hyperlink" Target="mailto:Paola.MOYA@mccain.com.co" TargetMode="External" Id="rId507"/><Relationship Type="http://schemas.openxmlformats.org/officeDocument/2006/relationships/hyperlink" Target="mailto:carlos.quintero@bienesybienes.com.co" TargetMode="External" Id="rId508"/><Relationship Type="http://schemas.openxmlformats.org/officeDocument/2006/relationships/hyperlink" Target="mailto:dir.tecnico@spci.com.co" TargetMode="External" Id="rId509"/><Relationship Type="http://schemas.openxmlformats.org/officeDocument/2006/relationships/hyperlink" Target="mailto:diseno4@gyd.com.co" TargetMode="External" Id="rId510"/><Relationship Type="http://schemas.openxmlformats.org/officeDocument/2006/relationships/hyperlink" Target="mailto:gerencia@goodgroup.com.co" TargetMode="External" Id="rId511"/><Relationship Type="http://schemas.openxmlformats.org/officeDocument/2006/relationships/hyperlink" Target="mailto:n.garcia@condiseno.co" TargetMode="External" Id="rId512"/><Relationship Type="http://schemas.openxmlformats.org/officeDocument/2006/relationships/hyperlink" Target="mailto:santiago@origamiproyectos.com" TargetMode="External" Id="rId513"/><Relationship Type="http://schemas.openxmlformats.org/officeDocument/2006/relationships/hyperlink" Target="mailto:alejandrab.4ac@gmail.com" TargetMode="External" Id="rId514"/><Relationship Type="http://schemas.openxmlformats.org/officeDocument/2006/relationships/hyperlink" Target="mailto:comercial@equiposelrapido.com" TargetMode="External" Id="rId515"/><Relationship Type="http://schemas.openxmlformats.org/officeDocument/2006/relationships/hyperlink" Target="mailto:esteban.marin@abile.co" TargetMode="External" Id="rId516"/><Relationship Type="http://schemas.openxmlformats.org/officeDocument/2006/relationships/hyperlink" Target="mailto:carolina.atheneaww@gmail.com" TargetMode="External" Id="rId517"/><Relationship Type="http://schemas.openxmlformats.org/officeDocument/2006/relationships/hyperlink" Target="mailto:dir.tecnico@spci.com.co" TargetMode="External" Id="rId518"/><Relationship Type="http://schemas.openxmlformats.org/officeDocument/2006/relationships/hyperlink" Target="mailto:gerencia@projectsolutions.com.co" TargetMode="External" Id="rId519"/><Relationship Type="http://schemas.openxmlformats.org/officeDocument/2006/relationships/hyperlink" Target="mailto:gino1037@hotmail.com" TargetMode="External" Id="rId520"/><Relationship Type="http://schemas.openxmlformats.org/officeDocument/2006/relationships/hyperlink" Target="mailto:dir.tecnico@spci.com.co" TargetMode="External" Id="rId521"/><Relationship Type="http://schemas.openxmlformats.org/officeDocument/2006/relationships/hyperlink" Target="mailto:direccion1sierrastudio@gmail.com" TargetMode="External" Id="rId522"/><Relationship Type="http://schemas.openxmlformats.org/officeDocument/2006/relationships/hyperlink" Target="mailto:hidraulicaymontajes@gmail.com" TargetMode="External" Id="rId523"/><Relationship Type="http://schemas.openxmlformats.org/officeDocument/2006/relationships/hyperlink" Target="mailto:j.pulgarin@altosdelaabadia.com" TargetMode="External" Id="rId524"/><Relationship Type="http://schemas.openxmlformats.org/officeDocument/2006/relationships/hyperlink" Target="mailto:lcastillo@conaltura.com" TargetMode="External" Id="rId525"/><Relationship Type="http://schemas.openxmlformats.org/officeDocument/2006/relationships/hyperlink" Target="mailto:coordinadordisenos@estructurar.co" TargetMode="External" Id="rId526"/><Relationship Type="http://schemas.openxmlformats.org/officeDocument/2006/relationships/hyperlink" Target="mailto:andrea.sanchez@studiosur.net" TargetMode="External" Id="rId527"/><Relationship Type="http://schemas.openxmlformats.org/officeDocument/2006/relationships/hyperlink" Target="mailto:andrea.sanchez@studiosur.net" TargetMode="External" Id="rId528"/><Relationship Type="http://schemas.openxmlformats.org/officeDocument/2006/relationships/hyperlink" Target="mailto:gino1037@hotmail.com" TargetMode="External" Id="rId529"/><Relationship Type="http://schemas.openxmlformats.org/officeDocument/2006/relationships/hyperlink" Target="mailto:carlos.henao@seriinco.com" TargetMode="External" Id="rId530"/><Relationship Type="http://schemas.openxmlformats.org/officeDocument/2006/relationships/hyperlink" Target="mailto:dir.tecnico@spci.com.co" TargetMode="External" Id="rId531"/><Relationship Type="http://schemas.openxmlformats.org/officeDocument/2006/relationships/hyperlink" Target="mailto:marcelav@iconsultores.com.co" TargetMode="External" Id="rId532"/><Relationship Type="http://schemas.openxmlformats.org/officeDocument/2006/relationships/hyperlink" Target="mailto:n.garcia@condiseno.co" TargetMode="External" Id="rId533"/><Relationship Type="http://schemas.openxmlformats.org/officeDocument/2006/relationships/hyperlink" Target="mailto:mauricio.guzman@spci.com.co" TargetMode="External" Id="rId534"/><Relationship Type="http://schemas.openxmlformats.org/officeDocument/2006/relationships/hyperlink" Target="mailto:juliomillan@fpservices.com.co" TargetMode="External" Id="rId535"/><Relationship Type="http://schemas.openxmlformats.org/officeDocument/2006/relationships/hyperlink" Target="mailto:jvecino@interve.co" TargetMode="External" Id="rId536"/><Relationship Type="http://schemas.openxmlformats.org/officeDocument/2006/relationships/hyperlink" Target="mailto:carlos.henao@seriinco.com" TargetMode="External" Id="rId537"/><Relationship Type="http://schemas.openxmlformats.org/officeDocument/2006/relationships/hyperlink" Target="mailto:carlos.henao@seriinco.com" TargetMode="External" Id="rId538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mailto:coordinadorobra@gruporaiz.com.co" TargetMode="External" Id="rId1"/><Relationship Type="http://schemas.openxmlformats.org/officeDocument/2006/relationships/hyperlink" Target="mailto:coordinadorobra@gruporaiz.com.co" TargetMode="External" Id="rId2"/><Relationship Type="http://schemas.openxmlformats.org/officeDocument/2006/relationships/hyperlink" Target="mailto:dir.proyectos@goodgroup.com.co" TargetMode="External" Id="rId3"/><Relationship Type="http://schemas.openxmlformats.org/officeDocument/2006/relationships/hyperlink" Target="mailto:dcv@altosdelaabadia.com" TargetMode="External" Id="rId4"/><Relationship Type="http://schemas.openxmlformats.org/officeDocument/2006/relationships/hyperlink" Target="mailto:ytamayo@coninsa.co" TargetMode="External" Id="rId5"/><Relationship Type="http://schemas.openxmlformats.org/officeDocument/2006/relationships/hyperlink" Target="mailto:proyectos@santiagorojas.com.co" TargetMode="External" Id="rId6"/><Relationship Type="http://schemas.openxmlformats.org/officeDocument/2006/relationships/hyperlink" Target="mailto:dir.tecnico@spci.com.co" TargetMode="External" Id="rId7"/><Relationship Type="http://schemas.openxmlformats.org/officeDocument/2006/relationships/hyperlink" Target="mailto:mauricio.guzman@spci.com.co" TargetMode="External" Id="rId8"/><Relationship Type="http://schemas.openxmlformats.org/officeDocument/2006/relationships/hyperlink" Target="mailto:david.lopera@socomes.com" TargetMode="External" Id="rId9"/><Relationship Type="http://schemas.openxmlformats.org/officeDocument/2006/relationships/hyperlink" Target="mailto:comercial@ingesed.com" TargetMode="External" Id="rId10"/><Relationship Type="http://schemas.openxmlformats.org/officeDocument/2006/relationships/hyperlink" Target="mailto:calmanya@jomarkseguridad.com" TargetMode="External" Id="rId11"/><Relationship Type="http://schemas.openxmlformats.org/officeDocument/2006/relationships/hyperlink" Target="mailto:calmanya@jomarkseguridad.com" TargetMode="External" Id="rId12"/><Relationship Type="http://schemas.openxmlformats.org/officeDocument/2006/relationships/hyperlink" Target="mailto:ytamayo@coninsa.co" TargetMode="External" Id="rId13"/><Relationship Type="http://schemas.openxmlformats.org/officeDocument/2006/relationships/hyperlink" Target="mailto:gino1037@hotmail.com" TargetMode="External" Id="rId14"/><Relationship Type="http://schemas.openxmlformats.org/officeDocument/2006/relationships/hyperlink" Target="mailto:dir.tecnico@spci.com.co" TargetMode="External" Id="rId15"/><Relationship Type="http://schemas.openxmlformats.org/officeDocument/2006/relationships/hyperlink" Target="mailto:jrodriguez@otacc.com" TargetMode="External" Id="rId16"/><Relationship Type="http://schemas.openxmlformats.org/officeDocument/2006/relationships/hyperlink" Target="mailto:comercial@ingesed.com" TargetMode="External" Id="rId17"/><Relationship Type="http://schemas.openxmlformats.org/officeDocument/2006/relationships/hyperlink" Target="mailto:hacevedo@interve.co" TargetMode="External" Id="rId18"/><Relationship Type="http://schemas.openxmlformats.org/officeDocument/2006/relationships/hyperlink" Target="mailto:n.garcia@condiseno.co" TargetMode="External" Id="rId19"/><Relationship Type="http://schemas.openxmlformats.org/officeDocument/2006/relationships/hyperlink" Target="mailto:danielrestrepo0804@gmail.com" TargetMode="External" Id="rId20"/><Relationship Type="http://schemas.openxmlformats.org/officeDocument/2006/relationships/hyperlink" Target="mailto:vanessazapata.fcr@gmail.com" TargetMode="External" Id="rId21"/><Relationship Type="http://schemas.openxmlformats.org/officeDocument/2006/relationships/hyperlink" Target="mailto:n.garcia@condiseno.co" TargetMode="External" Id="rId22"/><Relationship Type="http://schemas.openxmlformats.org/officeDocument/2006/relationships/hyperlink" Target="mailto:dir.tecnico@spci.com.co" TargetMode="External" Id="rId23"/><Relationship Type="http://schemas.openxmlformats.org/officeDocument/2006/relationships/hyperlink" Target="mailto:andreanunez@firemarshal.com.co" TargetMode="External" Id="rId24"/><Relationship Type="http://schemas.openxmlformats.org/officeDocument/2006/relationships/hyperlink" Target="mailto:aagudelol@conconcreto.com" TargetMode="External" Id="rId25"/><Relationship Type="http://schemas.openxmlformats.org/officeDocument/2006/relationships/hyperlink" Target="mailto:juannarajo@convel.co" TargetMode="External" Id="rId26"/><Relationship Type="http://schemas.openxmlformats.org/officeDocument/2006/relationships/hyperlink" Target="mailto:laura.cardona@perfek.com.co" TargetMode="External" Id="rId27"/><Relationship Type="http://schemas.openxmlformats.org/officeDocument/2006/relationships/hyperlink" Target="mailto:n.garcia@condiseno.co" TargetMode="External" Id="rId28"/><Relationship Type="http://schemas.openxmlformats.org/officeDocument/2006/relationships/hyperlink" Target="mailto:dir.tecnico@spci.com.co" TargetMode="External" Id="rId29"/><Relationship Type="http://schemas.openxmlformats.org/officeDocument/2006/relationships/hyperlink" Target="mailto:gerencia@projectsolutions.com.co" TargetMode="External" Id="rId30"/><Relationship Type="http://schemas.openxmlformats.org/officeDocument/2006/relationships/hyperlink" Target="mailto:carlos.henao@seriinco.com" TargetMode="External" Id="rId31"/><Relationship Type="http://schemas.openxmlformats.org/officeDocument/2006/relationships/hyperlink" Target="mailto:dir.tecnico@spci.com.co" TargetMode="External" Id="rId32"/><Relationship Type="http://schemas.openxmlformats.org/officeDocument/2006/relationships/hyperlink" Target="mailto:operacionesingesed@gmail.com" TargetMode="External" Id="rId33"/><Relationship Type="http://schemas.openxmlformats.org/officeDocument/2006/relationships/hyperlink" Target="mailto:goingenieriaysoluciones@gmail.com" TargetMode="External" Id="rId34"/><Relationship Type="http://schemas.openxmlformats.org/officeDocument/2006/relationships/hyperlink" Target="mailto:dir.tecnico@spci.com.co" TargetMode="External" Id="rId35"/><Relationship Type="http://schemas.openxmlformats.org/officeDocument/2006/relationships/hyperlink" Target="mailto:posventas@estructurar.co" TargetMode="External" Id="rId36"/><Relationship Type="http://schemas.openxmlformats.org/officeDocument/2006/relationships/hyperlink" Target="mailto:dir.tecnico@spci.com.co" TargetMode="External" Id="rId37"/><Relationship Type="http://schemas.openxmlformats.org/officeDocument/2006/relationships/hyperlink" Target="mailto:jrodriguez@ingesed.com" TargetMode="External" Id="rId38"/><Relationship Type="http://schemas.openxmlformats.org/officeDocument/2006/relationships/hyperlink" Target="mailto:ef.construccionessas@gmail.com" TargetMode="External" Id="rId39"/><Relationship Type="http://schemas.openxmlformats.org/officeDocument/2006/relationships/hyperlink" Target="mailto:dir.tecnico@spci.com.co" TargetMode="External" Id="rId40"/><Relationship Type="http://schemas.openxmlformats.org/officeDocument/2006/relationships/hyperlink" Target="mailto:jenifer.orozco@ingeniobim.co" TargetMode="External" Id="rId41"/><Relationship Type="http://schemas.openxmlformats.org/officeDocument/2006/relationships/hyperlink" Target="mailto:dircambulos@constructoradeobras.com" TargetMode="External" Id="rId42"/><Relationship Type="http://schemas.openxmlformats.org/officeDocument/2006/relationships/hyperlink" Target="mailto:Camilo.Chavez@quironsalud.com" TargetMode="External" Id="rId43"/><Relationship Type="http://schemas.openxmlformats.org/officeDocument/2006/relationships/hyperlink" Target="mailto:dir.tecnico@spci.com.co" TargetMode="External" Id="rId44"/><Relationship Type="http://schemas.openxmlformats.org/officeDocument/2006/relationships/hyperlink" Target="mailto:arquitectura1@grupovalor.com.co" TargetMode="External" Id="rId45"/><Relationship Type="http://schemas.openxmlformats.org/officeDocument/2006/relationships/hyperlink" Target="mailto:Johana.montoya@perfek.com.co" TargetMode="External" Id="rId46"/><Relationship Type="http://schemas.openxmlformats.org/officeDocument/2006/relationships/hyperlink" Target="mailto:diseno4@gyd.com.co" TargetMode="External" Id="rId47"/><Relationship Type="http://schemas.openxmlformats.org/officeDocument/2006/relationships/hyperlink" Target="mailto:hidraulicaymontajes@gmail.com" TargetMode="External" Id="rId48"/><Relationship Type="http://schemas.openxmlformats.org/officeDocument/2006/relationships/hyperlink" Target="mailto:hidraulicaymontajes@gmail.com" TargetMode="External" Id="rId49"/><Relationship Type="http://schemas.openxmlformats.org/officeDocument/2006/relationships/hyperlink" Target="mailto:dir.tecnico@spci.com.co" TargetMode="External" Id="rId50"/><Relationship Type="http://schemas.openxmlformats.org/officeDocument/2006/relationships/hyperlink" Target="mailto:reservas@lamayoria.com" TargetMode="External" Id="rId51"/><Relationship Type="http://schemas.openxmlformats.org/officeDocument/2006/relationships/hyperlink" Target="mailto:claudia.ramirez@edyfica.co" TargetMode="External" Id="rId52"/><Relationship Type="http://schemas.openxmlformats.org/officeDocument/2006/relationships/hyperlink" Target="mailto:hidraulicaymontajes@gmail.com" TargetMode="External" Id="rId53"/><Relationship Type="http://schemas.openxmlformats.org/officeDocument/2006/relationships/hyperlink" Target="mailto:hidraulicaymontajes@gmail.com" TargetMode="External" Id="rId54"/><Relationship Type="http://schemas.openxmlformats.org/officeDocument/2006/relationships/hyperlink" Target="mailto:comercial@ingesed.com" TargetMode="External" Id="rId55"/><Relationship Type="http://schemas.openxmlformats.org/officeDocument/2006/relationships/hyperlink" Target="mailto:comercial@ingesed.com" TargetMode="External" Id="rId56"/><Relationship Type="http://schemas.openxmlformats.org/officeDocument/2006/relationships/hyperlink" Target="mailto:comercial@ingesed.com" TargetMode="External" Id="rId57"/><Relationship Type="http://schemas.openxmlformats.org/officeDocument/2006/relationships/hyperlink" Target="mailto:comercial@ingesed.com" TargetMode="External" Id="rId58"/><Relationship Type="http://schemas.openxmlformats.org/officeDocument/2006/relationships/hyperlink" Target="mailto:andreanunez@firemarshal.com.co" TargetMode="External" Id="rId59"/><Relationship Type="http://schemas.openxmlformats.org/officeDocument/2006/relationships/hyperlink" Target="mailto:manuela.henao@desur.gov.co" TargetMode="External" Id="rId60"/><Relationship Type="http://schemas.openxmlformats.org/officeDocument/2006/relationships/hyperlink" Target="mailto:comercial@ingesed.com" TargetMode="External" Id="rId61"/><Relationship Type="http://schemas.openxmlformats.org/officeDocument/2006/relationships/hyperlink" Target="mailto:comercial@ingesed.com" TargetMode="External" Id="rId62"/><Relationship Type="http://schemas.openxmlformats.org/officeDocument/2006/relationships/hyperlink" Target="mailto:liderbim@conintel.com.co" TargetMode="External" Id="rId63"/><Relationship Type="http://schemas.openxmlformats.org/officeDocument/2006/relationships/hyperlink" Target="mailto:dir.tecnico@spci.com.co" TargetMode="External" Id="rId64"/><Relationship Type="http://schemas.openxmlformats.org/officeDocument/2006/relationships/hyperlink" Target="mailto:Proyectos.invigeo@gmail.com" TargetMode="External" Id="rId65"/><Relationship Type="http://schemas.openxmlformats.org/officeDocument/2006/relationships/hyperlink" Target="mailto:jrodriguez@otacc.com" TargetMode="External" Id="rId66"/><Relationship Type="http://schemas.openxmlformats.org/officeDocument/2006/relationships/hyperlink" Target="mailto:muribe@fundamental-au.com" TargetMode="External" Id="rId67"/><Relationship Type="http://schemas.openxmlformats.org/officeDocument/2006/relationships/hyperlink" Target="mailto:John.valencia@perspectivaayc.com" TargetMode="External" Id="rId68"/><Relationship Type="http://schemas.openxmlformats.org/officeDocument/2006/relationships/hyperlink" Target="mailto:Geinermontoya2015@gmail.com" TargetMode="External" Id="rId69"/><Relationship Type="http://schemas.openxmlformats.org/officeDocument/2006/relationships/hyperlink" Target="mailto:danielavelez.fcr@gmail.com" TargetMode="External" Id="rId70"/><Relationship Type="http://schemas.openxmlformats.org/officeDocument/2006/relationships/hyperlink" Target="mailto:danielavelez.fcr@gmail.com" TargetMode="External" Id="rId71"/><Relationship Type="http://schemas.openxmlformats.org/officeDocument/2006/relationships/hyperlink" Target="mailto:dir.tecnico@spci.com.co" TargetMode="External" Id="rId72"/><Relationship Type="http://schemas.openxmlformats.org/officeDocument/2006/relationships/hyperlink" Target="mailto:ccabrera@fpciviles.com" TargetMode="External" Id="rId73"/><Relationship Type="http://schemas.openxmlformats.org/officeDocument/2006/relationships/hyperlink" Target="mailto:maritzam@sohinco.com" TargetMode="External" Id="rId74"/><Relationship Type="http://schemas.openxmlformats.org/officeDocument/2006/relationships/hyperlink" Target="mailto:jmesa@conexoinmobiliario.com" TargetMode="External" Id="rId75"/><Relationship Type="http://schemas.openxmlformats.org/officeDocument/2006/relationships/hyperlink" Target="mailto:rafaelb@toroposada.com" TargetMode="External" Id="rId76"/><Relationship Type="http://schemas.openxmlformats.org/officeDocument/2006/relationships/hyperlink" Target="mailto:proyectos@prosoma.com.co" TargetMode="External" Id="rId77"/><Relationship Type="http://schemas.openxmlformats.org/officeDocument/2006/relationships/hyperlink" Target="mailto:dir.tecnico@spci.com.co" TargetMode="External" Id="rId78"/><Relationship Type="http://schemas.openxmlformats.org/officeDocument/2006/relationships/hyperlink" Target="mailto:supervisionvillacielo@gmail.com" TargetMode="External" Id="rId79"/><Relationship Type="http://schemas.openxmlformats.org/officeDocument/2006/relationships/hyperlink" Target="mailto:dir.tecnico@spci.com.co" TargetMode="External" Id="rId80"/><Relationship Type="http://schemas.openxmlformats.org/officeDocument/2006/relationships/hyperlink" Target="mailto:alejandrohernandez@mensulaingenieros.com" TargetMode="External" Id="rId81"/><Relationship Type="http://schemas.openxmlformats.org/officeDocument/2006/relationships/hyperlink" Target="mailto:hidraulicaymontajes@gmail.com" TargetMode="External" Id="rId82"/><Relationship Type="http://schemas.openxmlformats.org/officeDocument/2006/relationships/hyperlink" Target="mailto:analista.presupuesto@seriinco.com" TargetMode="External" Id="rId83"/><Relationship Type="http://schemas.openxmlformats.org/officeDocument/2006/relationships/hyperlink" Target="mailto:alvaromanosalva@sfiregroup.com" TargetMode="External" Id="rId84"/><Relationship Type="http://schemas.openxmlformats.org/officeDocument/2006/relationships/hyperlink" Target="mailto:coordinadorproyectos1@g4ingenieros.com" TargetMode="External" Id="rId85"/><Relationship Type="http://schemas.openxmlformats.org/officeDocument/2006/relationships/hyperlink" Target="mailto:juannaranjo@convel.co" TargetMode="External" Id="rId86"/><Relationship Type="http://schemas.openxmlformats.org/officeDocument/2006/relationships/hyperlink" Target="mailto:cristinapalacio@mensulaingenieros.com" TargetMode="External" Id="rId87"/><Relationship Type="http://schemas.openxmlformats.org/officeDocument/2006/relationships/hyperlink" Target="mailto:dchidraulicas@gmail.com" TargetMode="External" Id="rId88"/><Relationship Type="http://schemas.openxmlformats.org/officeDocument/2006/relationships/hyperlink" Target="mailto:dchidraulicas@gmail.com" TargetMode="External" Id="rId89"/><Relationship Type="http://schemas.openxmlformats.org/officeDocument/2006/relationships/hyperlink" Target="mailto:Apcom2.0@gmail.com" TargetMode="External" Id="rId90"/><Relationship Type="http://schemas.openxmlformats.org/officeDocument/2006/relationships/hyperlink" Target="mailto:ypareja@conaltura.com" TargetMode="External" Id="rId91"/><Relationship Type="http://schemas.openxmlformats.org/officeDocument/2006/relationships/hyperlink" Target="mailto:ypareja@conaltura.com" TargetMode="External" Id="rId92"/><Relationship Type="http://schemas.openxmlformats.org/officeDocument/2006/relationships/hyperlink" Target="mailto:materialesysuministros@constructorakavan.com" TargetMode="External" Id="rId93"/><Relationship Type="http://schemas.openxmlformats.org/officeDocument/2006/relationships/hyperlink" Target="mailto:catalinamadrid@estructurar.co" TargetMode="External" Id="rId94"/><Relationship Type="http://schemas.openxmlformats.org/officeDocument/2006/relationships/hyperlink" Target="mailto:comercial@ingesed.com" TargetMode="External" Id="rId95"/><Relationship Type="http://schemas.openxmlformats.org/officeDocument/2006/relationships/hyperlink" Target="mailto:egomez@dobleele.co" TargetMode="External" Id="rId96"/><Relationship Type="http://schemas.openxmlformats.org/officeDocument/2006/relationships/hyperlink" Target="mailto:gerencia@projectsolutions.com.co" TargetMode="External" Id="rId97"/><Relationship Type="http://schemas.openxmlformats.org/officeDocument/2006/relationships/hyperlink" Target="mailto:coinsersas2@gmail.com" TargetMode="External" Id="rId98"/><Relationship Type="http://schemas.openxmlformats.org/officeDocument/2006/relationships/hyperlink" Target="mailto:david.lopera@socomes.com" TargetMode="External" Id="rId99"/><Relationship Type="http://schemas.openxmlformats.org/officeDocument/2006/relationships/hyperlink" Target="mailto:jrodriguez@ingesed.com" TargetMode="External" Id="rId100"/><Relationship Type="http://schemas.openxmlformats.org/officeDocument/2006/relationships/hyperlink" Target="mailto:directoraadmonjomarkseguridad@gmail.com" TargetMode="External" Id="rId101"/><Relationship Type="http://schemas.openxmlformats.org/officeDocument/2006/relationships/hyperlink" Target="mailto:manuela.henao@desur.gov.co" TargetMode="External" Id="rId102"/><Relationship Type="http://schemas.openxmlformats.org/officeDocument/2006/relationships/hyperlink" Target="mailto:sraic.diseno@gmail.com" TargetMode="External" Id="rId103"/><Relationship Type="http://schemas.openxmlformats.org/officeDocument/2006/relationships/hyperlink" Target="mailto:sraic.diseno@gmail.com" TargetMode="External" Id="rId104"/><Relationship Type="http://schemas.openxmlformats.org/officeDocument/2006/relationships/hyperlink" Target="mailto:carolina@hidrofsalinas.com" TargetMode="External" Id="rId105"/><Relationship Type="http://schemas.openxmlformats.org/officeDocument/2006/relationships/hyperlink" Target="mailto:ytamayo@coninsa.co" TargetMode="External" Id="rId106"/><Relationship Type="http://schemas.openxmlformats.org/officeDocument/2006/relationships/hyperlink" Target="mailto:n.garcia@condiseno.co" TargetMode="External" Id="rId107"/><Relationship Type="http://schemas.openxmlformats.org/officeDocument/2006/relationships/hyperlink" Target="mailto:dir.tecnico@spci.com.co" TargetMode="External" Id="rId108"/><Relationship Type="http://schemas.openxmlformats.org/officeDocument/2006/relationships/hyperlink" Target="mailto:ytamayo@coninsa.co" TargetMode="External" Id="rId109"/><Relationship Type="http://schemas.openxmlformats.org/officeDocument/2006/relationships/hyperlink" Target="mailto:cmesa@coninsa.co" TargetMode="External" Id="rId110"/><Relationship Type="http://schemas.openxmlformats.org/officeDocument/2006/relationships/hyperlink" Target="mailto:dsaldarriaga@interve.co" TargetMode="External" Id="rId111"/><Relationship Type="http://schemas.openxmlformats.org/officeDocument/2006/relationships/hyperlink" Target="mailto:ascomercial@securetec.com.co" TargetMode="External" Id="rId112"/><Relationship Type="http://schemas.openxmlformats.org/officeDocument/2006/relationships/hyperlink" Target="mailto:mhernandezm@conconcreto.com" TargetMode="External" Id="rId113"/><Relationship Type="http://schemas.openxmlformats.org/officeDocument/2006/relationships/hyperlink" Target="mailto:inversionescjsas@gmail.com" TargetMode="External" Id="rId114"/><Relationship Type="http://schemas.openxmlformats.org/officeDocument/2006/relationships/hyperlink" Target="mailto:administracion.43avenida@aceis.com.co" TargetMode="External" Id="rId115"/><Relationship Type="http://schemas.openxmlformats.org/officeDocument/2006/relationships/hyperlink" Target="mailto:gino1037@hotmail.com" TargetMode="External" Id="rId116"/><Relationship Type="http://schemas.openxmlformats.org/officeDocument/2006/relationships/hyperlink" Target="mailto:gino1037@hotmail.com" TargetMode="External" Id="rId117"/><Relationship Type="http://schemas.openxmlformats.org/officeDocument/2006/relationships/hyperlink" Target="mailto:gino1037@hotmail.com" TargetMode="External" Id="rId118"/><Relationship Type="http://schemas.openxmlformats.org/officeDocument/2006/relationships/hyperlink" Target="mailto:gino1037@hotmail.com" TargetMode="External" Id="rId119"/><Relationship Type="http://schemas.openxmlformats.org/officeDocument/2006/relationships/hyperlink" Target="mailto:gino1037@hotmail.com" TargetMode="External" Id="rId120"/><Relationship Type="http://schemas.openxmlformats.org/officeDocument/2006/relationships/hyperlink" Target="mailto:gino1037@hotmail.com" TargetMode="External" Id="rId121"/><Relationship Type="http://schemas.openxmlformats.org/officeDocument/2006/relationships/hyperlink" Target="mailto:oscarfcr2@gmail.com" TargetMode="External" Id="rId122"/><Relationship Type="http://schemas.openxmlformats.org/officeDocument/2006/relationships/hyperlink" Target="mailto:juliomillan@fpservices.com.co" TargetMode="External" Id="rId123"/><Relationship Type="http://schemas.openxmlformats.org/officeDocument/2006/relationships/hyperlink" Target="mailto:Karenmendez@mensulaingenieros.com" TargetMode="External" Id="rId124"/><Relationship Type="http://schemas.openxmlformats.org/officeDocument/2006/relationships/hyperlink" Target="mailto:pquintero@proyectosurbanos.com.co" TargetMode="External" Id="rId125"/><Relationship Type="http://schemas.openxmlformats.org/officeDocument/2006/relationships/hyperlink" Target="mailto:juliomillan@fpservices.com.co" TargetMode="External" Id="rId126"/><Relationship Type="http://schemas.openxmlformats.org/officeDocument/2006/relationships/hyperlink" Target="mailto:alejandra.restrepo@2becommerce.com" TargetMode="External" Id="rId127"/><Relationship Type="http://schemas.openxmlformats.org/officeDocument/2006/relationships/hyperlink" Target="mailto:trescantost3@gmail.com" TargetMode="External" Id="rId128"/><Relationship Type="http://schemas.openxmlformats.org/officeDocument/2006/relationships/hyperlink" Target="mailto:carlos.gil@risksg.com" TargetMode="External" Id="rId129"/><Relationship Type="http://schemas.openxmlformats.org/officeDocument/2006/relationships/hyperlink" Target="mailto:construimosespacioss@gmail.com" TargetMode="External" Id="rId130"/><Relationship Type="http://schemas.openxmlformats.org/officeDocument/2006/relationships/hyperlink" Target="mailto:dir.tecnico@spci.com.co" TargetMode="External" Id="rId131"/><Relationship Type="http://schemas.openxmlformats.org/officeDocument/2006/relationships/hyperlink" Target="mailto:dirproyectos@securetec.com.co" TargetMode="External" Id="rId132"/><Relationship Type="http://schemas.openxmlformats.org/officeDocument/2006/relationships/hyperlink" Target="mailto:coordinadorproyectos1@g4ingenieros.com" TargetMode="External" Id="rId133"/><Relationship Type="http://schemas.openxmlformats.org/officeDocument/2006/relationships/hyperlink" Target="mailto:directoraadmonjomarkseguridad@gmail.com" TargetMode="External" Id="rId134"/><Relationship Type="http://schemas.openxmlformats.org/officeDocument/2006/relationships/hyperlink" Target="mailto:simon.mesa@desur.gov.co" TargetMode="External" Id="rId135"/><Relationship Type="http://schemas.openxmlformats.org/officeDocument/2006/relationships/hyperlink" Target="mailto:simon.mesa@desur.gov.co" TargetMode="External" Id="rId136"/><Relationship Type="http://schemas.openxmlformats.org/officeDocument/2006/relationships/hyperlink" Target="mailto:hidraulicaymontajes@gmail.com" TargetMode="External" Id="rId137"/><Relationship Type="http://schemas.openxmlformats.org/officeDocument/2006/relationships/hyperlink" Target="mailto:dir.tecnico@spci.com.co" TargetMode="External" Id="rId138"/><Relationship Type="http://schemas.openxmlformats.org/officeDocument/2006/relationships/hyperlink" Target="mailto:coorinfraestructura@cpolaya.com.co" TargetMode="External" Id="rId139"/><Relationship Type="http://schemas.openxmlformats.org/officeDocument/2006/relationships/hyperlink" Target="mailto:dir.tecnico@spci.com.co" TargetMode="External" Id="rId140"/><Relationship Type="http://schemas.openxmlformats.org/officeDocument/2006/relationships/hyperlink" Target="mailto:coor.relacionamiento@spci.com.co" TargetMode="External" Id="rId141"/><Relationship Type="http://schemas.openxmlformats.org/officeDocument/2006/relationships/hyperlink" Target="mailto:jorge@a3consulting.com.co" TargetMode="External" Id="rId142"/><Relationship Type="http://schemas.openxmlformats.org/officeDocument/2006/relationships/hyperlink" Target="mailto:coor.relacionamiento@spci.com.co" TargetMode="External" Id="rId143"/><Relationship Type="http://schemas.openxmlformats.org/officeDocument/2006/relationships/hyperlink" Target="mailto:costosypresupuesto@tipinterventoria.com" TargetMode="External" Id="rId144"/><Relationship Type="http://schemas.openxmlformats.org/officeDocument/2006/relationships/hyperlink" Target="mailto:jrendon@doublec.com" TargetMode="External" Id="rId145"/><Relationship Type="http://schemas.openxmlformats.org/officeDocument/2006/relationships/hyperlink" Target="mailto:dir.tecnico@spci.com.co" TargetMode="External" Id="rId146"/><Relationship Type="http://schemas.openxmlformats.org/officeDocument/2006/relationships/hyperlink" Target="mailto:coorinfraestructura@cpolaya.com.co" TargetMode="External" Id="rId147"/><Relationship Type="http://schemas.openxmlformats.org/officeDocument/2006/relationships/hyperlink" Target="mailto:robinsonmarulanda@arquitecturayconcreto.com" TargetMode="External" Id="rId148"/><Relationship Type="http://schemas.openxmlformats.org/officeDocument/2006/relationships/hyperlink" Target="mailto:operacionesingesed@gmail.com" TargetMode="External" Id="rId149"/><Relationship Type="http://schemas.openxmlformats.org/officeDocument/2006/relationships/hyperlink" Target="mailto:n.garcia@condiseno.co" TargetMode="External" Id="rId150"/><Relationship Type="http://schemas.openxmlformats.org/officeDocument/2006/relationships/hyperlink" Target="mailto:n.garcia@condiseno.co" TargetMode="External" Id="rId151"/><Relationship Type="http://schemas.openxmlformats.org/officeDocument/2006/relationships/hyperlink" Target="mailto:jrodriguez@ingesed.com" TargetMode="External" Id="rId152"/><Relationship Type="http://schemas.openxmlformats.org/officeDocument/2006/relationships/hyperlink" Target="mailto:cramirez@stop.com.co" TargetMode="External" Id="rId153"/><Relationship Type="http://schemas.openxmlformats.org/officeDocument/2006/relationships/hyperlink" Target="mailto:n.garcia@condiseno.co" TargetMode="External" Id="rId154"/><Relationship Type="http://schemas.openxmlformats.org/officeDocument/2006/relationships/hyperlink" Target="mailto:william.hernandez@construgen.com" TargetMode="External" Id="rId155"/><Relationship Type="http://schemas.openxmlformats.org/officeDocument/2006/relationships/hyperlink" Target="mailto:l.cuartas@altosdelaabadia.com" TargetMode="External" Id="rId156"/><Relationship Type="http://schemas.openxmlformats.org/officeDocument/2006/relationships/hyperlink" Target="mailto:serviciosgenerales@sannicolas.co" TargetMode="External" Id="rId157"/><Relationship Type="http://schemas.openxmlformats.org/officeDocument/2006/relationships/hyperlink" Target="mailto:alvarol@toroposada.com" TargetMode="External" Id="rId158"/><Relationship Type="http://schemas.openxmlformats.org/officeDocument/2006/relationships/hyperlink" Target="mailto:director-adch@inorca.com.co" TargetMode="External" Id="rId159"/><Relationship Type="http://schemas.openxmlformats.org/officeDocument/2006/relationships/hyperlink" Target="mailto:operacionesingesed@gmail.com" TargetMode="External" Id="rId160"/><Relationship Type="http://schemas.openxmlformats.org/officeDocument/2006/relationships/hyperlink" Target="mailto:operacionesingesed@gmail.com" TargetMode="External" Id="rId161"/><Relationship Type="http://schemas.openxmlformats.org/officeDocument/2006/relationships/hyperlink" Target="mailto:krendon@kyjingenieros.co" TargetMode="External" Id="rId162"/><Relationship Type="http://schemas.openxmlformats.org/officeDocument/2006/relationships/hyperlink" Target="mailto:krendon@kyjingenieros.co" TargetMode="External" Id="rId163"/><Relationship Type="http://schemas.openxmlformats.org/officeDocument/2006/relationships/hyperlink" Target="mailto:arq.luis.salgado@gmail.com" TargetMode="External" Id="rId164"/><Relationship Type="http://schemas.openxmlformats.org/officeDocument/2006/relationships/hyperlink" Target="mailto:ksoto@aia.com.co" TargetMode="External" Id="rId165"/><Relationship Type="http://schemas.openxmlformats.org/officeDocument/2006/relationships/hyperlink" Target="mailto:operacionesingesed@gmail.com" TargetMode="External" Id="rId166"/><Relationship Type="http://schemas.openxmlformats.org/officeDocument/2006/relationships/hyperlink" Target="mailto:n.garcia@condiseno.co" TargetMode="External" Id="rId167"/><Relationship Type="http://schemas.openxmlformats.org/officeDocument/2006/relationships/hyperlink" Target="mailto:alvaromanosalva@sfiregroup.com" TargetMode="External" Id="rId168"/><Relationship Type="http://schemas.openxmlformats.org/officeDocument/2006/relationships/hyperlink" Target="mailto:dir.tecnico@spci.com.co" TargetMode="External" Id="rId169"/><Relationship Type="http://schemas.openxmlformats.org/officeDocument/2006/relationships/hyperlink" Target="mailto:aasociados@gmail.com" TargetMode="External" Id="rId170"/><Relationship Type="http://schemas.openxmlformats.org/officeDocument/2006/relationships/hyperlink" Target="mailto:miguana1504@gmail.com" TargetMode="External" Id="rId171"/><Relationship Type="http://schemas.openxmlformats.org/officeDocument/2006/relationships/hyperlink" Target="mailto:comercial@ingesed.com" TargetMode="External" Id="rId172"/><Relationship Type="http://schemas.openxmlformats.org/officeDocument/2006/relationships/hyperlink" Target="mailto:alvaromanosalva@sfiregroup.com" TargetMode="External" Id="rId173"/><Relationship Type="http://schemas.openxmlformats.org/officeDocument/2006/relationships/hyperlink" Target="mailto:operacionesingesed@gmail.com" TargetMode="External" Id="rId174"/><Relationship Type="http://schemas.openxmlformats.org/officeDocument/2006/relationships/hyperlink" Target="mailto:proyectos.afcprofire@gmail.com" TargetMode="External" Id="rId175"/><Relationship Type="http://schemas.openxmlformats.org/officeDocument/2006/relationships/hyperlink" Target="mailto:heder.cardozo@isciviles.com.co" TargetMode="External" Id="rId176"/><Relationship Type="http://schemas.openxmlformats.org/officeDocument/2006/relationships/hyperlink" Target="mailto:dir.tecnico@spci.com.co" TargetMode="External" Id="rId177"/><Relationship Type="http://schemas.openxmlformats.org/officeDocument/2006/relationships/hyperlink" Target="mailto:proyectosbim@cantagirone.com" TargetMode="External" Id="rId178"/><Relationship Type="http://schemas.openxmlformats.org/officeDocument/2006/relationships/hyperlink" Target="mailto:mrodriguez@fortiaminerals.com" TargetMode="External" Id="rId179"/><Relationship Type="http://schemas.openxmlformats.org/officeDocument/2006/relationships/hyperlink" Target="mailto:juanfossa77@gmail.com" TargetMode="External" Id="rId180"/><Relationship Type="http://schemas.openxmlformats.org/officeDocument/2006/relationships/hyperlink" Target="mailto:gerson@5pa.co" TargetMode="External" Id="rId181"/><Relationship Type="http://schemas.openxmlformats.org/officeDocument/2006/relationships/hyperlink" Target="mailto:carlos.henao@seriinco.com" TargetMode="External" Id="rId182"/><Relationship Type="http://schemas.openxmlformats.org/officeDocument/2006/relationships/hyperlink" Target="mailto:zmlopez@coninsa.co" TargetMode="External" Id="rId183"/><Relationship Type="http://schemas.openxmlformats.org/officeDocument/2006/relationships/hyperlink" Target="mailto:carlos.henao@seriinco.com" TargetMode="External" Id="rId184"/><Relationship Type="http://schemas.openxmlformats.org/officeDocument/2006/relationships/hyperlink" Target="mailto:carlos.henao@seriinco.com" TargetMode="External" Id="rId185"/><Relationship Type="http://schemas.openxmlformats.org/officeDocument/2006/relationships/hyperlink" Target="mailto:gerencia@projectsolutions.com.co" TargetMode="External" Id="rId186"/><Relationship Type="http://schemas.openxmlformats.org/officeDocument/2006/relationships/hyperlink" Target="mailto:r.lopez@ceadnv.com" TargetMode="External" Id="rId187"/><Relationship Type="http://schemas.openxmlformats.org/officeDocument/2006/relationships/hyperlink" Target="mailto:josemaya@firemarshal.com.co" TargetMode="External" Id="rId188"/><Relationship Type="http://schemas.openxmlformats.org/officeDocument/2006/relationships/hyperlink" Target="mailto:yisela.alvarez@duasrodas.com" TargetMode="External" Id="rId189"/><Relationship Type="http://schemas.openxmlformats.org/officeDocument/2006/relationships/hyperlink" Target="mailto:dir.tecnico@spci.com.co" TargetMode="External" Id="rId190"/><Relationship Type="http://schemas.openxmlformats.org/officeDocument/2006/relationships/hyperlink" Target="mailto:berincesas@gmail.com" TargetMode="External" Id="rId191"/><Relationship Type="http://schemas.openxmlformats.org/officeDocument/2006/relationships/hyperlink" Target="mailto:dir.tecnico@spci.com.co" TargetMode="External" Id="rId192"/><Relationship Type="http://schemas.openxmlformats.org/officeDocument/2006/relationships/hyperlink" Target="mailto:operacionesingesed@gmail.com" TargetMode="External" Id="rId193"/><Relationship Type="http://schemas.openxmlformats.org/officeDocument/2006/relationships/hyperlink" Target="mailto:comercial@ingesed.com" TargetMode="External" Id="rId194"/><Relationship Type="http://schemas.openxmlformats.org/officeDocument/2006/relationships/hyperlink" Target="mailto:lmontoya@iconsultores.com.co" TargetMode="External" Id="rId195"/><Relationship Type="http://schemas.openxmlformats.org/officeDocument/2006/relationships/hyperlink" Target="mailto:comercial5@servimatcolombia.com" TargetMode="External" Id="rId196"/><Relationship Type="http://schemas.openxmlformats.org/officeDocument/2006/relationships/hyperlink" Target="mailto:e.ramirez@altosdelaabadia.com" TargetMode="External" Id="rId197"/><Relationship Type="http://schemas.openxmlformats.org/officeDocument/2006/relationships/hyperlink" Target="mailto:manuelabeltran@convel.co" TargetMode="External" Id="rId198"/><Relationship Type="http://schemas.openxmlformats.org/officeDocument/2006/relationships/hyperlink" Target="mailto:proyectos@paycol.com.co" TargetMode="External" Id="rId199"/><Relationship Type="http://schemas.openxmlformats.org/officeDocument/2006/relationships/hyperlink" Target="mailto:dmoscoso@conconcreto.com" TargetMode="External" Id="rId200"/><Relationship Type="http://schemas.openxmlformats.org/officeDocument/2006/relationships/hyperlink" Target="mailto:francisco.unda@seriinco.com" TargetMode="External" Id="rId201"/><Relationship Type="http://schemas.openxmlformats.org/officeDocument/2006/relationships/hyperlink" Target="mailto:lsaldarriaga@interlg.com" TargetMode="External" Id="rId202"/><Relationship Type="http://schemas.openxmlformats.org/officeDocument/2006/relationships/hyperlink" Target="mailto:coordinadorproyectos1@g4ingenieros.com" TargetMode="External" Id="rId203"/><Relationship Type="http://schemas.openxmlformats.org/officeDocument/2006/relationships/hyperlink" Target="mailto:alvaromanosalva@sfiregroup.com" TargetMode="External" Id="rId204"/><Relationship Type="http://schemas.openxmlformats.org/officeDocument/2006/relationships/hyperlink" Target="mailto:Ramon.Garcia@corbeta.com.co" TargetMode="External" Id="rId205"/><Relationship Type="http://schemas.openxmlformats.org/officeDocument/2006/relationships/hyperlink" Target="mailto:dir.tecnico@spci.com.co" TargetMode="External" Id="rId206"/><Relationship Type="http://schemas.openxmlformats.org/officeDocument/2006/relationships/hyperlink" Target="mailto:dirproyectos@securetec.com.co" TargetMode="External" Id="rId207"/><Relationship Type="http://schemas.openxmlformats.org/officeDocument/2006/relationships/hyperlink" Target="mailto:comercial@ingesed.com" TargetMode="External" Id="rId208"/><Relationship Type="http://schemas.openxmlformats.org/officeDocument/2006/relationships/hyperlink" Target="mailto:e.ramirez@verticeing.com" TargetMode="External" Id="rId209"/><Relationship Type="http://schemas.openxmlformats.org/officeDocument/2006/relationships/hyperlink" Target="mailto:parangor@conconcreto.com" TargetMode="External" Id="rId210"/><Relationship Type="http://schemas.openxmlformats.org/officeDocument/2006/relationships/hyperlink" Target="mailto:esteban.jaramillo@link-inmobiliario.com" TargetMode="External" Id="rId211"/><Relationship Type="http://schemas.openxmlformats.org/officeDocument/2006/relationships/hyperlink" Target="mailto:alejandrogiraldo@mensulaingenieros.com" TargetMode="External" Id="rId212"/><Relationship Type="http://schemas.openxmlformats.org/officeDocument/2006/relationships/hyperlink" Target="mailto:josehenao@firemarshal.com.co" TargetMode="External" Id="rId213"/><Relationship Type="http://schemas.openxmlformats.org/officeDocument/2006/relationships/hyperlink" Target="mailto:dycrci94@gmail.com" TargetMode="External" Id="rId214"/><Relationship Type="http://schemas.openxmlformats.org/officeDocument/2006/relationships/hyperlink" Target="mailto:dir.tecnico@spci.com.co" TargetMode="External" Id="rId215"/><Relationship Type="http://schemas.openxmlformats.org/officeDocument/2006/relationships/hyperlink" Target="mailto:fcardona@constructivamente.com" TargetMode="External" Id="rId216"/><Relationship Type="http://schemas.openxmlformats.org/officeDocument/2006/relationships/hyperlink" Target="mailto:e.ramirez@altosdelaabadia.com" TargetMode="External" Id="rId217"/><Relationship Type="http://schemas.openxmlformats.org/officeDocument/2006/relationships/hyperlink" Target="mailto:info@ingeniobim.co" TargetMode="External" Id="rId218"/><Relationship Type="http://schemas.openxmlformats.org/officeDocument/2006/relationships/hyperlink" Target="mailto:jrodriguez@ingesed.com" TargetMode="External" Id="rId219"/><Relationship Type="http://schemas.openxmlformats.org/officeDocument/2006/relationships/hyperlink" Target="mailto:jorgerojas@iayc.co" TargetMode="External" Id="rId220"/><Relationship Type="http://schemas.openxmlformats.org/officeDocument/2006/relationships/hyperlink" Target="mailto:heder.cardozo@isciviles.com.co" TargetMode="External" Id="rId221"/><Relationship Type="http://schemas.openxmlformats.org/officeDocument/2006/relationships/hyperlink" Target="mailto:operacionesingesed@gmail.com" TargetMode="External" Id="rId222"/><Relationship Type="http://schemas.openxmlformats.org/officeDocument/2006/relationships/hyperlink" Target="mailto:carolina@hidrofsalinas.com" TargetMode="External" Id="rId223"/><Relationship Type="http://schemas.openxmlformats.org/officeDocument/2006/relationships/hyperlink" Target="mailto:comercial@ingesed.com" TargetMode="External" Id="rId224"/><Relationship Type="http://schemas.openxmlformats.org/officeDocument/2006/relationships/hyperlink" Target="mailto:scarmona@ains.com.co" TargetMode="External" Id="rId225"/><Relationship Type="http://schemas.openxmlformats.org/officeDocument/2006/relationships/hyperlink" Target="mailto:johner.payares@bienesybienes.com.co" TargetMode="External" Id="rId226"/><Relationship Type="http://schemas.openxmlformats.org/officeDocument/2006/relationships/hyperlink" Target="mailto:nruiz@grupoattia.com" TargetMode="External" Id="rId227"/><Relationship Type="http://schemas.openxmlformats.org/officeDocument/2006/relationships/hyperlink" Target="mailto:raquel.guzman@aliaxis-la.com" TargetMode="External" Id="rId228"/><Relationship Type="http://schemas.openxmlformats.org/officeDocument/2006/relationships/hyperlink" Target="mailto:jrodriguez@ingesed.com" TargetMode="External" Id="rId229"/><Relationship Type="http://schemas.openxmlformats.org/officeDocument/2006/relationships/hyperlink" Target="mailto:carlos.henao@seriinco.com" TargetMode="External" Id="rId230"/><Relationship Type="http://schemas.openxmlformats.org/officeDocument/2006/relationships/hyperlink" Target="mailto:operaciones@goodgroup.com.co" TargetMode="External" Id="rId231"/><Relationship Type="http://schemas.openxmlformats.org/officeDocument/2006/relationships/hyperlink" Target="mailto:diseno4@gyd.com.co" TargetMode="External" Id="rId232"/><Relationship Type="http://schemas.openxmlformats.org/officeDocument/2006/relationships/hyperlink" Target="mailto:jrodriguez@ingesed.com" TargetMode="External" Id="rId233"/><Relationship Type="http://schemas.openxmlformats.org/officeDocument/2006/relationships/hyperlink" Target="mailto:arquitectura1@grupovalor.com.co" TargetMode="External" Id="rId234"/><Relationship Type="http://schemas.openxmlformats.org/officeDocument/2006/relationships/hyperlink" Target="mailto:e.ramirez@altosdelaabadia.com" TargetMode="External" Id="rId235"/><Relationship Type="http://schemas.openxmlformats.org/officeDocument/2006/relationships/hyperlink" Target="mailto:jecheverri@londonogomez.com" TargetMode="External" Id="rId236"/><Relationship Type="http://schemas.openxmlformats.org/officeDocument/2006/relationships/hyperlink" Target="mailto:mantenimiento@suratex.co" TargetMode="External" Id="rId237"/><Relationship Type="http://schemas.openxmlformats.org/officeDocument/2006/relationships/hyperlink" Target="mailto:olcastaneda@conconcreto.com" TargetMode="External" Id="rId238"/><Relationship Type="http://schemas.openxmlformats.org/officeDocument/2006/relationships/hyperlink" Target="mailto:e.ramirez@altosdelaabadia.com" TargetMode="External" Id="rId239"/><Relationship Type="http://schemas.openxmlformats.org/officeDocument/2006/relationships/hyperlink" Target="mailto:dir.tecnico@spci.com.co" TargetMode="External" Id="rId240"/><Relationship Type="http://schemas.openxmlformats.org/officeDocument/2006/relationships/hyperlink" Target="mailto:stellaibarra@gmail.com" TargetMode="External" Id="rId241"/><Relationship Type="http://schemas.openxmlformats.org/officeDocument/2006/relationships/hyperlink" Target="mailto:mhernandezm@conconcreto.com" TargetMode="External" Id="rId242"/><Relationship Type="http://schemas.openxmlformats.org/officeDocument/2006/relationships/hyperlink" Target="mailto:dsaldarriaga@interve.co" TargetMode="External" Id="rId243"/><Relationship Type="http://schemas.openxmlformats.org/officeDocument/2006/relationships/hyperlink" Target="mailto:jhon.osorio@mineros.com.co" TargetMode="External" Id="rId244"/><Relationship Type="http://schemas.openxmlformats.org/officeDocument/2006/relationships/hyperlink" Target="mailto:dfelipediaz@gmail.com" TargetMode="External" Id="rId245"/><Relationship Type="http://schemas.openxmlformats.org/officeDocument/2006/relationships/hyperlink" Target="mailto:comercial@ingesed.com" TargetMode="External" Id="rId246"/><Relationship Type="http://schemas.openxmlformats.org/officeDocument/2006/relationships/hyperlink" Target="mailto:eceballos@contex.com.co" TargetMode="External" Id="rId247"/><Relationship Type="http://schemas.openxmlformats.org/officeDocument/2006/relationships/hyperlink" Target="mailto:alejandrogiraldo@mensulaingenieros.com" TargetMode="External" Id="rId248"/><Relationship Type="http://schemas.openxmlformats.org/officeDocument/2006/relationships/hyperlink" Target="mailto:innova.planlibre@gmail.com" TargetMode="External" Id="rId249"/><Relationship Type="http://schemas.openxmlformats.org/officeDocument/2006/relationships/hyperlink" Target="mailto:luisa.castano@grupoarke.com.co" TargetMode="External" Id="rId250"/><Relationship Type="http://schemas.openxmlformats.org/officeDocument/2006/relationships/hyperlink" Target="mailto:sm@complementoretail.com" TargetMode="External" Id="rId251"/><Relationship Type="http://schemas.openxmlformats.org/officeDocument/2006/relationships/hyperlink" Target="mailto:residenteadministrativo@progressa.com.co" TargetMode="External" Id="rId252"/><Relationship Type="http://schemas.openxmlformats.org/officeDocument/2006/relationships/hyperlink" Target="mailto:santiago.franco@redigroup.co" TargetMode="External" Id="rId253"/><Relationship Type="http://schemas.openxmlformats.org/officeDocument/2006/relationships/hyperlink" Target="mailto:alexander.moreno@construgen.com" TargetMode="External" Id="rId254"/><Relationship Type="http://schemas.openxmlformats.org/officeDocument/2006/relationships/hyperlink" Target="mailto:evanegas@solucionesconstructivas.co" TargetMode="External" Id="rId255"/><Relationship Type="http://schemas.openxmlformats.org/officeDocument/2006/relationships/hyperlink" Target="mailto:proyectos.afcprofire@gmail.com" TargetMode="External" Id="rId256"/><Relationship Type="http://schemas.openxmlformats.org/officeDocument/2006/relationships/hyperlink" Target="mailto:proyectos.afcprofire@gmail.com" TargetMode="External" Id="rId257"/><Relationship Type="http://schemas.openxmlformats.org/officeDocument/2006/relationships/hyperlink" Target="mailto:proyectos.afcprofire@gmail.com" TargetMode="External" Id="rId258"/><Relationship Type="http://schemas.openxmlformats.org/officeDocument/2006/relationships/hyperlink" Target="mailto:proyectos.afcprofire@gmail.com" TargetMode="External" Id="rId259"/><Relationship Type="http://schemas.openxmlformats.org/officeDocument/2006/relationships/hyperlink" Target="mailto:comercial@ingesed.com" TargetMode="External" Id="rId260"/><Relationship Type="http://schemas.openxmlformats.org/officeDocument/2006/relationships/hyperlink" Target="mailto:operaciones.erg@gmail.com" TargetMode="External" Id="rId261"/><Relationship Type="http://schemas.openxmlformats.org/officeDocument/2006/relationships/hyperlink" Target="mailto:jrodriguez@ingesed.com" TargetMode="External" Id="rId262"/><Relationship Type="http://schemas.openxmlformats.org/officeDocument/2006/relationships/hyperlink" Target="mailto:coor.relacionamiento@spci.com.co" TargetMode="External" Id="rId263"/><Relationship Type="http://schemas.openxmlformats.org/officeDocument/2006/relationships/hyperlink" Target="mailto:comercial@ingesed.com" TargetMode="External" Id="rId264"/><Relationship Type="http://schemas.openxmlformats.org/officeDocument/2006/relationships/hyperlink" Target="mailto:comercial@ingesed.com" TargetMode="External" Id="rId265"/><Relationship Type="http://schemas.openxmlformats.org/officeDocument/2006/relationships/hyperlink" Target="mailto:coor.relacionamiento@spci.com.co" TargetMode="External" Id="rId266"/><Relationship Type="http://schemas.openxmlformats.org/officeDocument/2006/relationships/hyperlink" Target="mailto:lilianavaldivieso@mensulaingenieros.com" TargetMode="External" Id="rId267"/><Relationship Type="http://schemas.openxmlformats.org/officeDocument/2006/relationships/hyperlink" Target="mailto:rproyectos@90qbos.com" TargetMode="External" Id="rId268"/><Relationship Type="http://schemas.openxmlformats.org/officeDocument/2006/relationships/hyperlink" Target="mailto:comercial@ingesed.com" TargetMode="External" Id="rId269"/><Relationship Type="http://schemas.openxmlformats.org/officeDocument/2006/relationships/hyperlink" Target="mailto:andrearestrepoarq@gmail.com" TargetMode="External" Id="rId270"/><Relationship Type="http://schemas.openxmlformats.org/officeDocument/2006/relationships/hyperlink" Target="mailto:dsaldarriaga@interve.co" TargetMode="External" Id="rId271"/><Relationship Type="http://schemas.openxmlformats.org/officeDocument/2006/relationships/hyperlink" Target="mailto:dir.tecnico@spci.com.co" TargetMode="External" Id="rId272"/><Relationship Type="http://schemas.openxmlformats.org/officeDocument/2006/relationships/hyperlink" Target="mailto:coordinadoracomercial@securetec.com.co" TargetMode="External" Id="rId273"/><Relationship Type="http://schemas.openxmlformats.org/officeDocument/2006/relationships/hyperlink" Target="mailto:gerencia@grupoingenium.co" TargetMode="External" Id="rId274"/><Relationship Type="http://schemas.openxmlformats.org/officeDocument/2006/relationships/hyperlink" Target="mailto:jgallego@auteco.com" TargetMode="External" Id="rId275"/><Relationship Type="http://schemas.openxmlformats.org/officeDocument/2006/relationships/hyperlink" Target="mailto:coordinadordisenos@estructurar.co" TargetMode="External" Id="rId276"/><Relationship Type="http://schemas.openxmlformats.org/officeDocument/2006/relationships/hyperlink" Target="mailto:coor.relacionamiento@spci.com.co" TargetMode="External" Id="rId277"/><Relationship Type="http://schemas.openxmlformats.org/officeDocument/2006/relationships/hyperlink" Target="mailto:n.garcia@condiseno.co" TargetMode="External" Id="rId278"/><Relationship Type="http://schemas.openxmlformats.org/officeDocument/2006/relationships/hyperlink" Target="mailto:dacuervo@coninsa.co" TargetMode="External" Id="rId279"/><Relationship Type="http://schemas.openxmlformats.org/officeDocument/2006/relationships/hyperlink" Target="mailto:lsaldarriaga@interlg.com" TargetMode="External" Id="rId280"/><Relationship Type="http://schemas.openxmlformats.org/officeDocument/2006/relationships/hyperlink" Target="mailto:gaguirre@solciviles.com" TargetMode="External" Id="rId281"/><Relationship Type="http://schemas.openxmlformats.org/officeDocument/2006/relationships/hyperlink" Target="mailto:carmenza.guzman@urco.com.co" TargetMode="External" Id="rId282"/><Relationship Type="http://schemas.openxmlformats.org/officeDocument/2006/relationships/hyperlink" Target="mailto:dir.tecnico@spci.com.co" TargetMode="External" Id="rId283"/><Relationship Type="http://schemas.openxmlformats.org/officeDocument/2006/relationships/hyperlink" Target="mailto:mauricio.guzman@spci.com.co" TargetMode="External" Id="rId284"/><Relationship Type="http://schemas.openxmlformats.org/officeDocument/2006/relationships/hyperlink" Target="mailto:ygarcia@coninsa.co" TargetMode="External" Id="rId285"/><Relationship Type="http://schemas.openxmlformats.org/officeDocument/2006/relationships/hyperlink" Target="mailto:coordinador.administrativo@gradeco.com.co" TargetMode="External" Id="rId286"/><Relationship Type="http://schemas.openxmlformats.org/officeDocument/2006/relationships/hyperlink" Target="mailto:alejandro.restrepomontoya@upb.edu.co" TargetMode="External" Id="rId287"/><Relationship Type="http://schemas.openxmlformats.org/officeDocument/2006/relationships/hyperlink" Target="mailto:santiago.franco@redigroup.co" TargetMode="External" Id="rId288"/><Relationship Type="http://schemas.openxmlformats.org/officeDocument/2006/relationships/hyperlink" Target="mailto:santiago.franco@redigroup.co" TargetMode="External" Id="rId289"/><Relationship Type="http://schemas.openxmlformats.org/officeDocument/2006/relationships/hyperlink" Target="mailto:comercial@ingesed.com" TargetMode="External" Id="rId290"/><Relationship Type="http://schemas.openxmlformats.org/officeDocument/2006/relationships/hyperlink" Target="mailto:comercial@ingesed.com" TargetMode="External" Id="rId291"/><Relationship Type="http://schemas.openxmlformats.org/officeDocument/2006/relationships/hyperlink" Target="mailto:dmartinez@geodic.com.co" TargetMode="External" Id="rId292"/><Relationship Type="http://schemas.openxmlformats.org/officeDocument/2006/relationships/hyperlink" Target="mailto:laura.arias@studiosur.net" TargetMode="External" Id="rId293"/><Relationship Type="http://schemas.openxmlformats.org/officeDocument/2006/relationships/hyperlink" Target="mailto:david.lopera@socomes.com" TargetMode="External" Id="rId294"/><Relationship Type="http://schemas.openxmlformats.org/officeDocument/2006/relationships/hyperlink" Target="mailto:coor.relacionamiento@spci.com.co" TargetMode="External" Id="rId295"/><Relationship Type="http://schemas.openxmlformats.org/officeDocument/2006/relationships/hyperlink" Target="mailto:gerencia@projectsolutions.com.co" TargetMode="External" Id="rId296"/><Relationship Type="http://schemas.openxmlformats.org/officeDocument/2006/relationships/hyperlink" Target="mailto:nicolasvargas@convel.co" TargetMode="External" Id="rId297"/><Relationship Type="http://schemas.openxmlformats.org/officeDocument/2006/relationships/hyperlink" Target="mailto:coordinadorsst@marketcerdo.com" TargetMode="External" Id="rId298"/><Relationship Type="http://schemas.openxmlformats.org/officeDocument/2006/relationships/hyperlink" Target="mailto:coordinadorproyectos1@g4ingenieros.com" TargetMode="External" Id="rId299"/><Relationship Type="http://schemas.openxmlformats.org/officeDocument/2006/relationships/hyperlink" Target="mailto:fabian.gomez@arconsa.com.co" TargetMode="External" Id="rId300"/><Relationship Type="http://schemas.openxmlformats.org/officeDocument/2006/relationships/hyperlink" Target="mailto:bimtribunales@arquitecturayconcreto.com" TargetMode="External" Id="rId301"/><Relationship Type="http://schemas.openxmlformats.org/officeDocument/2006/relationships/hyperlink" Target="mailto:zmlopez@coninsa.co" TargetMode="External" Id="rId302"/><Relationship Type="http://schemas.openxmlformats.org/officeDocument/2006/relationships/hyperlink" Target="mailto:cpinilla@zonafrancabogota.com" TargetMode="External" Id="rId303"/><Relationship Type="http://schemas.openxmlformats.org/officeDocument/2006/relationships/hyperlink" Target="mailto:coor.relacionamiento@spci.com.co" TargetMode="External" Id="rId304"/><Relationship Type="http://schemas.openxmlformats.org/officeDocument/2006/relationships/hyperlink" Target="mailto:ingmecanico@montajesdemarca.com" TargetMode="External" Id="rId305"/><Relationship Type="http://schemas.openxmlformats.org/officeDocument/2006/relationships/hyperlink" Target="mailto:servicioalcliente@logisticaintegraldeseguros.com" TargetMode="External" Id="rId306"/><Relationship Type="http://schemas.openxmlformats.org/officeDocument/2006/relationships/hyperlink" Target="mailto:haguilar@contex.com.co" TargetMode="External" Id="rId307"/><Relationship Type="http://schemas.openxmlformats.org/officeDocument/2006/relationships/hyperlink" Target="mailto:ventas@socomes.com" TargetMode="External" Id="rId308"/><Relationship Type="http://schemas.openxmlformats.org/officeDocument/2006/relationships/hyperlink" Target="mailto:alvaro.rojas@rrp.com.co" TargetMode="External" Id="rId309"/><Relationship Type="http://schemas.openxmlformats.org/officeDocument/2006/relationships/hyperlink" Target="mailto:alvaro.rojas@rrp.com.co" TargetMode="External" Id="rId310"/><Relationship Type="http://schemas.openxmlformats.org/officeDocument/2006/relationships/hyperlink" Target="mailto:luz.ochoa@dinpro.com" TargetMode="External" Id="rId311"/><Relationship Type="http://schemas.openxmlformats.org/officeDocument/2006/relationships/hyperlink" Target="mailto:directorproyectos@he-ing.com" TargetMode="External" Id="rId312"/><Relationship Type="http://schemas.openxmlformats.org/officeDocument/2006/relationships/hyperlink" Target="mailto:tesoreria@ceramicasrenacer.com" TargetMode="External" Id="rId313"/><Relationship Type="http://schemas.openxmlformats.org/officeDocument/2006/relationships/hyperlink" Target="mailto:erua@nivelum.com" TargetMode="External" Id="rId314"/><Relationship Type="http://schemas.openxmlformats.org/officeDocument/2006/relationships/hyperlink" Target="mailto:vdaza@solciviles.com" TargetMode="External" Id="rId315"/><Relationship Type="http://schemas.openxmlformats.org/officeDocument/2006/relationships/hyperlink" Target="mailto:vanessazapata.fcr@gmail.com" TargetMode="External" Id="rId316"/><Relationship Type="http://schemas.openxmlformats.org/officeDocument/2006/relationships/hyperlink" Target="mailto:luz.ochoa@dinpro.com" TargetMode="External" Id="rId317"/><Relationship Type="http://schemas.openxmlformats.org/officeDocument/2006/relationships/hyperlink" Target="mailto:dirproyectos@securetec.com.co" TargetMode="External" Id="rId318"/><Relationship Type="http://schemas.openxmlformats.org/officeDocument/2006/relationships/hyperlink" Target="mailto:ytamayo@coninsa.co" TargetMode="External" Id="rId319"/><Relationship Type="http://schemas.openxmlformats.org/officeDocument/2006/relationships/hyperlink" Target="mailto:ytamayo@coninsa.co" TargetMode="External" Id="rId320"/><Relationship Type="http://schemas.openxmlformats.org/officeDocument/2006/relationships/hyperlink" Target="mailto:andrea@proyectoarq.co" TargetMode="External" Id="rId321"/><Relationship Type="http://schemas.openxmlformats.org/officeDocument/2006/relationships/hyperlink" Target="mailto:ingmecanico@montajesdemarca.com" TargetMode="External" Id="rId322"/><Relationship Type="http://schemas.openxmlformats.org/officeDocument/2006/relationships/hyperlink" Target="mailto:dacuervo@coninsa.co" TargetMode="External" Id="rId323"/><Relationship Type="http://schemas.openxmlformats.org/officeDocument/2006/relationships/hyperlink" Target="mailto:zmlopez@coninsa.co" TargetMode="External" Id="rId324"/><Relationship Type="http://schemas.openxmlformats.org/officeDocument/2006/relationships/hyperlink" Target="mailto:gerencia@projectsolutions.com.co" TargetMode="External" Id="rId325"/><Relationship Type="http://schemas.openxmlformats.org/officeDocument/2006/relationships/hyperlink" Target="mailto:ventas@socomes.com" TargetMode="External" Id="rId326"/><Relationship Type="http://schemas.openxmlformats.org/officeDocument/2006/relationships/hyperlink" Target="mailto:ypareja@conaltura.com" TargetMode="External" Id="rId327"/><Relationship Type="http://schemas.openxmlformats.org/officeDocument/2006/relationships/hyperlink" Target="mailto:steven.londono@renovista.com.co" TargetMode="External" Id="rId328"/><Relationship Type="http://schemas.openxmlformats.org/officeDocument/2006/relationships/hyperlink" Target="mailto:oscarfcr2@gmail.com" TargetMode="External" Id="rId329"/><Relationship Type="http://schemas.openxmlformats.org/officeDocument/2006/relationships/hyperlink" Target="mailto:parangor@conconcreto.com" TargetMode="External" Id="rId330"/><Relationship Type="http://schemas.openxmlformats.org/officeDocument/2006/relationships/hyperlink" Target="mailto:hduque@hdgerenciaintegral.com" TargetMode="External" Id="rId331"/><Relationship Type="http://schemas.openxmlformats.org/officeDocument/2006/relationships/hyperlink" Target="mailto:Directorcomercial@fireyequipos.com" TargetMode="External" Id="rId332"/><Relationship Type="http://schemas.openxmlformats.org/officeDocument/2006/relationships/hyperlink" Target="mailto:aagudelol@conconcreto.com" TargetMode="External" Id="rId333"/><Relationship Type="http://schemas.openxmlformats.org/officeDocument/2006/relationships/hyperlink" Target="mailto:paolopez@paoarq.com" TargetMode="External" Id="rId334"/><Relationship Type="http://schemas.openxmlformats.org/officeDocument/2006/relationships/hyperlink" Target="mailto:carlos.henao@seriinco.com" TargetMode="External" Id="rId335"/><Relationship Type="http://schemas.openxmlformats.org/officeDocument/2006/relationships/hyperlink" Target="mailto:coor.relacionamiento@spci.com.co" TargetMode="External" Id="rId336"/><Relationship Type="http://schemas.openxmlformats.org/officeDocument/2006/relationships/hyperlink" Target="mailto:alexander.oviedo@mineros.com.co" TargetMode="External" Id="rId337"/><Relationship Type="http://schemas.openxmlformats.org/officeDocument/2006/relationships/hyperlink" Target="mailto:sebastianochoa@arquitecturayconcreto.com" TargetMode="External" Id="rId338"/><Relationship Type="http://schemas.openxmlformats.org/officeDocument/2006/relationships/hyperlink" Target="mailto:cristinapalacio@mensulaingenieros.com" TargetMode="External" Id="rId339"/><Relationship Type="http://schemas.openxmlformats.org/officeDocument/2006/relationships/hyperlink" Target="mailto:Ramon.Garcia@corbeta.com.co" TargetMode="External" Id="rId340"/><Relationship Type="http://schemas.openxmlformats.org/officeDocument/2006/relationships/hyperlink" Target="mailto:gabriel.velez@construgen.com" TargetMode="External" Id="rId341"/><Relationship Type="http://schemas.openxmlformats.org/officeDocument/2006/relationships/hyperlink" Target="mailto:luisa.alarcon@bitacoraingenieria.com" TargetMode="External" Id="rId342"/><Relationship Type="http://schemas.openxmlformats.org/officeDocument/2006/relationships/hyperlink" Target="mailto:diegozamora@drvingenieria.co" TargetMode="External" Id="rId343"/><Relationship Type="http://schemas.openxmlformats.org/officeDocument/2006/relationships/hyperlink" Target="mailto:vgaona@cusezar.com" TargetMode="External" Id="rId344"/><Relationship Type="http://schemas.openxmlformats.org/officeDocument/2006/relationships/hyperlink" Target="mailto:alejandro.restrepomontoya@upb.edu.co" TargetMode="External" Id="rId345"/><Relationship Type="http://schemas.openxmlformats.org/officeDocument/2006/relationships/hyperlink" Target="mailto:alejandro.restrepomontoya@upb.edu.co" TargetMode="External" Id="rId346"/><Relationship Type="http://schemas.openxmlformats.org/officeDocument/2006/relationships/hyperlink" Target="mailto:alejandro.restrepomontoya@upb.edu.co" TargetMode="External" Id="rId347"/><Relationship Type="http://schemas.openxmlformats.org/officeDocument/2006/relationships/hyperlink" Target="mailto:alejandro.restrepomontoya@upb.edu.co" TargetMode="External" Id="rId348"/><Relationship Type="http://schemas.openxmlformats.org/officeDocument/2006/relationships/hyperlink" Target="mailto:alejandro.restrepomontoya@upb.edu.co" TargetMode="External" Id="rId349"/><Relationship Type="http://schemas.openxmlformats.org/officeDocument/2006/relationships/hyperlink" Target="mailto:juliomillan@fpservices.com.co" TargetMode="External" Id="rId350"/><Relationship Type="http://schemas.openxmlformats.org/officeDocument/2006/relationships/hyperlink" Target="mailto:juliomillan@fpservices.com.co" TargetMode="External" Id="rId351"/><Relationship Type="http://schemas.openxmlformats.org/officeDocument/2006/relationships/hyperlink" Target="mailto:danielavelez.fcr@gmail.com" TargetMode="External" Id="rId352"/><Relationship Type="http://schemas.openxmlformats.org/officeDocument/2006/relationships/hyperlink" Target="mailto:andrea.pineda@studiosur.net" TargetMode="External" Id="rId353"/><Relationship Type="http://schemas.openxmlformats.org/officeDocument/2006/relationships/hyperlink" Target="mailto:dannycastro@arquitecturayconcreto.com" TargetMode="External" Id="rId354"/><Relationship Type="http://schemas.openxmlformats.org/officeDocument/2006/relationships/hyperlink" Target="mailto:francisco.unda@seriinco.com" TargetMode="External" Id="rId355"/><Relationship Type="http://schemas.openxmlformats.org/officeDocument/2006/relationships/hyperlink" Target="mailto:ancardona@comodisimos.com" TargetMode="External" Id="rId356"/><Relationship Type="http://schemas.openxmlformats.org/officeDocument/2006/relationships/hyperlink" Target="mailto:director3@eymconstructores.com.co" TargetMode="External" Id="rId357"/><Relationship Type="http://schemas.openxmlformats.org/officeDocument/2006/relationships/hyperlink" Target="mailto:sebastian.pamu94@gmail.com" TargetMode="External" Id="rId358"/><Relationship Type="http://schemas.openxmlformats.org/officeDocument/2006/relationships/hyperlink" Target="mailto:dir.tecnico@spci.com.co" TargetMode="External" Id="rId359"/><Relationship Type="http://schemas.openxmlformats.org/officeDocument/2006/relationships/hyperlink" Target="mailto:proyectos3@nivel.co" TargetMode="External" Id="rId360"/><Relationship Type="http://schemas.openxmlformats.org/officeDocument/2006/relationships/hyperlink" Target="mailto:manuelabeltran@convel.co" TargetMode="External" Id="rId361"/><Relationship Type="http://schemas.openxmlformats.org/officeDocument/2006/relationships/hyperlink" Target="mailto:residente2@solucionesinmobiliariassas.com" TargetMode="External" Id="rId362"/><Relationship Type="http://schemas.openxmlformats.org/officeDocument/2006/relationships/hyperlink" Target="mailto:operacionesingesed@gmail.com" TargetMode="External" Id="rId363"/><Relationship Type="http://schemas.openxmlformats.org/officeDocument/2006/relationships/hyperlink" Target="mailto:paradigmaarquitectura75@gmail.com" TargetMode="External" Id="rId364"/><Relationship Type="http://schemas.openxmlformats.org/officeDocument/2006/relationships/hyperlink" Target="mailto:clara.parra@sp.com.co" TargetMode="External" Id="rId365"/><Relationship Type="http://schemas.openxmlformats.org/officeDocument/2006/relationships/hyperlink" Target="mailto:gabriel.velez@construgen.com" TargetMode="External" Id="rId366"/><Relationship Type="http://schemas.openxmlformats.org/officeDocument/2006/relationships/hyperlink" Target="mailto:i.zuluaga@nucleoconstructora.com" TargetMode="External" Id="rId367"/><Relationship Type="http://schemas.openxmlformats.org/officeDocument/2006/relationships/hyperlink" Target="mailto:gino1037@hotmail.com" TargetMode="External" Id="rId368"/><Relationship Type="http://schemas.openxmlformats.org/officeDocument/2006/relationships/hyperlink" Target="mailto:gino1037@hotmail.com" TargetMode="External" Id="rId369"/><Relationship Type="http://schemas.openxmlformats.org/officeDocument/2006/relationships/hyperlink" Target="mailto:liderbim@conintel.com.co" TargetMode="External" Id="rId370"/><Relationship Type="http://schemas.openxmlformats.org/officeDocument/2006/relationships/hyperlink" Target="mailto:gerencia@eymconstructores.com.co" TargetMode="External" Id="rId371"/><Relationship Type="http://schemas.openxmlformats.org/officeDocument/2006/relationships/hyperlink" Target="mailto:vanessazapata.fcr@gmail.com" TargetMode="External" Id="rId372"/><Relationship Type="http://schemas.openxmlformats.org/officeDocument/2006/relationships/hyperlink" Target="mailto:lauracamila030@hotmail.com" TargetMode="External" Id="rId373"/><Relationship Type="http://schemas.openxmlformats.org/officeDocument/2006/relationships/hyperlink" Target="mailto:zmlopez@coninsa.co" TargetMode="External" Id="rId374"/><Relationship Type="http://schemas.openxmlformats.org/officeDocument/2006/relationships/hyperlink" Target="mailto:dir.tecnico@spci.com.co" TargetMode="External" Id="rId375"/><Relationship Type="http://schemas.openxmlformats.org/officeDocument/2006/relationships/hyperlink" Target="mailto:dir.tecnico@spci.com.co" TargetMode="External" Id="rId376"/><Relationship Type="http://schemas.openxmlformats.org/officeDocument/2006/relationships/hyperlink" Target="mailto:dir.tecnico@spci.com.co" TargetMode="External" Id="rId377"/><Relationship Type="http://schemas.openxmlformats.org/officeDocument/2006/relationships/hyperlink" Target="mailto:zmlopez@coninsa.co" TargetMode="External" Id="rId378"/><Relationship Type="http://schemas.openxmlformats.org/officeDocument/2006/relationships/hyperlink" Target="mailto:alejandro.restrepomontoya@upb.edu.co" TargetMode="External" Id="rId379"/><Relationship Type="http://schemas.openxmlformats.org/officeDocument/2006/relationships/hyperlink" Target="mailto:proyectos.afcprofire@gmail.com" TargetMode="External" Id="rId380"/><Relationship Type="http://schemas.openxmlformats.org/officeDocument/2006/relationships/hyperlink" Target="mailto:damesa@mt.com.co" TargetMode="External" Id="rId381"/><Relationship Type="http://schemas.openxmlformats.org/officeDocument/2006/relationships/hyperlink" Target="mailto:carlos.henao@seriinco.com" TargetMode="External" Id="rId382"/><Relationship Type="http://schemas.openxmlformats.org/officeDocument/2006/relationships/hyperlink" Target="mailto:carlos.henao@seriinco.com" TargetMode="External" Id="rId383"/><Relationship Type="http://schemas.openxmlformats.org/officeDocument/2006/relationships/hyperlink" Target="mailto:carlos.henao@seriinco.com" TargetMode="External" Id="rId384"/><Relationship Type="http://schemas.openxmlformats.org/officeDocument/2006/relationships/hyperlink" Target="mailto:gerencia@equiposelrapido.com" TargetMode="External" Id="rId385"/><Relationship Type="http://schemas.openxmlformats.org/officeDocument/2006/relationships/hyperlink" Target="mailto:sraic.diseno@gmail.com" TargetMode="External" Id="rId386"/><Relationship Type="http://schemas.openxmlformats.org/officeDocument/2006/relationships/hyperlink" Target="mailto:proyectos@prosoma.com.co" TargetMode="External" Id="rId387"/><Relationship Type="http://schemas.openxmlformats.org/officeDocument/2006/relationships/hyperlink" Target="mailto:egomez@dobleele.co" TargetMode="External" Id="rId388"/><Relationship Type="http://schemas.openxmlformats.org/officeDocument/2006/relationships/hyperlink" Target="mailto:zmlopez@coninsa.co" TargetMode="External" Id="rId389"/><Relationship Type="http://schemas.openxmlformats.org/officeDocument/2006/relationships/hyperlink" Target="mailto:cinmobiliariat@telval.com" TargetMode="External" Id="rId390"/><Relationship Type="http://schemas.openxmlformats.org/officeDocument/2006/relationships/hyperlink" Target="mailto:haguilar@contex.com.co" TargetMode="External" Id="rId391"/><Relationship Type="http://schemas.openxmlformats.org/officeDocument/2006/relationships/hyperlink" Target="mailto:carlos.henao@seriinco.com" TargetMode="External" Id="rId392"/><Relationship Type="http://schemas.openxmlformats.org/officeDocument/2006/relationships/hyperlink" Target="mailto:r.lopez@ceadnv.com" TargetMode="External" Id="rId393"/><Relationship Type="http://schemas.openxmlformats.org/officeDocument/2006/relationships/hyperlink" Target="mailto:carlos.henao@seriinco.com" TargetMode="External" Id="rId394"/><Relationship Type="http://schemas.openxmlformats.org/officeDocument/2006/relationships/hyperlink" Target="mailto:ytamayo@coninsa.co" TargetMode="External" Id="rId395"/><Relationship Type="http://schemas.openxmlformats.org/officeDocument/2006/relationships/hyperlink" Target="mailto:juanramirez@tres-e.com" TargetMode="External" Id="rId396"/><Relationship Type="http://schemas.openxmlformats.org/officeDocument/2006/relationships/hyperlink" Target="mailto:fbustamantez@doublec.com" TargetMode="External" Id="rId397"/><Relationship Type="http://schemas.openxmlformats.org/officeDocument/2006/relationships/hyperlink" Target="mailto:vanessazapata.fcr@gmail.com" TargetMode="External" Id="rId398"/><Relationship Type="http://schemas.openxmlformats.org/officeDocument/2006/relationships/hyperlink" Target="mailto:coordinadordisenos@estructurar.co" TargetMode="External" Id="rId399"/><Relationship Type="http://schemas.openxmlformats.org/officeDocument/2006/relationships/hyperlink" Target="mailto:carolina@hidrofsalinas.com" TargetMode="External" Id="rId400"/><Relationship Type="http://schemas.openxmlformats.org/officeDocument/2006/relationships/hyperlink" Target="mailto:coor.relacionamiento@spci.com.co" TargetMode="External" Id="rId401"/><Relationship Type="http://schemas.openxmlformats.org/officeDocument/2006/relationships/hyperlink" Target="mailto:dquinterog@conconcreto.com" TargetMode="External" Id="rId402"/><Relationship Type="http://schemas.openxmlformats.org/officeDocument/2006/relationships/hyperlink" Target="mailto:laura.villa@seriinco.com" TargetMode="External" Id="rId403"/><Relationship Type="http://schemas.openxmlformats.org/officeDocument/2006/relationships/hyperlink" Target="mailto:njsirc@coninsa.co" TargetMode="External" Id="rId404"/><Relationship Type="http://schemas.openxmlformats.org/officeDocument/2006/relationships/hyperlink" Target="mailto:francisco.unda@seriinco.com" TargetMode="External" Id="rId405"/><Relationship Type="http://schemas.openxmlformats.org/officeDocument/2006/relationships/hyperlink" Target="mailto:julian.gutierrez@espiral.com.co" TargetMode="External" Id="rId406"/><Relationship Type="http://schemas.openxmlformats.org/officeDocument/2006/relationships/hyperlink" Target="mailto:francy.ardila@oxfordpackaging.com" TargetMode="External" Id="rId407"/><Relationship Type="http://schemas.openxmlformats.org/officeDocument/2006/relationships/hyperlink" Target="mailto:rodrigo.lopez@aia.com.co" TargetMode="External" Id="rId408"/><Relationship Type="http://schemas.openxmlformats.org/officeDocument/2006/relationships/hyperlink" Target="mailto:Directorcomercial@fireyequipos.com" TargetMode="External" Id="rId409"/><Relationship Type="http://schemas.openxmlformats.org/officeDocument/2006/relationships/hyperlink" Target="mailto:dirproyectos@securetec.com.co" TargetMode="External" Id="rId410"/><Relationship Type="http://schemas.openxmlformats.org/officeDocument/2006/relationships/hyperlink" Target="mailto:ascomercial2@securetec.com.co" TargetMode="External" Id="rId411"/><Relationship Type="http://schemas.openxmlformats.org/officeDocument/2006/relationships/hyperlink" Target="mailto:g.jaramillo.arq@gmail.com" TargetMode="External" Id="rId412"/><Relationship Type="http://schemas.openxmlformats.org/officeDocument/2006/relationships/hyperlink" Target="mailto:coor.relacionamiento@spci.com.co" TargetMode="External" Id="rId413"/><Relationship Type="http://schemas.openxmlformats.org/officeDocument/2006/relationships/hyperlink" Target="mailto:coor.relacionamiento@spci.com.co" TargetMode="External" Id="rId414"/><Relationship Type="http://schemas.openxmlformats.org/officeDocument/2006/relationships/hyperlink" Target="mailto:josehenao@firemarshal.com.co" TargetMode="External" Id="rId415"/><Relationship Type="http://schemas.openxmlformats.org/officeDocument/2006/relationships/hyperlink" Target="mailto:diseno4@gyd.com.co" TargetMode="External" Id="rId416"/><Relationship Type="http://schemas.openxmlformats.org/officeDocument/2006/relationships/hyperlink" Target="mailto:vdfarieta@coninsa.co" TargetMode="External" Id="rId417"/><Relationship Type="http://schemas.openxmlformats.org/officeDocument/2006/relationships/hyperlink" Target="mailto:interventoriaterritorioverde@tipinterventoria.com" TargetMode="External" Id="rId418"/><Relationship Type="http://schemas.openxmlformats.org/officeDocument/2006/relationships/hyperlink" Target="mailto:juan.grajales@supplynetlatam.com" TargetMode="External" Id="rId419"/><Relationship Type="http://schemas.openxmlformats.org/officeDocument/2006/relationships/hyperlink" Target="mailto:dir.tecnico@spci.com.co" TargetMode="External" Id="rId420"/><Relationship Type="http://schemas.openxmlformats.org/officeDocument/2006/relationships/hyperlink" Target="mailto:zmlopez@coninsa.co" TargetMode="External" Id="rId421"/><Relationship Type="http://schemas.openxmlformats.org/officeDocument/2006/relationships/hyperlink" Target="mailto:coord.infraestructura@incodol.com" TargetMode="External" Id="rId422"/><Relationship Type="http://schemas.openxmlformats.org/officeDocument/2006/relationships/hyperlink" Target="mailto:lforondav@conconcreto.com" TargetMode="External" Id="rId423"/><Relationship Type="http://schemas.openxmlformats.org/officeDocument/2006/relationships/hyperlink" Target="mailto:carolina@hidrofsalinas.com" TargetMode="External" Id="rId424"/><Relationship Type="http://schemas.openxmlformats.org/officeDocument/2006/relationships/hyperlink" Target="mailto:pquintero@proyectosurbanos.com.co" TargetMode="External" Id="rId425"/><Relationship Type="http://schemas.openxmlformats.org/officeDocument/2006/relationships/hyperlink" Target="mailto:operacionesingesed@gmail.com" TargetMode="External" Id="rId426"/><Relationship Type="http://schemas.openxmlformats.org/officeDocument/2006/relationships/hyperlink" Target="mailto:coordinadordisenos@estructurar.co" TargetMode="External" Id="rId427"/><Relationship Type="http://schemas.openxmlformats.org/officeDocument/2006/relationships/hyperlink" Target="mailto:dir.tecnico@spci.com.co" TargetMode="External" Id="rId428"/><Relationship Type="http://schemas.openxmlformats.org/officeDocument/2006/relationships/hyperlink" Target="mailto:proyectos@elpenol-antioquia.gov.co" TargetMode="External" Id="rId429"/><Relationship Type="http://schemas.openxmlformats.org/officeDocument/2006/relationships/hyperlink" Target="mailto:andinaconstructura@gmail.com" TargetMode="External" Id="rId430"/><Relationship Type="http://schemas.openxmlformats.org/officeDocument/2006/relationships/hyperlink" Target="mailto:njsirc@coninsa.co" TargetMode="External" Id="rId431"/><Relationship Type="http://schemas.openxmlformats.org/officeDocument/2006/relationships/hyperlink" Target="mailto:andrearestrepo@joarq.com" TargetMode="External" Id="rId432"/><Relationship Type="http://schemas.openxmlformats.org/officeDocument/2006/relationships/hyperlink" Target="mailto:eceballos@contex.com.co" TargetMode="External" Id="rId433"/><Relationship Type="http://schemas.openxmlformats.org/officeDocument/2006/relationships/hyperlink" Target="mailto:mhernandezm@conconcreto.com" TargetMode="External" Id="rId434"/><Relationship Type="http://schemas.openxmlformats.org/officeDocument/2006/relationships/hyperlink" Target="mailto:gino1037@hotmail.com" TargetMode="External" Id="rId435"/><Relationship Type="http://schemas.openxmlformats.org/officeDocument/2006/relationships/hyperlink" Target="mailto:dir.tecnico@spci.com.co" TargetMode="External" Id="rId436"/><Relationship Type="http://schemas.openxmlformats.org/officeDocument/2006/relationships/hyperlink" Target="mailto:mhernandezm@conconcreto.com" TargetMode="External" Id="rId437"/><Relationship Type="http://schemas.openxmlformats.org/officeDocument/2006/relationships/hyperlink" Target="mailto:g.jaramillo.arq@gmail.com" TargetMode="External" Id="rId438"/><Relationship Type="http://schemas.openxmlformats.org/officeDocument/2006/relationships/hyperlink" Target="mailto:inhauserproyectos@gmail.com" TargetMode="External" Id="rId439"/><Relationship Type="http://schemas.openxmlformats.org/officeDocument/2006/relationships/hyperlink" Target="mailto:proyectos@entretangencia.com" TargetMode="External" Id="rId440"/><Relationship Type="http://schemas.openxmlformats.org/officeDocument/2006/relationships/hyperlink" Target="mailto:mhernandezm@conconcreto.com" TargetMode="External" Id="rId441"/><Relationship Type="http://schemas.openxmlformats.org/officeDocument/2006/relationships/hyperlink" Target="mailto:mhernandezm@conconcreto.com" TargetMode="External" Id="rId442"/><Relationship Type="http://schemas.openxmlformats.org/officeDocument/2006/relationships/hyperlink" Target="mailto:Karenmendez@mensulaingenieros.com" TargetMode="External" Id="rId443"/><Relationship Type="http://schemas.openxmlformats.org/officeDocument/2006/relationships/hyperlink" Target="mailto:dir.tecnico@spci.com.co" TargetMode="External" Id="rId444"/><Relationship Type="http://schemas.openxmlformats.org/officeDocument/2006/relationships/hyperlink" Target="mailto:gerencia@grupoingenium.co" TargetMode="External" Id="rId445"/><Relationship Type="http://schemas.openxmlformats.org/officeDocument/2006/relationships/hyperlink" Target="mailto:Cristian7628@hotmail.com" TargetMode="External" Id="rId446"/><Relationship Type="http://schemas.openxmlformats.org/officeDocument/2006/relationships/hyperlink" Target="mailto:residenteadministrativo@progressa.com.co" TargetMode="External" Id="rId447"/><Relationship Type="http://schemas.openxmlformats.org/officeDocument/2006/relationships/hyperlink" Target="mailto:camiloar@toroposada.com" TargetMode="External" Id="rId448"/><Relationship Type="http://schemas.openxmlformats.org/officeDocument/2006/relationships/hyperlink" Target="mailto:coor.relacionamiento@spci.com.co" TargetMode="External" Id="rId449"/><Relationship Type="http://schemas.openxmlformats.org/officeDocument/2006/relationships/hyperlink" Target="mailto:ymunozg@conciviles.com" TargetMode="External" Id="rId450"/><Relationship Type="http://schemas.openxmlformats.org/officeDocument/2006/relationships/hyperlink" Target="mailto:hyfireingenieros@gmail.com" TargetMode="External" Id="rId451"/><Relationship Type="http://schemas.openxmlformats.org/officeDocument/2006/relationships/hyperlink" Target="mailto:operaciones@goodgroup.com.co" TargetMode="External" Id="rId452"/><Relationship Type="http://schemas.openxmlformats.org/officeDocument/2006/relationships/hyperlink" Target="mailto:carlos.henao@seriinco.com" TargetMode="External" Id="rId453"/><Relationship Type="http://schemas.openxmlformats.org/officeDocument/2006/relationships/hyperlink" Target="mailto:coor.relacionamiento@spci.com.co" TargetMode="External" Id="rId454"/><Relationship Type="http://schemas.openxmlformats.org/officeDocument/2006/relationships/hyperlink" Target="mailto:ypareja@conaltura.com" TargetMode="External" Id="rId455"/><Relationship Type="http://schemas.openxmlformats.org/officeDocument/2006/relationships/hyperlink" Target="mailto:ypareja@conaltura.com" TargetMode="External" Id="rId456"/><Relationship Type="http://schemas.openxmlformats.org/officeDocument/2006/relationships/hyperlink" Target="mailto:ypareja@conaltura.com" TargetMode="External" Id="rId457"/><Relationship Type="http://schemas.openxmlformats.org/officeDocument/2006/relationships/hyperlink" Target="mailto:francisco.unda@seriinco.com" TargetMode="External" Id="rId458"/><Relationship Type="http://schemas.openxmlformats.org/officeDocument/2006/relationships/hyperlink" Target="mailto:coor.relacionamiento@spci.com.co" TargetMode="External" Id="rId459"/><Relationship Type="http://schemas.openxmlformats.org/officeDocument/2006/relationships/hyperlink" Target="mailto:sg.sst@c4logistica.com" TargetMode="External" Id="rId460"/><Relationship Type="http://schemas.openxmlformats.org/officeDocument/2006/relationships/hyperlink" Target="mailto:n.garcia@condiseno.co" TargetMode="External" Id="rId461"/><Relationship Type="http://schemas.openxmlformats.org/officeDocument/2006/relationships/hyperlink" Target="mailto:coordinadorproyectos1@g4ingenieros.com" TargetMode="External" Id="rId462"/><Relationship Type="http://schemas.openxmlformats.org/officeDocument/2006/relationships/hyperlink" Target="mailto:carlos.henao@seriinco.com" TargetMode="External" Id="rId463"/><Relationship Type="http://schemas.openxmlformats.org/officeDocument/2006/relationships/hyperlink" Target="mailto:coordinadorproyectos1@g4ingenieros.com" TargetMode="External" Id="rId464"/><Relationship Type="http://schemas.openxmlformats.org/officeDocument/2006/relationships/hyperlink" Target="mailto:miguel.robayo@supplynetlatam.com" TargetMode="External" Id="rId465"/><Relationship Type="http://schemas.openxmlformats.org/officeDocument/2006/relationships/hyperlink" Target="mailto:coordinador.administrativo@gradeco.com.co" TargetMode="External" Id="rId466"/><Relationship Type="http://schemas.openxmlformats.org/officeDocument/2006/relationships/hyperlink" Target="mailto:vanessabuelvas@mensulaingenieros.com" TargetMode="External" Id="rId467"/><Relationship Type="http://schemas.openxmlformats.org/officeDocument/2006/relationships/hyperlink" Target="mailto:dir.tecnico@spci.com.co" TargetMode="External" Id="rId468"/><Relationship Type="http://schemas.openxmlformats.org/officeDocument/2006/relationships/hyperlink" Target="mailto:francisco.unda@seriinco.com" TargetMode="External" Id="rId469"/><Relationship Type="http://schemas.openxmlformats.org/officeDocument/2006/relationships/hyperlink" Target="mailto:juanramirez@tres-e.com" TargetMode="External" Id="rId470"/><Relationship Type="http://schemas.openxmlformats.org/officeDocument/2006/relationships/hyperlink" Target="mailto:coor.relacionamiento@spci.com.co" TargetMode="External" Id="rId471"/><Relationship Type="http://schemas.openxmlformats.org/officeDocument/2006/relationships/hyperlink" Target="mailto:diseno4@gyd.com.co" TargetMode="External" Id="rId472"/><Relationship Type="http://schemas.openxmlformats.org/officeDocument/2006/relationships/hyperlink" Target="mailto:sraic.diseno@gmail.com" TargetMode="External" Id="rId473"/><Relationship Type="http://schemas.openxmlformats.org/officeDocument/2006/relationships/hyperlink" Target="mailto:muribe@fundamental-au.com" TargetMode="External" Id="rId474"/><Relationship Type="http://schemas.openxmlformats.org/officeDocument/2006/relationships/hyperlink" Target="mailto:francisco.unda@seriinco.com" TargetMode="External" Id="rId475"/><Relationship Type="http://schemas.openxmlformats.org/officeDocument/2006/relationships/hyperlink" Target="mailto:ventas@socomes.com" TargetMode="External" Id="rId476"/><Relationship Type="http://schemas.openxmlformats.org/officeDocument/2006/relationships/hyperlink" Target="mailto:mhernandezm@conconcreto.com" TargetMode="External" Id="rId477"/><Relationship Type="http://schemas.openxmlformats.org/officeDocument/2006/relationships/hyperlink" Target="mailto:analistadeproyectos2@pro2.com.co" TargetMode="External" Id="rId478"/><Relationship Type="http://schemas.openxmlformats.org/officeDocument/2006/relationships/hyperlink" Target="mailto:heealvarezca@unal.edu.co" TargetMode="External" Id="rId479"/><Relationship Type="http://schemas.openxmlformats.org/officeDocument/2006/relationships/hyperlink" Target="mailto:n.garcia@condiseno.co" TargetMode="External" Id="rId480"/><Relationship Type="http://schemas.openxmlformats.org/officeDocument/2006/relationships/hyperlink" Target="mailto:coor.relacionamiento@spci.com.co" TargetMode="External" Id="rId481"/><Relationship Type="http://schemas.openxmlformats.org/officeDocument/2006/relationships/hyperlink" Target="mailto:aagudelol@conconcreto.com" TargetMode="External" Id="rId482"/><Relationship Type="http://schemas.openxmlformats.org/officeDocument/2006/relationships/hyperlink" Target="mailto:camilo.quintero@spci.com.co" TargetMode="External" Id="rId483"/><Relationship Type="http://schemas.openxmlformats.org/officeDocument/2006/relationships/hyperlink" Target="mailto:johnnatan.duque@seriinco.com" TargetMode="External" Id="rId484"/><Relationship Type="http://schemas.openxmlformats.org/officeDocument/2006/relationships/hyperlink" Target="mailto:mnieto@aia.com.co" TargetMode="External" Id="rId485"/><Relationship Type="http://schemas.openxmlformats.org/officeDocument/2006/relationships/hyperlink" Target="mailto:operaciones.fireyequipos@gmail.com" TargetMode="External" Id="rId486"/><Relationship Type="http://schemas.openxmlformats.org/officeDocument/2006/relationships/hyperlink" Target="mailto:operaciones.fireyequipos@gmail.com" TargetMode="External" Id="rId487"/><Relationship Type="http://schemas.openxmlformats.org/officeDocument/2006/relationships/hyperlink" Target="mailto:proyectos@prosoma.com.co" TargetMode="External" Id="rId488"/><Relationship Type="http://schemas.openxmlformats.org/officeDocument/2006/relationships/hyperlink" Target="mailto:diego.paredes@bienesybienes.com.co" TargetMode="External" Id="rId489"/><Relationship Type="http://schemas.openxmlformats.org/officeDocument/2006/relationships/hyperlink" Target="mailto:proyectos.afcprofire@gmail.com" TargetMode="External" Id="rId490"/><Relationship Type="http://schemas.openxmlformats.org/officeDocument/2006/relationships/hyperlink" Target="mailto:girarconstrucciones@gmail.com" TargetMode="External" Id="rId491"/><Relationship Type="http://schemas.openxmlformats.org/officeDocument/2006/relationships/hyperlink" Target="mailto:Camacho.williams@co.sika.com" TargetMode="External" Id="rId492"/><Relationship Type="http://schemas.openxmlformats.org/officeDocument/2006/relationships/hyperlink" Target="mailto:Camacho.williams@co.sika.com" TargetMode="External" Id="rId493"/><Relationship Type="http://schemas.openxmlformats.org/officeDocument/2006/relationships/hyperlink" Target="mailto:residenteadministrativo@progressa.com.co" TargetMode="External" Id="rId494"/><Relationship Type="http://schemas.openxmlformats.org/officeDocument/2006/relationships/hyperlink" Target="mailto:angelabravo@mensulaingenieros.com" TargetMode="External" Id="rId495"/><Relationship Type="http://schemas.openxmlformats.org/officeDocument/2006/relationships/hyperlink" Target="mailto:gerencia@projectsolutions.com.co" TargetMode="External" Id="rId496"/><Relationship Type="http://schemas.openxmlformats.org/officeDocument/2006/relationships/hyperlink" Target="mailto:dirproyectos@securetec.com.co" TargetMode="External" Id="rId497"/><Relationship Type="http://schemas.openxmlformats.org/officeDocument/2006/relationships/hyperlink" Target="mailto:alvaro.manosalva@supplynetlatam.com" TargetMode="External" Id="rId498"/><Relationship Type="http://schemas.openxmlformats.org/officeDocument/2006/relationships/hyperlink" Target="mailto:auxalcala2@constructoradeobras.com" TargetMode="External" Id="rId499"/><Relationship Type="http://schemas.openxmlformats.org/officeDocument/2006/relationships/hyperlink" Target="mailto:juannaranjo@convel.co" TargetMode="External" Id="rId500"/><Relationship Type="http://schemas.openxmlformats.org/officeDocument/2006/relationships/hyperlink" Target="mailto:coor.relacionamiento@spci.com.co" TargetMode="External" Id="rId501"/><Relationship Type="http://schemas.openxmlformats.org/officeDocument/2006/relationships/hyperlink" Target="mailto:coor.relacionamiento@spci.com.co" TargetMode="External" Id="rId502"/><Relationship Type="http://schemas.openxmlformats.org/officeDocument/2006/relationships/hyperlink" Target="mailto:e.ramirez@altosdelaabadia.com" TargetMode="External" Id="rId503"/><Relationship Type="http://schemas.openxmlformats.org/officeDocument/2006/relationships/hyperlink" Target="mailto:comercial@ingesed.com" TargetMode="External" Id="rId504"/><Relationship Type="http://schemas.openxmlformats.org/officeDocument/2006/relationships/hyperlink" Target="mailto:asistentesantillana@mts.com.co" TargetMode="External" Id="rId505"/><Relationship Type="http://schemas.openxmlformats.org/officeDocument/2006/relationships/hyperlink" Target="mailto:fbustamantez@doublec.com" TargetMode="External" Id="rId506"/><Relationship Type="http://schemas.openxmlformats.org/officeDocument/2006/relationships/hyperlink" Target="mailto:emerson.moraes@braspine.com.br" TargetMode="External" Id="rId507"/><Relationship Type="http://schemas.openxmlformats.org/officeDocument/2006/relationships/hyperlink" Target="mailto:operaciones.fireyequipos@gmail.com" TargetMode="External" Id="rId508"/><Relationship Type="http://schemas.openxmlformats.org/officeDocument/2006/relationships/hyperlink" Target="mailto:santiago.franco@redigroup.co" TargetMode="External" Id="rId509"/><Relationship Type="http://schemas.openxmlformats.org/officeDocument/2006/relationships/hyperlink" Target="mailto:interventoriaaltamonte@gmail.com" TargetMode="External" Id="rId510"/><Relationship Type="http://schemas.openxmlformats.org/officeDocument/2006/relationships/hyperlink" Target="mailto:juan.caicedo@ieb.co" TargetMode="External" Id="rId511"/><Relationship Type="http://schemas.openxmlformats.org/officeDocument/2006/relationships/hyperlink" Target="mailto:parangor@conconcreto.com" TargetMode="External" Id="rId512"/><Relationship Type="http://schemas.openxmlformats.org/officeDocument/2006/relationships/hyperlink" Target="mailto:jramirezf@conaltura.com" TargetMode="External" Id="rId513"/><Relationship Type="http://schemas.openxmlformats.org/officeDocument/2006/relationships/hyperlink" Target="mailto:francisco.unda@seriinco.com" TargetMode="External" Id="rId514"/><Relationship Type="http://schemas.openxmlformats.org/officeDocument/2006/relationships/hyperlink" Target="mailto:soporte.comercial1@firesupply.com.co" TargetMode="External" Id="rId515"/><Relationship Type="http://schemas.openxmlformats.org/officeDocument/2006/relationships/hyperlink" Target="mailto:andres.cruz@afcprofire.com" TargetMode="External" Id="rId516"/><Relationship Type="http://schemas.openxmlformats.org/officeDocument/2006/relationships/hyperlink" Target="mailto:jrojas.horizontal@gmail.com" TargetMode="External" Id="rId517"/><Relationship Type="http://schemas.openxmlformats.org/officeDocument/2006/relationships/hyperlink" Target="mailto:dir.tecnico@spci.com.co" TargetMode="External" Id="rId518"/><Relationship Type="http://schemas.openxmlformats.org/officeDocument/2006/relationships/hyperlink" Target="mailto:dir.tecnico@spci.com.co" TargetMode="External" Id="rId519"/><Relationship Type="http://schemas.openxmlformats.org/officeDocument/2006/relationships/hyperlink" Target="mailto:laura.arias@studiosur.net" TargetMode="External" Id="rId520"/><Relationship Type="http://schemas.openxmlformats.org/officeDocument/2006/relationships/hyperlink" Target="mailto:dir.tecnico@spci.com.co" TargetMode="External" Id="rId521"/><Relationship Type="http://schemas.openxmlformats.org/officeDocument/2006/relationships/hyperlink" Target="mailto:camiloar@toroposada.com" TargetMode="External" Id="rId522"/><Relationship Type="http://schemas.openxmlformats.org/officeDocument/2006/relationships/hyperlink" Target="mailto:gerencia@projectsolutions.com.co" TargetMode="External" Id="rId523"/><Relationship Type="http://schemas.openxmlformats.org/officeDocument/2006/relationships/hyperlink" Target="mailto:judithelenatrujillo@gmail.com" TargetMode="External" Id="rId524"/><Relationship Type="http://schemas.openxmlformats.org/officeDocument/2006/relationships/hyperlink" Target="mailto:fbustamantez@doublec.com" TargetMode="External" Id="rId525"/><Relationship Type="http://schemas.openxmlformats.org/officeDocument/2006/relationships/hyperlink" Target="mailto:mrestrepo@montacargasamym.com" TargetMode="External" Id="rId526"/><Relationship Type="http://schemas.openxmlformats.org/officeDocument/2006/relationships/hyperlink" Target="mailto:santiago.franco@redigroup.co" TargetMode="External" Id="rId527"/><Relationship Type="http://schemas.openxmlformats.org/officeDocument/2006/relationships/hyperlink" Target="mailto:alvaro.garcia@seriinco.com" TargetMode="External" Id="rId528"/><Relationship Type="http://schemas.openxmlformats.org/officeDocument/2006/relationships/hyperlink" Target="mailto:alvaro.garcia@seriinco.com" TargetMode="External" Id="rId529"/><Relationship Type="http://schemas.openxmlformats.org/officeDocument/2006/relationships/hyperlink" Target="mailto:operaciones@goodgroup.com.co" TargetMode="External" Id="rId530"/><Relationship Type="http://schemas.openxmlformats.org/officeDocument/2006/relationships/hyperlink" Target="mailto:proyectos@entretangencia.com" TargetMode="External" Id="rId531"/><Relationship Type="http://schemas.openxmlformats.org/officeDocument/2006/relationships/hyperlink" Target="mailto:mantenimiento.maquibombas@gmail.com" TargetMode="External" Id="rId532"/><Relationship Type="http://schemas.openxmlformats.org/officeDocument/2006/relationships/hyperlink" Target="mailto:n.garcia@condiseno.co" TargetMode="External" Id="rId533"/><Relationship Type="http://schemas.openxmlformats.org/officeDocument/2006/relationships/hyperlink" Target="mailto:g.jaramillo.arq@gmail.com" TargetMode="External" Id="rId534"/><Relationship Type="http://schemas.openxmlformats.org/officeDocument/2006/relationships/hyperlink" Target="mailto:pquintero@proyectosurbanos.com.co" TargetMode="External" Id="rId535"/><Relationship Type="http://schemas.openxmlformats.org/officeDocument/2006/relationships/hyperlink" Target="mailto:dir.tecnico@spci.com.co" TargetMode="External" Id="rId536"/><Relationship Type="http://schemas.openxmlformats.org/officeDocument/2006/relationships/hyperlink" Target="mailto:angelabravo@mensulaingenieros.com" TargetMode="External" Id="rId537"/><Relationship Type="http://schemas.openxmlformats.org/officeDocument/2006/relationships/hyperlink" Target="mailto:comercial@ingesed.com" TargetMode="External" Id="rId538"/><Relationship Type="http://schemas.openxmlformats.org/officeDocument/2006/relationships/hyperlink" Target="mailto:sosorio@nivelum.com" TargetMode="External" Id="rId539"/><Relationship Type="http://schemas.openxmlformats.org/officeDocument/2006/relationships/hyperlink" Target="mailto:eqlaureles2@gmail.com" TargetMode="External" Id="rId540"/><Relationship Type="http://schemas.openxmlformats.org/officeDocument/2006/relationships/hyperlink" Target="mailto:juan.caicedo@ieb.co" TargetMode="External" Id="rId541"/><Relationship Type="http://schemas.openxmlformats.org/officeDocument/2006/relationships/hyperlink" Target="mailto:sosorio@nivelum.com" TargetMode="External" Id="rId542"/><Relationship Type="http://schemas.openxmlformats.org/officeDocument/2006/relationships/hyperlink" Target="mailto:sosorio@nivelum.com" TargetMode="External" Id="rId543"/><Relationship Type="http://schemas.openxmlformats.org/officeDocument/2006/relationships/hyperlink" Target="mailto:fbustamantez@doublec.com" TargetMode="External" Id="rId544"/><Relationship Type="http://schemas.openxmlformats.org/officeDocument/2006/relationships/hyperlink" Target="mailto:robinsonmarulanda@arquitecturayconcreto.com" TargetMode="External" Id="rId545"/><Relationship Type="http://schemas.openxmlformats.org/officeDocument/2006/relationships/hyperlink" Target="mailto:Constructorafortich@gmail.com" TargetMode="External" Id="rId546"/><Relationship Type="http://schemas.openxmlformats.org/officeDocument/2006/relationships/hyperlink" Target="mailto:j.figueroa@ashesfire.co" TargetMode="External" Id="rId547"/><Relationship Type="http://schemas.openxmlformats.org/officeDocument/2006/relationships/hyperlink" Target="mailto:jramirezf@conaltura.com" TargetMode="External" Id="rId548"/><Relationship Type="http://schemas.openxmlformats.org/officeDocument/2006/relationships/hyperlink" Target="mailto:amartineza@conconcreto.com" TargetMode="External" Id="rId549"/><Relationship Type="http://schemas.openxmlformats.org/officeDocument/2006/relationships/hyperlink" Target="mailto:Oriente@aci.edu.co" TargetMode="External" Id="rId550"/><Relationship Type="http://schemas.openxmlformats.org/officeDocument/2006/relationships/hyperlink" Target="mailto:josemaya@firemarshal.com.co" TargetMode="External" Id="rId551"/><Relationship Type="http://schemas.openxmlformats.org/officeDocument/2006/relationships/hyperlink" Target="mailto:operacionesingesed@gmail.com" TargetMode="External" Id="rId552"/><Relationship Type="http://schemas.openxmlformats.org/officeDocument/2006/relationships/hyperlink" Target="mailto:comercial2@fpservices.com.co" TargetMode="External" Id="rId553"/><Relationship Type="http://schemas.openxmlformats.org/officeDocument/2006/relationships/hyperlink" Target="mailto:contacto@konzepto.co" TargetMode="External" Id="rId554"/><Relationship Type="http://schemas.openxmlformats.org/officeDocument/2006/relationships/hyperlink" Target="mailto:comercial2@fpservices.com.co" TargetMode="External" Id="rId555"/><Relationship Type="http://schemas.openxmlformats.org/officeDocument/2006/relationships/hyperlink" Target="mailto:esencia.living1@gmail.com" TargetMode="External" Id="rId556"/><Relationship Type="http://schemas.openxmlformats.org/officeDocument/2006/relationships/hyperlink" Target="mailto:cmesa@coninsa.co" TargetMode="External" Id="rId557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mailto:sebastianochoa@arquitecturayconcreto.com" TargetMode="External" Id="rId1"/><Relationship Type="http://schemas.openxmlformats.org/officeDocument/2006/relationships/hyperlink" Target="mailto:stellaibarra@gmail.com" TargetMode="External" Id="rId2"/><Relationship Type="http://schemas.openxmlformats.org/officeDocument/2006/relationships/hyperlink" Target="mailto:operaciones.fireyequipos@gmail.com" TargetMode="External" Id="rId3"/><Relationship Type="http://schemas.openxmlformats.org/officeDocument/2006/relationships/hyperlink" Target="mailto:ClaudiaRamirez@comfama.com.co" TargetMode="External" Id="rId4"/><Relationship Type="http://schemas.openxmlformats.org/officeDocument/2006/relationships/hyperlink" Target="mailto:j.chiguasuque@altosdelaabadia.com" TargetMode="External" Id="rId5"/><Relationship Type="http://schemas.openxmlformats.org/officeDocument/2006/relationships/hyperlink" Target="mailto:amartineza@conconcreto.com" TargetMode="External" Id="rId6"/><Relationship Type="http://schemas.openxmlformats.org/officeDocument/2006/relationships/hyperlink" Target="mailto:comercial@goodgroup.com.co" TargetMode="External" Id="rId7"/><Relationship Type="http://schemas.openxmlformats.org/officeDocument/2006/relationships/hyperlink" Target="mailto:coordinadorobra@raizconstructora.com.co" TargetMode="External" Id="rId8"/><Relationship Type="http://schemas.openxmlformats.org/officeDocument/2006/relationships/hyperlink" Target="mailto:planeacion@proyectosurbanos.com.co" TargetMode="External" Id="rId9"/><Relationship Type="http://schemas.openxmlformats.org/officeDocument/2006/relationships/hyperlink" Target="mailto:maria.betancur@neurologico.org.co" TargetMode="External" Id="rId10"/><Relationship Type="http://schemas.openxmlformats.org/officeDocument/2006/relationships/hyperlink" Target="mailto:jean.lopez@massygroup.com" TargetMode="External" Id="rId11"/><Relationship Type="http://schemas.openxmlformats.org/officeDocument/2006/relationships/hyperlink" Target="mailto:Inspecciones@alcecol.com" TargetMode="External" Id="rId12"/><Relationship Type="http://schemas.openxmlformats.org/officeDocument/2006/relationships/hyperlink" Target="mailto:girarconstrucciones@gmail.com" TargetMode="External" Id="rId13"/><Relationship Type="http://schemas.openxmlformats.org/officeDocument/2006/relationships/hyperlink" Target="mailto:operacionesingesed@gmail.com" TargetMode="External" Id="rId14"/><Relationship Type="http://schemas.openxmlformats.org/officeDocument/2006/relationships/hyperlink" Target="mailto:jrodriguez@ingesed.com" TargetMode="External" Id="rId15"/><Relationship Type="http://schemas.openxmlformats.org/officeDocument/2006/relationships/hyperlink" Target="mailto:julialzate@une.net.co" TargetMode="External" Id="rId16"/><Relationship Type="http://schemas.openxmlformats.org/officeDocument/2006/relationships/hyperlink" Target="mailto:jrodriguez@ingesed.com" TargetMode="External" Id="rId17"/><Relationship Type="http://schemas.openxmlformats.org/officeDocument/2006/relationships/hyperlink" Target="mailto:lmontoya@iconsultores.com.co" TargetMode="External" Id="rId18"/><Relationship Type="http://schemas.openxmlformats.org/officeDocument/2006/relationships/hyperlink" Target="mailto:dir.tecnico@spci.com.co" TargetMode="External" Id="rId19"/><Relationship Type="http://schemas.openxmlformats.org/officeDocument/2006/relationships/hyperlink" Target="mailto:comercial@ingesed.com" TargetMode="External" Id="rId20"/><Relationship Type="http://schemas.openxmlformats.org/officeDocument/2006/relationships/hyperlink" Target="mailto:ytamayo@coninsa.co" TargetMode="External" Id="rId21"/><Relationship Type="http://schemas.openxmlformats.org/officeDocument/2006/relationships/hyperlink" Target="mailto:n.garcia@condiseno.co" TargetMode="External" Id="rId22"/><Relationship Type="http://schemas.openxmlformats.org/officeDocument/2006/relationships/hyperlink" Target="mailto:proyectos@prosoma.com.co" TargetMode="External" Id="rId23"/><Relationship Type="http://schemas.openxmlformats.org/officeDocument/2006/relationships/hyperlink" Target="mailto:jrodriguez@ingesed.com" TargetMode="External" Id="rId24"/><Relationship Type="http://schemas.openxmlformats.org/officeDocument/2006/relationships/hyperlink" Target="mailto:Constructorafortich@gmail.com" TargetMode="External" Id="rId25"/><Relationship Type="http://schemas.openxmlformats.org/officeDocument/2006/relationships/hyperlink" Target="mailto:lsaldarriaga@interlg.com" TargetMode="External" Id="rId26"/><Relationship Type="http://schemas.openxmlformats.org/officeDocument/2006/relationships/hyperlink" Target="mailto:santiago.franco@redigroup.co" TargetMode="External" Id="rId27"/><Relationship Type="http://schemas.openxmlformats.org/officeDocument/2006/relationships/hyperlink" Target="mailto:jrodriguez@ingesed.com" TargetMode="External" Id="rId28"/><Relationship Type="http://schemas.openxmlformats.org/officeDocument/2006/relationships/hyperlink" Target="mailto:jrodriguez@ingesed.com" TargetMode="External" Id="rId29"/><Relationship Type="http://schemas.openxmlformats.org/officeDocument/2006/relationships/hyperlink" Target="mailto:Directorcomercial@fireyequipos.com" TargetMode="External" Id="rId30"/><Relationship Type="http://schemas.openxmlformats.org/officeDocument/2006/relationships/hyperlink" Target="mailto:infraestructura@sannicolas.co" TargetMode="External" Id="rId31"/><Relationship Type="http://schemas.openxmlformats.org/officeDocument/2006/relationships/hyperlink" Target="mailto:ypareja@conaltura.com" TargetMode="External" Id="rId32"/><Relationship Type="http://schemas.openxmlformats.org/officeDocument/2006/relationships/hyperlink" Target="mailto:yuranyorozcoconstructoramc@gmail.com" TargetMode="External" Id="rId33"/><Relationship Type="http://schemas.openxmlformats.org/officeDocument/2006/relationships/hyperlink" Target="mailto:n.garcia@condiseno.co" TargetMode="External" Id="rId34"/><Relationship Type="http://schemas.openxmlformats.org/officeDocument/2006/relationships/hyperlink" Target="mailto:javierzapa@mensulaingenieros.com" TargetMode="External" Id="rId35"/><Relationship Type="http://schemas.openxmlformats.org/officeDocument/2006/relationships/hyperlink" Target="mailto:administracion.43avenida@aceis.com.co" TargetMode="External" Id="rId36"/><Relationship Type="http://schemas.openxmlformats.org/officeDocument/2006/relationships/hyperlink" Target="mailto:e.ramirez@altosdelaabadia.com" TargetMode="External" Id="rId37"/><Relationship Type="http://schemas.openxmlformats.org/officeDocument/2006/relationships/hyperlink" Target="mailto:maribel.gutierrez@upb.edu.co" TargetMode="External" Id="rId38"/><Relationship Type="http://schemas.openxmlformats.org/officeDocument/2006/relationships/hyperlink" Target="mailto:juangurreat@iconsultores.com.co" TargetMode="External" Id="rId39"/><Relationship Type="http://schemas.openxmlformats.org/officeDocument/2006/relationships/hyperlink" Target="mailto:sosorio@nivelum.com" TargetMode="External" Id="rId40"/><Relationship Type="http://schemas.openxmlformats.org/officeDocument/2006/relationships/hyperlink" Target="mailto:n.garcia@condiseno.co" TargetMode="External" Id="rId41"/><Relationship Type="http://schemas.openxmlformats.org/officeDocument/2006/relationships/hyperlink" Target="mailto:operaciones.fireyequipos@gmail.com" TargetMode="External" Id="rId42"/><Relationship Type="http://schemas.openxmlformats.org/officeDocument/2006/relationships/hyperlink" Target="mailto:parangor@conconcreto.com" TargetMode="External" Id="rId43"/><Relationship Type="http://schemas.openxmlformats.org/officeDocument/2006/relationships/hyperlink" Target="mailto:oborja@cusezar.com" TargetMode="External" Id="rId44"/><Relationship Type="http://schemas.openxmlformats.org/officeDocument/2006/relationships/hyperlink" Target="mailto:n.garcia@condiseno.co" TargetMode="External" Id="rId45"/><Relationship Type="http://schemas.openxmlformats.org/officeDocument/2006/relationships/hyperlink" Target="mailto:aagudelol@conconcreto.com" TargetMode="External" Id="rId46"/><Relationship Type="http://schemas.openxmlformats.org/officeDocument/2006/relationships/hyperlink" Target="mailto:sstdianagiraldo@gmail.com" TargetMode="External" Id="rId47"/><Relationship Type="http://schemas.openxmlformats.org/officeDocument/2006/relationships/hyperlink" Target="mailto:lforondav@conconcreto.com" TargetMode="External" Id="rId48"/><Relationship Type="http://schemas.openxmlformats.org/officeDocument/2006/relationships/hyperlink" Target="mailto:coordinadorinfraestructura@coprocenva.coop" TargetMode="External" Id="rId49"/><Relationship Type="http://schemas.openxmlformats.org/officeDocument/2006/relationships/hyperlink" Target="mailto:heder.cardozo@isciviles.com.co" TargetMode="External" Id="rId50"/><Relationship Type="http://schemas.openxmlformats.org/officeDocument/2006/relationships/hyperlink" Target="mailto:diseno@hyfiresas.com" TargetMode="External" Id="rId51"/><Relationship Type="http://schemas.openxmlformats.org/officeDocument/2006/relationships/hyperlink" Target="mailto:diseno@hyfiresas.com" TargetMode="External" Id="rId52"/><Relationship Type="http://schemas.openxmlformats.org/officeDocument/2006/relationships/hyperlink" Target="mailto:diseno@hyfiresas.com" TargetMode="External" Id="rId53"/><Relationship Type="http://schemas.openxmlformats.org/officeDocument/2006/relationships/hyperlink" Target="mailto:diseno@hyfiresas.com" TargetMode="External" Id="rId54"/><Relationship Type="http://schemas.openxmlformats.org/officeDocument/2006/relationships/hyperlink" Target="mailto:dir.tecnico@spci.com.co" TargetMode="External" Id="rId55"/><Relationship Type="http://schemas.openxmlformats.org/officeDocument/2006/relationships/hyperlink" Target="mailto:mariacortes@gaspais.com.co" TargetMode="External" Id="rId56"/><Relationship Type="http://schemas.openxmlformats.org/officeDocument/2006/relationships/hyperlink" Target="mailto:operacionesingesed@gmail.com" TargetMode="External" Id="rId57"/><Relationship Type="http://schemas.openxmlformats.org/officeDocument/2006/relationships/hyperlink" Target="mailto:sstdianagiraldo@gmail.com" TargetMode="External" Id="rId58"/><Relationship Type="http://schemas.openxmlformats.org/officeDocument/2006/relationships/hyperlink" Target="mailto:vanessazapata.fcr@gmail.com" TargetMode="External" Id="rId59"/><Relationship Type="http://schemas.openxmlformats.org/officeDocument/2006/relationships/hyperlink" Target="mailto:zmlopez@coninsa.co" TargetMode="External" Id="rId60"/><Relationship Type="http://schemas.openxmlformats.org/officeDocument/2006/relationships/hyperlink" Target="mailto:coordinadorinfraestructura@coprocenva.coop" TargetMode="External" Id="rId61"/><Relationship Type="http://schemas.openxmlformats.org/officeDocument/2006/relationships/hyperlink" Target="mailto:zmlopez@coninsa.co" TargetMode="External" Id="rId62"/><Relationship Type="http://schemas.openxmlformats.org/officeDocument/2006/relationships/hyperlink" Target="mailto:dir.tecnico@spci.com.co" TargetMode="External" Id="rId63"/><Relationship Type="http://schemas.openxmlformats.org/officeDocument/2006/relationships/hyperlink" Target="mailto:dir.tecnico@spci.com.co" TargetMode="External" Id="rId64"/><Relationship Type="http://schemas.openxmlformats.org/officeDocument/2006/relationships/hyperlink" Target="mailto:carlos.zapata@bienesybienes.com.co" TargetMode="External" Id="rId65"/><Relationship Type="http://schemas.openxmlformats.org/officeDocument/2006/relationships/hyperlink" Target="mailto:carlos.escamilla@cgr-bogota.com" TargetMode="External" Id="rId66"/><Relationship Type="http://schemas.openxmlformats.org/officeDocument/2006/relationships/hyperlink" Target="mailto:operacionesingesed@gmail.com" TargetMode="External" Id="rId67"/><Relationship Type="http://schemas.openxmlformats.org/officeDocument/2006/relationships/hyperlink" Target="mailto:liliana.gutierrez@studiosur.net" TargetMode="External" Id="rId68"/><Relationship Type="http://schemas.openxmlformats.org/officeDocument/2006/relationships/hyperlink" Target="mailto:jrodriguez@ingesed.com" TargetMode="External" Id="rId69"/><Relationship Type="http://schemas.openxmlformats.org/officeDocument/2006/relationships/hyperlink" Target="mailto:dirproyectos@securetec.com.co" TargetMode="External" Id="rId70"/><Relationship Type="http://schemas.openxmlformats.org/officeDocument/2006/relationships/hyperlink" Target="mailto:andres.cruz@afcprofire.com" TargetMode="External" Id="rId71"/><Relationship Type="http://schemas.openxmlformats.org/officeDocument/2006/relationships/hyperlink" Target="mailto:andres.cruz@afcprofire.com" TargetMode="External" Id="rId72"/><Relationship Type="http://schemas.openxmlformats.org/officeDocument/2006/relationships/hyperlink" Target="mailto:dtorres@cusezar.com" TargetMode="External" Id="rId73"/><Relationship Type="http://schemas.openxmlformats.org/officeDocument/2006/relationships/hyperlink" Target="mailto:operaciones@goodgroup.com.co" TargetMode="External" Id="rId74"/><Relationship Type="http://schemas.openxmlformats.org/officeDocument/2006/relationships/hyperlink" Target="mailto:operaciones@goodgroup.com.co" TargetMode="External" Id="rId75"/><Relationship Type="http://schemas.openxmlformats.org/officeDocument/2006/relationships/hyperlink" Target="mailto:comercial@ingesed.com" TargetMode="External" Id="rId76"/><Relationship Type="http://schemas.openxmlformats.org/officeDocument/2006/relationships/hyperlink" Target="mailto:comercial@ingesed.com" TargetMode="External" Id="rId77"/><Relationship Type="http://schemas.openxmlformats.org/officeDocument/2006/relationships/hyperlink" Target="mailto:liliana.gutierrez@studiosur.net" TargetMode="External" Id="rId78"/><Relationship Type="http://schemas.openxmlformats.org/officeDocument/2006/relationships/hyperlink" Target="mailto:luisgaviria@convel.co" TargetMode="External" Id="rId79"/><Relationship Type="http://schemas.openxmlformats.org/officeDocument/2006/relationships/hyperlink" Target="mailto:infraestructura@clinicapanamericana.co" TargetMode="External" Id="rId80"/><Relationship Type="http://schemas.openxmlformats.org/officeDocument/2006/relationships/hyperlink" Target="mailto:alejandrogiraldo@mensulaingenieros.com" TargetMode="External" Id="rId81"/><Relationship Type="http://schemas.openxmlformats.org/officeDocument/2006/relationships/hyperlink" Target="mailto:hola@ideabasearquitectos.com" TargetMode="External" Id="rId82"/><Relationship Type="http://schemas.openxmlformats.org/officeDocument/2006/relationships/hyperlink" Target="mailto:camila.pavia@labinmobiliario.com" TargetMode="External" Id="rId83"/><Relationship Type="http://schemas.openxmlformats.org/officeDocument/2006/relationships/hyperlink" Target="mailto:dir.tecnico@spci.com.co" TargetMode="External" Id="rId84"/><Relationship Type="http://schemas.openxmlformats.org/officeDocument/2006/relationships/hyperlink" Target="mailto:dir.tecnico@spci.com.co" TargetMode="External" Id="rId85"/><Relationship Type="http://schemas.openxmlformats.org/officeDocument/2006/relationships/hyperlink" Target="mailto:dir.tecnico@spci.com.co" TargetMode="External" Id="rId86"/><Relationship Type="http://schemas.openxmlformats.org/officeDocument/2006/relationships/hyperlink" Target="mailto:comercial@ingesed.com" TargetMode="External" Id="rId87"/><Relationship Type="http://schemas.openxmlformats.org/officeDocument/2006/relationships/hyperlink" Target="mailto:ppatino@zonafrancarionegro.com" TargetMode="External" Id="rId88"/><Relationship Type="http://schemas.openxmlformats.org/officeDocument/2006/relationships/hyperlink" Target="mailto:ypareja@conaltura.com" TargetMode="External" Id="rId89"/><Relationship Type="http://schemas.openxmlformats.org/officeDocument/2006/relationships/hyperlink" Target="mailto:marcela.ricaurte@macca.com.co" TargetMode="External" Id="rId90"/><Relationship Type="http://schemas.openxmlformats.org/officeDocument/2006/relationships/hyperlink" Target="mailto:sebastian.cardona@perfek.com.co" TargetMode="External" Id="rId91"/><Relationship Type="http://schemas.openxmlformats.org/officeDocument/2006/relationships/hyperlink" Target="mailto:yulieth.fonnegra@link-inmobiliario.com" TargetMode="External" Id="rId92"/><Relationship Type="http://schemas.openxmlformats.org/officeDocument/2006/relationships/hyperlink" Target="mailto:dir.tecnico@spci.com.co" TargetMode="External" Id="rId93"/><Relationship Type="http://schemas.openxmlformats.org/officeDocument/2006/relationships/hyperlink" Target="mailto:dir.tecnico@spci.com.co" TargetMode="External" Id="rId94"/><Relationship Type="http://schemas.openxmlformats.org/officeDocument/2006/relationships/hyperlink" Target="mailto:gerencia@jorgegonzalezingenieria.com" TargetMode="External" Id="rId95"/><Relationship Type="http://schemas.openxmlformats.org/officeDocument/2006/relationships/hyperlink" Target="mailto:gtrumon@gmail.com" TargetMode="External" Id="rId96"/><Relationship Type="http://schemas.openxmlformats.org/officeDocument/2006/relationships/hyperlink" Target="mailto:dscastro@coninsa.co" TargetMode="External" Id="rId97"/><Relationship Type="http://schemas.openxmlformats.org/officeDocument/2006/relationships/hyperlink" Target="mailto:sofia@ideabasearquitectos.com" TargetMode="External" Id="rId98"/><Relationship Type="http://schemas.openxmlformats.org/officeDocument/2006/relationships/hyperlink" Target="mailto:njsirc@coninsa.co" TargetMode="External" Id="rId99"/><Relationship Type="http://schemas.openxmlformats.org/officeDocument/2006/relationships/hyperlink" Target="mailto:analista3.nyp@aceis.com.co" TargetMode="External" Id="rId100"/><Relationship Type="http://schemas.openxmlformats.org/officeDocument/2006/relationships/hyperlink" Target="mailto:n.garcia@condiseno.co" TargetMode="External" Id="rId101"/><Relationship Type="http://schemas.openxmlformats.org/officeDocument/2006/relationships/hyperlink" Target="mailto:hyfireingenieros@gmail.com" TargetMode="External" Id="rId102"/><Relationship Type="http://schemas.openxmlformats.org/officeDocument/2006/relationships/hyperlink" Target="mailto:dir.tecnico@spci.com.co" TargetMode="External" Id="rId103"/><Relationship Type="http://schemas.openxmlformats.org/officeDocument/2006/relationships/hyperlink" Target="mailto:sebastianochoa@arquitecturayconcreto.com" TargetMode="External" Id="rId104"/><Relationship Type="http://schemas.openxmlformats.org/officeDocument/2006/relationships/hyperlink" Target="mailto:dir.tecnico@spci.com.co" TargetMode="External" Id="rId105"/><Relationship Type="http://schemas.openxmlformats.org/officeDocument/2006/relationships/hyperlink" Target="mailto:jorge@a3consulting.com.co" TargetMode="External" Id="rId106"/><Relationship Type="http://schemas.openxmlformats.org/officeDocument/2006/relationships/hyperlink" Target="mailto:zzarq1602@gmail.com" TargetMode="External" Id="rId107"/><Relationship Type="http://schemas.openxmlformats.org/officeDocument/2006/relationships/hyperlink" Target="mailto:sst@inmocente.com" TargetMode="External" Id="rId108"/><Relationship Type="http://schemas.openxmlformats.org/officeDocument/2006/relationships/hyperlink" Target="mailto:l.cuartas@altosdelaabadia.com" TargetMode="External" Id="rId109"/><Relationship Type="http://schemas.openxmlformats.org/officeDocument/2006/relationships/hyperlink" Target="mailto:dir.tecnico@spci.com.co" TargetMode="External" Id="rId110"/><Relationship Type="http://schemas.openxmlformats.org/officeDocument/2006/relationships/hyperlink" Target="mailto:diseno.casacalda@gmail.com" TargetMode="External" Id="rId111"/><Relationship Type="http://schemas.openxmlformats.org/officeDocument/2006/relationships/hyperlink" Target="mailto:coordinacion@conintel.com.co" TargetMode="External" Id="rId112"/><Relationship Type="http://schemas.openxmlformats.org/officeDocument/2006/relationships/hyperlink" Target="mailto:sandra@urbanica.co" TargetMode="External" Id="rId113"/><Relationship Type="http://schemas.openxmlformats.org/officeDocument/2006/relationships/hyperlink" Target="mailto:n.garcia@condiseno.co" TargetMode="External" Id="rId114"/><Relationship Type="http://schemas.openxmlformats.org/officeDocument/2006/relationships/hyperlink" Target="mailto:saos64cah@gmail.com" TargetMode="External" Id="rId115"/><Relationship Type="http://schemas.openxmlformats.org/officeDocument/2006/relationships/hyperlink" Target="mailto:federico@gomezpiedrahita.com" TargetMode="External" Id="rId116"/><Relationship Type="http://schemas.openxmlformats.org/officeDocument/2006/relationships/hyperlink" Target="mailto:g.jaramillo.arq@gmail.com" TargetMode="External" Id="rId117"/><Relationship Type="http://schemas.openxmlformats.org/officeDocument/2006/relationships/hyperlink" Target="mailto:lflorez@avenidacap.com" TargetMode="External" Id="rId118"/><Relationship Type="http://schemas.openxmlformats.org/officeDocument/2006/relationships/hyperlink" Target="mailto:proyectos@jveraarqs.com" TargetMode="External" Id="rId119"/><Relationship Type="http://schemas.openxmlformats.org/officeDocument/2006/relationships/hyperlink" Target="mailto:n.garcia@condiseno.co" TargetMode="External" Id="rId120"/><Relationship Type="http://schemas.openxmlformats.org/officeDocument/2006/relationships/hyperlink" Target="mailto:danielavelez.fcr@gmail.com" TargetMode="External" Id="rId121"/><Relationship Type="http://schemas.openxmlformats.org/officeDocument/2006/relationships/hyperlink" Target="mailto:sstdianagiraldo@gmail.com" TargetMode="External" Id="rId122"/><Relationship Type="http://schemas.openxmlformats.org/officeDocument/2006/relationships/hyperlink" Target="mailto:e.ramirez@altosdelaabadia.com" TargetMode="External" Id="rId123"/><Relationship Type="http://schemas.openxmlformats.org/officeDocument/2006/relationships/hyperlink" Target="mailto:ypareja@conaltura.com" TargetMode="External" Id="rId124"/><Relationship Type="http://schemas.openxmlformats.org/officeDocument/2006/relationships/hyperlink" Target="mailto:sebastianochoa@arquitecturayconcreto.com" TargetMode="External" Id="rId125"/><Relationship Type="http://schemas.openxmlformats.org/officeDocument/2006/relationships/hyperlink" Target="mailto:sebastianochoa@arquitecturayconcreto.com" TargetMode="External" Id="rId126"/><Relationship Type="http://schemas.openxmlformats.org/officeDocument/2006/relationships/hyperlink" Target="mailto:andres.cruz@afcprofire.com" TargetMode="External" Id="rId127"/><Relationship Type="http://schemas.openxmlformats.org/officeDocument/2006/relationships/hyperlink" Target="mailto:francisco.unda@seriinco.com" TargetMode="External" Id="rId128"/><Relationship Type="http://schemas.openxmlformats.org/officeDocument/2006/relationships/hyperlink" Target="mailto:francisco.unda@seriinco.com" TargetMode="External" Id="rId129"/><Relationship Type="http://schemas.openxmlformats.org/officeDocument/2006/relationships/hyperlink" Target="mailto:francisco.unda@seriinco.com" TargetMode="External" Id="rId130"/><Relationship Type="http://schemas.openxmlformats.org/officeDocument/2006/relationships/hyperlink" Target="mailto:diego.paredes@bienesybienes.com.co" TargetMode="External" Id="rId131"/><Relationship Type="http://schemas.openxmlformats.org/officeDocument/2006/relationships/hyperlink" Target="mailto:carlos.bernal@seriinco.com" TargetMode="External" Id="rId132"/><Relationship Type="http://schemas.openxmlformats.org/officeDocument/2006/relationships/hyperlink" Target="mailto:ypareja@conaltura.com" TargetMode="External" Id="rId133"/><Relationship Type="http://schemas.openxmlformats.org/officeDocument/2006/relationships/hyperlink" Target="mailto:ypareja@conaltura.com" TargetMode="External" Id="rId134"/><Relationship Type="http://schemas.openxmlformats.org/officeDocument/2006/relationships/hyperlink" Target="mailto:mjaramilloc@doublec.com" TargetMode="External" Id="rId135"/><Relationship Type="http://schemas.openxmlformats.org/officeDocument/2006/relationships/hyperlink" Target="mailto:dir.tecnico@spci.com.co" TargetMode="External" Id="rId136"/><Relationship Type="http://schemas.openxmlformats.org/officeDocument/2006/relationships/hyperlink" Target="mailto:coordinadorinfraestructura@coprocenva.coop" TargetMode="External" Id="rId137"/><Relationship Type="http://schemas.openxmlformats.org/officeDocument/2006/relationships/hyperlink" Target="mailto:carolina@hidrofsalinas.com" TargetMode="External" Id="rId138"/><Relationship Type="http://schemas.openxmlformats.org/officeDocument/2006/relationships/hyperlink" Target="mailto:dirproyectos@securetec.com.co" TargetMode="External" Id="rId139"/><Relationship Type="http://schemas.openxmlformats.org/officeDocument/2006/relationships/hyperlink" Target="mailto:njsirc@coninsa.co" TargetMode="External" Id="rId140"/><Relationship Type="http://schemas.openxmlformats.org/officeDocument/2006/relationships/hyperlink" Target="mailto:sebastianochoa@arquitecturayconcreto.com" TargetMode="External" Id="rId141"/><Relationship Type="http://schemas.openxmlformats.org/officeDocument/2006/relationships/hyperlink" Target="mailto:infraestructura@sannicolas.co" TargetMode="External" Id="rId142"/><Relationship Type="http://schemas.openxmlformats.org/officeDocument/2006/relationships/hyperlink" Target="mailto:juanda@casasbee.com" TargetMode="External" Id="rId143"/><Relationship Type="http://schemas.openxmlformats.org/officeDocument/2006/relationships/hyperlink" Target="mailto:matturobraconsolata@gmail.com" TargetMode="External" Id="rId144"/><Relationship Type="http://schemas.openxmlformats.org/officeDocument/2006/relationships/hyperlink" Target="mailto:sebastianochoa@arquitecturayconcreto.com" TargetMode="External" Id="rId145"/><Relationship Type="http://schemas.openxmlformats.org/officeDocument/2006/relationships/hyperlink" Target="mailto:juannaranjo@convel.co" TargetMode="External" Id="rId146"/><Relationship Type="http://schemas.openxmlformats.org/officeDocument/2006/relationships/hyperlink" Target="mailto:juannaranjo@convel.co" TargetMode="External" Id="rId147"/><Relationship Type="http://schemas.openxmlformats.org/officeDocument/2006/relationships/hyperlink" Target="mailto:julialzate@une.net.co" TargetMode="External" Id="rId148"/><Relationship Type="http://schemas.openxmlformats.org/officeDocument/2006/relationships/hyperlink" Target="mailto:aylingenieriaestructural@gmail.com" TargetMode="External" Id="rId149"/><Relationship Type="http://schemas.openxmlformats.org/officeDocument/2006/relationships/hyperlink" Target="mailto:laura.arias@studiosur.net" TargetMode="External" Id="rId150"/><Relationship Type="http://schemas.openxmlformats.org/officeDocument/2006/relationships/hyperlink" Target="mailto:lcastanog@doublec.com" TargetMode="External" Id="rId151"/><Relationship Type="http://schemas.openxmlformats.org/officeDocument/2006/relationships/hyperlink" Target="mailto:francisco.unda@seriinco.com" TargetMode="External" Id="rId152"/><Relationship Type="http://schemas.openxmlformats.org/officeDocument/2006/relationships/hyperlink" Target="mailto:jrodriguez@ingesed.com" TargetMode="External" Id="rId153"/><Relationship Type="http://schemas.openxmlformats.org/officeDocument/2006/relationships/hyperlink" Target="mailto:gerencia@goodgroup.com.co" TargetMode="External" Id="rId154"/><Relationship Type="http://schemas.openxmlformats.org/officeDocument/2006/relationships/hyperlink" Target="mailto:jeduarte@coninsa.co" TargetMode="External" Id="rId155"/><Relationship Type="http://schemas.openxmlformats.org/officeDocument/2006/relationships/hyperlink" Target="mailto:operacionesingesed@gmail.com" TargetMode="External" Id="rId156"/><Relationship Type="http://schemas.openxmlformats.org/officeDocument/2006/relationships/hyperlink" Target="mailto:dir.tecnico@spci.com.co" TargetMode="External" Id="rId157"/><Relationship Type="http://schemas.openxmlformats.org/officeDocument/2006/relationships/hyperlink" Target="mailto:sebastianochoa@arquitecturayconcreto.com" TargetMode="External" Id="rId158"/><Relationship Type="http://schemas.openxmlformats.org/officeDocument/2006/relationships/hyperlink" Target="mailto:proyectos@prosoma.com.co" TargetMode="External" Id="rId159"/><Relationship Type="http://schemas.openxmlformats.org/officeDocument/2006/relationships/hyperlink" Target="mailto:dir.tecnico@spci.com.co" TargetMode="External" Id="rId160"/><Relationship Type="http://schemas.openxmlformats.org/officeDocument/2006/relationships/hyperlink" Target="mailto:ascomercial2@securetec.com.co" TargetMode="External" Id="rId161"/><Relationship Type="http://schemas.openxmlformats.org/officeDocument/2006/relationships/hyperlink" Target="mailto:francisco.unda@seriinco.com" TargetMode="External" Id="rId162"/><Relationship Type="http://schemas.openxmlformats.org/officeDocument/2006/relationships/hyperlink" Target="mailto:david.lopera@socomes.com" TargetMode="External" Id="rId163"/><Relationship Type="http://schemas.openxmlformats.org/officeDocument/2006/relationships/hyperlink" Target="mailto:infraestructura@sannicolas.co" TargetMode="External" Id="rId164"/><Relationship Type="http://schemas.openxmlformats.org/officeDocument/2006/relationships/hyperlink" Target="mailto:arquitectura1@grupovalor.com.co" TargetMode="External" Id="rId165"/><Relationship Type="http://schemas.openxmlformats.org/officeDocument/2006/relationships/hyperlink" Target="mailto:coordinadorproyectos1@g4ingenieros.com" TargetMode="External" Id="rId166"/><Relationship Type="http://schemas.openxmlformats.org/officeDocument/2006/relationships/hyperlink" Target="mailto:jecheverri@perspectivac.co" TargetMode="External" Id="rId167"/><Relationship Type="http://schemas.openxmlformats.org/officeDocument/2006/relationships/hyperlink" Target="mailto:gerencia@projectsolutions.com.co" TargetMode="External" Id="rId168"/><Relationship Type="http://schemas.openxmlformats.org/officeDocument/2006/relationships/hyperlink" Target="mailto:gerencia@projectsolutions.com.co" TargetMode="External" Id="rId169"/><Relationship Type="http://schemas.openxmlformats.org/officeDocument/2006/relationships/hyperlink" Target="mailto:aguinand@qbo.co" TargetMode="External" Id="rId170"/><Relationship Type="http://schemas.openxmlformats.org/officeDocument/2006/relationships/hyperlink" Target="mailto:wv@cubic33group.com" TargetMode="External" Id="rId171"/><Relationship Type="http://schemas.openxmlformats.org/officeDocument/2006/relationships/hyperlink" Target="mailto:comercial@ingesed.com" TargetMode="External" Id="rId172"/><Relationship Type="http://schemas.openxmlformats.org/officeDocument/2006/relationships/hyperlink" Target="mailto:comercial@ingesed.com" TargetMode="External" Id="rId173"/><Relationship Type="http://schemas.openxmlformats.org/officeDocument/2006/relationships/hyperlink" Target="mailto:camilo.quintero@spci.com.co" TargetMode="External" Id="rId174"/><Relationship Type="http://schemas.openxmlformats.org/officeDocument/2006/relationships/hyperlink" Target="mailto:Johana.montoya@perfek.com.co" TargetMode="External" Id="rId175"/><Relationship Type="http://schemas.openxmlformats.org/officeDocument/2006/relationships/hyperlink" Target="mailto:Johana.montoya@perfek.com.co" TargetMode="External" Id="rId176"/><Relationship Type="http://schemas.openxmlformats.org/officeDocument/2006/relationships/hyperlink" Target="mailto:carlos.tamayo@construgen.com" TargetMode="External" Id="rId177"/><Relationship Type="http://schemas.openxmlformats.org/officeDocument/2006/relationships/hyperlink" Target="mailto:vanessazapata.fcr@gmail.com" TargetMode="External" Id="rId178"/><Relationship Type="http://schemas.openxmlformats.org/officeDocument/2006/relationships/hyperlink" Target="mailto:operaciones.fireyequipos@gmail.com" TargetMode="External" Id="rId179"/><Relationship Type="http://schemas.openxmlformats.org/officeDocument/2006/relationships/hyperlink" Target="mailto:l.cuartas@altosdelaabadia.com" TargetMode="External" Id="rId180"/><Relationship Type="http://schemas.openxmlformats.org/officeDocument/2006/relationships/hyperlink" Target="mailto:comercial@fpservices.com.co" TargetMode="External" Id="rId181"/><Relationship Type="http://schemas.openxmlformats.org/officeDocument/2006/relationships/hyperlink" Target="mailto:pedroquido39@gmail.com" TargetMode="External" Id="rId182"/><Relationship Type="http://schemas.openxmlformats.org/officeDocument/2006/relationships/hyperlink" Target="mailto:nataliavalenciar25@gmail.com" TargetMode="External" Id="rId183"/><Relationship Type="http://schemas.openxmlformats.org/officeDocument/2006/relationships/hyperlink" Target="mailto:arq.hectorparra1598@gmail.com" TargetMode="External" Id="rId184"/><Relationship Type="http://schemas.openxmlformats.org/officeDocument/2006/relationships/hyperlink" Target="mailto:comercial@ingesed.com" TargetMode="External" Id="rId185"/><Relationship Type="http://schemas.openxmlformats.org/officeDocument/2006/relationships/hyperlink" Target="mailto:camilo.quintero@spci.com.co" TargetMode="External" Id="rId186"/><Relationship Type="http://schemas.openxmlformats.org/officeDocument/2006/relationships/hyperlink" Target="mailto:daniel.henao@desur.gov.co" TargetMode="External" Id="rId187"/><Relationship Type="http://schemas.openxmlformats.org/officeDocument/2006/relationships/hyperlink" Target="mailto:nataliavalenciar25@gmail.com" TargetMode="External" Id="rId188"/><Relationship Type="http://schemas.openxmlformats.org/officeDocument/2006/relationships/hyperlink" Target="mailto:cristinapalacio@mensulaingenieros.com" TargetMode="External" Id="rId189"/><Relationship Type="http://schemas.openxmlformats.org/officeDocument/2006/relationships/hyperlink" Target="mailto:operacionesingesed@gmail.com" TargetMode="External" Id="rId190"/><Relationship Type="http://schemas.openxmlformats.org/officeDocument/2006/relationships/hyperlink" Target="mailto:comercial@ingesed.com" TargetMode="External" Id="rId191"/><Relationship Type="http://schemas.openxmlformats.org/officeDocument/2006/relationships/hyperlink" Target="mailto:laduque@colombina.com" TargetMode="External" Id="rId192"/><Relationship Type="http://schemas.openxmlformats.org/officeDocument/2006/relationships/hyperlink" Target="mailto:santiagor@verdeselva.com.co" TargetMode="External" Id="rId193"/><Relationship Type="http://schemas.openxmlformats.org/officeDocument/2006/relationships/hyperlink" Target="mailto:ingemahidraulic@outlook.es" TargetMode="External" Id="rId194"/><Relationship Type="http://schemas.openxmlformats.org/officeDocument/2006/relationships/hyperlink" Target="mailto:proyectos@prosoma.com.co" TargetMode="External" Id="rId195"/><Relationship Type="http://schemas.openxmlformats.org/officeDocument/2006/relationships/hyperlink" Target="mailto:Directorcomercial@fireyequipos.com" TargetMode="External" Id="rId196"/><Relationship Type="http://schemas.openxmlformats.org/officeDocument/2006/relationships/hyperlink" Target="mailto:tatiana@tipinterventoria.com" TargetMode="External" Id="rId197"/><Relationship Type="http://schemas.openxmlformats.org/officeDocument/2006/relationships/hyperlink" Target="mailto:juan.grajales@spci.com.co" TargetMode="External" Id="rId198"/><Relationship Type="http://schemas.openxmlformats.org/officeDocument/2006/relationships/hyperlink" Target="mailto:dir.tecnico@spci.com.co" TargetMode="External" Id="rId199"/><Relationship Type="http://schemas.openxmlformats.org/officeDocument/2006/relationships/hyperlink" Target="mailto:Rafael.Amaya@quironsalud.com" TargetMode="External" Id="rId200"/><Relationship Type="http://schemas.openxmlformats.org/officeDocument/2006/relationships/hyperlink" Target="mailto:eceballos@contex.com.co" TargetMode="External" Id="rId201"/><Relationship Type="http://schemas.openxmlformats.org/officeDocument/2006/relationships/hyperlink" Target="mailto:dir.tecnico@spci.com.co" TargetMode="External" Id="rId202"/><Relationship Type="http://schemas.openxmlformats.org/officeDocument/2006/relationships/hyperlink" Target="mailto:ingemahidraulic@outlook.es" TargetMode="External" Id="rId203"/><Relationship Type="http://schemas.openxmlformats.org/officeDocument/2006/relationships/hyperlink" Target="mailto:danielavelez.fcr@gmail.com" TargetMode="External" Id="rId204"/><Relationship Type="http://schemas.openxmlformats.org/officeDocument/2006/relationships/hyperlink" Target="mailto:vanessazapata.fcr@gmail.com" TargetMode="External" Id="rId205"/><Relationship Type="http://schemas.openxmlformats.org/officeDocument/2006/relationships/hyperlink" Target="mailto:joarq.ngarcia@gmail.com" TargetMode="External" Id="rId206"/><Relationship Type="http://schemas.openxmlformats.org/officeDocument/2006/relationships/hyperlink" Target="mailto:n.eljach@alcieloconstructora.com" TargetMode="External" Id="rId207"/><Relationship Type="http://schemas.openxmlformats.org/officeDocument/2006/relationships/hyperlink" Target="mailto:camilo.quintero@spci.com.co" TargetMode="External" Id="rId208"/><Relationship Type="http://schemas.openxmlformats.org/officeDocument/2006/relationships/hyperlink" Target="mailto:jramirezf@conaltura.com" TargetMode="External" Id="rId209"/><Relationship Type="http://schemas.openxmlformats.org/officeDocument/2006/relationships/hyperlink" Target="mailto:Licitacion2@conintel.com.co" TargetMode="External" Id="rId210"/><Relationship Type="http://schemas.openxmlformats.org/officeDocument/2006/relationships/hyperlink" Target="mailto:sebastian.parra@aia.com.co" TargetMode="External" Id="rId211"/><Relationship Type="http://schemas.openxmlformats.org/officeDocument/2006/relationships/hyperlink" Target="mailto:edgar.acuna@cagconstructores.com" TargetMode="External" Id="rId212"/><Relationship Type="http://schemas.openxmlformats.org/officeDocument/2006/relationships/hyperlink" Target="mailto:laura.arias@studiosur.net" TargetMode="External" Id="rId213"/><Relationship Type="http://schemas.openxmlformats.org/officeDocument/2006/relationships/hyperlink" Target="mailto:francisco.unda@seriinco.com" TargetMode="External" Id="rId214"/><Relationship Type="http://schemas.openxmlformats.org/officeDocument/2006/relationships/hyperlink" Target="mailto:francisco.unda@seriinco.com" TargetMode="External" Id="rId215"/><Relationship Type="http://schemas.openxmlformats.org/officeDocument/2006/relationships/hyperlink" Target="mailto:francisco.unda@seriinco.com" TargetMode="External" Id="rId216"/><Relationship Type="http://schemas.openxmlformats.org/officeDocument/2006/relationships/hyperlink" Target="mailto:jrodriguez@ingesed.com" TargetMode="External" Id="rId217"/><Relationship Type="http://schemas.openxmlformats.org/officeDocument/2006/relationships/hyperlink" Target="mailto:dirproyectos@securetec.com.co" TargetMode="External" Id="rId218"/><Relationship Type="http://schemas.openxmlformats.org/officeDocument/2006/relationships/hyperlink" Target="mailto:Manuelagomez@torosantamariaarquitectos.com.co" TargetMode="External" Id="rId219"/><Relationship Type="http://schemas.openxmlformats.org/officeDocument/2006/relationships/hyperlink" Target="mailto:comercial@ingesed.com" TargetMode="External" Id="rId220"/><Relationship Type="http://schemas.openxmlformats.org/officeDocument/2006/relationships/hyperlink" Target="mailto:limavebe@hotmail.com" TargetMode="External" Id="rId221"/><Relationship Type="http://schemas.openxmlformats.org/officeDocument/2006/relationships/hyperlink" Target="mailto:joarq.ngarcia@gmail.com" TargetMode="External" Id="rId222"/><Relationship Type="http://schemas.openxmlformats.org/officeDocument/2006/relationships/hyperlink" Target="mailto:claudia.gomez@casa.com.co" TargetMode="External" Id="rId223"/><Relationship Type="http://schemas.openxmlformats.org/officeDocument/2006/relationships/hyperlink" Target="mailto:sebastianochoa@arquitecturayconcreto.com" TargetMode="External" Id="rId224"/><Relationship Type="http://schemas.openxmlformats.org/officeDocument/2006/relationships/hyperlink" Target="mailto:GESTIONHUMANA@VAIN.COM.CO" TargetMode="External" Id="rId225"/><Relationship Type="http://schemas.openxmlformats.org/officeDocument/2006/relationships/hyperlink" Target="mailto:pduque@columbus.edu.co" TargetMode="External" Id="rId226"/><Relationship Type="http://schemas.openxmlformats.org/officeDocument/2006/relationships/hyperlink" Target="mailto:pduque@columbus.edu.co" TargetMode="External" Id="rId227"/><Relationship Type="http://schemas.openxmlformats.org/officeDocument/2006/relationships/hyperlink" Target="mailto:gerencia@c4logistica.com" TargetMode="External" Id="rId228"/><Relationship Type="http://schemas.openxmlformats.org/officeDocument/2006/relationships/hyperlink" Target="mailto:juan.grajales@spci.com.co" TargetMode="External" Id="rId229"/><Relationship Type="http://schemas.openxmlformats.org/officeDocument/2006/relationships/hyperlink" Target="mailto:jlperez@otacc.com" TargetMode="External" Id="rId230"/><Relationship Type="http://schemas.openxmlformats.org/officeDocument/2006/relationships/hyperlink" Target="mailto:camilo.quintero@spci.com.co" TargetMode="External" Id="rId231"/><Relationship Type="http://schemas.openxmlformats.org/officeDocument/2006/relationships/hyperlink" Target="mailto:oabad@fundacionacic.org" TargetMode="External" Id="rId232"/><Relationship Type="http://schemas.openxmlformats.org/officeDocument/2006/relationships/hyperlink" Target="mailto:apoyoinframed@cendoj.ramajudicial.gov.co" TargetMode="External" Id="rId233"/><Relationship Type="http://schemas.openxmlformats.org/officeDocument/2006/relationships/hyperlink" Target="mailto:operacionesingesed@gmail.com" TargetMode="External" Id="rId234"/><Relationship Type="http://schemas.openxmlformats.org/officeDocument/2006/relationships/hyperlink" Target="mailto:dlunad@eafit.edu.co" TargetMode="External" Id="rId235"/><Relationship Type="http://schemas.openxmlformats.org/officeDocument/2006/relationships/hyperlink" Target="mailto:santiago.tamayo@seriinco.com" TargetMode="External" Id="rId236"/><Relationship Type="http://schemas.openxmlformats.org/officeDocument/2006/relationships/hyperlink" Target="mailto:santiago.tamayo@seriinco.com" TargetMode="External" Id="rId237"/><Relationship Type="http://schemas.openxmlformats.org/officeDocument/2006/relationships/hyperlink" Target="mailto:andres.cruz@afcprofire.com" TargetMode="External" Id="rId238"/><Relationship Type="http://schemas.openxmlformats.org/officeDocument/2006/relationships/hyperlink" Target="mailto:Directorcomercial@fireyequipos.com" TargetMode="External" Id="rId239"/><Relationship Type="http://schemas.openxmlformats.org/officeDocument/2006/relationships/hyperlink" Target="mailto:Directorcomercial@fireyequipos.com" TargetMode="External" Id="rId240"/><Relationship Type="http://schemas.openxmlformats.org/officeDocument/2006/relationships/hyperlink" Target="mailto:josealvarez@estructurar.co" TargetMode="External" Id="rId241"/><Relationship Type="http://schemas.openxmlformats.org/officeDocument/2006/relationships/hyperlink" Target="mailto:lforondav@conconcreto.com" TargetMode="External" Id="rId242"/><Relationship Type="http://schemas.openxmlformats.org/officeDocument/2006/relationships/hyperlink" Target="mailto:Giraldojuancarlos143@gmail.com" TargetMode="External" Id="rId243"/><Relationship Type="http://schemas.openxmlformats.org/officeDocument/2006/relationships/hyperlink" Target="mailto:coordinadordisenos@estructurar.co" TargetMode="External" Id="rId244"/><Relationship Type="http://schemas.openxmlformats.org/officeDocument/2006/relationships/hyperlink" Target="mailto:vanessazapata.fcr@gmail.com" TargetMode="External" Id="rId245"/><Relationship Type="http://schemas.openxmlformats.org/officeDocument/2006/relationships/hyperlink" Target="mailto:danielavelez.fcr@gmail.com" TargetMode="External" Id="rId246"/><Relationship Type="http://schemas.openxmlformats.org/officeDocument/2006/relationships/hyperlink" Target="mailto:gerencia@grupoingenium.co" TargetMode="External" Id="rId247"/><Relationship Type="http://schemas.openxmlformats.org/officeDocument/2006/relationships/hyperlink" Target="mailto:sraic.asistente@gmail.com" TargetMode="External" Id="rId248"/><Relationship Type="http://schemas.openxmlformats.org/officeDocument/2006/relationships/hyperlink" Target="mailto:i.zuluaga@nucleoconstructora.com" TargetMode="External" Id="rId249"/><Relationship Type="http://schemas.openxmlformats.org/officeDocument/2006/relationships/hyperlink" Target="mailto:laura.arias@studiosur.net" TargetMode="External" Id="rId250"/><Relationship Type="http://schemas.openxmlformats.org/officeDocument/2006/relationships/hyperlink" Target="mailto:Directorcomercial@fireyequipos.com" TargetMode="External" Id="rId251"/><Relationship Type="http://schemas.openxmlformats.org/officeDocument/2006/relationships/hyperlink" Target="mailto:plantacopagea@gmail.com" TargetMode="External" Id="rId252"/><Relationship Type="http://schemas.openxmlformats.org/officeDocument/2006/relationships/hyperlink" Target="mailto:arestrepoe@conconcreto.com" TargetMode="External" Id="rId253"/><Relationship Type="http://schemas.openxmlformats.org/officeDocument/2006/relationships/hyperlink" Target="mailto:arestrepoe@conconcreto.com" TargetMode="External" Id="rId254"/><Relationship Type="http://schemas.openxmlformats.org/officeDocument/2006/relationships/hyperlink" Target="mailto:dmosoriog@gmail.com" TargetMode="External" Id="rId255"/><Relationship Type="http://schemas.openxmlformats.org/officeDocument/2006/relationships/hyperlink" Target="mailto:a.hernandez@oamas.co" TargetMode="External" Id="rId256"/><Relationship Type="http://schemas.openxmlformats.org/officeDocument/2006/relationships/hyperlink" Target="mailto:lcastanog@doublec.com" TargetMode="External" Id="rId257"/><Relationship Type="http://schemas.openxmlformats.org/officeDocument/2006/relationships/hyperlink" Target="mailto:operacionesingesed@gmail.com" TargetMode="External" Id="rId258"/><Relationship Type="http://schemas.openxmlformats.org/officeDocument/2006/relationships/hyperlink" Target="mailto:operacionesingesed@gmail.com" TargetMode="External" Id="rId259"/><Relationship Type="http://schemas.openxmlformats.org/officeDocument/2006/relationships/hyperlink" Target="mailto:operacionesingesed@gmail.com" TargetMode="External" Id="rId260"/><Relationship Type="http://schemas.openxmlformats.org/officeDocument/2006/relationships/hyperlink" Target="mailto:joarq.ngarcia@gmail.com" TargetMode="External" Id="rId261"/><Relationship Type="http://schemas.openxmlformats.org/officeDocument/2006/relationships/hyperlink" Target="mailto:ClaudiaRamirez@comfama.com.co" TargetMode="External" Id="rId262"/><Relationship Type="http://schemas.openxmlformats.org/officeDocument/2006/relationships/hyperlink" Target="mailto:andrea.alzate.rendon@gmail.com" TargetMode="External" Id="rId263"/><Relationship Type="http://schemas.openxmlformats.org/officeDocument/2006/relationships/hyperlink" Target="mailto:santiago.tamayo@seriinco.com" TargetMode="External" Id="rId264"/><Relationship Type="http://schemas.openxmlformats.org/officeDocument/2006/relationships/hyperlink" Target="mailto:v.nicholls@condiseno.co" TargetMode="External" Id="rId265"/><Relationship Type="http://schemas.openxmlformats.org/officeDocument/2006/relationships/hyperlink" Target="mailto:santiago.franco@redigroup.co" TargetMode="External" Id="rId266"/><Relationship Type="http://schemas.openxmlformats.org/officeDocument/2006/relationships/hyperlink" Target="mailto:gerencia@goodgroup.com.co" TargetMode="External" Id="rId267"/><Relationship Type="http://schemas.openxmlformats.org/officeDocument/2006/relationships/hyperlink" Target="mailto:stevenrios@convel.co" TargetMode="External" Id="rId268"/><Relationship Type="http://schemas.openxmlformats.org/officeDocument/2006/relationships/hyperlink" Target="mailto:aescobar@conexoinmobiliario.com" TargetMode="External" Id="rId269"/><Relationship Type="http://schemas.openxmlformats.org/officeDocument/2006/relationships/hyperlink" Target="mailto:aescobar@conexoinmobiliario.com" TargetMode="External" Id="rId270"/><Relationship Type="http://schemas.openxmlformats.org/officeDocument/2006/relationships/hyperlink" Target="mailto:coordinadoracomercial@securetec.com.co" TargetMode="External" Id="rId271"/><Relationship Type="http://schemas.openxmlformats.org/officeDocument/2006/relationships/hyperlink" Target="mailto:Directorcomercial@fireyequipos.com" TargetMode="External" Id="rId27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/>
  </sheetPr>
  <dimension ref="B2:O1012"/>
  <sheetViews>
    <sheetView showGridLines="0" zoomScale="85" zoomScaleNormal="85" workbookViewId="0">
      <pane ySplit="11" topLeftCell="A147" activePane="bottomLeft" state="frozen"/>
      <selection pane="bottomLeft" activeCell="K190" sqref="K190"/>
    </sheetView>
  </sheetViews>
  <sheetFormatPr baseColWidth="10" defaultColWidth="11.44140625" defaultRowHeight="14.4"/>
  <cols>
    <col width="2.88671875" customWidth="1" min="1" max="1"/>
    <col width="12.44140625" customWidth="1" min="2" max="2"/>
    <col width="14.44140625" customWidth="1" min="5" max="5"/>
    <col width="14.88671875" customWidth="1" min="6" max="8"/>
    <col width="15" customWidth="1" min="9" max="9"/>
    <col width="14.88671875" bestFit="1" customWidth="1" min="10" max="10"/>
    <col width="12.88671875" customWidth="1" min="12" max="12"/>
  </cols>
  <sheetData>
    <row r="1" ht="15" customHeight="1" thickBot="1"/>
    <row r="2" ht="15" customHeight="1">
      <c r="B2" s="295" t="n"/>
      <c r="C2" s="296" t="n"/>
      <c r="D2" s="296" t="n"/>
      <c r="E2" s="297" t="inlineStr">
        <is>
          <t>SEGUIMIENTO A COTIZACIONES</t>
        </is>
      </c>
      <c r="F2" s="296" t="n"/>
      <c r="G2" s="296" t="n"/>
      <c r="H2" s="296" t="n"/>
      <c r="I2" s="296" t="n"/>
      <c r="J2" s="296" t="n"/>
      <c r="K2" s="296" t="n"/>
      <c r="L2" s="296" t="n"/>
      <c r="M2" s="296" t="n"/>
      <c r="N2" s="296" t="n"/>
      <c r="O2" s="298" t="n"/>
    </row>
    <row r="3" ht="15" customHeight="1">
      <c r="B3" s="299" t="n"/>
      <c r="E3" s="299" t="n"/>
      <c r="O3" s="300" t="n"/>
    </row>
    <row r="4" ht="15" customHeight="1">
      <c r="B4" s="299" t="n"/>
      <c r="E4" s="299" t="n"/>
      <c r="O4" s="300" t="n"/>
    </row>
    <row r="5" ht="15" customHeight="1">
      <c r="B5" s="299" t="n"/>
      <c r="E5" s="299" t="n"/>
      <c r="O5" s="300" t="n"/>
    </row>
    <row r="6" ht="15" customHeight="1">
      <c r="B6" s="299" t="n"/>
      <c r="E6" s="299" t="n"/>
      <c r="O6" s="300" t="n"/>
    </row>
    <row r="7" ht="15" customHeight="1">
      <c r="B7" s="299" t="n"/>
      <c r="E7" s="299" t="n"/>
      <c r="O7" s="300" t="n"/>
    </row>
    <row r="8" ht="15" customHeight="1">
      <c r="B8" s="299" t="n"/>
      <c r="E8" s="299" t="n"/>
      <c r="O8" s="300" t="n"/>
    </row>
    <row r="9" ht="15.75" customHeight="1" thickBot="1">
      <c r="B9" s="301" t="n"/>
      <c r="C9" s="302" t="n"/>
      <c r="D9" s="302" t="n"/>
      <c r="E9" s="301" t="n"/>
      <c r="F9" s="302" t="n"/>
      <c r="G9" s="302" t="n"/>
      <c r="H9" s="302" t="n"/>
      <c r="I9" s="302" t="n"/>
      <c r="J9" s="302" t="n"/>
      <c r="K9" s="302" t="n"/>
      <c r="L9" s="302" t="n"/>
      <c r="M9" s="302" t="n"/>
      <c r="N9" s="302" t="n"/>
      <c r="O9" s="303" t="n"/>
    </row>
    <row r="10" ht="15" customHeight="1">
      <c r="B10" s="179" t="inlineStr">
        <is>
          <t>Número de cotización</t>
        </is>
      </c>
      <c r="C10" s="181" t="inlineStr">
        <is>
          <t>Descripción de la cotización</t>
        </is>
      </c>
      <c r="D10" s="296" t="n"/>
      <c r="E10" s="296" t="n"/>
      <c r="F10" s="296" t="n"/>
      <c r="G10" s="296" t="n"/>
      <c r="H10" s="296" t="n"/>
      <c r="I10" s="304" t="n"/>
      <c r="J10" s="191" t="inlineStr">
        <is>
          <t>Valor sin IVA</t>
        </is>
      </c>
      <c r="K10" s="193" t="inlineStr">
        <is>
          <t>Fecha de cotización</t>
        </is>
      </c>
      <c r="L10" s="193" t="inlineStr">
        <is>
          <t>Fecha de aprobación</t>
        </is>
      </c>
      <c r="M10" s="305" t="inlineStr">
        <is>
          <t>Telefono</t>
        </is>
      </c>
      <c r="N10" s="306" t="inlineStr">
        <is>
          <t>Persona Encargada</t>
        </is>
      </c>
      <c r="O10" s="306" t="inlineStr">
        <is>
          <t>Correo</t>
        </is>
      </c>
    </row>
    <row r="11" ht="15" customHeight="1" thickBot="1">
      <c r="B11" s="307" t="n"/>
      <c r="C11" s="307" t="n"/>
      <c r="D11" s="308" t="n"/>
      <c r="E11" s="308" t="n"/>
      <c r="F11" s="308" t="n"/>
      <c r="G11" s="308" t="n"/>
      <c r="H11" s="308" t="n"/>
      <c r="I11" s="309" t="n"/>
      <c r="J11" s="308" t="n"/>
      <c r="K11" s="310" t="n"/>
      <c r="L11" s="310" t="n"/>
      <c r="M11" s="311" t="n"/>
      <c r="N11" s="311" t="n"/>
      <c r="O11" s="311" t="n"/>
    </row>
    <row r="12" ht="9" customHeight="1">
      <c r="B12" s="197" t="n"/>
      <c r="C12" s="296" t="n"/>
      <c r="D12" s="296" t="n"/>
      <c r="E12" s="296" t="n"/>
      <c r="F12" s="296" t="n"/>
      <c r="G12" s="296" t="n"/>
      <c r="H12" s="296" t="n"/>
      <c r="I12" s="296" t="n"/>
      <c r="J12" s="296" t="n"/>
      <c r="K12" s="296" t="n"/>
      <c r="L12" s="296" t="n"/>
    </row>
    <row r="13">
      <c r="B13" s="170" t="n">
        <v>1</v>
      </c>
      <c r="C13" s="170" t="inlineStr">
        <is>
          <t>Cotización del diseño de extinción de incendios para el proyecto CDI Aures, de la ciudad de Medellín</t>
        </is>
      </c>
      <c r="D13" s="312" t="n"/>
      <c r="E13" s="312" t="n"/>
      <c r="F13" s="312" t="n"/>
      <c r="G13" s="312" t="n"/>
      <c r="H13" s="312" t="n"/>
      <c r="I13" s="313" t="n"/>
      <c r="J13" s="314" t="n">
        <v>2783000</v>
      </c>
      <c r="K13" s="2" t="n">
        <v>43229</v>
      </c>
      <c r="L13" s="170" t="n"/>
      <c r="M13" s="6" t="n"/>
      <c r="N13" s="6" t="n"/>
      <c r="O13" s="6" t="n"/>
    </row>
    <row r="14">
      <c r="B14" s="170" t="n">
        <v>2</v>
      </c>
      <c r="C14" s="170" t="inlineStr">
        <is>
          <t>Cotización diseño del diseño de extinción de incendios para el CEDI - Invesa</t>
        </is>
      </c>
      <c r="D14" s="312" t="n"/>
      <c r="E14" s="312" t="n"/>
      <c r="F14" s="312" t="n"/>
      <c r="G14" s="312" t="n"/>
      <c r="H14" s="312" t="n"/>
      <c r="I14" s="313" t="n"/>
      <c r="J14" s="314" t="n">
        <v>22176000</v>
      </c>
      <c r="K14" s="2" t="n">
        <v>43229</v>
      </c>
      <c r="L14" s="170" t="n"/>
      <c r="M14" s="6" t="n"/>
      <c r="N14" s="6" t="n"/>
      <c r="O14" s="6" t="n"/>
    </row>
    <row r="15">
      <c r="B15" s="170" t="n">
        <v>3</v>
      </c>
      <c r="C15" s="170" t="inlineStr">
        <is>
          <t>Cotización del diseño de extinción de incendios para el proyecto DISTRIHOGAR</t>
        </is>
      </c>
      <c r="D15" s="312" t="n"/>
      <c r="E15" s="312" t="n"/>
      <c r="F15" s="312" t="n"/>
      <c r="G15" s="312" t="n"/>
      <c r="H15" s="312" t="n"/>
      <c r="I15" s="313" t="n"/>
      <c r="J15" s="314" t="n">
        <v>5845000</v>
      </c>
      <c r="K15" s="2" t="n">
        <v>43230</v>
      </c>
      <c r="L15" s="170" t="n"/>
      <c r="M15" s="6" t="n"/>
      <c r="N15" s="6" t="n"/>
      <c r="O15" s="6" t="n"/>
    </row>
    <row r="16">
      <c r="B16" s="170" t="n">
        <v>4</v>
      </c>
      <c r="C16" s="170" t="inlineStr">
        <is>
          <t>COTIZACION DEL DISEÑO DE DETECCIÓN DE INCENDIOS PARA EL PROYECT COOPIMAR</t>
        </is>
      </c>
      <c r="D16" s="312" t="n"/>
      <c r="E16" s="312" t="n"/>
      <c r="F16" s="312" t="n"/>
      <c r="G16" s="312" t="n"/>
      <c r="H16" s="312" t="n"/>
      <c r="I16" s="313" t="n"/>
      <c r="J16" s="314" t="n">
        <v>3500000</v>
      </c>
      <c r="K16" s="2" t="n">
        <v>43230</v>
      </c>
      <c r="L16" s="170" t="n"/>
      <c r="M16" s="6" t="n"/>
      <c r="N16" s="6" t="n"/>
      <c r="O16" s="6" t="n"/>
    </row>
    <row r="17">
      <c r="B17" s="170" t="n">
        <v>5</v>
      </c>
      <c r="C17" s="170" t="inlineStr">
        <is>
          <t>COTIZACION DEL DISEÑO DE DETECCIÓN DE INCENDIOS PARA EL PROYECTO OLIVARI</t>
        </is>
      </c>
      <c r="D17" s="312" t="n"/>
      <c r="E17" s="312" t="n"/>
      <c r="F17" s="312" t="n"/>
      <c r="G17" s="312" t="n"/>
      <c r="H17" s="312" t="n"/>
      <c r="I17" s="313" t="n"/>
      <c r="J17" s="314" t="n">
        <v>1990000</v>
      </c>
      <c r="K17" s="2" t="n">
        <v>43231</v>
      </c>
      <c r="L17" s="170" t="n"/>
      <c r="M17" s="6" t="n"/>
      <c r="N17" s="6" t="n"/>
      <c r="O17" s="6" t="n"/>
    </row>
    <row r="18">
      <c r="B18" s="170" t="n">
        <v>6</v>
      </c>
      <c r="C18" s="170" t="inlineStr">
        <is>
          <t>COTIZACION DE LOS DISEÑOS DE PROTECCIÓN CONTRA INCENDIOS PARA EL PROYECTO BODEGA FAVITO</t>
        </is>
      </c>
      <c r="D18" s="312" t="n"/>
      <c r="E18" s="312" t="n"/>
      <c r="F18" s="312" t="n"/>
      <c r="G18" s="312" t="n"/>
      <c r="H18" s="312" t="n"/>
      <c r="I18" s="313" t="n"/>
      <c r="J18" s="314" t="n">
        <v>9980000</v>
      </c>
      <c r="K18" s="2" t="n">
        <v>43236</v>
      </c>
      <c r="L18" s="170" t="n"/>
      <c r="M18" s="6" t="n"/>
      <c r="N18" s="6" t="n"/>
      <c r="O18" s="6" t="n"/>
    </row>
    <row r="19">
      <c r="B19" s="170" t="n">
        <v>7</v>
      </c>
      <c r="C19" s="170" t="inlineStr">
        <is>
          <t>COTIZACION DE LOS DISEÑOS DE PROTECCIÓN CONTRA INCENDIOS PARA EL PROYECTO LOCAL 152 VIVA ENVIGADO</t>
        </is>
      </c>
      <c r="D19" s="312" t="n"/>
      <c r="E19" s="312" t="n"/>
      <c r="F19" s="312" t="n"/>
      <c r="G19" s="312" t="n"/>
      <c r="H19" s="312" t="n"/>
      <c r="I19" s="313" t="n"/>
      <c r="J19" s="314" t="n">
        <v>735000</v>
      </c>
      <c r="K19" s="2" t="n">
        <v>43236</v>
      </c>
      <c r="L19" s="170" t="n"/>
      <c r="M19" s="6" t="n"/>
      <c r="N19" s="6" t="n"/>
      <c r="O19" s="6" t="n"/>
    </row>
    <row r="20">
      <c r="B20" s="170" t="n">
        <v>8</v>
      </c>
      <c r="C20" s="170" t="inlineStr">
        <is>
          <t>COTIZACION DEL REDISEÑO Y VERIFICACIÓN DE CÁLCULOS HIDRÁULICOS PARA EL NUEVO CEDI DE INVESA, DE LA CIUDAD DE GIRARDOTA</t>
        </is>
      </c>
      <c r="D20" s="312" t="n"/>
      <c r="E20" s="312" t="n"/>
      <c r="F20" s="312" t="n"/>
      <c r="G20" s="312" t="n"/>
      <c r="H20" s="312" t="n"/>
      <c r="I20" s="313" t="n"/>
      <c r="J20" s="314" t="n">
        <v>10472000</v>
      </c>
      <c r="K20" s="2" t="n">
        <v>43238</v>
      </c>
      <c r="L20" s="170" t="n"/>
      <c r="M20" s="6" t="n"/>
      <c r="N20" s="6" t="n"/>
      <c r="O20" s="6" t="n"/>
    </row>
    <row r="21">
      <c r="B21" s="170" t="n">
        <v>9</v>
      </c>
      <c r="C21" s="170" t="inlineStr">
        <is>
          <t>COTIZACION DE LOS DISEÑOS DE PROTECCIÓN CONTRA INCENDIOS PARA AGUAS DEL BOSQUE</t>
        </is>
      </c>
      <c r="D21" s="312" t="n"/>
      <c r="E21" s="312" t="n"/>
      <c r="F21" s="312" t="n"/>
      <c r="G21" s="312" t="n"/>
      <c r="H21" s="312" t="n"/>
      <c r="I21" s="313" t="n"/>
      <c r="J21" s="314" t="n">
        <v>15092000</v>
      </c>
      <c r="K21" s="2" t="n">
        <v>43242</v>
      </c>
      <c r="L21" s="170" t="n"/>
      <c r="M21" s="6" t="n"/>
      <c r="N21" s="6" t="n"/>
      <c r="O21" s="6" t="n"/>
    </row>
    <row r="22">
      <c r="B22" s="170" t="n">
        <v>10</v>
      </c>
      <c r="C22" s="170" t="inlineStr">
        <is>
          <t>COTIZACION DE LOS DISEÑOS DE PROTECCIÓN CONTRA INCENDIOS LOCAL D1</t>
        </is>
      </c>
      <c r="D22" s="312" t="n"/>
      <c r="E22" s="312" t="n"/>
      <c r="F22" s="312" t="n"/>
      <c r="G22" s="312" t="n"/>
      <c r="H22" s="312" t="n"/>
      <c r="I22" s="313" t="n"/>
      <c r="J22" s="314" t="n">
        <v>1540000</v>
      </c>
      <c r="K22" s="2" t="n">
        <v>43242</v>
      </c>
      <c r="L22" s="170" t="n"/>
      <c r="M22" s="6" t="n"/>
      <c r="N22" s="6" t="n"/>
      <c r="O22" s="6" t="n"/>
    </row>
    <row r="23">
      <c r="B23" s="170" t="n">
        <v>11</v>
      </c>
      <c r="C23" s="170" t="inlineStr">
        <is>
          <t>COTIZACION DE LOS DISEÑOS DE PROTECCIÓN CONTRA INCENDIOS  AV EL POBLADO - AUTOCAD</t>
        </is>
      </c>
      <c r="D23" s="312" t="n"/>
      <c r="E23" s="312" t="n"/>
      <c r="F23" s="312" t="n"/>
      <c r="G23" s="312" t="n"/>
      <c r="H23" s="312" t="n"/>
      <c r="I23" s="313" t="n"/>
      <c r="J23" s="314" t="n">
        <v>19588800</v>
      </c>
      <c r="K23" s="2" t="n">
        <v>43243</v>
      </c>
      <c r="L23" s="170" t="n"/>
      <c r="M23" s="6" t="n"/>
      <c r="N23" s="6" t="n"/>
      <c r="O23" s="6" t="n"/>
    </row>
    <row r="24">
      <c r="B24" s="315" t="n"/>
      <c r="C24" s="170" t="inlineStr">
        <is>
          <t>COTIZACION DE LOS DISEÑOS DE PROTECCIÓN CONTRA INCENDIOS AV EL POBLADO - REVIT</t>
        </is>
      </c>
      <c r="D24" s="312" t="n"/>
      <c r="E24" s="312" t="n"/>
      <c r="F24" s="312" t="n"/>
      <c r="G24" s="312" t="n"/>
      <c r="H24" s="312" t="n"/>
      <c r="I24" s="313" t="n"/>
      <c r="J24" s="314" t="n">
        <v>27104000</v>
      </c>
      <c r="K24" s="2" t="n">
        <v>43243</v>
      </c>
      <c r="L24" s="2" t="n">
        <v>43257</v>
      </c>
      <c r="M24" s="6" t="n"/>
      <c r="N24" s="6" t="n"/>
      <c r="O24" s="6" t="n"/>
    </row>
    <row r="25">
      <c r="B25" s="170" t="n">
        <v>12</v>
      </c>
      <c r="C25" s="170" t="inlineStr">
        <is>
          <t>COTIZACION DEL ANÁLISIS DE SEGURIDAD HUMANA - PROYECTO MEDELLÍN</t>
        </is>
      </c>
      <c r="D25" s="312" t="n"/>
      <c r="E25" s="312" t="n"/>
      <c r="F25" s="312" t="n"/>
      <c r="G25" s="312" t="n"/>
      <c r="H25" s="312" t="n"/>
      <c r="I25" s="313" t="n"/>
      <c r="J25" s="314" t="n">
        <v>3670000</v>
      </c>
      <c r="K25" s="2" t="n">
        <v>43243</v>
      </c>
      <c r="L25" s="2" t="n">
        <v>43250</v>
      </c>
      <c r="M25" s="6" t="n"/>
      <c r="N25" s="6" t="n"/>
      <c r="O25" s="6" t="n"/>
    </row>
    <row r="26">
      <c r="B26" s="170" t="n">
        <v>13</v>
      </c>
      <c r="C26" s="170" t="inlineStr">
        <is>
          <t>COTIZACION DEL ANÁLISIS DE SEGURIDAD HUMANA - PROYECTO ENVIGADO</t>
        </is>
      </c>
      <c r="D26" s="312" t="n"/>
      <c r="E26" s="312" t="n"/>
      <c r="F26" s="312" t="n"/>
      <c r="G26" s="312" t="n"/>
      <c r="H26" s="312" t="n"/>
      <c r="I26" s="313" t="n"/>
      <c r="J26" s="314" t="n">
        <v>3670000</v>
      </c>
      <c r="K26" s="2" t="n">
        <v>43243</v>
      </c>
      <c r="L26" s="2" t="n">
        <v>43250</v>
      </c>
      <c r="M26" s="6" t="n"/>
      <c r="N26" s="6" t="n"/>
      <c r="O26" s="6" t="n"/>
    </row>
    <row r="27">
      <c r="B27" s="170" t="n">
        <v>14</v>
      </c>
      <c r="C27" s="170" t="inlineStr">
        <is>
          <t>COTIZACION DEL ANÁLISIS DE SEGURIDAD HUMANA - CUO CIUDADELA UNIVERSITARIA DE OCCIDENTE</t>
        </is>
      </c>
      <c r="D27" s="312" t="n"/>
      <c r="E27" s="312" t="n"/>
      <c r="F27" s="312" t="n"/>
      <c r="G27" s="312" t="n"/>
      <c r="H27" s="312" t="n"/>
      <c r="I27" s="313" t="n"/>
      <c r="J27" s="314" t="n">
        <v>5544000</v>
      </c>
      <c r="K27" s="2" t="n">
        <v>43243</v>
      </c>
      <c r="L27" s="2" t="n">
        <v>43245</v>
      </c>
      <c r="M27" s="6" t="n"/>
      <c r="N27" s="6" t="n"/>
      <c r="O27" s="6" t="n"/>
    </row>
    <row r="28">
      <c r="B28" s="170" t="n">
        <v>15</v>
      </c>
      <c r="C28" s="170" t="inlineStr">
        <is>
          <t>COTIZACION DE LOS DISEÑOS DE PROTECCIÓN CONTRA INCENDIOS RESTAURANTE ASIA</t>
        </is>
      </c>
      <c r="D28" s="312" t="n"/>
      <c r="E28" s="312" t="n"/>
      <c r="F28" s="312" t="n"/>
      <c r="G28" s="312" t="n"/>
      <c r="H28" s="312" t="n"/>
      <c r="I28" s="313" t="n"/>
      <c r="J28" s="314" t="n">
        <v>1970000</v>
      </c>
      <c r="K28" s="2" t="n">
        <v>43248</v>
      </c>
      <c r="L28" s="2" t="n">
        <v>43250</v>
      </c>
      <c r="M28" s="6" t="n"/>
      <c r="N28" s="6" t="n"/>
      <c r="O28" s="6" t="n"/>
    </row>
    <row r="29">
      <c r="B29" s="170" t="n">
        <v>16</v>
      </c>
      <c r="C29" s="170" t="inlineStr">
        <is>
          <t>COTIZACION DE LOS DISEÑOS DE PROTECCIÓN CONTRA INCENDIOS PARA EL PROYECTO CLÍNICA DE LA CIUDAD DE LA CEJA</t>
        </is>
      </c>
      <c r="D29" s="312" t="n"/>
      <c r="E29" s="312" t="n"/>
      <c r="F29" s="312" t="n"/>
      <c r="G29" s="312" t="n"/>
      <c r="H29" s="312" t="n"/>
      <c r="I29" s="313" t="n"/>
      <c r="J29" s="314" t="n">
        <v>16262400</v>
      </c>
      <c r="K29" s="2" t="n">
        <v>43248</v>
      </c>
      <c r="L29" s="170" t="n"/>
      <c r="M29" s="6" t="n"/>
      <c r="N29" s="6" t="n"/>
      <c r="O29" s="6" t="n"/>
    </row>
    <row r="30">
      <c r="B30" s="170" t="n">
        <v>17</v>
      </c>
      <c r="C30" s="170" t="inlineStr">
        <is>
          <t>COTIZACION DEL DISEÑO DE EXTINCIÓN DE INCENDIOS PARA EL PROYECTO LOCAL KÓNICO VIVA ENVIGADO</t>
        </is>
      </c>
      <c r="D30" s="312" t="n"/>
      <c r="E30" s="312" t="n"/>
      <c r="F30" s="312" t="n"/>
      <c r="G30" s="312" t="n"/>
      <c r="H30" s="312" t="n"/>
      <c r="I30" s="313" t="n"/>
      <c r="J30" s="314" t="n">
        <v>610000</v>
      </c>
      <c r="K30" s="2" t="n">
        <v>43249</v>
      </c>
      <c r="L30" s="2" t="n">
        <v>43297</v>
      </c>
      <c r="M30" s="6" t="n"/>
      <c r="N30" s="6" t="n"/>
      <c r="O30" s="6" t="n"/>
    </row>
    <row r="31">
      <c r="B31" s="170" t="n">
        <v>18</v>
      </c>
      <c r="C31" s="170" t="inlineStr">
        <is>
          <t>COTIZACION DE LOS DISEÑOS DE DETECCIÓN DE INCENDIOS Y SEGURIDAD HUMANA PARA EL PROYECTO NUEVA FRONTERA</t>
        </is>
      </c>
      <c r="D31" s="312" t="n"/>
      <c r="E31" s="312" t="n"/>
      <c r="F31" s="312" t="n"/>
      <c r="G31" s="312" t="n"/>
      <c r="H31" s="312" t="n"/>
      <c r="I31" s="313" t="n"/>
      <c r="J31" s="314" t="n">
        <v>8000000</v>
      </c>
      <c r="K31" s="2" t="n">
        <v>43249</v>
      </c>
      <c r="L31" s="2" t="n">
        <v>43252</v>
      </c>
      <c r="M31" s="6" t="n"/>
      <c r="N31" s="6" t="n"/>
      <c r="O31" s="6" t="n"/>
    </row>
    <row r="32">
      <c r="B32" s="170" t="n">
        <v>19</v>
      </c>
      <c r="C32" s="170" t="inlineStr">
        <is>
          <t>COTIZACION DE LOS DISEÑOS DE PROTECCIÓN CONTRA INCENDIOS Y SEGURIDAD HUMANA PARA EL PROYECTO MAZANTI</t>
        </is>
      </c>
      <c r="D32" s="312" t="n"/>
      <c r="E32" s="312" t="n"/>
      <c r="F32" s="312" t="n"/>
      <c r="G32" s="312" t="n"/>
      <c r="H32" s="312" t="n"/>
      <c r="I32" s="313" t="n"/>
      <c r="J32" s="314" t="n">
        <v>20328000</v>
      </c>
      <c r="K32" s="2" t="n">
        <v>43227</v>
      </c>
      <c r="L32" s="170" t="n"/>
      <c r="M32" s="6" t="n"/>
      <c r="N32" s="6" t="n"/>
      <c r="O32" s="6" t="n"/>
    </row>
    <row r="33">
      <c r="B33" s="170" t="n">
        <v>20</v>
      </c>
      <c r="C33" s="170" t="inlineStr">
        <is>
          <t>COTIZACION DEL DISEÑO DE DETECCIÓN DE INCENDIOS - PUERTO RIONEGRO Y CARGA FASE I</t>
        </is>
      </c>
      <c r="D33" s="312" t="n"/>
      <c r="E33" s="312" t="n"/>
      <c r="F33" s="312" t="n"/>
      <c r="G33" s="312" t="n"/>
      <c r="H33" s="312" t="n"/>
      <c r="I33" s="313" t="n"/>
      <c r="J33" s="314" t="n">
        <v>4174500</v>
      </c>
      <c r="K33" s="2" t="n">
        <v>43250</v>
      </c>
      <c r="L33" s="170" t="n"/>
      <c r="M33" s="6" t="n"/>
      <c r="N33" s="6" t="n"/>
      <c r="O33" s="6" t="n"/>
    </row>
    <row r="34">
      <c r="B34" s="170" t="n">
        <v>21</v>
      </c>
      <c r="C34" s="170" t="inlineStr">
        <is>
          <t>COTIZACION DE LOS DISEÑOS DE PROTECCIÓN CONTRA INCENDIOS PARA EL PROYECTO ON BUSINESS MILLA DE ORO</t>
        </is>
      </c>
      <c r="D34" s="312" t="n"/>
      <c r="E34" s="312" t="n"/>
      <c r="F34" s="312" t="n"/>
      <c r="G34" s="312" t="n"/>
      <c r="H34" s="312" t="n"/>
      <c r="I34" s="313" t="n"/>
      <c r="J34" s="314" t="n">
        <v>1830000</v>
      </c>
      <c r="K34" s="2" t="n">
        <v>43256</v>
      </c>
      <c r="L34" s="170" t="n"/>
      <c r="M34" s="6" t="n"/>
      <c r="N34" s="6" t="n"/>
      <c r="O34" s="6" t="n"/>
    </row>
    <row r="35">
      <c r="B35" s="170" t="n">
        <v>22</v>
      </c>
      <c r="C35" s="170" t="inlineStr">
        <is>
          <t>COTIZACION DE LOS DISEÑO DE PROTECCIÓN CONTRA  INCENDIOS - OFICINAS BODEGA PREMEX</t>
        </is>
      </c>
      <c r="D35" s="312" t="n"/>
      <c r="E35" s="312" t="n"/>
      <c r="F35" s="312" t="n"/>
      <c r="G35" s="312" t="n"/>
      <c r="H35" s="312" t="n"/>
      <c r="I35" s="313" t="n"/>
      <c r="J35" s="314" t="n">
        <v>2340000</v>
      </c>
      <c r="K35" s="2" t="n">
        <v>43256</v>
      </c>
      <c r="L35" s="170" t="n"/>
      <c r="M35" s="6" t="n"/>
      <c r="N35" s="6" t="n"/>
      <c r="O35" s="6" t="n"/>
    </row>
    <row r="36">
      <c r="B36" s="170" t="n">
        <v>23</v>
      </c>
      <c r="C36" s="170" t="inlineStr">
        <is>
          <t>COTIZACION DEL DISEÑO DE DETECCIÓN DE INCENDIOS PARA EL TRES CANTOS, EN LA CIUDAD DE MEDELLÍN</t>
        </is>
      </c>
      <c r="D36" s="312" t="n"/>
      <c r="E36" s="312" t="n"/>
      <c r="F36" s="312" t="n"/>
      <c r="G36" s="312" t="n"/>
      <c r="H36" s="312" t="n"/>
      <c r="I36" s="313" t="n"/>
      <c r="J36" s="314" t="n">
        <v>6325000</v>
      </c>
      <c r="K36" s="2" t="n">
        <v>43258</v>
      </c>
      <c r="L36" s="170" t="n"/>
      <c r="M36" s="6" t="n"/>
      <c r="N36" s="6" t="n"/>
      <c r="O36" s="6" t="n"/>
    </row>
    <row r="37">
      <c r="B37" s="170" t="n">
        <v>24</v>
      </c>
      <c r="C37" s="170" t="inlineStr">
        <is>
          <t>COTIZACION DEL DISEÑO DE EXTINCIÓN DE INCENDIOS PARA EL PROYECTO CDI AURES</t>
        </is>
      </c>
      <c r="D37" s="312" t="n"/>
      <c r="E37" s="312" t="n"/>
      <c r="F37" s="312" t="n"/>
      <c r="G37" s="312" t="n"/>
      <c r="H37" s="312" t="n"/>
      <c r="I37" s="313" t="n"/>
      <c r="J37" s="314" t="n">
        <v>2783000</v>
      </c>
      <c r="K37" s="2" t="n">
        <v>43259</v>
      </c>
      <c r="L37" s="170" t="n"/>
      <c r="M37" s="6" t="n"/>
      <c r="N37" s="6" t="n"/>
      <c r="O37" s="6" t="n"/>
    </row>
    <row r="38">
      <c r="B38" s="170" t="n">
        <v>25</v>
      </c>
      <c r="C38" s="170" t="inlineStr">
        <is>
          <t>COTIZACION DE LOS DISEÑOS DE PROTECCIÓN CONTRA INCENDIOS PARA EL PROYECTO LORITO D´MODA</t>
        </is>
      </c>
      <c r="D38" s="312" t="n"/>
      <c r="E38" s="312" t="n"/>
      <c r="F38" s="312" t="n"/>
      <c r="G38" s="312" t="n"/>
      <c r="H38" s="312" t="n"/>
      <c r="I38" s="313" t="n"/>
      <c r="J38" s="314" t="n">
        <v>2710000</v>
      </c>
      <c r="K38" s="2" t="n">
        <v>43260</v>
      </c>
      <c r="L38" s="170" t="n"/>
      <c r="M38" s="6" t="n"/>
      <c r="N38" s="6" t="n"/>
      <c r="O38" s="6" t="n"/>
    </row>
    <row r="39">
      <c r="B39" s="170" t="n">
        <v>26</v>
      </c>
      <c r="C39" s="170" t="inlineStr">
        <is>
          <t>COTIZACION DE LOS DISEÑOS DE PROTECCIÓN CONTRA INCENDIOS PARA EL PROYECTO MERCADOS EL ÁGORA</t>
        </is>
      </c>
      <c r="D39" s="312" t="n"/>
      <c r="E39" s="312" t="n"/>
      <c r="F39" s="312" t="n"/>
      <c r="G39" s="312" t="n"/>
      <c r="H39" s="312" t="n"/>
      <c r="I39" s="313" t="n"/>
      <c r="J39" s="314" t="n">
        <v>5550000</v>
      </c>
      <c r="K39" s="2" t="n">
        <v>43260</v>
      </c>
      <c r="L39" s="170" t="n"/>
      <c r="M39" s="6" t="n"/>
      <c r="N39" s="6" t="n"/>
      <c r="O39" s="6" t="n"/>
    </row>
    <row r="40">
      <c r="B40" s="170" t="n">
        <v>27</v>
      </c>
      <c r="C40" s="170" t="inlineStr">
        <is>
          <t>COTIZACION DE LOS DISEÑOS DE PROTECCIÓN CONTRA INCENDIOS Y SEGURIDAD HUMANA PARA EL PROYECTO BORBÓN DE LA MONTAÑA</t>
        </is>
      </c>
      <c r="D40" s="312" t="n"/>
      <c r="E40" s="312" t="n"/>
      <c r="F40" s="312" t="n"/>
      <c r="G40" s="312" t="n"/>
      <c r="H40" s="312" t="n"/>
      <c r="I40" s="313" t="n"/>
      <c r="J40" s="314" t="n">
        <v>20328000</v>
      </c>
      <c r="K40" s="2" t="n">
        <v>43263</v>
      </c>
      <c r="L40" s="170" t="n"/>
      <c r="M40" s="6" t="n"/>
      <c r="N40" s="6" t="n"/>
      <c r="O40" s="6" t="n"/>
    </row>
    <row r="41">
      <c r="B41" s="170" t="n">
        <v>28</v>
      </c>
      <c r="C41" s="170" t="inlineStr">
        <is>
          <t>COTIZACION DE LOS DISEÑOS DE PROTECCIÓN CONTRA INCENDIOS Y SEGURIDAD HUMANA PARA EL PROYECTO BEILLIN</t>
        </is>
      </c>
      <c r="D41" s="312" t="n"/>
      <c r="E41" s="312" t="n"/>
      <c r="F41" s="312" t="n"/>
      <c r="G41" s="312" t="n"/>
      <c r="H41" s="312" t="n"/>
      <c r="I41" s="313" t="n"/>
      <c r="J41" s="314" t="n">
        <v>36344000</v>
      </c>
      <c r="K41" s="2" t="n">
        <v>43264</v>
      </c>
      <c r="L41" s="170" t="n"/>
      <c r="M41" s="6" t="n"/>
      <c r="N41" s="6" t="n"/>
      <c r="O41" s="6" t="n"/>
    </row>
    <row r="42">
      <c r="B42" s="170" t="n">
        <v>29</v>
      </c>
      <c r="C42" s="170" t="inlineStr">
        <is>
          <t>COTIZACION DE LOS DISEÑO DE PROTECCIÓN CONTRA  INCENDIOS PARA EL PROYECTO NACAR</t>
        </is>
      </c>
      <c r="D42" s="312" t="n"/>
      <c r="E42" s="312" t="n"/>
      <c r="F42" s="312" t="n"/>
      <c r="G42" s="312" t="n"/>
      <c r="H42" s="312" t="n"/>
      <c r="I42" s="313" t="n"/>
      <c r="J42" s="314" t="n">
        <v>4930000</v>
      </c>
      <c r="K42" s="2" t="n">
        <v>43265</v>
      </c>
      <c r="L42" s="2" t="n">
        <v>43266</v>
      </c>
      <c r="M42" s="6" t="n"/>
      <c r="N42" s="6" t="n"/>
      <c r="O42" s="6" t="n"/>
    </row>
    <row r="43">
      <c r="B43" s="170" t="n">
        <v>30</v>
      </c>
      <c r="C43" s="170" t="inlineStr">
        <is>
          <t>COTIZACION DE LOS DISEÑOS DE PROTECCIÓN CONTRA INCENDIOS Y SEGURIDAD HUMANA PARA EL PROYECTO COLISEO RUBEN DARIO QUINTERO VILLADA EN LA CIUDAD DE RIONEGRO</t>
        </is>
      </c>
      <c r="D43" s="312" t="n"/>
      <c r="E43" s="312" t="n"/>
      <c r="F43" s="312" t="n"/>
      <c r="G43" s="312" t="n"/>
      <c r="H43" s="312" t="n"/>
      <c r="I43" s="313" t="n"/>
      <c r="J43" s="314" t="n">
        <v>16016000</v>
      </c>
      <c r="K43" s="2" t="n">
        <v>43266</v>
      </c>
      <c r="L43" s="170" t="n"/>
      <c r="M43" s="6" t="n"/>
      <c r="N43" s="6" t="n"/>
      <c r="O43" s="6" t="n"/>
    </row>
    <row r="44">
      <c r="B44" s="170" t="n">
        <v>31</v>
      </c>
      <c r="C44" s="170" t="inlineStr">
        <is>
          <t>COTIZACION DE LOS DISEÑOS DE PROTECCIÓN CONTRA INCENDIOS Y SEGURIDAD HUMANA PARA EL PROYECTO HOJARASCA</t>
        </is>
      </c>
      <c r="D44" s="312" t="n"/>
      <c r="E44" s="312" t="n"/>
      <c r="F44" s="312" t="n"/>
      <c r="G44" s="312" t="n"/>
      <c r="H44" s="312" t="n"/>
      <c r="I44" s="313" t="n"/>
      <c r="J44" s="314" t="n">
        <v>6590000</v>
      </c>
      <c r="K44" s="2" t="n">
        <v>43267</v>
      </c>
      <c r="L44" s="170" t="n"/>
      <c r="M44" s="6" t="n"/>
      <c r="N44" s="6" t="n"/>
      <c r="O44" s="6" t="n"/>
    </row>
    <row r="45">
      <c r="B45" s="170" t="n">
        <v>32</v>
      </c>
      <c r="C45" s="170" t="inlineStr">
        <is>
          <t>COTIZACION DE LOS DISEÑOS DE PROTECCIÓN CONTRA INCENDIOS PARA EL PROYECTO LOCAL 324 – VIVA ENVIGADO</t>
        </is>
      </c>
      <c r="D45" s="312" t="n"/>
      <c r="E45" s="312" t="n"/>
      <c r="F45" s="312" t="n"/>
      <c r="G45" s="312" t="n"/>
      <c r="H45" s="312" t="n"/>
      <c r="I45" s="313" t="n"/>
      <c r="J45" s="314" t="n">
        <v>2170000</v>
      </c>
      <c r="K45" s="2" t="n">
        <v>43270</v>
      </c>
      <c r="L45" s="170" t="n"/>
      <c r="M45" s="6" t="n"/>
      <c r="N45" s="6" t="n"/>
      <c r="O45" s="6" t="n"/>
    </row>
    <row r="46">
      <c r="B46" s="170" t="n">
        <v>33</v>
      </c>
      <c r="C46" s="170" t="inlineStr">
        <is>
          <t>COTIZACION DE LOS DISEÑOS DE PROTECCIÓN CONTRA INCENDIOS PARA EL PROYECTO TRES33</t>
        </is>
      </c>
      <c r="D46" s="312" t="n"/>
      <c r="E46" s="312" t="n"/>
      <c r="F46" s="312" t="n"/>
      <c r="G46" s="312" t="n"/>
      <c r="H46" s="312" t="n"/>
      <c r="I46" s="313" t="n"/>
      <c r="J46" s="314" t="n">
        <v>15400000</v>
      </c>
      <c r="K46" s="2" t="n">
        <v>43271</v>
      </c>
      <c r="L46" s="170" t="n"/>
      <c r="M46" s="6" t="n"/>
      <c r="N46" s="6" t="n"/>
      <c r="O46" s="6" t="n"/>
    </row>
    <row r="47">
      <c r="B47" s="170" t="n">
        <v>34</v>
      </c>
      <c r="C47" s="170" t="inlineStr">
        <is>
          <t>COTIZACION DE LOS DISEÑOS DE PROTECCIÓN CONTRA INCENDIOS PARA EL PROYECTO MANDALA</t>
        </is>
      </c>
      <c r="D47" s="312" t="n"/>
      <c r="E47" s="312" t="n"/>
      <c r="F47" s="312" t="n"/>
      <c r="G47" s="312" t="n"/>
      <c r="H47" s="312" t="n"/>
      <c r="I47" s="313" t="n"/>
      <c r="J47" s="314" t="n">
        <v>16400000</v>
      </c>
      <c r="K47" s="2" t="n">
        <v>43271</v>
      </c>
      <c r="L47" s="170" t="n"/>
      <c r="M47" s="6" t="n"/>
      <c r="N47" s="6" t="n"/>
      <c r="O47" s="6" t="n"/>
    </row>
    <row r="48">
      <c r="B48" s="170" t="n">
        <v>35</v>
      </c>
      <c r="C48" s="170" t="inlineStr">
        <is>
          <t>COTIZACION DE LA REVISIÓN DE LOS DISEÑOS DE EXTINCIÓN Y DETECCIÓN DE INCENDIOS DEL PROYECTO CIBELES</t>
        </is>
      </c>
      <c r="D48" s="312" t="n"/>
      <c r="E48" s="312" t="n"/>
      <c r="F48" s="312" t="n"/>
      <c r="G48" s="312" t="n"/>
      <c r="H48" s="312" t="n"/>
      <c r="I48" s="313" t="n"/>
      <c r="J48" s="314" t="n">
        <v>4250000</v>
      </c>
      <c r="K48" s="2" t="n">
        <v>43278</v>
      </c>
      <c r="L48" s="170" t="n"/>
      <c r="M48" s="6" t="n"/>
      <c r="N48" s="6" t="n"/>
      <c r="O48" s="6" t="n"/>
    </row>
    <row r="49">
      <c r="B49" s="170" t="n">
        <v>36</v>
      </c>
      <c r="C49" s="170" t="inlineStr">
        <is>
          <t>COTIZACION DEL DISEÑO Y DIMENCIONAMIENTO DE LAS CONEXIONES A LOS EDIFICIOS EXISTENTES DEL PROYECTO PLANTA CEMENTOS MOLINS</t>
        </is>
      </c>
      <c r="D49" s="312" t="n"/>
      <c r="E49" s="312" t="n"/>
      <c r="F49" s="312" t="n"/>
      <c r="G49" s="312" t="n"/>
      <c r="H49" s="312" t="n"/>
      <c r="I49" s="313" t="n"/>
      <c r="J49" s="314" t="n">
        <v>6160000</v>
      </c>
      <c r="K49" s="2" t="n">
        <v>43280</v>
      </c>
      <c r="L49" s="170" t="n"/>
      <c r="M49" s="6" t="n"/>
      <c r="N49" s="6" t="n"/>
      <c r="O49" s="6" t="n"/>
    </row>
    <row r="50">
      <c r="B50" s="170" t="n">
        <v>37</v>
      </c>
      <c r="C50" s="170" t="inlineStr">
        <is>
          <t>COTIZACION DEL DISEÑO DE DETECCIÓN DE INCENDIOS PARA EL PROYECTO CABLE EL PICACHO - DWG</t>
        </is>
      </c>
      <c r="D50" s="312" t="n"/>
      <c r="E50" s="312" t="n"/>
      <c r="F50" s="312" t="n"/>
      <c r="G50" s="312" t="n"/>
      <c r="H50" s="312" t="n"/>
      <c r="I50" s="313" t="n"/>
      <c r="J50" s="314" t="n">
        <v>6960000</v>
      </c>
      <c r="K50" s="2" t="n">
        <v>43282</v>
      </c>
      <c r="L50" s="170" t="n"/>
      <c r="M50" s="6" t="n"/>
      <c r="N50" s="6" t="n"/>
      <c r="O50" s="6" t="n"/>
    </row>
    <row r="51">
      <c r="B51" s="170" t="n">
        <v>38</v>
      </c>
      <c r="C51" s="170" t="inlineStr">
        <is>
          <t>COTIZACION DEL DISEÑO DE DETECCIÓN DE INCENDIOS PARA EL PROYECTO CABLE EL PICACHO - REVIT</t>
        </is>
      </c>
      <c r="D51" s="312" t="n"/>
      <c r="E51" s="312" t="n"/>
      <c r="F51" s="312" t="n"/>
      <c r="G51" s="312" t="n"/>
      <c r="H51" s="312" t="n"/>
      <c r="I51" s="313" t="n"/>
      <c r="J51" s="314" t="n">
        <v>9000000</v>
      </c>
      <c r="K51" s="2" t="n">
        <v>43282</v>
      </c>
      <c r="L51" s="2" t="n">
        <v>43285</v>
      </c>
      <c r="M51" s="6" t="n"/>
      <c r="N51" s="6" t="n"/>
      <c r="O51" s="6" t="n"/>
    </row>
    <row r="52">
      <c r="B52" s="170" t="n">
        <v>39</v>
      </c>
      <c r="C52" s="170" t="inlineStr">
        <is>
          <t>COTIZACION DE LOS DISEÑOS DE PROTECCIÓN CONTRA INCENDIOS PARA EL PROYECTO HATOVIEJO VIVA ENVIGADO</t>
        </is>
      </c>
      <c r="D52" s="312" t="n"/>
      <c r="E52" s="312" t="n"/>
      <c r="F52" s="312" t="n"/>
      <c r="G52" s="312" t="n"/>
      <c r="H52" s="312" t="n"/>
      <c r="I52" s="313" t="n"/>
      <c r="J52" s="314" t="n">
        <v>2775000</v>
      </c>
      <c r="K52" s="2" t="n">
        <v>43286</v>
      </c>
      <c r="L52" s="170" t="n"/>
      <c r="M52" s="6" t="n"/>
      <c r="N52" s="6" t="n"/>
      <c r="O52" s="6" t="n"/>
    </row>
    <row r="53">
      <c r="B53" s="170" t="n">
        <v>40</v>
      </c>
      <c r="C53" s="170" t="inlineStr">
        <is>
          <t>COTIZACION DE LOS DISEÑOS DE PROTECCIÓN CONTRA INCENDIOS PARA EL PROYECTO BIKE HOUSE</t>
        </is>
      </c>
      <c r="D53" s="312" t="n"/>
      <c r="E53" s="312" t="n"/>
      <c r="F53" s="312" t="n"/>
      <c r="G53" s="312" t="n"/>
      <c r="H53" s="312" t="n"/>
      <c r="I53" s="313" t="n"/>
      <c r="J53" s="314" t="n">
        <v>9245000</v>
      </c>
      <c r="K53" s="3" t="n">
        <v>43287</v>
      </c>
      <c r="L53" s="170" t="n"/>
      <c r="M53" s="6" t="n"/>
      <c r="N53" s="6" t="n"/>
      <c r="O53" s="6" t="n"/>
    </row>
    <row r="54">
      <c r="B54" s="170" t="n">
        <v>41</v>
      </c>
      <c r="C54" s="170" t="inlineStr">
        <is>
          <t>COTIZACION DE REVISIÓN DE LOS SISTEMAS DE PROTECCIÓN CONTRA INCENDIOS Y SEGURIDAD HUMANA PARA EL PROYECTO CENTRO COMERCIAL ARKADIA</t>
        </is>
      </c>
      <c r="D54" s="312" t="n"/>
      <c r="E54" s="312" t="n"/>
      <c r="F54" s="312" t="n"/>
      <c r="G54" s="312" t="n"/>
      <c r="H54" s="312" t="n"/>
      <c r="I54" s="313" t="n"/>
      <c r="J54" s="314" t="n">
        <v>26980000</v>
      </c>
      <c r="K54" s="2" t="n">
        <v>43290</v>
      </c>
      <c r="L54" s="170" t="n"/>
      <c r="M54" s="6" t="n"/>
      <c r="N54" s="6" t="n"/>
      <c r="O54" s="6" t="n"/>
    </row>
    <row r="55">
      <c r="B55" s="170" t="n">
        <v>42</v>
      </c>
      <c r="C55" s="170" t="inlineStr">
        <is>
          <t>COTIZACION DEL DISEÑO DE LA RED GENERAL DE EXTINCIÓN DE INCENDIOS PARA EL PROYECTO ALAS DORADAS</t>
        </is>
      </c>
      <c r="D55" s="312" t="n"/>
      <c r="E55" s="312" t="n"/>
      <c r="F55" s="312" t="n"/>
      <c r="G55" s="312" t="n"/>
      <c r="H55" s="312" t="n"/>
      <c r="I55" s="313" t="n"/>
      <c r="J55" s="314" t="n">
        <v>7000</v>
      </c>
      <c r="K55" s="2" t="n">
        <v>43292</v>
      </c>
      <c r="L55" s="170" t="n"/>
      <c r="M55" s="6" t="n"/>
      <c r="N55" s="6" t="n"/>
      <c r="O55" s="6" t="n"/>
    </row>
    <row r="56">
      <c r="B56" s="170" t="n">
        <v>43</v>
      </c>
      <c r="C56" s="170" t="inlineStr">
        <is>
          <t>COTIZACIÓN DEL DISEÑO DE EXTINCIÓN DE INCNEIDOS PARA EL PROYECTO RAMBLER VIVA ENVIGADO</t>
        </is>
      </c>
      <c r="D56" s="312" t="n"/>
      <c r="E56" s="312" t="n"/>
      <c r="F56" s="312" t="n"/>
      <c r="G56" s="312" t="n"/>
      <c r="H56" s="312" t="n"/>
      <c r="I56" s="313" t="n"/>
      <c r="J56" s="314" t="n">
        <v>250000</v>
      </c>
      <c r="K56" s="2" t="n">
        <v>43292</v>
      </c>
      <c r="L56" s="2" t="n">
        <v>43293</v>
      </c>
      <c r="M56" s="6" t="n"/>
      <c r="N56" s="6" t="n"/>
      <c r="O56" s="6" t="n"/>
    </row>
    <row r="57">
      <c r="B57" s="170" t="n">
        <v>44</v>
      </c>
      <c r="C57" s="170" t="inlineStr">
        <is>
          <t>COTIZACIÓN DEL DISEÑO DE EXTINCIÓN DE INCNEIDOS PARA EL PROYECTO TÍPICO ANTOJO VIVA ENVIGADO</t>
        </is>
      </c>
      <c r="D57" s="312" t="n"/>
      <c r="E57" s="312" t="n"/>
      <c r="F57" s="312" t="n"/>
      <c r="G57" s="312" t="n"/>
      <c r="H57" s="312" t="n"/>
      <c r="I57" s="313" t="n"/>
      <c r="J57" s="314" t="n">
        <v>250000</v>
      </c>
      <c r="K57" s="2" t="n">
        <v>43292</v>
      </c>
      <c r="L57" s="2" t="n">
        <v>43293</v>
      </c>
      <c r="M57" s="6" t="n"/>
      <c r="N57" s="6" t="n"/>
      <c r="O57" s="6" t="n"/>
    </row>
    <row r="58">
      <c r="B58" s="170" t="n">
        <v>45</v>
      </c>
      <c r="C58" s="170" t="inlineStr">
        <is>
          <t>COTIZACIÓN DEL DISEÑO DE EXTINCIÓN DE INCNEIDOS PARA EL PROYECTO CROW VIVA ENVIGADO</t>
        </is>
      </c>
      <c r="D58" s="312" t="n"/>
      <c r="E58" s="312" t="n"/>
      <c r="F58" s="312" t="n"/>
      <c r="G58" s="312" t="n"/>
      <c r="H58" s="312" t="n"/>
      <c r="I58" s="313" t="n"/>
      <c r="J58" s="314" t="n">
        <v>250000</v>
      </c>
      <c r="K58" s="2" t="n">
        <v>43292</v>
      </c>
      <c r="L58" s="2" t="n">
        <v>43293</v>
      </c>
      <c r="M58" s="6" t="n"/>
      <c r="N58" s="6" t="n"/>
      <c r="O58" s="6" t="n"/>
    </row>
    <row r="59">
      <c r="B59" s="170" t="n">
        <v>46</v>
      </c>
      <c r="C59" s="170" t="inlineStr">
        <is>
          <t>COTIZACION DEL ANÁLISIS DE SEGURIDAD HUMANA PARA EL PROYECTO CDI LOS LAGOS</t>
        </is>
      </c>
      <c r="D59" s="312" t="n"/>
      <c r="E59" s="312" t="n"/>
      <c r="F59" s="312" t="n"/>
      <c r="G59" s="312" t="n"/>
      <c r="H59" s="312" t="n"/>
      <c r="I59" s="313" t="n"/>
      <c r="J59" s="314" t="n">
        <v>1725000</v>
      </c>
      <c r="K59" s="2" t="n">
        <v>43294</v>
      </c>
      <c r="L59" s="170" t="n"/>
      <c r="M59" s="6" t="n"/>
      <c r="N59" s="6" t="n"/>
      <c r="O59" s="6" t="n"/>
    </row>
    <row r="60">
      <c r="B60" s="170" t="n">
        <v>47</v>
      </c>
      <c r="C60" s="170" t="inlineStr">
        <is>
          <t>COTIZACION DEL DISEÑO DE EXTINCIÓN DE INCENDIOS PARA EL PROYECTO LOCAL RANCHERITO VIVA ENVIGADO</t>
        </is>
      </c>
      <c r="D60" s="312" t="n"/>
      <c r="E60" s="312" t="n"/>
      <c r="F60" s="312" t="n"/>
      <c r="G60" s="312" t="n"/>
      <c r="H60" s="312" t="n"/>
      <c r="I60" s="313" t="n"/>
      <c r="J60" s="314" t="n">
        <v>1295000</v>
      </c>
      <c r="K60" s="2" t="n">
        <v>42567</v>
      </c>
      <c r="L60" s="2" t="n">
        <v>43299</v>
      </c>
      <c r="M60" s="6" t="n"/>
      <c r="N60" s="6" t="n"/>
      <c r="O60" s="6" t="n"/>
    </row>
    <row r="61">
      <c r="B61" s="170" t="n">
        <v>48</v>
      </c>
      <c r="C61" s="170" t="inlineStr">
        <is>
          <t>COTIZACION DEL LOS DISEÑOS DE PROTECCIÓN CONTRA INCENDIOS PARA EL PROYECTO POLO CLUB VIVA ENVIGADO</t>
        </is>
      </c>
      <c r="D61" s="312" t="n"/>
      <c r="E61" s="312" t="n"/>
      <c r="F61" s="312" t="n"/>
      <c r="G61" s="312" t="n"/>
      <c r="H61" s="312" t="n"/>
      <c r="I61" s="313" t="n"/>
      <c r="J61" s="314" t="n">
        <v>450000</v>
      </c>
      <c r="K61" s="2" t="n">
        <v>43299</v>
      </c>
      <c r="L61" s="2" t="n"/>
      <c r="M61" s="6" t="n"/>
      <c r="N61" s="6" t="n"/>
      <c r="O61" s="6" t="n"/>
    </row>
    <row r="62">
      <c r="B62" s="170" t="n">
        <v>49</v>
      </c>
      <c r="C62" s="170" t="inlineStr">
        <is>
          <t>COTIZACION DEL LOS DISEÑOS DE PROTECCIÓN CONTRA INCENDIOS PARA EL PROYECTO SANDWICH QBANO VIVA ENVIGADO</t>
        </is>
      </c>
      <c r="D62" s="312" t="n"/>
      <c r="E62" s="312" t="n"/>
      <c r="F62" s="312" t="n"/>
      <c r="G62" s="312" t="n"/>
      <c r="H62" s="312" t="n"/>
      <c r="I62" s="313" t="n"/>
      <c r="J62" s="314" t="n">
        <v>250000</v>
      </c>
      <c r="K62" s="2" t="n">
        <v>43299</v>
      </c>
      <c r="L62" s="2" t="n">
        <v>43299</v>
      </c>
      <c r="M62" s="6" t="n"/>
      <c r="N62" s="6" t="n"/>
      <c r="O62" s="6" t="n"/>
    </row>
    <row r="63">
      <c r="B63" s="170" t="n">
        <v>50</v>
      </c>
      <c r="C63" s="170" t="inlineStr">
        <is>
          <t>COTIZACION DEL DISEÑO DE EXTINCIÓN DE INCENDIOS PARA EL PROYECTO MAS X MENOS MAYORCA</t>
        </is>
      </c>
      <c r="D63" s="312" t="n"/>
      <c r="E63" s="312" t="n"/>
      <c r="F63" s="312" t="n"/>
      <c r="G63" s="312" t="n"/>
      <c r="H63" s="312" t="n"/>
      <c r="I63" s="313" t="n"/>
      <c r="J63" s="314" t="n">
        <v>470000</v>
      </c>
      <c r="K63" s="2" t="n">
        <v>43300</v>
      </c>
      <c r="L63" s="170" t="n"/>
      <c r="M63" s="6" t="n"/>
      <c r="N63" s="6" t="n"/>
      <c r="O63" s="6" t="n"/>
    </row>
    <row r="64">
      <c r="B64" s="170" t="n">
        <v>51</v>
      </c>
      <c r="C64" s="170" t="inlineStr">
        <is>
          <t>COTIZACION DEL DISEÑO DE EXTINCIÓN DE INCENDIOS PARA EL PROYECTO LOS PARQUEADEROS DE VIVA LA CEJA</t>
        </is>
      </c>
      <c r="D64" s="312" t="n"/>
      <c r="E64" s="312" t="n"/>
      <c r="F64" s="312" t="n"/>
      <c r="G64" s="312" t="n"/>
      <c r="H64" s="312" t="n"/>
      <c r="I64" s="313" t="n"/>
      <c r="J64" s="314" t="n">
        <v>4312000</v>
      </c>
      <c r="K64" s="2" t="n">
        <v>43302</v>
      </c>
      <c r="L64" s="170" t="n"/>
      <c r="M64" s="6" t="n"/>
      <c r="N64" s="6" t="n"/>
      <c r="O64" s="6" t="n"/>
    </row>
    <row r="65">
      <c r="B65" s="170" t="n">
        <v>52</v>
      </c>
      <c r="C65" s="170" t="inlineStr">
        <is>
          <t>COTIZACION DEL DISEÑO DE EXTINCIÓN DE INCENDIOS PARA EL PROYECTO HOTEL PARK 10</t>
        </is>
      </c>
      <c r="D65" s="312" t="n"/>
      <c r="E65" s="312" t="n"/>
      <c r="F65" s="312" t="n"/>
      <c r="G65" s="312" t="n"/>
      <c r="H65" s="312" t="n"/>
      <c r="I65" s="313" t="n"/>
      <c r="J65" s="314" t="n">
        <v>15708000</v>
      </c>
      <c r="K65" s="2" t="n">
        <v>43302</v>
      </c>
      <c r="L65" s="170" t="n"/>
      <c r="M65" s="6" t="n"/>
      <c r="N65" s="6" t="n"/>
      <c r="O65" s="6" t="n"/>
    </row>
    <row r="66">
      <c r="B66" s="170" t="n">
        <v>53</v>
      </c>
      <c r="C66" s="170" t="inlineStr">
        <is>
          <t>COTIZACION DE LOS DISEÑOS DE PROTECCIÓN CONTRA INCENDIOS Y SEGURIDAD HUMANA PARA EL PROYECTO FORESTA CAMPESTRE</t>
        </is>
      </c>
      <c r="D66" s="312" t="n"/>
      <c r="E66" s="312" t="n"/>
      <c r="F66" s="312" t="n"/>
      <c r="G66" s="312" t="n"/>
      <c r="H66" s="312" t="n"/>
      <c r="I66" s="313" t="n"/>
      <c r="J66" s="314" t="n">
        <v>6160000</v>
      </c>
      <c r="K66" s="2" t="n">
        <v>43304</v>
      </c>
      <c r="L66" s="170" t="n"/>
      <c r="M66" s="6" t="n"/>
      <c r="N66" s="6" t="n"/>
      <c r="O66" s="6" t="n"/>
    </row>
    <row r="67">
      <c r="B67" s="170" t="n">
        <v>54</v>
      </c>
      <c r="C67" s="170" t="inlineStr">
        <is>
          <t>COTIZACION DE LOS DISEÑOS DE PROTECCIÓN CONTRA INCENDIOS Y SEGURIDAD HUMANA PARA EL PROYECTO JARDÍN DE CIMARRONES</t>
        </is>
      </c>
      <c r="D67" s="312" t="n"/>
      <c r="E67" s="312" t="n"/>
      <c r="F67" s="312" t="n"/>
      <c r="G67" s="312" t="n"/>
      <c r="H67" s="312" t="n"/>
      <c r="I67" s="313" t="n"/>
      <c r="J67" s="314" t="n">
        <v>4500000</v>
      </c>
      <c r="K67" s="2" t="n">
        <v>43304</v>
      </c>
      <c r="L67" s="170" t="n"/>
      <c r="M67" s="6" t="n"/>
      <c r="N67" s="6" t="n"/>
      <c r="O67" s="6" t="n"/>
    </row>
    <row r="68">
      <c r="B68" s="170" t="n">
        <v>55</v>
      </c>
      <c r="C68" s="170" t="inlineStr">
        <is>
          <t>COTIZACION DE LOS DISEÑOS DE PROTECCIÓN CONTRA INCENDIOS PARA EL PROYECTO PARAÍSO VIVA ENVIGADO</t>
        </is>
      </c>
      <c r="D68" s="312" t="n"/>
      <c r="E68" s="312" t="n"/>
      <c r="F68" s="312" t="n"/>
      <c r="G68" s="312" t="n"/>
      <c r="H68" s="312" t="n"/>
      <c r="I68" s="313" t="n"/>
      <c r="J68" s="314" t="n">
        <v>250000</v>
      </c>
      <c r="K68" s="2" t="n">
        <v>43305</v>
      </c>
      <c r="L68" s="170" t="n"/>
      <c r="M68" s="6" t="n"/>
      <c r="N68" s="6" t="n"/>
      <c r="O68" s="6" t="n"/>
    </row>
    <row r="69">
      <c r="B69" s="170" t="n">
        <v>56</v>
      </c>
      <c r="C69" s="170" t="inlineStr">
        <is>
          <t>COTIZACION DEL DISEÑO DE EXTINCIÓN DE INCENDIOS PARA EL PROYECTO URGENCIAS HOSPITAL SAN JUAN DE DIOS</t>
        </is>
      </c>
      <c r="D69" s="312" t="n"/>
      <c r="E69" s="312" t="n"/>
      <c r="F69" s="312" t="n"/>
      <c r="G69" s="312" t="n"/>
      <c r="H69" s="312" t="n"/>
      <c r="I69" s="313" t="n"/>
      <c r="J69" s="314" t="n">
        <v>6410000</v>
      </c>
      <c r="K69" s="2" t="n">
        <v>43306</v>
      </c>
      <c r="L69" s="170" t="n"/>
      <c r="M69" s="6" t="n"/>
      <c r="N69" s="6" t="n"/>
      <c r="O69" s="6" t="n"/>
    </row>
    <row r="70">
      <c r="B70" s="170" t="n">
        <v>57</v>
      </c>
      <c r="C70" s="170" t="inlineStr">
        <is>
          <t>COTIZACION DEL ANÁLISIS DE SEGURIDAD HUMANA LAS OFICINAS DEL METRO DE MEDELLÍN EN EL MUNICIPIO DE BELLO</t>
        </is>
      </c>
      <c r="D70" s="312" t="n"/>
      <c r="E70" s="312" t="n"/>
      <c r="F70" s="312" t="n"/>
      <c r="G70" s="312" t="n"/>
      <c r="H70" s="312" t="n"/>
      <c r="I70" s="313" t="n"/>
      <c r="J70" s="314" t="n">
        <v>2980000</v>
      </c>
      <c r="K70" s="2" t="n">
        <v>43307</v>
      </c>
      <c r="L70" s="170" t="n"/>
      <c r="M70" s="6" t="n"/>
      <c r="N70" s="6" t="n"/>
      <c r="O70" s="6" t="n"/>
    </row>
    <row r="71">
      <c r="B71" s="170" t="n">
        <v>58</v>
      </c>
      <c r="C71" s="170" t="inlineStr">
        <is>
          <t>COTIZACION DEL DISEÑO DE EXTINCIÓN DE INCENDIOS PARA EL PROYECTO CALICHE CEVICHE LA CENTRAL</t>
        </is>
      </c>
      <c r="D71" s="312" t="n"/>
      <c r="E71" s="312" t="n"/>
      <c r="F71" s="312" t="n"/>
      <c r="G71" s="312" t="n"/>
      <c r="H71" s="312" t="n"/>
      <c r="I71" s="313" t="n"/>
      <c r="J71" s="314" t="n">
        <v>320000</v>
      </c>
      <c r="K71" s="2" t="n">
        <v>43307</v>
      </c>
      <c r="L71" s="170" t="n"/>
      <c r="M71" s="6" t="n"/>
      <c r="N71" s="6" t="n"/>
      <c r="O71" s="6" t="n"/>
    </row>
    <row r="72">
      <c r="B72" s="170" t="n">
        <v>59</v>
      </c>
      <c r="C72" s="170" t="inlineStr">
        <is>
          <t>COTIZACION DEL ANÁLISIS DE SEGURIDAD HUMANA PARA EL PROYECTO COWORKING NOI</t>
        </is>
      </c>
      <c r="D72" s="312" t="n"/>
      <c r="E72" s="312" t="n"/>
      <c r="F72" s="312" t="n"/>
      <c r="G72" s="312" t="n"/>
      <c r="H72" s="312" t="n"/>
      <c r="I72" s="313" t="n"/>
      <c r="J72" s="314" t="n">
        <v>1490000</v>
      </c>
      <c r="K72" s="2" t="n">
        <v>43311</v>
      </c>
      <c r="L72" s="2" t="n">
        <v>43328</v>
      </c>
      <c r="M72" s="6" t="n"/>
      <c r="N72" s="6" t="n"/>
      <c r="O72" s="6" t="n"/>
    </row>
    <row r="73">
      <c r="B73" s="170" t="n">
        <v>60</v>
      </c>
      <c r="C73" s="170" t="inlineStr">
        <is>
          <t>COTIZACION DE LOS DISEÑOS DE SEGURIDAD HUMANA Y PROTECCIÓN CONTRA  INCENDIOS - AYURA MOTORS ETAPA II</t>
        </is>
      </c>
      <c r="D73" s="312" t="n"/>
      <c r="E73" s="312" t="n"/>
      <c r="F73" s="312" t="n"/>
      <c r="G73" s="312" t="n"/>
      <c r="H73" s="312" t="n"/>
      <c r="I73" s="313" t="n"/>
      <c r="J73" s="314" t="n">
        <v>15917067</v>
      </c>
      <c r="K73" s="2" t="n">
        <v>43312</v>
      </c>
      <c r="L73" s="170" t="n"/>
      <c r="M73" s="6" t="n"/>
      <c r="N73" s="6" t="n"/>
      <c r="O73" s="6" t="n"/>
    </row>
    <row r="74">
      <c r="B74" s="170" t="n">
        <v>61</v>
      </c>
      <c r="C74" s="170" t="inlineStr">
        <is>
          <t>COTIZACION DEL SEGUIMIENTO A LAS RECOMENDACIONES Y PRUEBA DE BOMBA - PASTAS DORIA</t>
        </is>
      </c>
      <c r="D74" s="312" t="n"/>
      <c r="E74" s="312" t="n"/>
      <c r="F74" s="312" t="n"/>
      <c r="G74" s="312" t="n"/>
      <c r="H74" s="312" t="n"/>
      <c r="I74" s="313" t="n"/>
      <c r="J74" s="314" t="n">
        <v>1625000</v>
      </c>
      <c r="K74" s="2" t="n">
        <v>43313</v>
      </c>
      <c r="L74" s="2" t="n">
        <v>43334</v>
      </c>
      <c r="M74" s="6" t="n"/>
      <c r="N74" s="6" t="n"/>
      <c r="O74" s="6" t="n"/>
    </row>
    <row r="75">
      <c r="B75" s="170" t="n">
        <v>62</v>
      </c>
      <c r="C75" s="170" t="inlineStr">
        <is>
          <t>COTIZACION DE LOS DISEÑOS DE SEGURIDAD HUMANA Y PROTECCIÓN CONTRA  INCENDIOS - OFICINAS 1600 M2</t>
        </is>
      </c>
      <c r="D75" s="312" t="n"/>
      <c r="E75" s="312" t="n"/>
      <c r="F75" s="312" t="n"/>
      <c r="G75" s="312" t="n"/>
      <c r="H75" s="312" t="n"/>
      <c r="I75" s="313" t="n"/>
      <c r="J75" s="314" t="n">
        <v>8263328.4</v>
      </c>
      <c r="K75" s="2" t="n">
        <v>43313</v>
      </c>
      <c r="L75" s="170" t="n"/>
      <c r="M75" s="6" t="n"/>
      <c r="N75" s="6" t="n"/>
      <c r="O75" s="6" t="n"/>
    </row>
    <row r="76">
      <c r="B76" s="170" t="n">
        <v>63</v>
      </c>
      <c r="C76" s="170" t="inlineStr">
        <is>
          <t>COTIZACION DEL ANÁLISIS DE SEGURIDAD HUMANA PARA EL PROYECTO TORRE 3 CAMINO</t>
        </is>
      </c>
      <c r="D76" s="312" t="n"/>
      <c r="E76" s="312" t="n"/>
      <c r="F76" s="312" t="n"/>
      <c r="G76" s="312" t="n"/>
      <c r="H76" s="312" t="n"/>
      <c r="I76" s="313" t="n"/>
      <c r="J76" s="314" t="n">
        <v>880000</v>
      </c>
      <c r="K76" s="2" t="n">
        <v>43314</v>
      </c>
      <c r="L76" s="2" t="n">
        <v>43314</v>
      </c>
      <c r="M76" s="6" t="n"/>
      <c r="N76" s="6" t="n"/>
      <c r="O76" s="6" t="n"/>
    </row>
    <row r="77">
      <c r="B77" s="170" t="n">
        <v>64</v>
      </c>
      <c r="C77" s="170" t="inlineStr">
        <is>
          <t>COTIZACION DEL ANÁLISIS DE SEGURIDAD HUMANA PARA EL PROYECTO TORRE 2 ENSENADA</t>
        </is>
      </c>
      <c r="D77" s="312" t="n"/>
      <c r="E77" s="312" t="n"/>
      <c r="F77" s="312" t="n"/>
      <c r="G77" s="312" t="n"/>
      <c r="H77" s="312" t="n"/>
      <c r="I77" s="313" t="n"/>
      <c r="J77" s="314" t="n">
        <v>880000</v>
      </c>
      <c r="K77" s="3" t="n">
        <v>43314</v>
      </c>
      <c r="L77" s="2" t="n">
        <v>43314</v>
      </c>
      <c r="M77" s="6" t="n"/>
      <c r="N77" s="6" t="n"/>
      <c r="O77" s="6" t="n"/>
    </row>
    <row r="78">
      <c r="B78" s="170" t="n">
        <v>65</v>
      </c>
      <c r="C78" s="170" t="inlineStr">
        <is>
          <t>COTIZACION DEL DISEÑO DE EXTINCIÓN DE INCENDIOS PARA EL PROYECTO LOCAL COMFENALCO VIVA ENVIGADO</t>
        </is>
      </c>
      <c r="D78" s="312" t="n"/>
      <c r="E78" s="312" t="n"/>
      <c r="F78" s="312" t="n"/>
      <c r="G78" s="312" t="n"/>
      <c r="H78" s="312" t="n"/>
      <c r="I78" s="313" t="n"/>
      <c r="J78" s="314" t="n">
        <v>1050000</v>
      </c>
      <c r="K78" s="2" t="n">
        <v>43318</v>
      </c>
      <c r="L78" s="2" t="n">
        <v>43320</v>
      </c>
      <c r="M78" s="6" t="n"/>
      <c r="N78" s="6" t="n"/>
      <c r="O78" s="6" t="n"/>
    </row>
    <row r="79">
      <c r="B79" s="170" t="n">
        <v>66</v>
      </c>
      <c r="C79" s="170" t="inlineStr">
        <is>
          <t>COTIZACION DEL DISEÑO DE LA RED DE EXTINCIÓN DE INCENDIOS PARA EL PROYECTO PLANTA SAN MIGUEL - TROPIGAS VILLANUEVA</t>
        </is>
      </c>
      <c r="D79" s="312" t="n"/>
      <c r="E79" s="312" t="n"/>
      <c r="F79" s="312" t="n"/>
      <c r="G79" s="312" t="n"/>
      <c r="H79" s="312" t="n"/>
      <c r="I79" s="313" t="n"/>
      <c r="J79" s="314" t="n">
        <v>18438</v>
      </c>
      <c r="K79" s="2" t="n">
        <v>43319</v>
      </c>
      <c r="L79" s="170" t="n"/>
      <c r="M79" s="6" t="n"/>
      <c r="N79" s="6" t="n"/>
      <c r="O79" s="6" t="n"/>
    </row>
    <row r="80">
      <c r="B80" s="170" t="n">
        <v>67</v>
      </c>
      <c r="C80" s="170" t="inlineStr">
        <is>
          <t>COTIZACION DE LOS DISEÑOS DE PROTECCIÓN CONTRA INCENDIOS PARA EL PROYECTO FRUTA FRESCA VIVA ENVIGADO</t>
        </is>
      </c>
      <c r="D80" s="312" t="n"/>
      <c r="E80" s="312" t="n"/>
      <c r="F80" s="312" t="n"/>
      <c r="G80" s="312" t="n"/>
      <c r="H80" s="312" t="n"/>
      <c r="I80" s="313" t="n"/>
      <c r="J80" s="314" t="n">
        <v>922500</v>
      </c>
      <c r="K80" s="2" t="n">
        <v>43320</v>
      </c>
      <c r="L80" s="2" t="n">
        <v>43326</v>
      </c>
      <c r="M80" s="6" t="n"/>
      <c r="N80" s="6" t="n"/>
      <c r="O80" s="6" t="n"/>
    </row>
    <row r="81">
      <c r="B81" s="170" t="n">
        <v>68</v>
      </c>
      <c r="C81" s="170" t="inlineStr">
        <is>
          <t>COTIZACION DEL ANÁLISIS DE SEGURIDAD HUMANA PARA LA ETAPA 1 Y ETAPA 2 DEL PROYECTO NEWPORT</t>
        </is>
      </c>
      <c r="D81" s="312" t="n"/>
      <c r="E81" s="312" t="n"/>
      <c r="F81" s="312" t="n"/>
      <c r="G81" s="312" t="n"/>
      <c r="H81" s="312" t="n"/>
      <c r="I81" s="313" t="n"/>
      <c r="J81" s="314" t="n">
        <v>5418000</v>
      </c>
      <c r="K81" s="2" t="n">
        <v>43320</v>
      </c>
      <c r="L81" s="170" t="n"/>
      <c r="M81" s="6" t="n"/>
      <c r="N81" s="6" t="n"/>
      <c r="O81" s="6" t="n"/>
    </row>
    <row r="82">
      <c r="B82" s="170" t="n">
        <v>69</v>
      </c>
      <c r="C82" s="170" t="inlineStr">
        <is>
          <t>COTIZACION DEL ANÁLISIS DE SEGURIDAD HUMANA PARA LAS TORRES 1 Y 2 DEL PROYECTO PUNTA AZUL</t>
        </is>
      </c>
      <c r="D82" s="312" t="n"/>
      <c r="E82" s="312" t="n"/>
      <c r="F82" s="312" t="n"/>
      <c r="G82" s="312" t="n"/>
      <c r="H82" s="312" t="n"/>
      <c r="I82" s="313" t="n"/>
      <c r="J82" s="314" t="n">
        <v>3520000</v>
      </c>
      <c r="K82" s="2" t="n">
        <v>43320</v>
      </c>
      <c r="L82" s="170" t="n"/>
      <c r="M82" s="6" t="n"/>
      <c r="N82" s="6" t="n"/>
      <c r="O82" s="6" t="n"/>
    </row>
    <row r="83">
      <c r="B83" s="170" t="n">
        <v>70</v>
      </c>
      <c r="C83" s="170" t="inlineStr">
        <is>
          <t>COTIZACION DE REVISIÓN DE LOS SISTEMA DE PROTECCIÓN CONTRA INCENDIOS PARA LA ETAPA 1 DEL PROYECTO NEWPORT</t>
        </is>
      </c>
      <c r="D83" s="312" t="n"/>
      <c r="E83" s="312" t="n"/>
      <c r="F83" s="312" t="n"/>
      <c r="G83" s="312" t="n"/>
      <c r="H83" s="312" t="n"/>
      <c r="I83" s="313" t="n"/>
      <c r="J83" s="314" t="n">
        <v>5500000</v>
      </c>
      <c r="K83" s="2" t="n">
        <v>43320</v>
      </c>
      <c r="L83" s="170" t="n"/>
      <c r="M83" s="6" t="n"/>
      <c r="N83" s="6" t="n"/>
      <c r="O83" s="6" t="n"/>
    </row>
    <row r="84">
      <c r="B84" s="170" t="n">
        <v>71</v>
      </c>
      <c r="C84" s="170" t="inlineStr">
        <is>
          <t>COTIZACION DEL ANÁLISIS DE SEGURIDAD HUMANA PARA EL PROYECTO MOLISOL</t>
        </is>
      </c>
      <c r="D84" s="312" t="n"/>
      <c r="E84" s="312" t="n"/>
      <c r="F84" s="312" t="n"/>
      <c r="G84" s="312" t="n"/>
      <c r="H84" s="312" t="n"/>
      <c r="I84" s="313" t="n"/>
      <c r="J84" s="314" t="n">
        <v>3000000</v>
      </c>
      <c r="K84" s="2" t="n">
        <v>43320</v>
      </c>
      <c r="L84" s="170" t="n"/>
      <c r="M84" s="6" t="n"/>
      <c r="N84" s="6" t="n"/>
      <c r="O84" s="6" t="n"/>
    </row>
    <row r="85">
      <c r="B85" s="170" t="n">
        <v>72</v>
      </c>
      <c r="C85" s="170" t="inlineStr">
        <is>
          <t>COTIZACION DEL DISEÑO DE EXTINCIÓN DE INCENDIOS PARA EL PROYECTO PRODUSA BODEGAS 246, 247, 249 y 250</t>
        </is>
      </c>
      <c r="D85" s="312" t="n"/>
      <c r="E85" s="312" t="n"/>
      <c r="F85" s="312" t="n"/>
      <c r="G85" s="312" t="n"/>
      <c r="H85" s="312" t="n"/>
      <c r="I85" s="313" t="n"/>
      <c r="J85" s="314" t="n">
        <v>29698688.25</v>
      </c>
      <c r="K85" s="2" t="n">
        <v>43321</v>
      </c>
      <c r="L85" s="170" t="n"/>
      <c r="M85" s="6" t="n"/>
      <c r="N85" s="6" t="n"/>
      <c r="O85" s="6" t="n"/>
    </row>
    <row r="86">
      <c r="B86" s="170" t="n">
        <v>73</v>
      </c>
      <c r="C86" s="170" t="inlineStr">
        <is>
          <t>COTIZACION DEL DISEÑO DE EXTINCIÓN DE INCENDIOS PARA EL PROYECTO PLAZA LINARES</t>
        </is>
      </c>
      <c r="D86" s="312" t="n"/>
      <c r="E86" s="312" t="n"/>
      <c r="F86" s="312" t="n"/>
      <c r="G86" s="312" t="n"/>
      <c r="H86" s="312" t="n"/>
      <c r="I86" s="313" t="n"/>
      <c r="J86" s="314" t="n">
        <v>5420000</v>
      </c>
      <c r="K86" s="2" t="n">
        <v>43322</v>
      </c>
      <c r="L86" s="170" t="n"/>
      <c r="M86" s="6" t="n"/>
      <c r="N86" s="6" t="n"/>
      <c r="O86" s="6" t="n"/>
    </row>
    <row r="87">
      <c r="B87" s="170" t="n">
        <v>74</v>
      </c>
      <c r="C87" s="170" t="inlineStr">
        <is>
          <t>COTIZACION DEL DISEÑO DE EXTINCIÓN DE INCENDIOS PARA EL PROYECTO PROMOSA VIVA ENVIGADO</t>
        </is>
      </c>
      <c r="D87" s="312" t="n"/>
      <c r="E87" s="312" t="n"/>
      <c r="F87" s="312" t="n"/>
      <c r="G87" s="312" t="n"/>
      <c r="H87" s="312" t="n"/>
      <c r="I87" s="313" t="n"/>
      <c r="J87" s="314" t="n">
        <v>3975000</v>
      </c>
      <c r="K87" s="2" t="n">
        <v>43325</v>
      </c>
      <c r="L87" s="170" t="n"/>
      <c r="M87" s="6" t="n"/>
      <c r="N87" s="6" t="n"/>
      <c r="O87" s="6" t="n"/>
    </row>
    <row r="88">
      <c r="B88" s="170" t="n">
        <v>75</v>
      </c>
      <c r="C88" s="170" t="inlineStr">
        <is>
          <t>COTIZACION DEL DISEÑO DE EXTINCIÓN DE INCENDIOS PARA EL PROYECTO KÓNICO DE MODA</t>
        </is>
      </c>
      <c r="D88" s="312" t="n"/>
      <c r="E88" s="312" t="n"/>
      <c r="F88" s="312" t="n"/>
      <c r="G88" s="312" t="n"/>
      <c r="H88" s="312" t="n"/>
      <c r="I88" s="313" t="n"/>
      <c r="J88" s="314" t="n">
        <v>610000</v>
      </c>
      <c r="K88" s="2" t="n">
        <v>43325</v>
      </c>
      <c r="L88" s="170" t="n"/>
      <c r="M88" s="6" t="n"/>
      <c r="N88" s="6" t="n"/>
      <c r="O88" s="6" t="n"/>
    </row>
    <row r="89">
      <c r="B89" s="170" t="n">
        <v>76</v>
      </c>
      <c r="C89" s="170" t="inlineStr">
        <is>
          <t>COTIZACION DE LOS DISEÑOS DE PROTECCIÓN CONTRA INCENDIOS Y SEGURIDAD HUMANA PARA EL PROYECTO LA TAGUA</t>
        </is>
      </c>
      <c r="D89" s="312" t="n"/>
      <c r="E89" s="312" t="n"/>
      <c r="F89" s="312" t="n"/>
      <c r="G89" s="312" t="n"/>
      <c r="H89" s="312" t="n"/>
      <c r="I89" s="313" t="n"/>
      <c r="J89" s="314" t="n">
        <v>9890000</v>
      </c>
      <c r="K89" s="2" t="n">
        <v>43326</v>
      </c>
      <c r="L89" s="170" t="n"/>
      <c r="M89" s="6" t="n"/>
      <c r="N89" s="6" t="n"/>
      <c r="O89" s="6" t="n"/>
    </row>
    <row r="90">
      <c r="B90" s="170" t="n">
        <v>77</v>
      </c>
      <c r="C90" s="170" t="inlineStr">
        <is>
          <t xml:space="preserve">COTIZACION DE LOS DISEÑOS DE PROTECCIÓN CONTRA INCENDIOS PARA EL PROYECTO TECNOLÓGICO DE ANTIOQUIA </t>
        </is>
      </c>
      <c r="D90" s="312" t="n"/>
      <c r="E90" s="312" t="n"/>
      <c r="F90" s="312" t="n"/>
      <c r="G90" s="312" t="n"/>
      <c r="H90" s="312" t="n"/>
      <c r="I90" s="313" t="n"/>
      <c r="J90" s="314" t="n">
        <v>18630000</v>
      </c>
      <c r="K90" s="2" t="n">
        <v>43328</v>
      </c>
      <c r="L90" s="170" t="n"/>
      <c r="M90" s="6" t="n"/>
      <c r="N90" s="6" t="n"/>
      <c r="O90" s="6" t="n"/>
    </row>
    <row r="91">
      <c r="B91" s="170" t="n">
        <v>78</v>
      </c>
      <c r="C91" s="170" t="inlineStr">
        <is>
          <t>COTIZACIÓN DEL DISEÑO DEL SISTEMA DE DETECCIÓN DE INCENDIOS PARA LOS LOCALES LEÑOS Y CARBÓN, PAPA JOHN´S Y EL CORRAL</t>
        </is>
      </c>
      <c r="D91" s="312" t="n"/>
      <c r="E91" s="312" t="n"/>
      <c r="F91" s="312" t="n"/>
      <c r="G91" s="312" t="n"/>
      <c r="H91" s="312" t="n"/>
      <c r="I91" s="313" t="n"/>
      <c r="J91" s="316" t="n">
        <v>2573824</v>
      </c>
      <c r="K91" s="2" t="n">
        <v>43328</v>
      </c>
      <c r="L91" s="170" t="n"/>
      <c r="M91" s="6" t="n"/>
      <c r="N91" s="6" t="n"/>
      <c r="O91" s="6" t="n"/>
    </row>
    <row r="92">
      <c r="B92" s="170" t="n">
        <v>79</v>
      </c>
      <c r="C92" s="170" t="inlineStr">
        <is>
          <t>COTIZACION DE LOS DISEÑOS DE PROTECCIÓN CONTRA  INCENDIOS - CARACOL RADIO</t>
        </is>
      </c>
      <c r="D92" s="312" t="n"/>
      <c r="E92" s="312" t="n"/>
      <c r="F92" s="312" t="n"/>
      <c r="G92" s="312" t="n"/>
      <c r="H92" s="312" t="n"/>
      <c r="I92" s="313" t="n"/>
      <c r="J92" s="314" t="n">
        <v>4940000</v>
      </c>
      <c r="K92" s="2" t="n">
        <v>43328</v>
      </c>
      <c r="L92" s="170" t="n"/>
      <c r="M92" s="6" t="n"/>
      <c r="N92" s="6" t="n"/>
      <c r="O92" s="6" t="n"/>
    </row>
    <row r="93">
      <c r="B93" s="170" t="n">
        <v>80</v>
      </c>
      <c r="C93" s="170" t="inlineStr">
        <is>
          <t>COTIZACION DE LOS DISEÑOS DE PROTECCIÓN CONTRA INCENDIOS Y SEGURIDAD HUMANA PARA EL PROYECTO ESTACIÓN DE POLICÍA LAS PALMAS</t>
        </is>
      </c>
      <c r="D93" s="312" t="n"/>
      <c r="E93" s="312" t="n"/>
      <c r="F93" s="312" t="n"/>
      <c r="G93" s="312" t="n"/>
      <c r="H93" s="312" t="n"/>
      <c r="I93" s="313" t="n"/>
      <c r="J93" s="314" t="n">
        <v>6950000</v>
      </c>
      <c r="K93" s="2" t="n">
        <v>43329</v>
      </c>
      <c r="L93" s="170" t="n"/>
      <c r="M93" s="6" t="n"/>
      <c r="N93" s="6" t="n"/>
      <c r="O93" s="6" t="n"/>
    </row>
    <row r="94">
      <c r="B94" s="170" t="n">
        <v>81</v>
      </c>
      <c r="C94" s="170" t="inlineStr">
        <is>
          <t>COTIZACION DE LOS DISEÑOS DE SEGURIDAD HUMANA Y PROTECCIÓN CONTRA  INCENDIOS - HOTEL ALAVERA</t>
        </is>
      </c>
      <c r="D94" s="312" t="n"/>
      <c r="E94" s="312" t="n"/>
      <c r="F94" s="312" t="n"/>
      <c r="G94" s="312" t="n"/>
      <c r="H94" s="312" t="n"/>
      <c r="I94" s="313" t="n"/>
      <c r="J94" s="314" t="n">
        <v>21732000</v>
      </c>
      <c r="K94" s="2" t="n">
        <v>43329</v>
      </c>
      <c r="L94" s="170" t="n"/>
      <c r="M94" s="6" t="n"/>
      <c r="N94" s="6" t="n"/>
      <c r="O94" s="6" t="n"/>
    </row>
    <row r="95">
      <c r="B95" s="170" t="n">
        <v>82</v>
      </c>
      <c r="C95" s="170" t="inlineStr">
        <is>
          <t>COTIZACION DE LOS DISEÑOS DE PROTECCIÓN CONTRA INCENDIOS PARA EL PROYECTO MAS X MENOS VIVA ENVIGADO</t>
        </is>
      </c>
      <c r="D95" s="312" t="n"/>
      <c r="E95" s="312" t="n"/>
      <c r="F95" s="312" t="n"/>
      <c r="G95" s="312" t="n"/>
      <c r="H95" s="312" t="n"/>
      <c r="I95" s="313" t="n"/>
      <c r="J95" s="314" t="n">
        <v>1160000</v>
      </c>
      <c r="K95" s="2" t="n">
        <v>43330</v>
      </c>
      <c r="L95" s="170" t="n"/>
      <c r="M95" s="6" t="n"/>
      <c r="N95" s="6" t="n"/>
      <c r="O95" s="6" t="n"/>
    </row>
    <row r="96">
      <c r="B96" s="170" t="n">
        <v>83</v>
      </c>
      <c r="C96" s="170" t="inlineStr">
        <is>
          <t>COTIZACION DEL DISEÑO DE EXTINCIÓN DE INCENDIOS PARA EL PROYECTO PRESTO VIVA ENVIGADO</t>
        </is>
      </c>
      <c r="D96" s="312" t="n"/>
      <c r="E96" s="312" t="n"/>
      <c r="F96" s="312" t="n"/>
      <c r="G96" s="312" t="n"/>
      <c r="H96" s="312" t="n"/>
      <c r="I96" s="313" t="n"/>
      <c r="J96" s="314" t="n">
        <v>400000</v>
      </c>
      <c r="K96" s="2" t="n">
        <v>43336</v>
      </c>
      <c r="L96" s="170" t="n"/>
      <c r="M96" s="6" t="n"/>
      <c r="N96" s="6" t="n"/>
      <c r="O96" s="6" t="n"/>
    </row>
    <row r="97">
      <c r="B97" s="170" t="n">
        <v>84</v>
      </c>
      <c r="C97" s="170" t="inlineStr">
        <is>
          <t>COTIZACION REVISIÓN Y CAPACITACIÓN RED CONTRA INCENDIOS – MINEROS S.A. ZONA INDUSTRIAL</t>
        </is>
      </c>
      <c r="D97" s="312" t="n"/>
      <c r="E97" s="312" t="n"/>
      <c r="F97" s="312" t="n"/>
      <c r="G97" s="312" t="n"/>
      <c r="H97" s="312" t="n"/>
      <c r="I97" s="313" t="n"/>
      <c r="J97" s="314" t="n">
        <v>6120850</v>
      </c>
      <c r="K97" s="2" t="n">
        <v>43337</v>
      </c>
      <c r="L97" s="170" t="n"/>
      <c r="M97" s="6" t="n"/>
      <c r="N97" s="6" t="n"/>
      <c r="O97" s="6" t="n"/>
    </row>
    <row r="98">
      <c r="B98" s="170" t="n">
        <v>85</v>
      </c>
      <c r="C98" s="170" t="inlineStr">
        <is>
          <t>COTIZACION DE LOS DISEÑOS DE DETECCIÓN DE INCENDIOS Y SEGURIDAD HUMANA PARA EL PROYECTO TERRAZA EDIFICIO SANTILLANA</t>
        </is>
      </c>
      <c r="D98" s="312" t="n"/>
      <c r="E98" s="312" t="n"/>
      <c r="F98" s="312" t="n"/>
      <c r="G98" s="312" t="n"/>
      <c r="H98" s="312" t="n"/>
      <c r="I98" s="313" t="n"/>
      <c r="J98" s="314" t="n">
        <v>2375000</v>
      </c>
      <c r="K98" s="2" t="n">
        <v>43339</v>
      </c>
      <c r="L98" s="170" t="n"/>
      <c r="M98" s="6" t="n"/>
      <c r="N98" s="6" t="n"/>
      <c r="O98" s="6" t="n"/>
    </row>
    <row r="99">
      <c r="B99" s="170" t="n">
        <v>86</v>
      </c>
      <c r="C99" s="170" t="inlineStr">
        <is>
          <t>COTIZACION DE LOS DISEÑOS DE PROTECCIÓN CONTRA  INCENDIOS - REPIMEX</t>
        </is>
      </c>
      <c r="D99" s="312" t="n"/>
      <c r="E99" s="312" t="n"/>
      <c r="F99" s="312" t="n"/>
      <c r="G99" s="312" t="n"/>
      <c r="H99" s="312" t="n"/>
      <c r="I99" s="313" t="n"/>
      <c r="J99" s="314" t="n">
        <v>6900000</v>
      </c>
      <c r="K99" s="2" t="n">
        <v>43339</v>
      </c>
      <c r="L99" s="170" t="n"/>
      <c r="M99" s="6" t="n"/>
      <c r="N99" s="6" t="n"/>
      <c r="O99" s="6" t="n"/>
    </row>
    <row r="100">
      <c r="B100" s="170" t="n">
        <v>87</v>
      </c>
      <c r="C100" s="170" t="inlineStr">
        <is>
          <t>COTIZACION DEL DISEÑO DE EXTINCIÓN DE INCENDIOS PARA EL PROYECTO ALEVILLA VIVA ENVIGADO</t>
        </is>
      </c>
      <c r="D100" s="312" t="n"/>
      <c r="E100" s="312" t="n"/>
      <c r="F100" s="312" t="n"/>
      <c r="G100" s="312" t="n"/>
      <c r="H100" s="312" t="n"/>
      <c r="I100" s="313" t="n"/>
      <c r="J100" s="314" t="n">
        <v>1825000</v>
      </c>
      <c r="K100" s="2" t="n">
        <v>43339</v>
      </c>
      <c r="L100" s="170" t="n"/>
      <c r="M100" s="6" t="n"/>
      <c r="N100" s="6" t="n"/>
      <c r="O100" s="6" t="n"/>
    </row>
    <row r="101">
      <c r="B101" s="170" t="n">
        <v>88</v>
      </c>
      <c r="C101" s="170" t="inlineStr">
        <is>
          <t>COTIZACION DEL ANÁLISIS DE SEGURIDAD HUMANA Y REQUERIMIENTOS DE PROTECCIÓN CONTRA INCENDIOS - TIENDAS LIVING</t>
        </is>
      </c>
      <c r="D101" s="312" t="n"/>
      <c r="E101" s="312" t="n"/>
      <c r="F101" s="312" t="n"/>
      <c r="G101" s="312" t="n"/>
      <c r="H101" s="312" t="n"/>
      <c r="I101" s="313" t="n"/>
      <c r="J101" s="314" t="n">
        <v>3795000</v>
      </c>
      <c r="K101" s="2" t="n">
        <v>43339</v>
      </c>
      <c r="L101" s="170" t="n"/>
      <c r="M101" s="6" t="n"/>
      <c r="N101" s="6" t="n"/>
      <c r="O101" s="6" t="n"/>
    </row>
    <row r="102">
      <c r="B102" s="170" t="n">
        <v>89</v>
      </c>
      <c r="C102" s="170" t="inlineStr">
        <is>
          <t>COTIZACION DE LA REVISIÓN A LA INSTALACIÓN DEL SISTEMA DE EXTINCIÓN DE INCENDIOS PARA EL PROYECTO LISBOA</t>
        </is>
      </c>
      <c r="D102" s="312" t="n"/>
      <c r="E102" s="312" t="n"/>
      <c r="F102" s="312" t="n"/>
      <c r="G102" s="312" t="n"/>
      <c r="H102" s="312" t="n"/>
      <c r="I102" s="313" t="n"/>
      <c r="J102" s="314" t="n">
        <v>815000</v>
      </c>
      <c r="K102" s="2" t="n">
        <v>43340</v>
      </c>
      <c r="L102" s="170" t="n"/>
      <c r="M102" s="6" t="n"/>
      <c r="N102" s="6" t="n"/>
      <c r="O102" s="6" t="n"/>
    </row>
    <row r="103">
      <c r="B103" s="170" t="n">
        <v>90</v>
      </c>
      <c r="C103" s="170" t="inlineStr">
        <is>
          <t>COTIZACION DEL DISEÑO DE DETECCIÓN DE INCENDIOS - HOTEL CASA FLORA</t>
        </is>
      </c>
      <c r="D103" s="312" t="n"/>
      <c r="E103" s="312" t="n"/>
      <c r="F103" s="312" t="n"/>
      <c r="G103" s="312" t="n"/>
      <c r="H103" s="312" t="n"/>
      <c r="I103" s="313" t="n"/>
      <c r="J103" s="314" t="n">
        <v>3387000</v>
      </c>
      <c r="K103" s="2" t="n">
        <v>43341</v>
      </c>
      <c r="L103" s="170" t="n"/>
      <c r="M103" s="6" t="n"/>
      <c r="N103" s="6" t="n"/>
      <c r="O103" s="6" t="n"/>
    </row>
    <row r="104">
      <c r="B104" s="170" t="n">
        <v>91</v>
      </c>
      <c r="C104" s="170" t="inlineStr">
        <is>
          <t>COTIZACION DEL DISEÑO DE EXTINCIÓN DE INCENDIOS - SAKURA</t>
        </is>
      </c>
      <c r="D104" s="312" t="n"/>
      <c r="E104" s="312" t="n"/>
      <c r="F104" s="312" t="n"/>
      <c r="G104" s="312" t="n"/>
      <c r="H104" s="312" t="n"/>
      <c r="I104" s="313" t="n"/>
      <c r="J104" s="314" t="n">
        <v>13171000</v>
      </c>
      <c r="K104" s="2" t="n">
        <v>43341</v>
      </c>
      <c r="L104" s="170" t="n"/>
      <c r="M104" s="6" t="n"/>
      <c r="N104" s="6" t="n"/>
      <c r="O104" s="6" t="n"/>
    </row>
    <row r="105">
      <c r="B105" s="170" t="n">
        <v>92</v>
      </c>
      <c r="C105" s="170" t="inlineStr">
        <is>
          <t>OFICINA CONSTRUCCIONES DRP</t>
        </is>
      </c>
      <c r="D105" s="312" t="n"/>
      <c r="E105" s="312" t="n"/>
      <c r="F105" s="312" t="n"/>
      <c r="G105" s="312" t="n"/>
      <c r="H105" s="312" t="n"/>
      <c r="I105" s="313" t="n"/>
      <c r="J105" s="314" t="n">
        <v>2635000</v>
      </c>
      <c r="K105" s="2" t="n">
        <v>43346</v>
      </c>
      <c r="L105" s="170" t="n"/>
      <c r="M105" s="6" t="n"/>
      <c r="N105" s="6" t="n"/>
      <c r="O105" s="6" t="n"/>
    </row>
    <row r="106">
      <c r="B106" s="170" t="n">
        <v>93</v>
      </c>
      <c r="C106" s="170" t="inlineStr">
        <is>
          <t>COTIZACION DEL DISEÑO DE EXTINCIÓN DE INCENDIOS - DISEÑO HOTEL WESTING CAMINO REAL</t>
        </is>
      </c>
      <c r="D106" s="312" t="n"/>
      <c r="E106" s="312" t="n"/>
      <c r="F106" s="312" t="n"/>
      <c r="G106" s="312" t="n"/>
      <c r="H106" s="312" t="n"/>
      <c r="I106" s="313" t="n"/>
      <c r="J106" s="314" t="n">
        <v>4920</v>
      </c>
      <c r="K106" s="2" t="n">
        <v>43346</v>
      </c>
      <c r="L106" s="170" t="n"/>
      <c r="M106" s="6" t="n"/>
      <c r="N106" s="6" t="n"/>
      <c r="O106" s="6" t="n"/>
    </row>
    <row r="107">
      <c r="B107" s="170" t="n">
        <v>94</v>
      </c>
      <c r="C107" s="170" t="inlineStr">
        <is>
          <t>COTIZACION DEL DIAGNÓSTICO DE LOS SISTEMAS DE PROTECCIÓN CONTRA INCENDIOS ACTUALES DE LA PLANTA TABLEMAC DURATEX</t>
        </is>
      </c>
      <c r="D107" s="312" t="n"/>
      <c r="E107" s="312" t="n"/>
      <c r="F107" s="312" t="n"/>
      <c r="G107" s="312" t="n"/>
      <c r="H107" s="312" t="n"/>
      <c r="I107" s="313" t="n"/>
      <c r="J107" s="314" t="n">
        <v>7930000</v>
      </c>
      <c r="K107" s="2" t="n">
        <v>43347</v>
      </c>
      <c r="L107" s="170" t="n"/>
      <c r="M107" s="6" t="n"/>
      <c r="N107" s="6" t="n"/>
      <c r="O107" s="6" t="n"/>
    </row>
    <row r="108">
      <c r="B108" s="170" t="n">
        <v>95</v>
      </c>
      <c r="C108" s="170" t="inlineStr">
        <is>
          <t>COTIZACION DE LOS DISEÑOS DE PROTECCIÓN CONTRA  INCENDIOS - OFICINAS 850 M2 DMODA</t>
        </is>
      </c>
      <c r="D108" s="312" t="n"/>
      <c r="E108" s="312" t="n"/>
      <c r="F108" s="312" t="n"/>
      <c r="G108" s="312" t="n"/>
      <c r="H108" s="312" t="n"/>
      <c r="I108" s="313" t="n"/>
      <c r="J108" s="314" t="n">
        <v>4084000</v>
      </c>
      <c r="K108" s="2" t="n">
        <v>43347</v>
      </c>
      <c r="L108" s="170" t="n"/>
      <c r="M108" s="6" t="n"/>
      <c r="N108" s="6" t="n"/>
      <c r="O108" s="6" t="n"/>
    </row>
    <row r="109">
      <c r="B109" s="170" t="n">
        <v>96</v>
      </c>
      <c r="C109" s="170" t="inlineStr">
        <is>
          <t>COTIZACION DEL DISEÑO DE EXTINCIÓN DE INCENDIOS PARA EL PROYECTO ETAPA 4 BALCONES DE SALESIA</t>
        </is>
      </c>
      <c r="D109" s="312" t="n"/>
      <c r="E109" s="312" t="n"/>
      <c r="F109" s="312" t="n"/>
      <c r="G109" s="312" t="n"/>
      <c r="H109" s="312" t="n"/>
      <c r="I109" s="313" t="n"/>
      <c r="J109" s="314" t="n">
        <v>1780000</v>
      </c>
      <c r="K109" s="2" t="n">
        <v>43348</v>
      </c>
      <c r="L109" s="170" t="n"/>
      <c r="M109" s="6" t="n"/>
      <c r="N109" s="6" t="n"/>
      <c r="O109" s="6" t="n"/>
    </row>
    <row r="110">
      <c r="B110" s="170" t="n">
        <v>97</v>
      </c>
      <c r="C110" s="170" t="inlineStr">
        <is>
          <t>COTIZACION DEL DISEÑO DE EXTINCIÓN DE INCENDIOS - BRISA VIVA ENVIGADO</t>
        </is>
      </c>
      <c r="D110" s="312" t="n"/>
      <c r="E110" s="312" t="n"/>
      <c r="F110" s="312" t="n"/>
      <c r="G110" s="312" t="n"/>
      <c r="H110" s="312" t="n"/>
      <c r="I110" s="313" t="n"/>
      <c r="J110" s="314" t="n">
        <v>1829000</v>
      </c>
      <c r="K110" s="2" t="n">
        <v>43348</v>
      </c>
      <c r="L110" s="170" t="n"/>
      <c r="M110" s="6" t="n"/>
      <c r="N110" s="6" t="n"/>
      <c r="O110" s="6" t="n"/>
    </row>
    <row r="111">
      <c r="B111" s="170" t="n">
        <v>98</v>
      </c>
      <c r="C111" s="170" t="inlineStr">
        <is>
          <t>COTIZACION DEL DISEÑO DE EXTINCIÓN DE INCENDIOS - RIBS VIVA ENVIGADO</t>
        </is>
      </c>
      <c r="D111" s="312" t="n"/>
      <c r="E111" s="312" t="n"/>
      <c r="F111" s="312" t="n"/>
      <c r="G111" s="312" t="n"/>
      <c r="H111" s="312" t="n"/>
      <c r="I111" s="313" t="n"/>
      <c r="J111" s="314" t="n">
        <v>1423000</v>
      </c>
      <c r="K111" s="2" t="n">
        <v>43348</v>
      </c>
      <c r="L111" s="170" t="n"/>
      <c r="M111" s="6" t="n"/>
      <c r="N111" s="6" t="n"/>
      <c r="O111" s="6" t="n"/>
    </row>
    <row r="112">
      <c r="B112" s="170" t="n">
        <v>99</v>
      </c>
      <c r="C112" s="170" t="inlineStr">
        <is>
          <t>COTIZACION DE LA INGENIERÍA CONCEPTUAL Y BÁSICA DEL SISTEMA DE EXTINCIÓN DE INCENDIOS PARA LA PLANTA TABLEMAC DURATEX YARUMAL</t>
        </is>
      </c>
      <c r="D112" s="312" t="n"/>
      <c r="E112" s="312" t="n"/>
      <c r="F112" s="312" t="n"/>
      <c r="G112" s="312" t="n"/>
      <c r="H112" s="312" t="n"/>
      <c r="I112" s="313" t="n"/>
      <c r="J112" s="314" t="n">
        <v>33870000</v>
      </c>
      <c r="K112" s="2" t="n">
        <v>43348</v>
      </c>
      <c r="L112" s="170" t="n"/>
      <c r="M112" s="6" t="n"/>
      <c r="N112" s="6" t="n"/>
      <c r="O112" s="6" t="n"/>
    </row>
    <row r="113">
      <c r="B113" s="170" t="n">
        <v>100</v>
      </c>
      <c r="C113" s="170" t="inlineStr">
        <is>
          <t>COTIZACION DE LOS DISEÑOS DE PROTECCIÓN CONTRA INCENDIOS Y SEGURIDAD HUMANA PARA EL PROYECTO FIRENZZE</t>
        </is>
      </c>
      <c r="D113" s="312" t="n"/>
      <c r="E113" s="312" t="n"/>
      <c r="F113" s="312" t="n"/>
      <c r="G113" s="312" t="n"/>
      <c r="H113" s="312" t="n"/>
      <c r="I113" s="313" t="n"/>
      <c r="J113" s="314" t="n">
        <v>16500000</v>
      </c>
      <c r="K113" s="2" t="n">
        <v>43349</v>
      </c>
      <c r="L113" s="170" t="n"/>
      <c r="M113" s="6" t="n"/>
      <c r="N113" s="6" t="n"/>
      <c r="O113" s="6" t="n"/>
    </row>
    <row r="114">
      <c r="B114" s="170" t="n">
        <v>101</v>
      </c>
      <c r="C114" s="170" t="inlineStr">
        <is>
          <t>COTIZACION DEL DISEÑO DE DETECCIÓN DE INCENDIOS - EDIFICIO EON</t>
        </is>
      </c>
      <c r="D114" s="312" t="n"/>
      <c r="E114" s="312" t="n"/>
      <c r="F114" s="312" t="n"/>
      <c r="G114" s="312" t="n"/>
      <c r="H114" s="312" t="n"/>
      <c r="I114" s="313" t="n"/>
      <c r="J114" s="314" t="n">
        <v>2195</v>
      </c>
      <c r="K114" s="2" t="n">
        <v>43350</v>
      </c>
      <c r="L114" s="170" t="n"/>
      <c r="M114" s="6" t="n"/>
      <c r="N114" s="6" t="n"/>
      <c r="O114" s="6" t="n"/>
    </row>
    <row r="115">
      <c r="B115" s="170" t="n">
        <v>102</v>
      </c>
      <c r="C115" s="170" t="inlineStr">
        <is>
          <t>COTIZACION DE LOS RE-DISEÑOS DE PROTECCIÓN CONTRA INCENDIOS PARA EL PROYECTO SUPERCELL AVENTURA</t>
        </is>
      </c>
      <c r="D115" s="312" t="n"/>
      <c r="E115" s="312" t="n"/>
      <c r="F115" s="312" t="n"/>
      <c r="G115" s="312" t="n"/>
      <c r="H115" s="312" t="n"/>
      <c r="I115" s="313" t="n"/>
      <c r="J115" s="314" t="n">
        <v>4065000</v>
      </c>
      <c r="K115" s="2" t="n">
        <v>43350</v>
      </c>
      <c r="L115" s="170" t="n"/>
      <c r="M115" s="6" t="n"/>
      <c r="N115" s="6" t="n"/>
      <c r="O115" s="6" t="n"/>
    </row>
    <row r="116">
      <c r="B116" s="170" t="n">
        <v>103</v>
      </c>
      <c r="C116" s="170" t="inlineStr">
        <is>
          <t>COTIZACION DE LA INGENIERÍA CONCEPTUAL DE EXTINCIÓN DE INCENDIOS PARA EL PROYECTO IMBERIA CAUCA</t>
        </is>
      </c>
      <c r="D116" s="312" t="n"/>
      <c r="E116" s="312" t="n"/>
      <c r="F116" s="312" t="n"/>
      <c r="G116" s="312" t="n"/>
      <c r="H116" s="312" t="n"/>
      <c r="I116" s="313" t="n"/>
      <c r="J116" s="314" t="n">
        <v>1965000</v>
      </c>
      <c r="K116" s="2" t="n">
        <v>43350</v>
      </c>
      <c r="L116" s="170" t="n"/>
      <c r="M116" s="6" t="n"/>
      <c r="N116" s="6" t="n"/>
      <c r="O116" s="6" t="n"/>
    </row>
    <row r="117">
      <c r="B117" s="170" t="n">
        <v>104</v>
      </c>
      <c r="C117" s="170" t="inlineStr">
        <is>
          <t>COTIZACION VERIFICACIÓN SISTEMA DE EXTINCIÓN DE INCENDIOS - TOMZA TROPIGAS</t>
        </is>
      </c>
      <c r="D117" s="312" t="n"/>
      <c r="E117" s="312" t="n"/>
      <c r="F117" s="312" t="n"/>
      <c r="G117" s="312" t="n"/>
      <c r="H117" s="312" t="n"/>
      <c r="I117" s="313" t="n"/>
      <c r="J117" s="314" t="n">
        <v>1517</v>
      </c>
      <c r="K117" s="2" t="n">
        <v>43353</v>
      </c>
      <c r="L117" s="170" t="n"/>
      <c r="M117" s="6" t="n"/>
      <c r="N117" s="6" t="n"/>
      <c r="O117" s="6" t="n"/>
    </row>
    <row r="118">
      <c r="B118" s="170" t="n">
        <v>105</v>
      </c>
      <c r="C118" s="170" t="inlineStr">
        <is>
          <t>COTIZACION DEL DISEÑO DE EXTINCIÓN DE INCENDIOS PARA EL PROYECTO SALA VIP AEROPUERTO JMC</t>
        </is>
      </c>
      <c r="D118" s="312" t="n"/>
      <c r="E118" s="312" t="n"/>
      <c r="F118" s="312" t="n"/>
      <c r="G118" s="312" t="n"/>
      <c r="H118" s="312" t="n"/>
      <c r="I118" s="313" t="n"/>
      <c r="J118" s="314" t="n">
        <v>2500000</v>
      </c>
      <c r="K118" s="2" t="n">
        <v>43353</v>
      </c>
      <c r="L118" s="170" t="n"/>
      <c r="M118" s="6" t="n"/>
      <c r="N118" s="6" t="n"/>
      <c r="O118" s="6" t="n"/>
    </row>
    <row r="119">
      <c r="B119" s="170" t="n">
        <v>106</v>
      </c>
      <c r="C119" s="170" t="inlineStr">
        <is>
          <t>COTIZACION DE LOS DISEÑOS DE PROTECCIÓN CONTRA INCENDIOS Y SEGURIDAD HUMANA PARA EL PROYECTO OTTIUM</t>
        </is>
      </c>
      <c r="D119" s="312" t="n"/>
      <c r="E119" s="312" t="n"/>
      <c r="F119" s="312" t="n"/>
      <c r="G119" s="312" t="n"/>
      <c r="H119" s="312" t="n"/>
      <c r="I119" s="313" t="n"/>
      <c r="J119" s="314" t="n">
        <v>21870000</v>
      </c>
      <c r="K119" s="2" t="n">
        <v>43353</v>
      </c>
      <c r="L119" s="170" t="n"/>
      <c r="M119" s="6" t="n"/>
      <c r="N119" s="6" t="n"/>
      <c r="O119" s="6" t="n"/>
    </row>
    <row r="120">
      <c r="B120" s="170" t="n">
        <v>107</v>
      </c>
      <c r="C120" s="170" t="inlineStr">
        <is>
          <t>COTIZACION DEL DISEÑO DE EXTINCIÓN DE INCENDIOS PARA EL PROYECTO COMANDO DE POLICÍA LA ESTRELLA</t>
        </is>
      </c>
      <c r="D120" s="312" t="n"/>
      <c r="E120" s="312" t="n"/>
      <c r="F120" s="312" t="n"/>
      <c r="G120" s="312" t="n"/>
      <c r="H120" s="312" t="n"/>
      <c r="I120" s="313" t="n"/>
      <c r="J120" s="314" t="n">
        <v>6775000</v>
      </c>
      <c r="K120" s="2" t="n">
        <v>43384</v>
      </c>
      <c r="L120" s="170" t="n"/>
      <c r="M120" s="6" t="n"/>
      <c r="N120" s="6" t="n"/>
      <c r="O120" s="6" t="n"/>
    </row>
    <row r="121">
      <c r="B121" s="170" t="n">
        <v>108</v>
      </c>
      <c r="C121" s="170" t="inlineStr">
        <is>
          <t>COTIZACION DE LOS DISEÑOS DE PROTECCIÓN CONTRA  INCENDIOS - PROYECTO ARBORIX</t>
        </is>
      </c>
      <c r="D121" s="312" t="n"/>
      <c r="E121" s="312" t="n"/>
      <c r="F121" s="312" t="n"/>
      <c r="G121" s="312" t="n"/>
      <c r="H121" s="312" t="n"/>
      <c r="I121" s="313" t="n"/>
      <c r="J121" s="314" t="n">
        <v>14100000</v>
      </c>
      <c r="K121" s="2" t="n">
        <v>43357</v>
      </c>
      <c r="L121" s="170" t="n"/>
      <c r="M121" s="6" t="n"/>
      <c r="N121" s="6" t="n"/>
      <c r="O121" s="6" t="n"/>
    </row>
    <row r="122">
      <c r="B122" s="170" t="n">
        <v>109</v>
      </c>
      <c r="C122" s="170" t="inlineStr">
        <is>
          <t>COTIZACION DEL DISEÑO DE DETECCIÓN DE INCENDIOS - PLÁSTICOS KENDY RIONEGRO</t>
        </is>
      </c>
      <c r="D122" s="312" t="n"/>
      <c r="E122" s="312" t="n"/>
      <c r="F122" s="312" t="n"/>
      <c r="G122" s="312" t="n"/>
      <c r="H122" s="312" t="n"/>
      <c r="I122" s="313" t="n"/>
      <c r="J122" s="314" t="n">
        <v>10395000</v>
      </c>
      <c r="K122" s="2" t="n">
        <v>43357</v>
      </c>
      <c r="L122" s="170" t="n"/>
      <c r="M122" s="6" t="n"/>
      <c r="N122" s="6" t="n"/>
      <c r="O122" s="6" t="n"/>
    </row>
    <row r="123">
      <c r="B123" s="170" t="n">
        <v>110</v>
      </c>
      <c r="C123" s="170" t="inlineStr">
        <is>
          <t>COTIZACION DE LOS PLANOS DE SEGURIDAD HUMANA - SWISSOTEL</t>
        </is>
      </c>
      <c r="D123" s="312" t="n"/>
      <c r="E123" s="312" t="n"/>
      <c r="F123" s="312" t="n"/>
      <c r="G123" s="312" t="n"/>
      <c r="H123" s="312" t="n"/>
      <c r="I123" s="313" t="n"/>
      <c r="J123" s="314" t="n">
        <v>2108000</v>
      </c>
      <c r="K123" s="2" t="n">
        <v>43360</v>
      </c>
      <c r="L123" s="170" t="n"/>
      <c r="M123" s="6" t="n"/>
      <c r="N123" s="6" t="n"/>
      <c r="O123" s="6" t="n"/>
    </row>
    <row r="124">
      <c r="B124" s="170" t="n">
        <v>111</v>
      </c>
      <c r="C124" s="170" t="inlineStr">
        <is>
          <t>COTIZACION DE LOS DISEÑOS DE PROTECCIÓN CONTRA  INCENDIOS - HOSPITAL YONDÓ</t>
        </is>
      </c>
      <c r="D124" s="312" t="n"/>
      <c r="E124" s="312" t="n"/>
      <c r="F124" s="312" t="n"/>
      <c r="G124" s="312" t="n"/>
      <c r="H124" s="312" t="n"/>
      <c r="I124" s="313" t="n"/>
      <c r="J124" s="314" t="n">
        <v>5300000</v>
      </c>
      <c r="K124" s="2" t="n">
        <v>43357</v>
      </c>
      <c r="L124" s="170" t="n"/>
      <c r="M124" s="6" t="n"/>
      <c r="N124" s="6" t="n"/>
      <c r="O124" s="6" t="n"/>
    </row>
    <row r="125">
      <c r="B125" s="170" t="n">
        <v>112</v>
      </c>
      <c r="C125" s="170" t="inlineStr">
        <is>
          <t>COTIZACION DEL DISEÑO DE EXTINCIÓN DE INCENDIOS - PREMIUM PLAZA</t>
        </is>
      </c>
      <c r="D125" s="312" t="n"/>
      <c r="E125" s="312" t="n"/>
      <c r="F125" s="312" t="n"/>
      <c r="G125" s="312" t="n"/>
      <c r="H125" s="312" t="n"/>
      <c r="I125" s="313" t="n"/>
      <c r="J125" s="314" t="n">
        <v>33255000</v>
      </c>
      <c r="K125" s="2" t="n">
        <v>43361</v>
      </c>
      <c r="L125" s="170" t="n"/>
      <c r="M125" s="6" t="n"/>
      <c r="N125" s="6" t="n"/>
      <c r="O125" s="6" t="n"/>
    </row>
    <row r="126">
      <c r="B126" s="170" t="n">
        <v>113</v>
      </c>
      <c r="C126" s="170" t="inlineStr">
        <is>
          <t>COTIZACION DE LOS DISEÑOS DE SEGURIDAD HUMANA Y PROTECCIÓN CONTRA  INCENDIOS - PUNTA CAIMÁN</t>
        </is>
      </c>
      <c r="D126" s="312" t="n"/>
      <c r="E126" s="312" t="n"/>
      <c r="F126" s="312" t="n"/>
      <c r="G126" s="312" t="n"/>
      <c r="H126" s="312" t="n"/>
      <c r="I126" s="313" t="n"/>
      <c r="J126" s="314" t="n">
        <v>44170</v>
      </c>
      <c r="K126" s="2" t="n">
        <v>43361</v>
      </c>
      <c r="L126" s="170" t="n"/>
      <c r="M126" s="6" t="n"/>
      <c r="N126" s="6" t="n"/>
      <c r="O126" s="6" t="n"/>
    </row>
    <row r="127">
      <c r="B127" s="170" t="n">
        <v>114</v>
      </c>
      <c r="C127" s="170" t="inlineStr">
        <is>
          <t>COTIZACION DEL DISEÑO DE DETECCIÓN DE INCENDIOS - COMFENALCO VIVA ENVIGADO</t>
        </is>
      </c>
      <c r="D127" s="312" t="n"/>
      <c r="E127" s="312" t="n"/>
      <c r="F127" s="312" t="n"/>
      <c r="G127" s="312" t="n"/>
      <c r="H127" s="312" t="n"/>
      <c r="I127" s="313" t="n"/>
      <c r="J127" s="314" t="n">
        <v>500000</v>
      </c>
      <c r="K127" s="2" t="n">
        <v>43365</v>
      </c>
      <c r="L127" s="170" t="n"/>
      <c r="M127" s="6" t="n"/>
      <c r="N127" s="6" t="n"/>
      <c r="O127" s="6" t="n"/>
    </row>
    <row r="128">
      <c r="B128" s="170" t="n">
        <v>115</v>
      </c>
      <c r="C128" s="170" t="inlineStr">
        <is>
          <t>COTIZACION DE LOS DISEÑOS DE PROTECCIÓN CONTRA  INCENDIOS - VITHA</t>
        </is>
      </c>
      <c r="D128" s="312" t="n"/>
      <c r="E128" s="312" t="n"/>
      <c r="F128" s="312" t="n"/>
      <c r="G128" s="312" t="n"/>
      <c r="H128" s="312" t="n"/>
      <c r="I128" s="313" t="n"/>
      <c r="J128" s="314" t="n">
        <v>26300000</v>
      </c>
      <c r="K128" s="2" t="n">
        <v>43367</v>
      </c>
      <c r="L128" s="170" t="n"/>
      <c r="M128" s="6" t="n"/>
      <c r="N128" s="6" t="n"/>
      <c r="O128" s="6" t="n"/>
    </row>
    <row r="129">
      <c r="B129" s="170" t="n">
        <v>116</v>
      </c>
      <c r="C129" s="170" t="inlineStr">
        <is>
          <t>COTIZACION DE LOS DISEÑOS DE PROTECCIÓN CONTRA INCENDIOS PARA EL PROYECTO MERCOVIL VOLKSWAGEN</t>
        </is>
      </c>
      <c r="D129" s="312" t="n"/>
      <c r="E129" s="312" t="n"/>
      <c r="F129" s="312" t="n"/>
      <c r="G129" s="312" t="n"/>
      <c r="H129" s="312" t="n"/>
      <c r="I129" s="313" t="n"/>
      <c r="J129" s="317" t="n">
        <v>6640000</v>
      </c>
      <c r="K129" s="2" t="n">
        <v>43368</v>
      </c>
      <c r="L129" s="170" t="n"/>
      <c r="M129" s="6" t="n"/>
      <c r="N129" s="6" t="n"/>
      <c r="O129" s="6" t="n"/>
    </row>
    <row r="130">
      <c r="B130" s="170" t="n">
        <v>117</v>
      </c>
      <c r="C130" s="170" t="inlineStr">
        <is>
          <t>COTIZACION DE LOS DISEÑOS DE PROTECCIÓN CONTRA INCENDIOS Y SEGURIDAD HUMANA PARA EL PROYECTO TIGO UNE</t>
        </is>
      </c>
      <c r="D130" s="312" t="n"/>
      <c r="E130" s="312" t="n"/>
      <c r="F130" s="312" t="n"/>
      <c r="G130" s="312" t="n"/>
      <c r="H130" s="312" t="n"/>
      <c r="I130" s="313" t="n"/>
      <c r="J130" s="317" t="n">
        <v>30730350</v>
      </c>
      <c r="K130" s="2" t="n">
        <v>43370</v>
      </c>
      <c r="L130" s="170" t="n"/>
      <c r="M130" s="6" t="n"/>
      <c r="N130" s="6" t="n"/>
      <c r="O130" s="6" t="n"/>
    </row>
    <row r="131">
      <c r="B131" s="170" t="n">
        <v>118</v>
      </c>
      <c r="C131" s="170" t="inlineStr">
        <is>
          <t>COTIZACION DE LA REVISIÓN DEL DISEÑO DE EXTINCIÓN DE INCENDIOS DEL PROYECTO CENTRO COMERCIAL FLORIDA II</t>
        </is>
      </c>
      <c r="D131" s="312" t="n"/>
      <c r="E131" s="312" t="n"/>
      <c r="F131" s="312" t="n"/>
      <c r="G131" s="312" t="n"/>
      <c r="H131" s="312" t="n"/>
      <c r="I131" s="313" t="n"/>
      <c r="J131" s="314" t="n">
        <v>6000000</v>
      </c>
      <c r="K131" s="2" t="n">
        <v>43371</v>
      </c>
      <c r="L131" s="170" t="n"/>
      <c r="M131" s="6" t="n"/>
      <c r="N131" s="6" t="n"/>
      <c r="O131" s="6" t="n"/>
    </row>
    <row r="132">
      <c r="B132" s="170" t="n">
        <v>119</v>
      </c>
      <c r="C132" s="170" t="inlineStr">
        <is>
          <t>COTIZACION DE LOS DISEÑOS DE PROTECCIÓN CONTRA INCENDIOS Y SEGURIDAD HUMANA PARA EL PROYECTO CENTRAL MAYORISTA COPACABANA</t>
        </is>
      </c>
      <c r="D132" s="312" t="n"/>
      <c r="E132" s="312" t="n"/>
      <c r="F132" s="312" t="n"/>
      <c r="G132" s="312" t="n"/>
      <c r="H132" s="312" t="n"/>
      <c r="I132" s="313" t="n"/>
      <c r="J132" s="314" t="n">
        <v>112000000</v>
      </c>
      <c r="K132" s="2" t="n">
        <v>43374</v>
      </c>
      <c r="L132" s="170" t="n"/>
      <c r="M132" s="6" t="n"/>
      <c r="N132" s="6" t="n"/>
      <c r="O132" s="6" t="n"/>
    </row>
    <row r="133">
      <c r="B133" s="170" t="n">
        <v>120</v>
      </c>
      <c r="C133" s="170" t="inlineStr">
        <is>
          <t>COTIZACION DE LOS DISEÑOS DE PROTECCIÓN CONTRA  INCENDIOS - PLANTA JAGUAR ENERGY GUATEMALA</t>
        </is>
      </c>
      <c r="D133" s="312" t="n"/>
      <c r="E133" s="312" t="n"/>
      <c r="F133" s="312" t="n"/>
      <c r="G133" s="312" t="n"/>
      <c r="H133" s="312" t="n"/>
      <c r="I133" s="313" t="n"/>
      <c r="J133" s="314" t="n">
        <v>14100</v>
      </c>
      <c r="K133" s="2" t="n">
        <v>43375</v>
      </c>
      <c r="L133" s="170" t="n"/>
      <c r="M133" s="6" t="n"/>
      <c r="N133" s="6" t="n"/>
      <c r="O133" s="6" t="n"/>
    </row>
    <row r="134">
      <c r="B134" s="170" t="n">
        <v>121</v>
      </c>
      <c r="C134" s="170" t="inlineStr">
        <is>
          <t>COTIZACION DE LOS DISEÑOS DE PROTECCIÓN CONTRA INCENDIOS Y SEGURIDAD HUMANA PARA EL PROYECTO BODEGA UHT Y CEDI COLANTA</t>
        </is>
      </c>
      <c r="D134" s="312" t="n"/>
      <c r="E134" s="312" t="n"/>
      <c r="F134" s="312" t="n"/>
      <c r="G134" s="312" t="n"/>
      <c r="H134" s="312" t="n"/>
      <c r="I134" s="313" t="n"/>
      <c r="J134" s="314" t="n">
        <v>35625000</v>
      </c>
      <c r="K134" s="2" t="n">
        <v>43376</v>
      </c>
      <c r="L134" s="170" t="n"/>
      <c r="M134" s="6" t="n"/>
      <c r="N134" s="6" t="n"/>
      <c r="O134" s="6" t="n"/>
    </row>
    <row r="135">
      <c r="B135" s="170" t="n">
        <v>122</v>
      </c>
      <c r="C135" s="170" t="inlineStr">
        <is>
          <t>COTIZACION DE LOS DISEÑOS DE PROTECCIÓN CONTRA INCENDIOS PARA EL PROYECTO COLEGIO JORGE ROBLEDO</t>
        </is>
      </c>
      <c r="D135" s="312" t="n"/>
      <c r="E135" s="312" t="n"/>
      <c r="F135" s="312" t="n"/>
      <c r="G135" s="312" t="n"/>
      <c r="H135" s="312" t="n"/>
      <c r="I135" s="313" t="n"/>
      <c r="J135" s="314" t="n">
        <v>9875000</v>
      </c>
      <c r="K135" s="2" t="n">
        <v>43376</v>
      </c>
      <c r="L135" s="170" t="n"/>
      <c r="M135" s="6" t="n"/>
      <c r="N135" s="6" t="n"/>
      <c r="O135" s="6" t="n"/>
    </row>
    <row r="136">
      <c r="B136" s="170" t="n">
        <v>123</v>
      </c>
      <c r="C136" s="170" t="inlineStr">
        <is>
          <t>COTIZACION DEL DISEÑO DE EXTINCIÓN DE INCENDIOS PARA EL PROYECTO COLCHONES PARAÍSO DMODA</t>
        </is>
      </c>
      <c r="D136" s="312" t="n"/>
      <c r="E136" s="312" t="n"/>
      <c r="F136" s="312" t="n"/>
      <c r="G136" s="312" t="n"/>
      <c r="H136" s="312" t="n"/>
      <c r="I136" s="313" t="n"/>
      <c r="J136" s="314" t="n">
        <v>595000</v>
      </c>
      <c r="K136" s="2" t="n">
        <v>43378</v>
      </c>
      <c r="L136" s="170" t="n"/>
      <c r="M136" s="6" t="n"/>
      <c r="N136" s="6" t="n"/>
      <c r="O136" s="6" t="n"/>
    </row>
    <row r="137">
      <c r="B137" s="170" t="n">
        <v>124</v>
      </c>
      <c r="C137" s="170" t="inlineStr">
        <is>
          <t>COTIZACION DE LOS DISEÑOS DE PROTECCIÓN CONTRA INCENDIOS Y SEGURIDAD HUMANA PARA EL PROYECTO MIXY LOS COLORES</t>
        </is>
      </c>
      <c r="D137" s="312" t="n"/>
      <c r="E137" s="312" t="n"/>
      <c r="F137" s="312" t="n"/>
      <c r="G137" s="312" t="n"/>
      <c r="H137" s="312" t="n"/>
      <c r="I137" s="313" t="n"/>
      <c r="J137" s="314" t="n">
        <v>15605000</v>
      </c>
      <c r="K137" s="2" t="n">
        <v>43382</v>
      </c>
      <c r="L137" s="170" t="n"/>
      <c r="M137" s="6" t="n"/>
      <c r="N137" s="6" t="n"/>
      <c r="O137" s="6" t="n"/>
    </row>
    <row r="138">
      <c r="B138" s="170" t="n">
        <v>125</v>
      </c>
      <c r="C138" s="170" t="inlineStr">
        <is>
          <t>COTIZACION DE LOS DISEÑOS DE PROTECCIÓN CONTRA  INCENDIOS - EDIFCIO ZONA FRANCA CALDAS</t>
        </is>
      </c>
      <c r="D138" s="312" t="n"/>
      <c r="E138" s="312" t="n"/>
      <c r="F138" s="312" t="n"/>
      <c r="G138" s="312" t="n"/>
      <c r="H138" s="312" t="n"/>
      <c r="I138" s="313" t="n"/>
      <c r="J138" s="314" t="n">
        <v>11112000</v>
      </c>
      <c r="K138" s="2" t="n">
        <v>43384</v>
      </c>
      <c r="L138" s="170" t="n"/>
      <c r="M138" s="6" t="n"/>
      <c r="N138" s="6" t="n"/>
      <c r="O138" s="6" t="n"/>
    </row>
    <row r="139">
      <c r="B139" s="170" t="n">
        <v>126</v>
      </c>
      <c r="C139" s="170" t="inlineStr">
        <is>
          <t>COTIZACION DE LOS DISEÑOS DE PROTECCIÓN CONTRA INCENDIOS Y SEGURIDAD HUMANA PARA EL PROYECTO FORETTI</t>
        </is>
      </c>
      <c r="D139" s="312" t="n"/>
      <c r="E139" s="312" t="n"/>
      <c r="F139" s="312" t="n"/>
      <c r="G139" s="312" t="n"/>
      <c r="H139" s="312" t="n"/>
      <c r="I139" s="313" t="n"/>
      <c r="J139" s="314" t="n">
        <v>12000000</v>
      </c>
      <c r="K139" s="2" t="n">
        <v>43385</v>
      </c>
      <c r="L139" s="170" t="n"/>
      <c r="M139" s="6" t="n"/>
      <c r="N139" s="6" t="n"/>
      <c r="O139" s="6" t="n"/>
    </row>
    <row r="140">
      <c r="B140" s="170" t="n">
        <v>127</v>
      </c>
      <c r="C140" s="170" t="inlineStr">
        <is>
          <t>COTIZACION DEL DISEÑO DE EXTINCIÓN DE INCENDIOS PARA EL PROYECTO TORRE NORTE ALMACENTRO</t>
        </is>
      </c>
      <c r="D140" s="312" t="n"/>
      <c r="E140" s="312" t="n"/>
      <c r="F140" s="312" t="n"/>
      <c r="G140" s="312" t="n"/>
      <c r="H140" s="312" t="n"/>
      <c r="I140" s="313" t="n"/>
      <c r="J140" s="314" t="n">
        <v>2700000</v>
      </c>
      <c r="K140" s="2" t="n">
        <v>43385</v>
      </c>
      <c r="L140" s="170" t="n"/>
      <c r="M140" s="6" t="n"/>
      <c r="N140" s="6" t="n"/>
      <c r="O140" s="6" t="n"/>
    </row>
    <row r="141">
      <c r="B141" s="170" t="n">
        <v>128</v>
      </c>
      <c r="C141" s="170" t="inlineStr">
        <is>
          <t>COTIZACION DE LOS DISEÑOS DE SEGURIDAD HUMANA Y PROTECCIÓN CONTRA  INCENDIOS - SUMAPAZ</t>
        </is>
      </c>
      <c r="D141" s="312" t="n"/>
      <c r="E141" s="312" t="n"/>
      <c r="F141" s="312" t="n"/>
      <c r="G141" s="312" t="n"/>
      <c r="H141" s="312" t="n"/>
      <c r="I141" s="313" t="n"/>
      <c r="J141" s="314" t="n">
        <v>12845000</v>
      </c>
      <c r="K141" s="2" t="n">
        <v>43385</v>
      </c>
      <c r="L141" s="170" t="n"/>
      <c r="M141" s="6" t="n"/>
      <c r="N141" s="6" t="n"/>
      <c r="O141" s="6" t="n"/>
    </row>
    <row r="142">
      <c r="B142" s="170" t="n">
        <v>129</v>
      </c>
      <c r="C142" s="170" t="inlineStr">
        <is>
          <t>COTIZACION DE LOS DISEÑOS DE PROTECCIÓN CONTRA  INCENDIOS - COWORKING NOI</t>
        </is>
      </c>
      <c r="D142" s="312" t="n"/>
      <c r="E142" s="312" t="n"/>
      <c r="F142" s="312" t="n"/>
      <c r="G142" s="312" t="n"/>
      <c r="H142" s="312" t="n"/>
      <c r="I142" s="313" t="n"/>
      <c r="J142" s="314" t="n">
        <v>5928000</v>
      </c>
      <c r="K142" s="2" t="n">
        <v>43389</v>
      </c>
      <c r="L142" s="170" t="n"/>
      <c r="M142" s="6" t="n"/>
      <c r="N142" s="6" t="n"/>
      <c r="O142" s="6" t="n"/>
    </row>
    <row r="143">
      <c r="B143" s="170" t="n">
        <v>130</v>
      </c>
      <c r="C143" s="170" t="inlineStr">
        <is>
          <t>COTIZACION DE LOS DISEÑOS DE SEGURIDAD HUMANA Y PROTECCIÓN CONTRA  INCENDIOS - FAMILIA EL ROSAL - STUDIO SUR</t>
        </is>
      </c>
      <c r="D143" s="312" t="n"/>
      <c r="E143" s="312" t="n"/>
      <c r="F143" s="312" t="n"/>
      <c r="G143" s="312" t="n"/>
      <c r="H143" s="312" t="n"/>
      <c r="I143" s="313" t="n"/>
      <c r="J143" s="314" t="n">
        <v>16270000</v>
      </c>
      <c r="K143" s="2" t="n">
        <v>43389</v>
      </c>
      <c r="L143" s="170" t="n"/>
      <c r="M143" s="6" t="n"/>
      <c r="N143" s="6" t="n"/>
      <c r="O143" s="6" t="n"/>
    </row>
    <row r="144">
      <c r="B144" s="170" t="n">
        <v>131</v>
      </c>
      <c r="C144" s="170" t="inlineStr">
        <is>
          <t>COTIZACION DEL DISEÑO DE EXTINCIÓN DE INCENDIOS PARA STANZA VIVA ENVIGADO</t>
        </is>
      </c>
      <c r="D144" s="312" t="n"/>
      <c r="E144" s="312" t="n"/>
      <c r="F144" s="312" t="n"/>
      <c r="G144" s="312" t="n"/>
      <c r="H144" s="312" t="n"/>
      <c r="I144" s="313" t="n"/>
      <c r="J144" s="314" t="n">
        <v>400000</v>
      </c>
      <c r="K144" s="2" t="n">
        <v>43389</v>
      </c>
      <c r="L144" s="170" t="n"/>
      <c r="M144" s="6" t="n"/>
      <c r="N144" s="6" t="n"/>
      <c r="O144" s="6" t="n"/>
    </row>
    <row r="145">
      <c r="B145" s="170" t="n">
        <v>132</v>
      </c>
      <c r="C145" s="170" t="inlineStr">
        <is>
          <t>COTIZACION DE LOS DISEÑOS DE SEGURIDAD HUMANA Y PROTECCIÓN CONTRA  INCENDIOS - PRIMAVERA DEL NORTE</t>
        </is>
      </c>
      <c r="D145" s="312" t="n"/>
      <c r="E145" s="312" t="n"/>
      <c r="F145" s="312" t="n"/>
      <c r="G145" s="312" t="n"/>
      <c r="H145" s="312" t="n"/>
      <c r="I145" s="313" t="n"/>
      <c r="J145" s="314" t="n">
        <v>16787000</v>
      </c>
      <c r="K145" s="2" t="n">
        <v>43389</v>
      </c>
      <c r="L145" s="170" t="n"/>
      <c r="M145" s="6" t="n"/>
      <c r="N145" s="6" t="n"/>
      <c r="O145" s="6" t="n"/>
    </row>
    <row r="146">
      <c r="B146" s="170" t="n">
        <v>133</v>
      </c>
      <c r="C146" s="170" t="inlineStr">
        <is>
          <t>COTIZACION DEL DISEÑO DE EXTINCIÓN DE INCENDIOS - COLEGIO LOMBARDIA</t>
        </is>
      </c>
      <c r="D146" s="312" t="n"/>
      <c r="E146" s="312" t="n"/>
      <c r="F146" s="312" t="n"/>
      <c r="G146" s="312" t="n"/>
      <c r="H146" s="312" t="n"/>
      <c r="I146" s="313" t="n"/>
      <c r="J146" s="314" t="n">
        <v>13170000</v>
      </c>
      <c r="K146" s="2" t="n">
        <v>43392</v>
      </c>
      <c r="L146" s="170" t="n"/>
      <c r="M146" s="6" t="n"/>
      <c r="N146" s="6" t="n"/>
      <c r="O146" s="6" t="n"/>
    </row>
    <row r="147">
      <c r="B147" s="170" t="n">
        <v>134</v>
      </c>
      <c r="C147" s="170" t="inlineStr">
        <is>
          <t>COTIZACION DE LOS DISEÑOS DE SEGURIDAD HUMANA Y PROTECCIÓN CONTRA  INCENDIOS - PRIMAVERA DEL NORTE</t>
        </is>
      </c>
      <c r="D147" s="312" t="n"/>
      <c r="E147" s="312" t="n"/>
      <c r="F147" s="312" t="n"/>
      <c r="G147" s="312" t="n"/>
      <c r="H147" s="312" t="n"/>
      <c r="I147" s="313" t="n"/>
      <c r="J147" s="314" t="n">
        <v>6129000</v>
      </c>
      <c r="K147" s="2" t="n">
        <v>43392</v>
      </c>
      <c r="L147" s="170" t="n"/>
      <c r="M147" s="6" t="n"/>
      <c r="N147" s="6" t="n"/>
      <c r="O147" s="6" t="n"/>
    </row>
    <row r="148">
      <c r="B148" s="170" t="n">
        <v>135</v>
      </c>
      <c r="C148" s="170" t="inlineStr">
        <is>
          <t>COTIZACION DE LOS DISEÑOS DE SEGURIDAD HUMANA Y PROTECCIÓN CONTRA  INCENDIOS - OFICINAS ISA</t>
        </is>
      </c>
      <c r="D148" s="312" t="n"/>
      <c r="E148" s="312" t="n"/>
      <c r="F148" s="312" t="n"/>
      <c r="G148" s="312" t="n"/>
      <c r="H148" s="312" t="n"/>
      <c r="I148" s="313" t="n"/>
      <c r="J148" s="314" t="n">
        <v>4743000</v>
      </c>
      <c r="K148" s="2" t="n">
        <v>43396</v>
      </c>
      <c r="L148" s="170" t="n"/>
      <c r="M148" s="6" t="n"/>
      <c r="N148" s="6" t="n"/>
      <c r="O148" s="6" t="n"/>
    </row>
    <row r="149">
      <c r="B149" s="170" t="n">
        <v>136</v>
      </c>
      <c r="C149" s="170" t="inlineStr">
        <is>
          <t>COTIZACION DE LOS DISEÑOS DE SEGURIDAD HUMANA Y PROTECCIÓN CONTRA  INCENDIOS - CLINICA COUNTRY BOGOTÁ</t>
        </is>
      </c>
      <c r="D149" s="312" t="n"/>
      <c r="E149" s="312" t="n"/>
      <c r="F149" s="312" t="n"/>
      <c r="G149" s="312" t="n"/>
      <c r="H149" s="312" t="n"/>
      <c r="I149" s="313" t="n"/>
      <c r="J149" s="314" t="n">
        <v>38000000</v>
      </c>
      <c r="K149" s="2" t="n">
        <v>43397</v>
      </c>
      <c r="L149" s="170" t="n"/>
      <c r="M149" s="6" t="n"/>
      <c r="N149" s="6" t="n"/>
      <c r="O149" s="6" t="n"/>
    </row>
    <row r="150">
      <c r="B150" s="170" t="n">
        <v>137</v>
      </c>
      <c r="C150" s="170" t="inlineStr">
        <is>
          <t>COTIZACION DEL DISEÑO DE EXTINCIÓN DE INCENDIOS PARA EL PROYECTO BODEGA NATIPAN</t>
        </is>
      </c>
      <c r="D150" s="312" t="n"/>
      <c r="E150" s="312" t="n"/>
      <c r="F150" s="312" t="n"/>
      <c r="G150" s="312" t="n"/>
      <c r="H150" s="312" t="n"/>
      <c r="I150" s="313" t="n"/>
      <c r="J150" s="314" t="n">
        <v>12190000</v>
      </c>
      <c r="K150" s="2" t="n">
        <v>43397</v>
      </c>
      <c r="L150" s="170" t="n"/>
      <c r="M150" s="6" t="n"/>
      <c r="N150" s="6" t="n"/>
      <c r="O150" s="6" t="n"/>
    </row>
    <row r="151">
      <c r="B151" s="170" t="n">
        <v>138</v>
      </c>
      <c r="C151" s="170" t="inlineStr">
        <is>
          <t>COTIZACION DEL ANÁLISIS DE SEGURIDAD HUMANA PARA EL PROYECTO NIQUIIA VIS</t>
        </is>
      </c>
      <c r="D151" s="312" t="n"/>
      <c r="E151" s="312" t="n"/>
      <c r="F151" s="312" t="n"/>
      <c r="G151" s="312" t="n"/>
      <c r="H151" s="312" t="n"/>
      <c r="I151" s="313" t="n"/>
      <c r="J151" s="314" t="n">
        <v>3985000</v>
      </c>
      <c r="K151" s="2" t="n">
        <v>43410</v>
      </c>
      <c r="L151" s="170" t="n"/>
      <c r="M151" s="6" t="n"/>
      <c r="N151" s="6" t="n"/>
      <c r="O151" s="6" t="n"/>
    </row>
    <row r="152">
      <c r="B152" s="170" t="n">
        <v>139</v>
      </c>
      <c r="C152" s="170" t="inlineStr">
        <is>
          <t>COTIZACION DE LOS DISEÑOS DE PROTECCIÓN CONTRA INCENDIOS Y SEGURIDAD HUMANA PARA EL PROYECTO RESERVA DE LOS BÚCAROS</t>
        </is>
      </c>
      <c r="D152" s="312" t="n"/>
      <c r="E152" s="312" t="n"/>
      <c r="F152" s="312" t="n"/>
      <c r="G152" s="312" t="n"/>
      <c r="H152" s="312" t="n"/>
      <c r="I152" s="313" t="n"/>
      <c r="J152" s="314" t="n">
        <v>18000000</v>
      </c>
      <c r="K152" s="2" t="n">
        <v>43403</v>
      </c>
      <c r="L152" s="170" t="n"/>
      <c r="M152" s="6" t="n"/>
      <c r="N152" s="6" t="n"/>
      <c r="O152" s="6" t="n"/>
    </row>
    <row r="153">
      <c r="B153" s="170" t="n">
        <v>140</v>
      </c>
      <c r="C153" s="170" t="inlineStr">
        <is>
          <t>COTIZACION DE LOS DISEÑOS DE PROTECCIÓN CONTRA  INCENDIOS - OFICINA SQUARE</t>
        </is>
      </c>
      <c r="D153" s="312" t="n"/>
      <c r="E153" s="312" t="n"/>
      <c r="F153" s="312" t="n"/>
      <c r="G153" s="312" t="n"/>
      <c r="H153" s="312" t="n"/>
      <c r="I153" s="313" t="n"/>
      <c r="J153" s="314" t="n">
        <v>800000</v>
      </c>
      <c r="K153" s="2" t="n">
        <v>43403</v>
      </c>
      <c r="L153" s="170" t="n"/>
      <c r="M153" s="6" t="n"/>
      <c r="N153" s="6" t="n"/>
      <c r="O153" s="6" t="n"/>
    </row>
    <row r="154">
      <c r="B154" s="170" t="n">
        <v>141</v>
      </c>
      <c r="C154" s="170" t="inlineStr">
        <is>
          <t>COTIZACION ESTIMADA DE LOS DISEÑOS DE PROTECCIÓN CONTRA INCENDIOS Y SEGURIDAD HUMANA PARA PROYECTOS DE CONSTRUCIÓN Y REMODELACIÓN</t>
        </is>
      </c>
      <c r="D154" s="312" t="n"/>
      <c r="E154" s="312" t="n"/>
      <c r="F154" s="312" t="n"/>
      <c r="G154" s="312" t="n"/>
      <c r="H154" s="312" t="n"/>
      <c r="I154" s="313" t="n"/>
      <c r="J154" s="314" t="inlineStr">
        <is>
          <t>Variable</t>
        </is>
      </c>
      <c r="K154" s="2" t="n">
        <v>43404</v>
      </c>
      <c r="L154" s="170" t="n"/>
      <c r="M154" s="6" t="n"/>
      <c r="N154" s="6" t="n"/>
      <c r="O154" s="6" t="n"/>
    </row>
    <row r="155">
      <c r="B155" s="170" t="n">
        <v>142</v>
      </c>
      <c r="C155" s="170" t="inlineStr">
        <is>
          <t>COTIZACION DE LOS DISEÑOS DE SEGURIDAD HUMANA Y EXTINCIÓN DE INCENDIOS - HACIENDA NIQUIA</t>
        </is>
      </c>
      <c r="D155" s="312" t="n"/>
      <c r="E155" s="312" t="n"/>
      <c r="F155" s="312" t="n"/>
      <c r="G155" s="312" t="n"/>
      <c r="H155" s="312" t="n"/>
      <c r="I155" s="313" t="n"/>
      <c r="J155" s="314" t="n">
        <v>3557000</v>
      </c>
      <c r="K155" s="2" t="n">
        <v>43410</v>
      </c>
      <c r="L155" s="170" t="n"/>
      <c r="M155" s="6" t="n"/>
      <c r="N155" s="6" t="n"/>
      <c r="O155" s="6" t="n"/>
    </row>
    <row r="156">
      <c r="B156" s="170" t="n">
        <v>143</v>
      </c>
      <c r="C156" s="170" t="inlineStr">
        <is>
          <t>COTIZACION DEL DISEÑO DE EXTINCIÓN DE INCENDIOS - MEDICOA PISO 6</t>
        </is>
      </c>
      <c r="D156" s="312" t="n"/>
      <c r="E156" s="312" t="n"/>
      <c r="F156" s="312" t="n"/>
      <c r="G156" s="312" t="n"/>
      <c r="H156" s="312" t="n"/>
      <c r="I156" s="313" t="n"/>
      <c r="J156" s="314" t="n">
        <v>3293000</v>
      </c>
      <c r="K156" s="2" t="n">
        <v>43410</v>
      </c>
      <c r="L156" s="170" t="n"/>
      <c r="M156" s="6" t="n"/>
      <c r="N156" s="6" t="n"/>
      <c r="O156" s="6" t="n"/>
    </row>
    <row r="157">
      <c r="B157" s="170" t="n">
        <v>144</v>
      </c>
      <c r="C157" s="170" t="inlineStr">
        <is>
          <t>COTIZACION DE REVISIÓN DE LOS SISTEMAS DE PROTECCIÓN CONTRA INCENDIOS Y SEGURIDAD HUMANA PARA EL PROYECTO MEDICOA</t>
        </is>
      </c>
      <c r="D157" s="312" t="n"/>
      <c r="E157" s="312" t="n"/>
      <c r="F157" s="312" t="n"/>
      <c r="G157" s="312" t="n"/>
      <c r="H157" s="312" t="n"/>
      <c r="I157" s="313" t="n"/>
      <c r="J157" s="314" t="n">
        <v>7900000</v>
      </c>
      <c r="K157" s="2" t="n">
        <v>43410</v>
      </c>
      <c r="L157" s="170" t="n"/>
      <c r="M157" s="6" t="n"/>
      <c r="N157" s="6" t="n"/>
      <c r="O157" s="6" t="n"/>
    </row>
    <row r="158">
      <c r="B158" s="170" t="n">
        <v>145</v>
      </c>
      <c r="C158" s="170" t="inlineStr">
        <is>
          <t>COTIZACION DE LOS DISEÑOS DE PROTECCIÓN CONTRA INCENDIOS Y SEGURIDAD HUMANA PARA EL PROYECTO CLASS 48</t>
        </is>
      </c>
      <c r="D158" s="312" t="n"/>
      <c r="E158" s="312" t="n"/>
      <c r="F158" s="312" t="n"/>
      <c r="G158" s="312" t="n"/>
      <c r="H158" s="312" t="n"/>
      <c r="I158" s="313" t="n"/>
      <c r="J158" s="314" t="n">
        <v>13435000</v>
      </c>
      <c r="K158" s="2" t="n">
        <v>43410</v>
      </c>
      <c r="L158" s="170" t="n"/>
      <c r="M158" s="6" t="n"/>
      <c r="N158" s="6" t="n"/>
      <c r="O158" s="6" t="n"/>
    </row>
    <row r="159">
      <c r="B159" s="170" t="n">
        <v>146</v>
      </c>
      <c r="C159" s="170" t="inlineStr">
        <is>
          <t>COTIZACION DE LA PRUEBA HIDRÁULICA AL SISTEMA DE EXTINCIÓN DE INCENDIOS DE LA EMPRESA INSUMOS &amp; TEXTILES NORBER S.A.S.</t>
        </is>
      </c>
      <c r="D159" s="312" t="n"/>
      <c r="E159" s="312" t="n"/>
      <c r="F159" s="312" t="n"/>
      <c r="G159" s="312" t="n"/>
      <c r="H159" s="312" t="n"/>
      <c r="I159" s="313" t="n"/>
      <c r="J159" s="314" t="n">
        <v>1580000</v>
      </c>
      <c r="K159" s="2" t="n">
        <v>43410</v>
      </c>
      <c r="L159" s="170" t="n"/>
      <c r="M159" s="6" t="n"/>
      <c r="N159" s="6" t="n"/>
      <c r="O159" s="6" t="n"/>
    </row>
    <row r="160">
      <c r="B160" s="170" t="n">
        <v>147</v>
      </c>
      <c r="C160" s="170" t="inlineStr">
        <is>
          <t>COTIZACION DE LOS DISEÑOS DE PROTECCIÓN CONTRA INCENDIOS Y SEGURIDAD HUMANA PARA EL PROYECTO EDIFICIO COMERCIAL DE 5 PISOS</t>
        </is>
      </c>
      <c r="D160" s="312" t="n"/>
      <c r="E160" s="312" t="n"/>
      <c r="F160" s="312" t="n"/>
      <c r="G160" s="312" t="n"/>
      <c r="H160" s="312" t="n"/>
      <c r="I160" s="313" t="n"/>
      <c r="J160" s="314" t="n">
        <v>10985000</v>
      </c>
      <c r="K160" s="2" t="n">
        <v>43410</v>
      </c>
      <c r="L160" s="170" t="n"/>
      <c r="M160" s="6" t="n"/>
      <c r="N160" s="6" t="n"/>
      <c r="O160" s="6" t="n"/>
    </row>
    <row r="161">
      <c r="B161" s="170" t="n">
        <v>148</v>
      </c>
      <c r="C161" s="170" t="inlineStr">
        <is>
          <t>COTIZACION CAPACITACIÓN - TIP</t>
        </is>
      </c>
      <c r="D161" s="312" t="n"/>
      <c r="E161" s="312" t="n"/>
      <c r="F161" s="312" t="n"/>
      <c r="G161" s="312" t="n"/>
      <c r="H161" s="312" t="n"/>
      <c r="I161" s="313" t="n"/>
      <c r="J161" s="314" t="n">
        <v>1055000</v>
      </c>
      <c r="K161" s="2" t="n">
        <v>43410</v>
      </c>
      <c r="L161" s="170" t="n"/>
      <c r="M161" s="6" t="n"/>
      <c r="N161" s="6" t="n"/>
      <c r="O161" s="6" t="n"/>
    </row>
    <row r="162">
      <c r="B162" s="170" t="n">
        <v>149</v>
      </c>
      <c r="C162" s="170" t="inlineStr">
        <is>
          <t>COTIZACION DEL DISEÑO DE EXTINCIÓN DE INCENDIOS PARA EL PROYECTO BANDA CEMEX</t>
        </is>
      </c>
      <c r="D162" s="312" t="n"/>
      <c r="E162" s="312" t="n"/>
      <c r="F162" s="312" t="n"/>
      <c r="G162" s="312" t="n"/>
      <c r="H162" s="312" t="n"/>
      <c r="I162" s="313" t="n"/>
      <c r="J162" s="314" t="n">
        <v>11850000</v>
      </c>
      <c r="K162" s="2" t="n">
        <v>43411</v>
      </c>
      <c r="L162" s="170" t="n"/>
      <c r="M162" s="6" t="n"/>
      <c r="N162" s="6" t="n"/>
      <c r="O162" s="6" t="n"/>
    </row>
    <row r="163">
      <c r="B163" s="170" t="n">
        <v>150</v>
      </c>
      <c r="C163" s="170" t="inlineStr">
        <is>
          <t>COTIZACION DE LOS DISEÑOS DE SEGURIDAD HUMANA Y PROTECCIÓN CONTRA  INCENDIOS - COTIZACIÓN GENERAL I+CONSTRUCTORA</t>
        </is>
      </c>
      <c r="D163" s="312" t="n"/>
      <c r="E163" s="312" t="n"/>
      <c r="F163" s="312" t="n"/>
      <c r="G163" s="312" t="n"/>
      <c r="H163" s="312" t="n"/>
      <c r="I163" s="313" t="n"/>
      <c r="J163" s="314" t="inlineStr">
        <is>
          <t>Variable</t>
        </is>
      </c>
      <c r="K163" s="2" t="n">
        <v>43411</v>
      </c>
      <c r="L163" s="170" t="n"/>
      <c r="M163" s="6" t="n"/>
      <c r="N163" s="6" t="n"/>
      <c r="O163" s="6" t="n"/>
    </row>
    <row r="164">
      <c r="B164" s="170" t="n">
        <v>151</v>
      </c>
      <c r="C164" s="170" t="inlineStr">
        <is>
          <t>COTIZACION DEL DISEÑO DE EXTINCIÓN DE INCENDIOS (PRE-ACCIÓN) PARA EL PROYECTO QUIRÓFANOS T.M. EL TESORO</t>
        </is>
      </c>
      <c r="D164" s="312" t="n"/>
      <c r="E164" s="312" t="n"/>
      <c r="F164" s="312" t="n"/>
      <c r="G164" s="312" t="n"/>
      <c r="H164" s="312" t="n"/>
      <c r="I164" s="313" t="n"/>
      <c r="J164" s="314" t="n">
        <v>1450000</v>
      </c>
      <c r="K164" s="2" t="n">
        <v>43417</v>
      </c>
      <c r="L164" s="170" t="n"/>
      <c r="M164" s="6" t="n"/>
      <c r="N164" s="6" t="n"/>
      <c r="O164" s="6" t="n"/>
    </row>
    <row r="165">
      <c r="B165" s="170" t="n">
        <v>152</v>
      </c>
      <c r="C165" s="170" t="inlineStr">
        <is>
          <t>COTIZACION DE LOS DISEÑOS DE PROTECCIÓN CONTRA INCENDIOS Y SEGURIDAD HUMANA PARA EL PROYECTO EDIFICIO VIZCAYA</t>
        </is>
      </c>
      <c r="D165" s="312" t="n"/>
      <c r="E165" s="312" t="n"/>
      <c r="F165" s="312" t="n"/>
      <c r="G165" s="312" t="n"/>
      <c r="H165" s="312" t="n"/>
      <c r="I165" s="313" t="n"/>
      <c r="J165" s="314" t="n">
        <v>7112000</v>
      </c>
      <c r="K165" s="2" t="n">
        <v>43417</v>
      </c>
      <c r="L165" s="170" t="n"/>
      <c r="M165" s="6" t="n"/>
      <c r="N165" s="6" t="n"/>
      <c r="O165" s="6" t="n"/>
    </row>
    <row r="166">
      <c r="B166" s="170" t="n">
        <v>153</v>
      </c>
      <c r="C166" s="172" t="inlineStr">
        <is>
          <t>COTIZACION DE LOS DISEÑOS DE PROTECCIÓN CONTRA INCENDIOS Y SEGURIDAD HUMANA PARA EL PROYECTO LA PROVINCIA</t>
        </is>
      </c>
      <c r="D166" s="312" t="n"/>
      <c r="E166" s="312" t="n"/>
      <c r="F166" s="312" t="n"/>
      <c r="G166" s="312" t="n"/>
      <c r="H166" s="312" t="n"/>
      <c r="I166" s="313" t="n"/>
      <c r="J166" s="314" t="n">
        <v>13833000</v>
      </c>
      <c r="K166" s="2" t="n">
        <v>43417</v>
      </c>
      <c r="L166" s="170" t="n"/>
      <c r="M166" s="6" t="n"/>
      <c r="N166" s="6" t="n"/>
      <c r="O166" s="6" t="n"/>
    </row>
    <row r="167">
      <c r="B167" s="170" t="n">
        <v>154</v>
      </c>
      <c r="C167" s="170" t="inlineStr">
        <is>
          <t>COTIZACION DE REVISIÓN DE LOS SISTEMAS DE PROTECCIÓN CONTRA INCENDIOS Y SEGURIDAD HUMANA PARA EL PROYECTO RESERVA PLAZA</t>
        </is>
      </c>
      <c r="D167" s="312" t="n"/>
      <c r="E167" s="312" t="n"/>
      <c r="F167" s="312" t="n"/>
      <c r="G167" s="312" t="n"/>
      <c r="H167" s="312" t="n"/>
      <c r="I167" s="313" t="n"/>
      <c r="J167" s="314" t="n">
        <v>4890000</v>
      </c>
      <c r="K167" s="2" t="n">
        <v>43417</v>
      </c>
      <c r="L167" s="170" t="n"/>
      <c r="M167" s="6" t="n"/>
      <c r="N167" s="6" t="n"/>
      <c r="O167" s="6" t="n"/>
    </row>
    <row r="168">
      <c r="B168" s="170" t="n">
        <v>155</v>
      </c>
      <c r="C168" s="170" t="inlineStr">
        <is>
          <t>COTIZACION DE LOS DISEÑOS DE PROTECCIÓN CONTRA INCENDIOS PARA EL PROYECTO LYFT PISO 5 AVENTURA</t>
        </is>
      </c>
      <c r="D168" s="312" t="n"/>
      <c r="E168" s="312" t="n"/>
      <c r="F168" s="312" t="n"/>
      <c r="G168" s="312" t="n"/>
      <c r="H168" s="312" t="n"/>
      <c r="I168" s="313" t="n"/>
      <c r="J168" s="314" t="n">
        <v>3215000</v>
      </c>
      <c r="K168" s="2" t="n">
        <v>43421</v>
      </c>
      <c r="L168" s="170" t="n"/>
      <c r="M168" s="6" t="n"/>
      <c r="N168" s="6" t="n"/>
      <c r="O168" s="6" t="n"/>
    </row>
    <row r="169">
      <c r="B169" s="170" t="n">
        <v>156</v>
      </c>
      <c r="C169" s="170" t="inlineStr">
        <is>
          <t>MODELACIÓN Y CÁLCULOS DEL SISTEMA DE DETECCIÓN DE INCENDIOS PARA EL PROYECTO COMESTIBLES LA ROSA</t>
        </is>
      </c>
      <c r="D169" s="312" t="n"/>
      <c r="E169" s="312" t="n"/>
      <c r="F169" s="312" t="n"/>
      <c r="G169" s="312" t="n"/>
      <c r="H169" s="312" t="n"/>
      <c r="I169" s="313" t="n"/>
      <c r="J169" s="314" t="n">
        <v>2170000</v>
      </c>
      <c r="K169" s="2" t="n">
        <v>43423</v>
      </c>
      <c r="L169" s="170" t="n"/>
      <c r="M169" s="6" t="n"/>
      <c r="N169" s="6" t="n"/>
      <c r="O169" s="6" t="n"/>
    </row>
    <row r="170">
      <c r="B170" s="170" t="n">
        <v>157</v>
      </c>
      <c r="C170" s="170" t="inlineStr">
        <is>
          <t>ALKOMPRAR CÚCUTA</t>
        </is>
      </c>
      <c r="D170" s="312" t="n"/>
      <c r="E170" s="312" t="n"/>
      <c r="F170" s="312" t="n"/>
      <c r="G170" s="312" t="n"/>
      <c r="H170" s="312" t="n"/>
      <c r="I170" s="313" t="n"/>
      <c r="J170" s="314" t="n">
        <v>3000000</v>
      </c>
      <c r="K170" s="2" t="n">
        <v>43424</v>
      </c>
      <c r="L170" s="170" t="n"/>
      <c r="M170" s="6" t="n"/>
      <c r="N170" s="6" t="n"/>
      <c r="O170" s="6" t="n"/>
    </row>
    <row r="171">
      <c r="B171" s="170" t="n">
        <v>158</v>
      </c>
      <c r="C171" s="170" t="inlineStr">
        <is>
          <t>COTIZACION DE LOS DISEÑOS DE PROTECCIÓN CONTRA INCENDIOS Y SEGURIDAD HUMANA PARA EL PROYECTO CLASS 48</t>
        </is>
      </c>
      <c r="D171" s="312" t="n"/>
      <c r="E171" s="312" t="n"/>
      <c r="F171" s="312" t="n"/>
      <c r="G171" s="312" t="n"/>
      <c r="H171" s="312" t="n"/>
      <c r="I171" s="313" t="n"/>
      <c r="J171" s="314" t="n">
        <v>13435000</v>
      </c>
      <c r="K171" s="2" t="n">
        <v>43426</v>
      </c>
      <c r="L171" s="170" t="n"/>
      <c r="M171" s="6" t="n"/>
      <c r="N171" s="6" t="n"/>
      <c r="O171" s="6" t="n"/>
    </row>
    <row r="172">
      <c r="B172" s="170" t="n">
        <v>159</v>
      </c>
      <c r="C172" s="170" t="inlineStr">
        <is>
          <t>COTIZACION DEL DISEÑO DE EXTINCIÓN DE INCENDIOS PARA EL PROYECTO COLEGIO ALEJANDRO VÉLEZ</t>
        </is>
      </c>
      <c r="D172" s="312" t="n"/>
      <c r="E172" s="312" t="n"/>
      <c r="F172" s="312" t="n"/>
      <c r="G172" s="312" t="n"/>
      <c r="H172" s="312" t="n"/>
      <c r="I172" s="313" t="n"/>
      <c r="J172" s="314" t="n">
        <v>6700000</v>
      </c>
      <c r="K172" s="2" t="n">
        <v>43426</v>
      </c>
      <c r="L172" s="170" t="n"/>
      <c r="M172" s="6" t="n"/>
      <c r="N172" s="6" t="n"/>
      <c r="O172" s="6" t="n"/>
    </row>
    <row r="173">
      <c r="B173" s="170" t="n">
        <v>160</v>
      </c>
      <c r="C173" s="170" t="inlineStr">
        <is>
          <t>COTIZACION DEL ANÁLISIS DE SEGURIDAD HUMANA PARA EL PROYECTO CENTRO COMERCIAL DE 175.000 M2 UBICADO EN MEDELLÍN/COLOMBIA</t>
        </is>
      </c>
      <c r="D173" s="312" t="n"/>
      <c r="E173" s="312" t="n"/>
      <c r="F173" s="312" t="n"/>
      <c r="G173" s="312" t="n"/>
      <c r="H173" s="312" t="n"/>
      <c r="I173" s="313" t="n"/>
      <c r="J173" s="314" t="n">
        <v>16500000</v>
      </c>
      <c r="K173" s="2" t="n">
        <v>43426</v>
      </c>
      <c r="L173" s="170" t="n"/>
      <c r="M173" s="6" t="n"/>
      <c r="N173" s="6" t="n"/>
      <c r="O173" s="6" t="n"/>
    </row>
    <row r="174">
      <c r="B174" s="170" t="n">
        <v>161</v>
      </c>
      <c r="C174" s="170" t="inlineStr">
        <is>
          <t>COTIZACION DE LA VALIDACIÓN HIDRÁULICA DEL EXTINCIÓN DE INCENDIOS EXISTENTE PARA EL PROYECTO – COLOMBO AMERICANO</t>
        </is>
      </c>
      <c r="D174" s="312" t="n"/>
      <c r="E174" s="312" t="n"/>
      <c r="F174" s="312" t="n"/>
      <c r="G174" s="312" t="n"/>
      <c r="H174" s="312" t="n"/>
      <c r="I174" s="313" t="n"/>
      <c r="J174" s="314" t="n">
        <v>1500000</v>
      </c>
      <c r="K174" s="2" t="n">
        <v>43430</v>
      </c>
      <c r="L174" s="170" t="n"/>
      <c r="M174" s="6" t="n"/>
      <c r="N174" s="6" t="n"/>
      <c r="O174" s="6" t="n"/>
    </row>
    <row r="175">
      <c r="B175" s="170" t="n">
        <v>162</v>
      </c>
      <c r="C175" s="170" t="inlineStr">
        <is>
          <t>COTIZACION DE LOS DISEÑOS DE SEGURIDAD HUMANA Y PROTECCIÓN CONTRA  INCENDIOS - RESERVA DE SANTA MARIA</t>
        </is>
      </c>
      <c r="D175" s="312" t="n"/>
      <c r="E175" s="312" t="n"/>
      <c r="F175" s="312" t="n"/>
      <c r="G175" s="312" t="n"/>
      <c r="H175" s="312" t="n"/>
      <c r="I175" s="313" t="n"/>
      <c r="J175" s="314" t="n">
        <v>11527000</v>
      </c>
      <c r="K175" s="2" t="n">
        <v>43431</v>
      </c>
      <c r="L175" s="170" t="n"/>
      <c r="M175" s="6" t="n"/>
      <c r="N175" s="6" t="n"/>
      <c r="O175" s="6" t="n"/>
    </row>
    <row r="176">
      <c r="B176" s="170" t="n">
        <v>163</v>
      </c>
      <c r="C176" s="170" t="inlineStr">
        <is>
          <t>COTIZACION DE LOS DISEÑOS DE PROTECCIÓN CONTRA INCENDIOS Y SEGURIDAD HUMANA PARA EL PROYECTO COLEGIO ALEJANDRO VÉLEZ</t>
        </is>
      </c>
      <c r="D176" s="312" t="n"/>
      <c r="E176" s="312" t="n"/>
      <c r="F176" s="312" t="n"/>
      <c r="G176" s="312" t="n"/>
      <c r="H176" s="312" t="n"/>
      <c r="I176" s="313" t="n"/>
      <c r="J176" s="314" t="n">
        <v>11910000</v>
      </c>
      <c r="K176" s="2" t="n">
        <v>43431</v>
      </c>
      <c r="L176" s="170" t="n"/>
      <c r="M176" s="6" t="n"/>
      <c r="N176" s="6" t="n"/>
      <c r="O176" s="6" t="n"/>
    </row>
    <row r="177">
      <c r="B177" s="170" t="n">
        <v>164</v>
      </c>
      <c r="C177" s="170" t="inlineStr">
        <is>
          <t>COTIZACION DE LOS DISEÑOS DE PROTECCIÓN CONTRA INCENDIOS Y SEGURIDAD HUMANA PARA EL PROYECTO COLEGIO NORMAL SUPERIOR</t>
        </is>
      </c>
      <c r="D177" s="312" t="n"/>
      <c r="E177" s="312" t="n"/>
      <c r="F177" s="312" t="n"/>
      <c r="G177" s="312" t="n"/>
      <c r="H177" s="312" t="n"/>
      <c r="I177" s="313" t="n"/>
      <c r="J177" s="314" t="n">
        <v>17960000</v>
      </c>
      <c r="K177" s="2" t="n">
        <v>43431</v>
      </c>
      <c r="L177" s="170" t="n"/>
      <c r="M177" s="6" t="n"/>
      <c r="N177" s="6" t="n"/>
      <c r="O177" s="6" t="n"/>
    </row>
    <row r="178">
      <c r="B178" s="170" t="n">
        <v>165</v>
      </c>
      <c r="C178" s="170" t="inlineStr">
        <is>
          <t>COTIZACION DE LOS DISEÑOS DE PROTECCIÓN CONTRA INCENDIOS Y SEGURIDAD HUMANA PARA EL PROYECTO COLEGIO JOSÉ MIGUEL DE LA CALLE</t>
        </is>
      </c>
      <c r="D178" s="312" t="n"/>
      <c r="E178" s="312" t="n"/>
      <c r="F178" s="312" t="n"/>
      <c r="G178" s="312" t="n"/>
      <c r="H178" s="312" t="n"/>
      <c r="I178" s="313" t="n"/>
      <c r="J178" s="314" t="n">
        <v>11910000</v>
      </c>
      <c r="K178" s="2" t="n">
        <v>43431</v>
      </c>
      <c r="L178" s="170" t="n"/>
      <c r="M178" s="6" t="n"/>
      <c r="N178" s="6" t="n"/>
      <c r="O178" s="6" t="n"/>
    </row>
    <row r="179">
      <c r="B179" s="170" t="n">
        <v>166</v>
      </c>
      <c r="C179" s="170" t="inlineStr">
        <is>
          <t>DISEÑO DEL SISTEMA DE EXTINCIÓN DE INCENDIOS PARA TANQUES DE GLP PARA GASES DE ANTIOQUIA</t>
        </is>
      </c>
      <c r="D179" s="312" t="n"/>
      <c r="E179" s="312" t="n"/>
      <c r="F179" s="312" t="n"/>
      <c r="G179" s="312" t="n"/>
      <c r="H179" s="312" t="n"/>
      <c r="I179" s="313" t="n"/>
      <c r="J179" s="314" t="n">
        <v>6585000</v>
      </c>
      <c r="K179" s="2" t="n">
        <v>43434</v>
      </c>
      <c r="L179" s="170" t="n"/>
      <c r="M179" s="6" t="n"/>
      <c r="N179" s="6" t="n"/>
      <c r="O179" s="6" t="n"/>
    </row>
    <row r="180">
      <c r="B180" s="170" t="n">
        <v>167</v>
      </c>
      <c r="C180" s="170" t="inlineStr">
        <is>
          <t>COTIZACION DE LOS DISEÑOS DE PROTECCIÓN CONTRA INCENDIOS Y SEGURIDAD HUMANA PARA EL PROYECTO PILARICA LIVING</t>
        </is>
      </c>
      <c r="D180" s="312" t="n"/>
      <c r="E180" s="312" t="n"/>
      <c r="F180" s="312" t="n"/>
      <c r="G180" s="312" t="n"/>
      <c r="H180" s="312" t="n"/>
      <c r="I180" s="313" t="n"/>
      <c r="J180" s="314" t="n">
        <v>10820000</v>
      </c>
      <c r="K180" s="2" t="n">
        <v>43434</v>
      </c>
      <c r="L180" s="170" t="n"/>
      <c r="M180" s="6" t="n"/>
      <c r="N180" s="6" t="n"/>
      <c r="O180" s="6" t="n"/>
    </row>
    <row r="181">
      <c r="B181" s="170" t="n">
        <v>168</v>
      </c>
      <c r="C181" s="170" t="inlineStr">
        <is>
          <t>COTIZACION DE LOS DISEÑOS DE PROTECCIÓN CONTRA  INCENDIOS - MODIFICACIÓN ISA PISO 1</t>
        </is>
      </c>
      <c r="D181" s="312" t="n"/>
      <c r="E181" s="312" t="n"/>
      <c r="F181" s="312" t="n"/>
      <c r="G181" s="312" t="n"/>
      <c r="H181" s="312" t="n"/>
      <c r="I181" s="313" t="n"/>
      <c r="J181" s="314" t="n">
        <v>530000</v>
      </c>
      <c r="K181" s="2" t="n">
        <v>43440</v>
      </c>
      <c r="L181" s="170" t="n"/>
      <c r="M181" s="6" t="n"/>
      <c r="N181" s="6" t="n"/>
      <c r="O181" s="6" t="n"/>
    </row>
    <row r="182">
      <c r="B182" s="170" t="n">
        <v>169</v>
      </c>
      <c r="C182" s="170" t="inlineStr">
        <is>
          <t>COTIZACION DEL DISEÑO DE EXTINCIÓN DE INCENDIOS PARA EL PROYECTO BODEGA 09 ELITE RIONEGRO</t>
        </is>
      </c>
      <c r="D182" s="312" t="n"/>
      <c r="E182" s="312" t="n"/>
      <c r="F182" s="312" t="n"/>
      <c r="G182" s="312" t="n"/>
      <c r="H182" s="312" t="n"/>
      <c r="I182" s="313" t="n"/>
      <c r="J182" s="314" t="n">
        <v>12982000</v>
      </c>
      <c r="K182" s="2" t="n">
        <v>43445</v>
      </c>
      <c r="L182" s="170" t="n"/>
      <c r="M182" s="6" t="n"/>
      <c r="N182" s="6" t="n"/>
      <c r="O182" s="6" t="n"/>
    </row>
    <row r="183">
      <c r="B183" s="170" t="n">
        <v>170</v>
      </c>
      <c r="C183" s="170" t="inlineStr">
        <is>
          <t>COTIZACION DE LOS DISEÑOS DE PROTECCIÓN CONTRA INCENDIOS Y SEGURIDAD HUMANA PARA EL PROYECTO COMERCIAL INMOBILIARIO DE 200 M2</t>
        </is>
      </c>
      <c r="D183" s="312" t="n"/>
      <c r="E183" s="312" t="n"/>
      <c r="F183" s="312" t="n"/>
      <c r="G183" s="312" t="n"/>
      <c r="H183" s="312" t="n"/>
      <c r="I183" s="313" t="n"/>
      <c r="J183" s="314" t="n">
        <v>4675000</v>
      </c>
      <c r="K183" s="2" t="n">
        <v>43447</v>
      </c>
      <c r="L183" s="170" t="n"/>
      <c r="M183" s="6" t="n"/>
      <c r="N183" s="6" t="n"/>
      <c r="O183" s="6" t="n"/>
    </row>
    <row r="184">
      <c r="B184" s="170" t="n">
        <v>171</v>
      </c>
      <c r="C184" s="170" t="inlineStr">
        <is>
          <t>DISEÑO DE LOS SISTEMAS DE PROTECCIÓN CONTRA INCNEDIOS PARA OFICINAS DE ARGOS EN BARRANQUILLA</t>
        </is>
      </c>
      <c r="D184" s="312" t="n"/>
      <c r="E184" s="312" t="n"/>
      <c r="F184" s="312" t="n"/>
      <c r="G184" s="312" t="n"/>
      <c r="H184" s="312" t="n"/>
      <c r="I184" s="313" t="n"/>
      <c r="J184" s="314" t="n">
        <v>4365000</v>
      </c>
      <c r="K184" s="2" t="n">
        <v>43447</v>
      </c>
      <c r="L184" s="170" t="n"/>
      <c r="M184" s="6" t="n"/>
      <c r="N184" s="6" t="n"/>
      <c r="O184" s="6" t="n"/>
    </row>
    <row r="185">
      <c r="B185" s="170" t="n">
        <v>172</v>
      </c>
      <c r="C185" s="170" t="inlineStr">
        <is>
          <t>COTIZACION DE LOS DISEÑOS DE PROTECCIÓN CONTRA INCENDIOS Y SEGURIDAD HUMANA PARA EL PROYECTO BOSQUE LÍBANO</t>
        </is>
      </c>
      <c r="D185" s="312" t="n"/>
      <c r="E185" s="312" t="n"/>
      <c r="F185" s="312" t="n"/>
      <c r="G185" s="312" t="n"/>
      <c r="H185" s="312" t="n"/>
      <c r="I185" s="313" t="n"/>
      <c r="J185" s="314" t="n">
        <v>22350000</v>
      </c>
      <c r="K185" s="2" t="n">
        <v>43453</v>
      </c>
      <c r="L185" s="170" t="n"/>
      <c r="M185" s="6" t="n"/>
      <c r="N185" s="6" t="n"/>
      <c r="O185" s="6" t="n"/>
    </row>
    <row r="186">
      <c r="B186" s="170" t="n">
        <v>173</v>
      </c>
      <c r="C186" s="170" t="inlineStr">
        <is>
          <t>COTIZACION DE LOS DISEÑOS DE PROTECCIÓN CONTRA  INCENDIOS - BODEGA INFLAMABLES</t>
        </is>
      </c>
      <c r="D186" s="312" t="n"/>
      <c r="E186" s="312" t="n"/>
      <c r="F186" s="312" t="n"/>
      <c r="G186" s="312" t="n"/>
      <c r="H186" s="312" t="n"/>
      <c r="I186" s="313" t="n"/>
      <c r="J186" s="314" t="n">
        <v>2500</v>
      </c>
      <c r="K186" s="2" t="n">
        <v>43452</v>
      </c>
      <c r="L186" s="170" t="n"/>
      <c r="M186" s="6" t="n"/>
      <c r="N186" s="6" t="n"/>
      <c r="O186" s="6" t="n"/>
    </row>
    <row r="187">
      <c r="B187" s="170" t="n">
        <v>174</v>
      </c>
      <c r="C187" s="170" t="inlineStr">
        <is>
          <t>COTIZACION DE LOS DISEÑOS DE PROTECCIÓN CONTRA INCENDIOS Y SEGURIDAD HUMANA PARA EL PROYECTO BODEGA BOGOTÁ</t>
        </is>
      </c>
      <c r="D187" s="312" t="n"/>
      <c r="E187" s="312" t="n"/>
      <c r="F187" s="312" t="n"/>
      <c r="G187" s="312" t="n"/>
      <c r="H187" s="312" t="n"/>
      <c r="I187" s="313" t="n"/>
      <c r="J187" s="314" t="n">
        <v>21740000</v>
      </c>
      <c r="K187" s="2" t="n">
        <v>43453</v>
      </c>
      <c r="L187" s="170" t="n"/>
      <c r="M187" s="6" t="n"/>
      <c r="N187" s="6" t="n"/>
      <c r="O187" s="6" t="n"/>
    </row>
    <row r="188">
      <c r="B188" s="170" t="n">
        <v>175</v>
      </c>
      <c r="C188" s="170" t="n"/>
      <c r="D188" s="312" t="n"/>
      <c r="E188" s="312" t="n"/>
      <c r="F188" s="312" t="n"/>
      <c r="G188" s="312" t="n"/>
      <c r="H188" s="312" t="n"/>
      <c r="I188" s="313" t="n"/>
      <c r="J188" s="314" t="n"/>
      <c r="K188" s="170" t="n"/>
      <c r="L188" s="170" t="n"/>
      <c r="M188" s="6" t="n"/>
      <c r="N188" s="6" t="n"/>
      <c r="O188" s="6" t="n"/>
    </row>
    <row r="189">
      <c r="B189" s="170" t="n">
        <v>176</v>
      </c>
      <c r="C189" s="170" t="n"/>
      <c r="D189" s="312" t="n"/>
      <c r="E189" s="312" t="n"/>
      <c r="F189" s="312" t="n"/>
      <c r="G189" s="312" t="n"/>
      <c r="H189" s="312" t="n"/>
      <c r="I189" s="313" t="n"/>
      <c r="J189" s="314" t="n"/>
      <c r="K189" s="170" t="n"/>
      <c r="L189" s="170" t="n"/>
      <c r="M189" s="6" t="n"/>
      <c r="N189" s="6" t="n"/>
      <c r="O189" s="6" t="n"/>
    </row>
    <row r="190">
      <c r="B190" s="170" t="n">
        <v>177</v>
      </c>
      <c r="C190" s="170" t="n"/>
      <c r="D190" s="312" t="n"/>
      <c r="E190" s="312" t="n"/>
      <c r="F190" s="312" t="n"/>
      <c r="G190" s="312" t="n"/>
      <c r="H190" s="312" t="n"/>
      <c r="I190" s="313" t="n"/>
      <c r="J190" s="314" t="n"/>
      <c r="K190" s="170" t="n"/>
      <c r="L190" s="170" t="n"/>
      <c r="M190" s="6" t="n"/>
      <c r="N190" s="6" t="n"/>
      <c r="O190" s="6" t="n"/>
    </row>
    <row r="191">
      <c r="B191" s="170" t="n">
        <v>178</v>
      </c>
      <c r="C191" s="170" t="n"/>
      <c r="D191" s="312" t="n"/>
      <c r="E191" s="312" t="n"/>
      <c r="F191" s="312" t="n"/>
      <c r="G191" s="312" t="n"/>
      <c r="H191" s="312" t="n"/>
      <c r="I191" s="313" t="n"/>
      <c r="J191" s="314" t="n"/>
      <c r="K191" s="170" t="n"/>
      <c r="L191" s="170" t="n"/>
      <c r="M191" s="6" t="n"/>
      <c r="N191" s="6" t="n"/>
      <c r="O191" s="6" t="n"/>
    </row>
    <row r="192">
      <c r="B192" s="170" t="n">
        <v>179</v>
      </c>
      <c r="C192" s="170" t="n"/>
      <c r="D192" s="312" t="n"/>
      <c r="E192" s="312" t="n"/>
      <c r="F192" s="312" t="n"/>
      <c r="G192" s="312" t="n"/>
      <c r="H192" s="312" t="n"/>
      <c r="I192" s="313" t="n"/>
      <c r="J192" s="314" t="n"/>
      <c r="K192" s="170" t="n"/>
      <c r="L192" s="170" t="n"/>
      <c r="M192" s="6" t="n"/>
      <c r="N192" s="6" t="n"/>
      <c r="O192" s="6" t="n"/>
    </row>
    <row r="193">
      <c r="B193" s="170" t="n">
        <v>180</v>
      </c>
      <c r="C193" s="170" t="n"/>
      <c r="D193" s="312" t="n"/>
      <c r="E193" s="312" t="n"/>
      <c r="F193" s="312" t="n"/>
      <c r="G193" s="312" t="n"/>
      <c r="H193" s="312" t="n"/>
      <c r="I193" s="313" t="n"/>
      <c r="J193" s="314" t="n"/>
      <c r="K193" s="170" t="n"/>
      <c r="L193" s="170" t="n"/>
      <c r="M193" s="6" t="n"/>
      <c r="N193" s="6" t="n"/>
      <c r="O193" s="6" t="n"/>
    </row>
    <row r="194">
      <c r="B194" s="170" t="n">
        <v>181</v>
      </c>
      <c r="C194" s="170" t="n"/>
      <c r="D194" s="312" t="n"/>
      <c r="E194" s="312" t="n"/>
      <c r="F194" s="312" t="n"/>
      <c r="G194" s="312" t="n"/>
      <c r="H194" s="312" t="n"/>
      <c r="I194" s="313" t="n"/>
      <c r="J194" s="314" t="n"/>
      <c r="K194" s="170" t="n"/>
      <c r="L194" s="170" t="n"/>
      <c r="M194" s="6" t="n"/>
      <c r="N194" s="6" t="n"/>
      <c r="O194" s="6" t="n"/>
    </row>
    <row r="195">
      <c r="B195" s="170" t="n">
        <v>182</v>
      </c>
      <c r="C195" s="170" t="n"/>
      <c r="D195" s="312" t="n"/>
      <c r="E195" s="312" t="n"/>
      <c r="F195" s="312" t="n"/>
      <c r="G195" s="312" t="n"/>
      <c r="H195" s="312" t="n"/>
      <c r="I195" s="313" t="n"/>
      <c r="J195" s="314" t="n"/>
      <c r="K195" s="170" t="n"/>
      <c r="L195" s="170" t="n"/>
      <c r="M195" s="6" t="n"/>
      <c r="N195" s="6" t="n"/>
      <c r="O195" s="6" t="n"/>
    </row>
    <row r="196">
      <c r="B196" s="170" t="n">
        <v>183</v>
      </c>
      <c r="C196" s="170" t="n"/>
      <c r="D196" s="312" t="n"/>
      <c r="E196" s="312" t="n"/>
      <c r="F196" s="312" t="n"/>
      <c r="G196" s="312" t="n"/>
      <c r="H196" s="312" t="n"/>
      <c r="I196" s="313" t="n"/>
      <c r="J196" s="314" t="n"/>
      <c r="K196" s="170" t="n"/>
      <c r="L196" s="170" t="n"/>
      <c r="M196" s="6" t="n"/>
      <c r="N196" s="6" t="n"/>
      <c r="O196" s="6" t="n"/>
    </row>
    <row r="197">
      <c r="B197" s="170" t="n">
        <v>184</v>
      </c>
      <c r="C197" s="170" t="n"/>
      <c r="D197" s="312" t="n"/>
      <c r="E197" s="312" t="n"/>
      <c r="F197" s="312" t="n"/>
      <c r="G197" s="312" t="n"/>
      <c r="H197" s="312" t="n"/>
      <c r="I197" s="313" t="n"/>
      <c r="J197" s="314" t="n"/>
      <c r="K197" s="170" t="n"/>
      <c r="L197" s="170" t="n"/>
      <c r="M197" s="6" t="n"/>
      <c r="N197" s="6" t="n"/>
      <c r="O197" s="6" t="n"/>
    </row>
    <row r="198">
      <c r="B198" s="170" t="n">
        <v>185</v>
      </c>
      <c r="C198" s="170" t="n"/>
      <c r="D198" s="312" t="n"/>
      <c r="E198" s="312" t="n"/>
      <c r="F198" s="312" t="n"/>
      <c r="G198" s="312" t="n"/>
      <c r="H198" s="312" t="n"/>
      <c r="I198" s="313" t="n"/>
      <c r="J198" s="314" t="n"/>
      <c r="K198" s="170" t="n"/>
      <c r="L198" s="170" t="n"/>
      <c r="M198" s="6" t="n"/>
      <c r="N198" s="6" t="n"/>
      <c r="O198" s="6" t="n"/>
    </row>
    <row r="199">
      <c r="B199" s="170" t="n">
        <v>186</v>
      </c>
      <c r="C199" s="170" t="n"/>
      <c r="D199" s="312" t="n"/>
      <c r="E199" s="312" t="n"/>
      <c r="F199" s="312" t="n"/>
      <c r="G199" s="312" t="n"/>
      <c r="H199" s="312" t="n"/>
      <c r="I199" s="313" t="n"/>
      <c r="J199" s="314" t="n"/>
      <c r="K199" s="170" t="n"/>
      <c r="L199" s="170" t="n"/>
      <c r="M199" s="6" t="n"/>
      <c r="N199" s="6" t="n"/>
      <c r="O199" s="6" t="n"/>
    </row>
    <row r="200">
      <c r="B200" s="170" t="n">
        <v>187</v>
      </c>
      <c r="C200" s="170" t="n"/>
      <c r="D200" s="312" t="n"/>
      <c r="E200" s="312" t="n"/>
      <c r="F200" s="312" t="n"/>
      <c r="G200" s="312" t="n"/>
      <c r="H200" s="312" t="n"/>
      <c r="I200" s="313" t="n"/>
      <c r="J200" s="314" t="n"/>
      <c r="K200" s="170" t="n"/>
      <c r="L200" s="170" t="n"/>
      <c r="M200" s="6" t="n"/>
      <c r="N200" s="6" t="n"/>
      <c r="O200" s="6" t="n"/>
    </row>
    <row r="201">
      <c r="B201" s="170" t="n">
        <v>188</v>
      </c>
      <c r="C201" s="170" t="n"/>
      <c r="D201" s="312" t="n"/>
      <c r="E201" s="312" t="n"/>
      <c r="F201" s="312" t="n"/>
      <c r="G201" s="312" t="n"/>
      <c r="H201" s="312" t="n"/>
      <c r="I201" s="313" t="n"/>
      <c r="J201" s="314" t="n"/>
      <c r="K201" s="170" t="n"/>
      <c r="L201" s="170" t="n"/>
      <c r="M201" s="6" t="n"/>
      <c r="N201" s="6" t="n"/>
      <c r="O201" s="6" t="n"/>
    </row>
    <row r="202">
      <c r="B202" s="170" t="n">
        <v>189</v>
      </c>
      <c r="C202" s="170" t="n"/>
      <c r="D202" s="312" t="n"/>
      <c r="E202" s="312" t="n"/>
      <c r="F202" s="312" t="n"/>
      <c r="G202" s="312" t="n"/>
      <c r="H202" s="312" t="n"/>
      <c r="I202" s="313" t="n"/>
      <c r="J202" s="314" t="n"/>
      <c r="K202" s="170" t="n"/>
      <c r="L202" s="170" t="n"/>
      <c r="M202" s="6" t="n"/>
      <c r="N202" s="6" t="n"/>
      <c r="O202" s="6" t="n"/>
    </row>
    <row r="203">
      <c r="B203" s="170" t="n">
        <v>190</v>
      </c>
      <c r="C203" s="170" t="n"/>
      <c r="D203" s="312" t="n"/>
      <c r="E203" s="312" t="n"/>
      <c r="F203" s="312" t="n"/>
      <c r="G203" s="312" t="n"/>
      <c r="H203" s="312" t="n"/>
      <c r="I203" s="313" t="n"/>
      <c r="J203" s="314" t="n"/>
      <c r="K203" s="170" t="n"/>
      <c r="L203" s="170" t="n"/>
      <c r="M203" s="6" t="n"/>
      <c r="N203" s="6" t="n"/>
      <c r="O203" s="6" t="n"/>
    </row>
    <row r="204">
      <c r="B204" s="170" t="n">
        <v>191</v>
      </c>
      <c r="C204" s="170" t="n"/>
      <c r="D204" s="312" t="n"/>
      <c r="E204" s="312" t="n"/>
      <c r="F204" s="312" t="n"/>
      <c r="G204" s="312" t="n"/>
      <c r="H204" s="312" t="n"/>
      <c r="I204" s="313" t="n"/>
      <c r="J204" s="314" t="n"/>
      <c r="K204" s="170" t="n"/>
      <c r="L204" s="170" t="n"/>
      <c r="M204" s="6" t="n"/>
      <c r="N204" s="6" t="n"/>
      <c r="O204" s="6" t="n"/>
    </row>
    <row r="205">
      <c r="B205" s="170" t="n">
        <v>192</v>
      </c>
      <c r="C205" s="170" t="n"/>
      <c r="D205" s="312" t="n"/>
      <c r="E205" s="312" t="n"/>
      <c r="F205" s="312" t="n"/>
      <c r="G205" s="312" t="n"/>
      <c r="H205" s="312" t="n"/>
      <c r="I205" s="313" t="n"/>
      <c r="J205" s="314" t="n"/>
      <c r="K205" s="170" t="n"/>
      <c r="L205" s="170" t="n"/>
      <c r="M205" s="6" t="n"/>
      <c r="N205" s="6" t="n"/>
      <c r="O205" s="6" t="n"/>
    </row>
    <row r="206">
      <c r="B206" s="170" t="n">
        <v>193</v>
      </c>
      <c r="C206" s="170" t="n"/>
      <c r="D206" s="312" t="n"/>
      <c r="E206" s="312" t="n"/>
      <c r="F206" s="312" t="n"/>
      <c r="G206" s="312" t="n"/>
      <c r="H206" s="312" t="n"/>
      <c r="I206" s="313" t="n"/>
      <c r="J206" s="314" t="n"/>
      <c r="K206" s="170" t="n"/>
      <c r="L206" s="170" t="n"/>
      <c r="M206" s="6" t="n"/>
      <c r="N206" s="6" t="n"/>
      <c r="O206" s="6" t="n"/>
    </row>
    <row r="207">
      <c r="B207" s="170" t="n">
        <v>194</v>
      </c>
      <c r="C207" s="170" t="n"/>
      <c r="D207" s="312" t="n"/>
      <c r="E207" s="312" t="n"/>
      <c r="F207" s="312" t="n"/>
      <c r="G207" s="312" t="n"/>
      <c r="H207" s="312" t="n"/>
      <c r="I207" s="313" t="n"/>
      <c r="J207" s="314" t="n"/>
      <c r="K207" s="170" t="n"/>
      <c r="L207" s="170" t="n"/>
      <c r="M207" s="6" t="n"/>
      <c r="N207" s="6" t="n"/>
      <c r="O207" s="6" t="n"/>
    </row>
    <row r="208">
      <c r="B208" s="170" t="n">
        <v>195</v>
      </c>
      <c r="C208" s="170" t="n"/>
      <c r="D208" s="312" t="n"/>
      <c r="E208" s="312" t="n"/>
      <c r="F208" s="312" t="n"/>
      <c r="G208" s="312" t="n"/>
      <c r="H208" s="312" t="n"/>
      <c r="I208" s="313" t="n"/>
      <c r="J208" s="314" t="n"/>
      <c r="K208" s="170" t="n"/>
      <c r="L208" s="170" t="n"/>
      <c r="M208" s="6" t="n"/>
      <c r="N208" s="6" t="n"/>
      <c r="O208" s="6" t="n"/>
    </row>
    <row r="209">
      <c r="B209" s="170" t="n">
        <v>196</v>
      </c>
      <c r="C209" s="170" t="n"/>
      <c r="D209" s="312" t="n"/>
      <c r="E209" s="312" t="n"/>
      <c r="F209" s="312" t="n"/>
      <c r="G209" s="312" t="n"/>
      <c r="H209" s="312" t="n"/>
      <c r="I209" s="313" t="n"/>
      <c r="J209" s="314" t="n"/>
      <c r="K209" s="170" t="n"/>
      <c r="L209" s="170" t="n"/>
      <c r="M209" s="6" t="n"/>
      <c r="N209" s="6" t="n"/>
      <c r="O209" s="6" t="n"/>
    </row>
    <row r="210">
      <c r="B210" s="170" t="n">
        <v>197</v>
      </c>
      <c r="C210" s="170" t="n"/>
      <c r="D210" s="312" t="n"/>
      <c r="E210" s="312" t="n"/>
      <c r="F210" s="312" t="n"/>
      <c r="G210" s="312" t="n"/>
      <c r="H210" s="312" t="n"/>
      <c r="I210" s="313" t="n"/>
      <c r="J210" s="314" t="n"/>
      <c r="K210" s="170" t="n"/>
      <c r="L210" s="170" t="n"/>
      <c r="M210" s="6" t="n"/>
      <c r="N210" s="6" t="n"/>
      <c r="O210" s="6" t="n"/>
    </row>
    <row r="211">
      <c r="B211" s="170" t="n">
        <v>198</v>
      </c>
      <c r="C211" s="170" t="n"/>
      <c r="D211" s="312" t="n"/>
      <c r="E211" s="312" t="n"/>
      <c r="F211" s="312" t="n"/>
      <c r="G211" s="312" t="n"/>
      <c r="H211" s="312" t="n"/>
      <c r="I211" s="313" t="n"/>
      <c r="J211" s="314" t="n"/>
      <c r="K211" s="170" t="n"/>
      <c r="L211" s="170" t="n"/>
      <c r="M211" s="6" t="n"/>
      <c r="N211" s="6" t="n"/>
      <c r="O211" s="6" t="n"/>
    </row>
    <row r="212">
      <c r="B212" s="170" t="n">
        <v>199</v>
      </c>
      <c r="C212" s="170" t="n"/>
      <c r="D212" s="312" t="n"/>
      <c r="E212" s="312" t="n"/>
      <c r="F212" s="312" t="n"/>
      <c r="G212" s="312" t="n"/>
      <c r="H212" s="312" t="n"/>
      <c r="I212" s="313" t="n"/>
      <c r="J212" s="314" t="n"/>
      <c r="K212" s="170" t="n"/>
      <c r="L212" s="170" t="n"/>
      <c r="M212" s="6" t="n"/>
      <c r="N212" s="6" t="n"/>
      <c r="O212" s="6" t="n"/>
    </row>
    <row r="213">
      <c r="B213" s="170" t="n">
        <v>200</v>
      </c>
      <c r="C213" s="170" t="n"/>
      <c r="D213" s="312" t="n"/>
      <c r="E213" s="312" t="n"/>
      <c r="F213" s="312" t="n"/>
      <c r="G213" s="312" t="n"/>
      <c r="H213" s="312" t="n"/>
      <c r="I213" s="313" t="n"/>
      <c r="J213" s="314" t="n"/>
      <c r="K213" s="170" t="n"/>
      <c r="L213" s="170" t="n"/>
      <c r="M213" s="6" t="n"/>
      <c r="N213" s="6" t="n"/>
      <c r="O213" s="6" t="n"/>
    </row>
    <row r="214">
      <c r="B214" s="170" t="n">
        <v>201</v>
      </c>
      <c r="C214" s="170" t="n"/>
      <c r="D214" s="312" t="n"/>
      <c r="E214" s="312" t="n"/>
      <c r="F214" s="312" t="n"/>
      <c r="G214" s="312" t="n"/>
      <c r="H214" s="312" t="n"/>
      <c r="I214" s="313" t="n"/>
      <c r="J214" s="314" t="n"/>
      <c r="K214" s="170" t="n"/>
      <c r="L214" s="170" t="n"/>
      <c r="M214" s="6" t="n"/>
      <c r="N214" s="6" t="n"/>
      <c r="O214" s="6" t="n"/>
    </row>
    <row r="215">
      <c r="B215" s="170" t="n">
        <v>202</v>
      </c>
      <c r="C215" s="170" t="n"/>
      <c r="D215" s="312" t="n"/>
      <c r="E215" s="312" t="n"/>
      <c r="F215" s="312" t="n"/>
      <c r="G215" s="312" t="n"/>
      <c r="H215" s="312" t="n"/>
      <c r="I215" s="313" t="n"/>
      <c r="J215" s="314" t="n"/>
      <c r="K215" s="170" t="n"/>
      <c r="L215" s="170" t="n"/>
      <c r="M215" s="6" t="n"/>
      <c r="N215" s="6" t="n"/>
      <c r="O215" s="6" t="n"/>
    </row>
    <row r="216">
      <c r="B216" s="170" t="n">
        <v>203</v>
      </c>
      <c r="C216" s="170" t="n"/>
      <c r="D216" s="312" t="n"/>
      <c r="E216" s="312" t="n"/>
      <c r="F216" s="312" t="n"/>
      <c r="G216" s="312" t="n"/>
      <c r="H216" s="312" t="n"/>
      <c r="I216" s="313" t="n"/>
      <c r="J216" s="314" t="n"/>
      <c r="K216" s="170" t="n"/>
      <c r="L216" s="170" t="n"/>
      <c r="M216" s="6" t="n"/>
      <c r="N216" s="6" t="n"/>
      <c r="O216" s="6" t="n"/>
    </row>
    <row r="217">
      <c r="B217" s="170" t="n">
        <v>204</v>
      </c>
      <c r="C217" s="170" t="n"/>
      <c r="D217" s="312" t="n"/>
      <c r="E217" s="312" t="n"/>
      <c r="F217" s="312" t="n"/>
      <c r="G217" s="312" t="n"/>
      <c r="H217" s="312" t="n"/>
      <c r="I217" s="313" t="n"/>
      <c r="J217" s="314" t="n"/>
      <c r="K217" s="170" t="n"/>
      <c r="L217" s="170" t="n"/>
      <c r="M217" s="6" t="n"/>
      <c r="N217" s="6" t="n"/>
      <c r="O217" s="6" t="n"/>
    </row>
    <row r="218">
      <c r="B218" s="170" t="n">
        <v>205</v>
      </c>
      <c r="C218" s="170" t="n"/>
      <c r="D218" s="312" t="n"/>
      <c r="E218" s="312" t="n"/>
      <c r="F218" s="312" t="n"/>
      <c r="G218" s="312" t="n"/>
      <c r="H218" s="312" t="n"/>
      <c r="I218" s="313" t="n"/>
      <c r="J218" s="314" t="n"/>
      <c r="K218" s="170" t="n"/>
      <c r="L218" s="170" t="n"/>
      <c r="M218" s="6" t="n"/>
      <c r="N218" s="6" t="n"/>
      <c r="O218" s="6" t="n"/>
    </row>
    <row r="219">
      <c r="B219" s="170" t="n">
        <v>206</v>
      </c>
      <c r="C219" s="170" t="n"/>
      <c r="D219" s="312" t="n"/>
      <c r="E219" s="312" t="n"/>
      <c r="F219" s="312" t="n"/>
      <c r="G219" s="312" t="n"/>
      <c r="H219" s="312" t="n"/>
      <c r="I219" s="313" t="n"/>
      <c r="J219" s="314" t="n"/>
      <c r="K219" s="170" t="n"/>
      <c r="L219" s="170" t="n"/>
      <c r="M219" s="6" t="n"/>
      <c r="N219" s="6" t="n"/>
      <c r="O219" s="6" t="n"/>
    </row>
    <row r="220">
      <c r="B220" s="170" t="n">
        <v>207</v>
      </c>
      <c r="C220" s="170" t="n"/>
      <c r="D220" s="312" t="n"/>
      <c r="E220" s="312" t="n"/>
      <c r="F220" s="312" t="n"/>
      <c r="G220" s="312" t="n"/>
      <c r="H220" s="312" t="n"/>
      <c r="I220" s="313" t="n"/>
      <c r="J220" s="314" t="n"/>
      <c r="K220" s="170" t="n"/>
      <c r="L220" s="170" t="n"/>
      <c r="M220" s="6" t="n"/>
      <c r="N220" s="6" t="n"/>
      <c r="O220" s="6" t="n"/>
    </row>
    <row r="221">
      <c r="B221" s="170" t="n">
        <v>208</v>
      </c>
      <c r="C221" s="170" t="n"/>
      <c r="D221" s="312" t="n"/>
      <c r="E221" s="312" t="n"/>
      <c r="F221" s="312" t="n"/>
      <c r="G221" s="312" t="n"/>
      <c r="H221" s="312" t="n"/>
      <c r="I221" s="313" t="n"/>
      <c r="J221" s="314" t="n"/>
      <c r="K221" s="170" t="n"/>
      <c r="L221" s="170" t="n"/>
      <c r="M221" s="6" t="n"/>
      <c r="N221" s="6" t="n"/>
      <c r="O221" s="6" t="n"/>
    </row>
    <row r="222">
      <c r="B222" s="170" t="n">
        <v>209</v>
      </c>
      <c r="C222" s="170" t="n"/>
      <c r="D222" s="312" t="n"/>
      <c r="E222" s="312" t="n"/>
      <c r="F222" s="312" t="n"/>
      <c r="G222" s="312" t="n"/>
      <c r="H222" s="312" t="n"/>
      <c r="I222" s="313" t="n"/>
      <c r="J222" s="314" t="n"/>
      <c r="K222" s="170" t="n"/>
      <c r="L222" s="170" t="n"/>
      <c r="M222" s="6" t="n"/>
      <c r="N222" s="6" t="n"/>
      <c r="O222" s="6" t="n"/>
    </row>
    <row r="223">
      <c r="B223" s="170" t="n">
        <v>210</v>
      </c>
      <c r="C223" s="170" t="n"/>
      <c r="D223" s="312" t="n"/>
      <c r="E223" s="312" t="n"/>
      <c r="F223" s="312" t="n"/>
      <c r="G223" s="312" t="n"/>
      <c r="H223" s="312" t="n"/>
      <c r="I223" s="313" t="n"/>
      <c r="J223" s="314" t="n"/>
      <c r="K223" s="170" t="n"/>
      <c r="L223" s="170" t="n"/>
      <c r="M223" s="6" t="n"/>
      <c r="N223" s="6" t="n"/>
      <c r="O223" s="6" t="n"/>
    </row>
    <row r="224">
      <c r="B224" s="170" t="n">
        <v>211</v>
      </c>
      <c r="C224" s="170" t="n"/>
      <c r="D224" s="312" t="n"/>
      <c r="E224" s="312" t="n"/>
      <c r="F224" s="312" t="n"/>
      <c r="G224" s="312" t="n"/>
      <c r="H224" s="312" t="n"/>
      <c r="I224" s="313" t="n"/>
      <c r="J224" s="314" t="n"/>
      <c r="K224" s="170" t="n"/>
      <c r="L224" s="170" t="n"/>
      <c r="M224" s="6" t="n"/>
      <c r="N224" s="6" t="n"/>
      <c r="O224" s="6" t="n"/>
    </row>
    <row r="225">
      <c r="B225" s="170" t="n">
        <v>212</v>
      </c>
      <c r="C225" s="170" t="n"/>
      <c r="D225" s="312" t="n"/>
      <c r="E225" s="312" t="n"/>
      <c r="F225" s="312" t="n"/>
      <c r="G225" s="312" t="n"/>
      <c r="H225" s="312" t="n"/>
      <c r="I225" s="313" t="n"/>
      <c r="J225" s="314" t="n"/>
      <c r="K225" s="170" t="n"/>
      <c r="L225" s="170" t="n"/>
      <c r="M225" s="6" t="n"/>
      <c r="N225" s="6" t="n"/>
      <c r="O225" s="6" t="n"/>
    </row>
    <row r="226">
      <c r="B226" s="170" t="n">
        <v>213</v>
      </c>
      <c r="C226" s="170" t="n"/>
      <c r="D226" s="312" t="n"/>
      <c r="E226" s="312" t="n"/>
      <c r="F226" s="312" t="n"/>
      <c r="G226" s="312" t="n"/>
      <c r="H226" s="312" t="n"/>
      <c r="I226" s="313" t="n"/>
      <c r="J226" s="314" t="n"/>
      <c r="K226" s="170" t="n"/>
      <c r="L226" s="170" t="n"/>
      <c r="M226" s="6" t="n"/>
      <c r="N226" s="6" t="n"/>
      <c r="O226" s="6" t="n"/>
    </row>
    <row r="227">
      <c r="B227" s="170" t="n">
        <v>214</v>
      </c>
      <c r="C227" s="170" t="n"/>
      <c r="D227" s="312" t="n"/>
      <c r="E227" s="312" t="n"/>
      <c r="F227" s="312" t="n"/>
      <c r="G227" s="312" t="n"/>
      <c r="H227" s="312" t="n"/>
      <c r="I227" s="313" t="n"/>
      <c r="J227" s="314" t="n"/>
      <c r="K227" s="170" t="n"/>
      <c r="L227" s="170" t="n"/>
      <c r="M227" s="6" t="n"/>
      <c r="N227" s="6" t="n"/>
      <c r="O227" s="6" t="n"/>
    </row>
    <row r="228">
      <c r="B228" s="170" t="n">
        <v>215</v>
      </c>
      <c r="C228" s="170" t="n"/>
      <c r="D228" s="312" t="n"/>
      <c r="E228" s="312" t="n"/>
      <c r="F228" s="312" t="n"/>
      <c r="G228" s="312" t="n"/>
      <c r="H228" s="312" t="n"/>
      <c r="I228" s="313" t="n"/>
      <c r="J228" s="314" t="n"/>
      <c r="K228" s="170" t="n"/>
      <c r="L228" s="170" t="n"/>
      <c r="M228" s="6" t="n"/>
      <c r="N228" s="6" t="n"/>
      <c r="O228" s="6" t="n"/>
    </row>
    <row r="229">
      <c r="B229" s="170" t="n">
        <v>216</v>
      </c>
      <c r="C229" s="170" t="n"/>
      <c r="D229" s="312" t="n"/>
      <c r="E229" s="312" t="n"/>
      <c r="F229" s="312" t="n"/>
      <c r="G229" s="312" t="n"/>
      <c r="H229" s="312" t="n"/>
      <c r="I229" s="313" t="n"/>
      <c r="J229" s="314" t="n"/>
      <c r="K229" s="170" t="n"/>
      <c r="L229" s="170" t="n"/>
      <c r="M229" s="6" t="n"/>
      <c r="N229" s="6" t="n"/>
      <c r="O229" s="6" t="n"/>
    </row>
    <row r="230">
      <c r="B230" s="170" t="n">
        <v>217</v>
      </c>
      <c r="C230" s="170" t="n"/>
      <c r="D230" s="312" t="n"/>
      <c r="E230" s="312" t="n"/>
      <c r="F230" s="312" t="n"/>
      <c r="G230" s="312" t="n"/>
      <c r="H230" s="312" t="n"/>
      <c r="I230" s="313" t="n"/>
      <c r="J230" s="314" t="n"/>
      <c r="K230" s="170" t="n"/>
      <c r="L230" s="170" t="n"/>
      <c r="M230" s="6" t="n"/>
      <c r="N230" s="6" t="n"/>
      <c r="O230" s="6" t="n"/>
    </row>
    <row r="231">
      <c r="B231" s="170" t="n">
        <v>218</v>
      </c>
      <c r="C231" s="170" t="n"/>
      <c r="D231" s="312" t="n"/>
      <c r="E231" s="312" t="n"/>
      <c r="F231" s="312" t="n"/>
      <c r="G231" s="312" t="n"/>
      <c r="H231" s="312" t="n"/>
      <c r="I231" s="313" t="n"/>
      <c r="J231" s="314" t="n"/>
      <c r="K231" s="170" t="n"/>
      <c r="L231" s="170" t="n"/>
      <c r="M231" s="6" t="n"/>
      <c r="N231" s="6" t="n"/>
      <c r="O231" s="6" t="n"/>
    </row>
    <row r="232">
      <c r="B232" s="170" t="n">
        <v>219</v>
      </c>
      <c r="C232" s="170" t="n"/>
      <c r="D232" s="312" t="n"/>
      <c r="E232" s="312" t="n"/>
      <c r="F232" s="312" t="n"/>
      <c r="G232" s="312" t="n"/>
      <c r="H232" s="312" t="n"/>
      <c r="I232" s="313" t="n"/>
      <c r="J232" s="314" t="n"/>
      <c r="K232" s="170" t="n"/>
      <c r="L232" s="170" t="n"/>
      <c r="M232" s="6" t="n"/>
      <c r="N232" s="6" t="n"/>
      <c r="O232" s="6" t="n"/>
    </row>
    <row r="233">
      <c r="B233" s="170" t="n">
        <v>220</v>
      </c>
      <c r="C233" s="170" t="n"/>
      <c r="D233" s="312" t="n"/>
      <c r="E233" s="312" t="n"/>
      <c r="F233" s="312" t="n"/>
      <c r="G233" s="312" t="n"/>
      <c r="H233" s="312" t="n"/>
      <c r="I233" s="313" t="n"/>
      <c r="J233" s="314" t="n"/>
      <c r="K233" s="170" t="n"/>
      <c r="L233" s="170" t="n"/>
      <c r="M233" s="6" t="n"/>
      <c r="N233" s="6" t="n"/>
      <c r="O233" s="6" t="n"/>
    </row>
    <row r="234">
      <c r="B234" s="170" t="n">
        <v>221</v>
      </c>
      <c r="C234" s="170" t="n"/>
      <c r="D234" s="312" t="n"/>
      <c r="E234" s="312" t="n"/>
      <c r="F234" s="312" t="n"/>
      <c r="G234" s="312" t="n"/>
      <c r="H234" s="312" t="n"/>
      <c r="I234" s="313" t="n"/>
      <c r="J234" s="314" t="n"/>
      <c r="K234" s="170" t="n"/>
      <c r="L234" s="170" t="n"/>
      <c r="M234" s="6" t="n"/>
      <c r="N234" s="6" t="n"/>
      <c r="O234" s="6" t="n"/>
    </row>
    <row r="235">
      <c r="B235" s="170" t="n">
        <v>222</v>
      </c>
      <c r="C235" s="170" t="n"/>
      <c r="D235" s="312" t="n"/>
      <c r="E235" s="312" t="n"/>
      <c r="F235" s="312" t="n"/>
      <c r="G235" s="312" t="n"/>
      <c r="H235" s="312" t="n"/>
      <c r="I235" s="313" t="n"/>
      <c r="J235" s="314" t="n"/>
      <c r="K235" s="170" t="n"/>
      <c r="L235" s="170" t="n"/>
      <c r="M235" s="6" t="n"/>
      <c r="N235" s="6" t="n"/>
      <c r="O235" s="6" t="n"/>
    </row>
    <row r="236">
      <c r="B236" s="170" t="n">
        <v>223</v>
      </c>
      <c r="C236" s="170" t="n"/>
      <c r="D236" s="312" t="n"/>
      <c r="E236" s="312" t="n"/>
      <c r="F236" s="312" t="n"/>
      <c r="G236" s="312" t="n"/>
      <c r="H236" s="312" t="n"/>
      <c r="I236" s="313" t="n"/>
      <c r="J236" s="314" t="n"/>
      <c r="K236" s="170" t="n"/>
      <c r="L236" s="170" t="n"/>
      <c r="M236" s="6" t="n"/>
      <c r="N236" s="6" t="n"/>
      <c r="O236" s="6" t="n"/>
    </row>
    <row r="237">
      <c r="B237" s="170" t="n">
        <v>224</v>
      </c>
      <c r="C237" s="170" t="n"/>
      <c r="D237" s="312" t="n"/>
      <c r="E237" s="312" t="n"/>
      <c r="F237" s="312" t="n"/>
      <c r="G237" s="312" t="n"/>
      <c r="H237" s="312" t="n"/>
      <c r="I237" s="313" t="n"/>
      <c r="J237" s="314" t="n"/>
      <c r="K237" s="170" t="n"/>
      <c r="L237" s="170" t="n"/>
      <c r="M237" s="6" t="n"/>
      <c r="N237" s="6" t="n"/>
      <c r="O237" s="6" t="n"/>
    </row>
    <row r="238">
      <c r="B238" s="170" t="n">
        <v>225</v>
      </c>
      <c r="C238" s="170" t="n"/>
      <c r="D238" s="312" t="n"/>
      <c r="E238" s="312" t="n"/>
      <c r="F238" s="312" t="n"/>
      <c r="G238" s="312" t="n"/>
      <c r="H238" s="312" t="n"/>
      <c r="I238" s="313" t="n"/>
      <c r="J238" s="314" t="n"/>
      <c r="K238" s="170" t="n"/>
      <c r="L238" s="170" t="n"/>
      <c r="M238" s="6" t="n"/>
      <c r="N238" s="6" t="n"/>
      <c r="O238" s="6" t="n"/>
    </row>
    <row r="239">
      <c r="B239" s="170" t="n">
        <v>226</v>
      </c>
      <c r="C239" s="170" t="n"/>
      <c r="D239" s="312" t="n"/>
      <c r="E239" s="312" t="n"/>
      <c r="F239" s="312" t="n"/>
      <c r="G239" s="312" t="n"/>
      <c r="H239" s="312" t="n"/>
      <c r="I239" s="313" t="n"/>
      <c r="J239" s="314" t="n"/>
      <c r="K239" s="170" t="n"/>
      <c r="L239" s="170" t="n"/>
      <c r="M239" s="6" t="n"/>
      <c r="N239" s="6" t="n"/>
      <c r="O239" s="6" t="n"/>
    </row>
    <row r="240">
      <c r="B240" s="170" t="n">
        <v>227</v>
      </c>
      <c r="C240" s="170" t="n"/>
      <c r="D240" s="312" t="n"/>
      <c r="E240" s="312" t="n"/>
      <c r="F240" s="312" t="n"/>
      <c r="G240" s="312" t="n"/>
      <c r="H240" s="312" t="n"/>
      <c r="I240" s="313" t="n"/>
      <c r="J240" s="314" t="n"/>
      <c r="K240" s="170" t="n"/>
      <c r="L240" s="170" t="n"/>
      <c r="M240" s="6" t="n"/>
      <c r="N240" s="6" t="n"/>
      <c r="O240" s="6" t="n"/>
    </row>
    <row r="241">
      <c r="B241" s="170" t="n">
        <v>228</v>
      </c>
      <c r="C241" s="170" t="n"/>
      <c r="D241" s="312" t="n"/>
      <c r="E241" s="312" t="n"/>
      <c r="F241" s="312" t="n"/>
      <c r="G241" s="312" t="n"/>
      <c r="H241" s="312" t="n"/>
      <c r="I241" s="313" t="n"/>
      <c r="J241" s="314" t="n"/>
      <c r="K241" s="170" t="n"/>
      <c r="L241" s="170" t="n"/>
      <c r="M241" s="6" t="n"/>
      <c r="N241" s="6" t="n"/>
      <c r="O241" s="6" t="n"/>
    </row>
    <row r="242">
      <c r="B242" s="170" t="n">
        <v>229</v>
      </c>
      <c r="C242" s="170" t="n"/>
      <c r="D242" s="312" t="n"/>
      <c r="E242" s="312" t="n"/>
      <c r="F242" s="312" t="n"/>
      <c r="G242" s="312" t="n"/>
      <c r="H242" s="312" t="n"/>
      <c r="I242" s="313" t="n"/>
      <c r="J242" s="314" t="n"/>
      <c r="K242" s="170" t="n"/>
      <c r="L242" s="170" t="n"/>
      <c r="M242" s="6" t="n"/>
      <c r="N242" s="6" t="n"/>
      <c r="O242" s="6" t="n"/>
    </row>
    <row r="243">
      <c r="B243" s="170" t="n">
        <v>230</v>
      </c>
      <c r="C243" s="170" t="n"/>
      <c r="D243" s="312" t="n"/>
      <c r="E243" s="312" t="n"/>
      <c r="F243" s="312" t="n"/>
      <c r="G243" s="312" t="n"/>
      <c r="H243" s="312" t="n"/>
      <c r="I243" s="313" t="n"/>
      <c r="J243" s="314" t="n"/>
      <c r="K243" s="170" t="n"/>
      <c r="L243" s="170" t="n"/>
      <c r="M243" s="6" t="n"/>
      <c r="N243" s="6" t="n"/>
      <c r="O243" s="6" t="n"/>
    </row>
    <row r="244">
      <c r="B244" s="170" t="n">
        <v>231</v>
      </c>
      <c r="C244" s="170" t="n"/>
      <c r="D244" s="312" t="n"/>
      <c r="E244" s="312" t="n"/>
      <c r="F244" s="312" t="n"/>
      <c r="G244" s="312" t="n"/>
      <c r="H244" s="312" t="n"/>
      <c r="I244" s="313" t="n"/>
      <c r="J244" s="314" t="n"/>
      <c r="K244" s="170" t="n"/>
      <c r="L244" s="170" t="n"/>
      <c r="M244" s="6" t="n"/>
      <c r="N244" s="6" t="n"/>
      <c r="O244" s="6" t="n"/>
    </row>
    <row r="245">
      <c r="B245" s="170" t="n">
        <v>232</v>
      </c>
      <c r="C245" s="170" t="n"/>
      <c r="D245" s="312" t="n"/>
      <c r="E245" s="312" t="n"/>
      <c r="F245" s="312" t="n"/>
      <c r="G245" s="312" t="n"/>
      <c r="H245" s="312" t="n"/>
      <c r="I245" s="313" t="n"/>
      <c r="J245" s="314" t="n"/>
      <c r="K245" s="170" t="n"/>
      <c r="L245" s="170" t="n"/>
      <c r="M245" s="6" t="n"/>
      <c r="N245" s="6" t="n"/>
      <c r="O245" s="6" t="n"/>
    </row>
    <row r="246">
      <c r="B246" s="170" t="n">
        <v>233</v>
      </c>
      <c r="C246" s="170" t="n"/>
      <c r="D246" s="312" t="n"/>
      <c r="E246" s="312" t="n"/>
      <c r="F246" s="312" t="n"/>
      <c r="G246" s="312" t="n"/>
      <c r="H246" s="312" t="n"/>
      <c r="I246" s="313" t="n"/>
      <c r="J246" s="314" t="n"/>
      <c r="K246" s="170" t="n"/>
      <c r="L246" s="170" t="n"/>
      <c r="M246" s="6" t="n"/>
      <c r="N246" s="6" t="n"/>
      <c r="O246" s="6" t="n"/>
    </row>
    <row r="247">
      <c r="B247" s="170" t="n">
        <v>234</v>
      </c>
      <c r="C247" s="170" t="n"/>
      <c r="D247" s="312" t="n"/>
      <c r="E247" s="312" t="n"/>
      <c r="F247" s="312" t="n"/>
      <c r="G247" s="312" t="n"/>
      <c r="H247" s="312" t="n"/>
      <c r="I247" s="313" t="n"/>
      <c r="J247" s="314" t="n"/>
      <c r="K247" s="170" t="n"/>
      <c r="L247" s="170" t="n"/>
      <c r="M247" s="6" t="n"/>
      <c r="N247" s="6" t="n"/>
      <c r="O247" s="6" t="n"/>
    </row>
    <row r="248">
      <c r="B248" s="170" t="n">
        <v>235</v>
      </c>
      <c r="C248" s="170" t="n"/>
      <c r="D248" s="312" t="n"/>
      <c r="E248" s="312" t="n"/>
      <c r="F248" s="312" t="n"/>
      <c r="G248" s="312" t="n"/>
      <c r="H248" s="312" t="n"/>
      <c r="I248" s="313" t="n"/>
      <c r="J248" s="314" t="n"/>
      <c r="K248" s="170" t="n"/>
      <c r="L248" s="170" t="n"/>
      <c r="M248" s="6" t="n"/>
      <c r="N248" s="6" t="n"/>
      <c r="O248" s="6" t="n"/>
    </row>
    <row r="249">
      <c r="B249" s="170" t="n">
        <v>236</v>
      </c>
      <c r="C249" s="170" t="n"/>
      <c r="D249" s="312" t="n"/>
      <c r="E249" s="312" t="n"/>
      <c r="F249" s="312" t="n"/>
      <c r="G249" s="312" t="n"/>
      <c r="H249" s="312" t="n"/>
      <c r="I249" s="313" t="n"/>
      <c r="J249" s="314" t="n"/>
      <c r="K249" s="170" t="n"/>
      <c r="L249" s="170" t="n"/>
      <c r="M249" s="6" t="n"/>
      <c r="N249" s="6" t="n"/>
      <c r="O249" s="6" t="n"/>
    </row>
    <row r="250">
      <c r="B250" s="170" t="n">
        <v>237</v>
      </c>
      <c r="C250" s="170" t="n"/>
      <c r="D250" s="312" t="n"/>
      <c r="E250" s="312" t="n"/>
      <c r="F250" s="312" t="n"/>
      <c r="G250" s="312" t="n"/>
      <c r="H250" s="312" t="n"/>
      <c r="I250" s="313" t="n"/>
      <c r="J250" s="314" t="n"/>
      <c r="K250" s="170" t="n"/>
      <c r="L250" s="170" t="n"/>
      <c r="M250" s="6" t="n"/>
      <c r="N250" s="6" t="n"/>
      <c r="O250" s="6" t="n"/>
    </row>
    <row r="251">
      <c r="B251" s="170" t="n">
        <v>238</v>
      </c>
      <c r="C251" s="170" t="n"/>
      <c r="D251" s="312" t="n"/>
      <c r="E251" s="312" t="n"/>
      <c r="F251" s="312" t="n"/>
      <c r="G251" s="312" t="n"/>
      <c r="H251" s="312" t="n"/>
      <c r="I251" s="313" t="n"/>
      <c r="J251" s="314" t="n"/>
      <c r="K251" s="170" t="n"/>
      <c r="L251" s="170" t="n"/>
      <c r="M251" s="6" t="n"/>
      <c r="N251" s="6" t="n"/>
      <c r="O251" s="6" t="n"/>
    </row>
    <row r="252">
      <c r="B252" s="170" t="n">
        <v>239</v>
      </c>
      <c r="C252" s="170" t="n"/>
      <c r="D252" s="312" t="n"/>
      <c r="E252" s="312" t="n"/>
      <c r="F252" s="312" t="n"/>
      <c r="G252" s="312" t="n"/>
      <c r="H252" s="312" t="n"/>
      <c r="I252" s="313" t="n"/>
      <c r="J252" s="314" t="n"/>
      <c r="K252" s="170" t="n"/>
      <c r="L252" s="170" t="n"/>
      <c r="M252" s="6" t="n"/>
      <c r="N252" s="6" t="n"/>
      <c r="O252" s="6" t="n"/>
    </row>
    <row r="253">
      <c r="B253" s="170" t="n">
        <v>240</v>
      </c>
      <c r="C253" s="170" t="n"/>
      <c r="D253" s="312" t="n"/>
      <c r="E253" s="312" t="n"/>
      <c r="F253" s="312" t="n"/>
      <c r="G253" s="312" t="n"/>
      <c r="H253" s="312" t="n"/>
      <c r="I253" s="313" t="n"/>
      <c r="J253" s="314" t="n"/>
      <c r="K253" s="170" t="n"/>
      <c r="L253" s="170" t="n"/>
      <c r="M253" s="6" t="n"/>
      <c r="N253" s="6" t="n"/>
      <c r="O253" s="6" t="n"/>
    </row>
    <row r="254">
      <c r="B254" s="170" t="n">
        <v>241</v>
      </c>
      <c r="C254" s="170" t="n"/>
      <c r="D254" s="312" t="n"/>
      <c r="E254" s="312" t="n"/>
      <c r="F254" s="312" t="n"/>
      <c r="G254" s="312" t="n"/>
      <c r="H254" s="312" t="n"/>
      <c r="I254" s="313" t="n"/>
      <c r="J254" s="314" t="n"/>
      <c r="K254" s="170" t="n"/>
      <c r="L254" s="170" t="n"/>
      <c r="M254" s="6" t="n"/>
      <c r="N254" s="6" t="n"/>
      <c r="O254" s="6" t="n"/>
    </row>
    <row r="255">
      <c r="B255" s="170" t="n">
        <v>242</v>
      </c>
      <c r="C255" s="170" t="n"/>
      <c r="D255" s="312" t="n"/>
      <c r="E255" s="312" t="n"/>
      <c r="F255" s="312" t="n"/>
      <c r="G255" s="312" t="n"/>
      <c r="H255" s="312" t="n"/>
      <c r="I255" s="313" t="n"/>
      <c r="J255" s="314" t="n"/>
      <c r="K255" s="170" t="n"/>
      <c r="L255" s="170" t="n"/>
      <c r="M255" s="6" t="n"/>
      <c r="N255" s="6" t="n"/>
      <c r="O255" s="6" t="n"/>
    </row>
    <row r="256">
      <c r="B256" s="170" t="n">
        <v>243</v>
      </c>
      <c r="C256" s="170" t="n"/>
      <c r="D256" s="312" t="n"/>
      <c r="E256" s="312" t="n"/>
      <c r="F256" s="312" t="n"/>
      <c r="G256" s="312" t="n"/>
      <c r="H256" s="312" t="n"/>
      <c r="I256" s="313" t="n"/>
      <c r="J256" s="314" t="n"/>
      <c r="K256" s="170" t="n"/>
      <c r="L256" s="170" t="n"/>
      <c r="M256" s="6" t="n"/>
      <c r="N256" s="6" t="n"/>
      <c r="O256" s="6" t="n"/>
    </row>
    <row r="257">
      <c r="B257" s="170" t="n">
        <v>244</v>
      </c>
      <c r="C257" s="170" t="n"/>
      <c r="D257" s="312" t="n"/>
      <c r="E257" s="312" t="n"/>
      <c r="F257" s="312" t="n"/>
      <c r="G257" s="312" t="n"/>
      <c r="H257" s="312" t="n"/>
      <c r="I257" s="313" t="n"/>
      <c r="J257" s="314" t="n"/>
      <c r="K257" s="170" t="n"/>
      <c r="L257" s="170" t="n"/>
      <c r="M257" s="6" t="n"/>
      <c r="N257" s="6" t="n"/>
      <c r="O257" s="6" t="n"/>
    </row>
    <row r="258">
      <c r="B258" s="170" t="n">
        <v>245</v>
      </c>
      <c r="C258" s="170" t="n"/>
      <c r="D258" s="312" t="n"/>
      <c r="E258" s="312" t="n"/>
      <c r="F258" s="312" t="n"/>
      <c r="G258" s="312" t="n"/>
      <c r="H258" s="312" t="n"/>
      <c r="I258" s="313" t="n"/>
      <c r="J258" s="314" t="n"/>
      <c r="K258" s="170" t="n"/>
      <c r="L258" s="170" t="n"/>
      <c r="M258" s="6" t="n"/>
      <c r="N258" s="6" t="n"/>
      <c r="O258" s="6" t="n"/>
    </row>
    <row r="259">
      <c r="B259" s="170" t="n">
        <v>246</v>
      </c>
      <c r="C259" s="170" t="n"/>
      <c r="D259" s="312" t="n"/>
      <c r="E259" s="312" t="n"/>
      <c r="F259" s="312" t="n"/>
      <c r="G259" s="312" t="n"/>
      <c r="H259" s="312" t="n"/>
      <c r="I259" s="313" t="n"/>
      <c r="J259" s="314" t="n"/>
      <c r="K259" s="170" t="n"/>
      <c r="L259" s="170" t="n"/>
      <c r="M259" s="6" t="n"/>
      <c r="N259" s="6" t="n"/>
      <c r="O259" s="6" t="n"/>
    </row>
    <row r="260">
      <c r="B260" s="170" t="n">
        <v>247</v>
      </c>
      <c r="C260" s="170" t="n"/>
      <c r="D260" s="312" t="n"/>
      <c r="E260" s="312" t="n"/>
      <c r="F260" s="312" t="n"/>
      <c r="G260" s="312" t="n"/>
      <c r="H260" s="312" t="n"/>
      <c r="I260" s="313" t="n"/>
      <c r="J260" s="314" t="n"/>
      <c r="K260" s="170" t="n"/>
      <c r="L260" s="170" t="n"/>
      <c r="M260" s="6" t="n"/>
      <c r="N260" s="6" t="n"/>
      <c r="O260" s="6" t="n"/>
    </row>
    <row r="261">
      <c r="B261" s="170" t="n">
        <v>248</v>
      </c>
      <c r="C261" s="170" t="n"/>
      <c r="D261" s="312" t="n"/>
      <c r="E261" s="312" t="n"/>
      <c r="F261" s="312" t="n"/>
      <c r="G261" s="312" t="n"/>
      <c r="H261" s="312" t="n"/>
      <c r="I261" s="313" t="n"/>
      <c r="J261" s="314" t="n"/>
      <c r="K261" s="170" t="n"/>
      <c r="L261" s="170" t="n"/>
      <c r="M261" s="6" t="n"/>
      <c r="N261" s="6" t="n"/>
      <c r="O261" s="6" t="n"/>
    </row>
    <row r="262">
      <c r="B262" s="170" t="n">
        <v>249</v>
      </c>
      <c r="C262" s="170" t="n"/>
      <c r="D262" s="312" t="n"/>
      <c r="E262" s="312" t="n"/>
      <c r="F262" s="312" t="n"/>
      <c r="G262" s="312" t="n"/>
      <c r="H262" s="312" t="n"/>
      <c r="I262" s="313" t="n"/>
      <c r="J262" s="314" t="n"/>
      <c r="K262" s="170" t="n"/>
      <c r="L262" s="170" t="n"/>
      <c r="M262" s="6" t="n"/>
      <c r="N262" s="6" t="n"/>
      <c r="O262" s="6" t="n"/>
    </row>
    <row r="263">
      <c r="B263" s="170" t="n">
        <v>250</v>
      </c>
      <c r="C263" s="170" t="n"/>
      <c r="D263" s="312" t="n"/>
      <c r="E263" s="312" t="n"/>
      <c r="F263" s="312" t="n"/>
      <c r="G263" s="312" t="n"/>
      <c r="H263" s="312" t="n"/>
      <c r="I263" s="313" t="n"/>
      <c r="J263" s="314" t="n"/>
      <c r="K263" s="170" t="n"/>
      <c r="L263" s="170" t="n"/>
      <c r="M263" s="6" t="n"/>
      <c r="N263" s="6" t="n"/>
      <c r="O263" s="6" t="n"/>
    </row>
    <row r="264">
      <c r="B264" s="170" t="n">
        <v>251</v>
      </c>
      <c r="C264" s="170" t="n"/>
      <c r="D264" s="312" t="n"/>
      <c r="E264" s="312" t="n"/>
      <c r="F264" s="312" t="n"/>
      <c r="G264" s="312" t="n"/>
      <c r="H264" s="312" t="n"/>
      <c r="I264" s="313" t="n"/>
      <c r="J264" s="314" t="n"/>
      <c r="K264" s="170" t="n"/>
      <c r="L264" s="170" t="n"/>
      <c r="M264" s="6" t="n"/>
      <c r="N264" s="6" t="n"/>
      <c r="O264" s="6" t="n"/>
    </row>
    <row r="265">
      <c r="B265" s="170" t="n">
        <v>252</v>
      </c>
      <c r="C265" s="170" t="n"/>
      <c r="D265" s="312" t="n"/>
      <c r="E265" s="312" t="n"/>
      <c r="F265" s="312" t="n"/>
      <c r="G265" s="312" t="n"/>
      <c r="H265" s="312" t="n"/>
      <c r="I265" s="313" t="n"/>
      <c r="J265" s="314" t="n"/>
      <c r="K265" s="170" t="n"/>
      <c r="L265" s="170" t="n"/>
      <c r="M265" s="6" t="n"/>
      <c r="N265" s="6" t="n"/>
      <c r="O265" s="6" t="n"/>
    </row>
    <row r="266">
      <c r="B266" s="170" t="n">
        <v>253</v>
      </c>
      <c r="C266" s="170" t="n"/>
      <c r="D266" s="312" t="n"/>
      <c r="E266" s="312" t="n"/>
      <c r="F266" s="312" t="n"/>
      <c r="G266" s="312" t="n"/>
      <c r="H266" s="312" t="n"/>
      <c r="I266" s="313" t="n"/>
      <c r="J266" s="314" t="n"/>
      <c r="K266" s="170" t="n"/>
      <c r="L266" s="170" t="n"/>
      <c r="M266" s="6" t="n"/>
      <c r="N266" s="6" t="n"/>
      <c r="O266" s="6" t="n"/>
    </row>
    <row r="267">
      <c r="B267" s="170" t="n">
        <v>254</v>
      </c>
      <c r="C267" s="170" t="n"/>
      <c r="D267" s="312" t="n"/>
      <c r="E267" s="312" t="n"/>
      <c r="F267" s="312" t="n"/>
      <c r="G267" s="312" t="n"/>
      <c r="H267" s="312" t="n"/>
      <c r="I267" s="313" t="n"/>
      <c r="J267" s="314" t="n"/>
      <c r="K267" s="170" t="n"/>
      <c r="L267" s="170" t="n"/>
      <c r="M267" s="6" t="n"/>
      <c r="N267" s="6" t="n"/>
      <c r="O267" s="6" t="n"/>
    </row>
    <row r="268">
      <c r="B268" s="170" t="n">
        <v>255</v>
      </c>
      <c r="C268" s="170" t="n"/>
      <c r="D268" s="312" t="n"/>
      <c r="E268" s="312" t="n"/>
      <c r="F268" s="312" t="n"/>
      <c r="G268" s="312" t="n"/>
      <c r="H268" s="312" t="n"/>
      <c r="I268" s="313" t="n"/>
      <c r="J268" s="314" t="n"/>
      <c r="K268" s="170" t="n"/>
      <c r="L268" s="170" t="n"/>
      <c r="M268" s="6" t="n"/>
      <c r="N268" s="6" t="n"/>
      <c r="O268" s="6" t="n"/>
    </row>
    <row r="269">
      <c r="B269" s="170" t="n">
        <v>256</v>
      </c>
      <c r="C269" s="170" t="n"/>
      <c r="D269" s="312" t="n"/>
      <c r="E269" s="312" t="n"/>
      <c r="F269" s="312" t="n"/>
      <c r="G269" s="312" t="n"/>
      <c r="H269" s="312" t="n"/>
      <c r="I269" s="313" t="n"/>
      <c r="J269" s="314" t="n"/>
      <c r="K269" s="170" t="n"/>
      <c r="L269" s="170" t="n"/>
      <c r="M269" s="6" t="n"/>
      <c r="N269" s="6" t="n"/>
      <c r="O269" s="6" t="n"/>
    </row>
    <row r="270">
      <c r="B270" s="170" t="n">
        <v>257</v>
      </c>
      <c r="C270" s="170" t="n"/>
      <c r="D270" s="312" t="n"/>
      <c r="E270" s="312" t="n"/>
      <c r="F270" s="312" t="n"/>
      <c r="G270" s="312" t="n"/>
      <c r="H270" s="312" t="n"/>
      <c r="I270" s="313" t="n"/>
      <c r="J270" s="314" t="n"/>
      <c r="K270" s="170" t="n"/>
      <c r="L270" s="170" t="n"/>
      <c r="M270" s="6" t="n"/>
      <c r="N270" s="6" t="n"/>
      <c r="O270" s="6" t="n"/>
    </row>
    <row r="271">
      <c r="B271" s="170" t="n">
        <v>258</v>
      </c>
      <c r="C271" s="170" t="n"/>
      <c r="D271" s="312" t="n"/>
      <c r="E271" s="312" t="n"/>
      <c r="F271" s="312" t="n"/>
      <c r="G271" s="312" t="n"/>
      <c r="H271" s="312" t="n"/>
      <c r="I271" s="313" t="n"/>
      <c r="J271" s="314" t="n"/>
      <c r="K271" s="170" t="n"/>
      <c r="L271" s="170" t="n"/>
      <c r="M271" s="6" t="n"/>
      <c r="N271" s="6" t="n"/>
      <c r="O271" s="6" t="n"/>
    </row>
    <row r="272">
      <c r="B272" s="170" t="n">
        <v>259</v>
      </c>
      <c r="C272" s="170" t="n"/>
      <c r="D272" s="312" t="n"/>
      <c r="E272" s="312" t="n"/>
      <c r="F272" s="312" t="n"/>
      <c r="G272" s="312" t="n"/>
      <c r="H272" s="312" t="n"/>
      <c r="I272" s="313" t="n"/>
      <c r="J272" s="314" t="n"/>
      <c r="K272" s="170" t="n"/>
      <c r="L272" s="170" t="n"/>
      <c r="M272" s="6" t="n"/>
      <c r="N272" s="6" t="n"/>
      <c r="O272" s="6" t="n"/>
    </row>
    <row r="273">
      <c r="B273" s="170" t="n">
        <v>260</v>
      </c>
      <c r="C273" s="170" t="n"/>
      <c r="D273" s="312" t="n"/>
      <c r="E273" s="312" t="n"/>
      <c r="F273" s="312" t="n"/>
      <c r="G273" s="312" t="n"/>
      <c r="H273" s="312" t="n"/>
      <c r="I273" s="313" t="n"/>
      <c r="J273" s="314" t="n"/>
      <c r="K273" s="170" t="n"/>
      <c r="L273" s="170" t="n"/>
      <c r="M273" s="6" t="n"/>
      <c r="N273" s="6" t="n"/>
      <c r="O273" s="6" t="n"/>
    </row>
    <row r="274">
      <c r="B274" s="170" t="n">
        <v>261</v>
      </c>
      <c r="C274" s="170" t="n"/>
      <c r="D274" s="312" t="n"/>
      <c r="E274" s="312" t="n"/>
      <c r="F274" s="312" t="n"/>
      <c r="G274" s="312" t="n"/>
      <c r="H274" s="312" t="n"/>
      <c r="I274" s="313" t="n"/>
      <c r="J274" s="314" t="n"/>
      <c r="K274" s="170" t="n"/>
      <c r="L274" s="170" t="n"/>
      <c r="M274" s="6" t="n"/>
      <c r="N274" s="6" t="n"/>
      <c r="O274" s="6" t="n"/>
    </row>
    <row r="275">
      <c r="B275" s="170" t="n">
        <v>262</v>
      </c>
      <c r="C275" s="170" t="n"/>
      <c r="D275" s="312" t="n"/>
      <c r="E275" s="312" t="n"/>
      <c r="F275" s="312" t="n"/>
      <c r="G275" s="312" t="n"/>
      <c r="H275" s="312" t="n"/>
      <c r="I275" s="313" t="n"/>
      <c r="J275" s="314" t="n"/>
      <c r="K275" s="170" t="n"/>
      <c r="L275" s="170" t="n"/>
      <c r="M275" s="6" t="n"/>
      <c r="N275" s="6" t="n"/>
      <c r="O275" s="6" t="n"/>
    </row>
    <row r="276">
      <c r="B276" s="170" t="n">
        <v>263</v>
      </c>
      <c r="C276" s="170" t="n"/>
      <c r="D276" s="312" t="n"/>
      <c r="E276" s="312" t="n"/>
      <c r="F276" s="312" t="n"/>
      <c r="G276" s="312" t="n"/>
      <c r="H276" s="312" t="n"/>
      <c r="I276" s="313" t="n"/>
      <c r="J276" s="314" t="n"/>
      <c r="K276" s="170" t="n"/>
      <c r="L276" s="170" t="n"/>
      <c r="M276" s="6" t="n"/>
      <c r="N276" s="6" t="n"/>
      <c r="O276" s="6" t="n"/>
    </row>
    <row r="277">
      <c r="B277" s="170" t="n">
        <v>264</v>
      </c>
      <c r="C277" s="170" t="n"/>
      <c r="D277" s="312" t="n"/>
      <c r="E277" s="312" t="n"/>
      <c r="F277" s="312" t="n"/>
      <c r="G277" s="312" t="n"/>
      <c r="H277" s="312" t="n"/>
      <c r="I277" s="313" t="n"/>
      <c r="J277" s="314" t="n"/>
      <c r="K277" s="170" t="n"/>
      <c r="L277" s="170" t="n"/>
      <c r="M277" s="6" t="n"/>
      <c r="N277" s="6" t="n"/>
      <c r="O277" s="6" t="n"/>
    </row>
    <row r="278">
      <c r="B278" s="170" t="n">
        <v>265</v>
      </c>
      <c r="C278" s="170" t="n"/>
      <c r="D278" s="312" t="n"/>
      <c r="E278" s="312" t="n"/>
      <c r="F278" s="312" t="n"/>
      <c r="G278" s="312" t="n"/>
      <c r="H278" s="312" t="n"/>
      <c r="I278" s="313" t="n"/>
      <c r="J278" s="314" t="n"/>
      <c r="K278" s="170" t="n"/>
      <c r="L278" s="170" t="n"/>
      <c r="M278" s="6" t="n"/>
      <c r="N278" s="6" t="n"/>
      <c r="O278" s="6" t="n"/>
    </row>
    <row r="279">
      <c r="B279" s="170" t="n">
        <v>266</v>
      </c>
      <c r="C279" s="170" t="n"/>
      <c r="D279" s="312" t="n"/>
      <c r="E279" s="312" t="n"/>
      <c r="F279" s="312" t="n"/>
      <c r="G279" s="312" t="n"/>
      <c r="H279" s="312" t="n"/>
      <c r="I279" s="313" t="n"/>
      <c r="J279" s="314" t="n"/>
      <c r="K279" s="170" t="n"/>
      <c r="L279" s="170" t="n"/>
      <c r="M279" s="6" t="n"/>
      <c r="N279" s="6" t="n"/>
      <c r="O279" s="6" t="n"/>
    </row>
    <row r="280">
      <c r="B280" s="170" t="n">
        <v>267</v>
      </c>
      <c r="C280" s="170" t="n"/>
      <c r="D280" s="312" t="n"/>
      <c r="E280" s="312" t="n"/>
      <c r="F280" s="312" t="n"/>
      <c r="G280" s="312" t="n"/>
      <c r="H280" s="312" t="n"/>
      <c r="I280" s="313" t="n"/>
      <c r="J280" s="314" t="n"/>
      <c r="K280" s="170" t="n"/>
      <c r="L280" s="170" t="n"/>
      <c r="M280" s="6" t="n"/>
      <c r="N280" s="6" t="n"/>
      <c r="O280" s="6" t="n"/>
    </row>
    <row r="281">
      <c r="B281" s="170" t="n">
        <v>268</v>
      </c>
      <c r="C281" s="170" t="n"/>
      <c r="D281" s="312" t="n"/>
      <c r="E281" s="312" t="n"/>
      <c r="F281" s="312" t="n"/>
      <c r="G281" s="312" t="n"/>
      <c r="H281" s="312" t="n"/>
      <c r="I281" s="313" t="n"/>
      <c r="J281" s="314" t="n"/>
      <c r="K281" s="170" t="n"/>
      <c r="L281" s="170" t="n"/>
      <c r="M281" s="6" t="n"/>
      <c r="N281" s="6" t="n"/>
      <c r="O281" s="6" t="n"/>
    </row>
    <row r="282">
      <c r="B282" s="170" t="n">
        <v>269</v>
      </c>
      <c r="C282" s="170" t="n"/>
      <c r="D282" s="312" t="n"/>
      <c r="E282" s="312" t="n"/>
      <c r="F282" s="312" t="n"/>
      <c r="G282" s="312" t="n"/>
      <c r="H282" s="312" t="n"/>
      <c r="I282" s="313" t="n"/>
      <c r="J282" s="314" t="n"/>
      <c r="K282" s="170" t="n"/>
      <c r="L282" s="170" t="n"/>
      <c r="M282" s="6" t="n"/>
      <c r="N282" s="6" t="n"/>
      <c r="O282" s="6" t="n"/>
    </row>
    <row r="283">
      <c r="B283" s="170" t="n">
        <v>270</v>
      </c>
      <c r="C283" s="170" t="n"/>
      <c r="D283" s="312" t="n"/>
      <c r="E283" s="312" t="n"/>
      <c r="F283" s="312" t="n"/>
      <c r="G283" s="312" t="n"/>
      <c r="H283" s="312" t="n"/>
      <c r="I283" s="313" t="n"/>
      <c r="J283" s="314" t="n"/>
      <c r="K283" s="170" t="n"/>
      <c r="L283" s="170" t="n"/>
      <c r="M283" s="6" t="n"/>
      <c r="N283" s="6" t="n"/>
      <c r="O283" s="6" t="n"/>
    </row>
    <row r="284">
      <c r="B284" s="170" t="n">
        <v>271</v>
      </c>
      <c r="C284" s="170" t="n"/>
      <c r="D284" s="312" t="n"/>
      <c r="E284" s="312" t="n"/>
      <c r="F284" s="312" t="n"/>
      <c r="G284" s="312" t="n"/>
      <c r="H284" s="312" t="n"/>
      <c r="I284" s="313" t="n"/>
      <c r="J284" s="314" t="n"/>
      <c r="K284" s="170" t="n"/>
      <c r="L284" s="170" t="n"/>
      <c r="M284" s="6" t="n"/>
      <c r="N284" s="6" t="n"/>
      <c r="O284" s="6" t="n"/>
    </row>
    <row r="285">
      <c r="B285" s="170" t="n">
        <v>272</v>
      </c>
      <c r="C285" s="170" t="n"/>
      <c r="D285" s="312" t="n"/>
      <c r="E285" s="312" t="n"/>
      <c r="F285" s="312" t="n"/>
      <c r="G285" s="312" t="n"/>
      <c r="H285" s="312" t="n"/>
      <c r="I285" s="313" t="n"/>
      <c r="J285" s="314" t="n"/>
      <c r="K285" s="170" t="n"/>
      <c r="L285" s="170" t="n"/>
      <c r="M285" s="6" t="n"/>
      <c r="N285" s="6" t="n"/>
      <c r="O285" s="6" t="n"/>
    </row>
    <row r="286">
      <c r="B286" s="170" t="n">
        <v>273</v>
      </c>
      <c r="C286" s="170" t="n"/>
      <c r="D286" s="312" t="n"/>
      <c r="E286" s="312" t="n"/>
      <c r="F286" s="312" t="n"/>
      <c r="G286" s="312" t="n"/>
      <c r="H286" s="312" t="n"/>
      <c r="I286" s="313" t="n"/>
      <c r="J286" s="314" t="n"/>
      <c r="K286" s="170" t="n"/>
      <c r="L286" s="170" t="n"/>
      <c r="M286" s="6" t="n"/>
      <c r="N286" s="6" t="n"/>
      <c r="O286" s="6" t="n"/>
    </row>
    <row r="287">
      <c r="B287" s="170" t="n">
        <v>274</v>
      </c>
      <c r="C287" s="170" t="n"/>
      <c r="D287" s="312" t="n"/>
      <c r="E287" s="312" t="n"/>
      <c r="F287" s="312" t="n"/>
      <c r="G287" s="312" t="n"/>
      <c r="H287" s="312" t="n"/>
      <c r="I287" s="313" t="n"/>
      <c r="J287" s="314" t="n"/>
      <c r="K287" s="170" t="n"/>
      <c r="L287" s="170" t="n"/>
      <c r="M287" s="6" t="n"/>
      <c r="N287" s="6" t="n"/>
      <c r="O287" s="6" t="n"/>
    </row>
    <row r="288">
      <c r="B288" s="170" t="n">
        <v>275</v>
      </c>
      <c r="C288" s="170" t="n"/>
      <c r="D288" s="312" t="n"/>
      <c r="E288" s="312" t="n"/>
      <c r="F288" s="312" t="n"/>
      <c r="G288" s="312" t="n"/>
      <c r="H288" s="312" t="n"/>
      <c r="I288" s="313" t="n"/>
      <c r="J288" s="314" t="n"/>
      <c r="K288" s="170" t="n"/>
      <c r="L288" s="170" t="n"/>
      <c r="M288" s="6" t="n"/>
      <c r="N288" s="6" t="n"/>
      <c r="O288" s="6" t="n"/>
    </row>
    <row r="289">
      <c r="B289" s="170" t="n">
        <v>276</v>
      </c>
      <c r="C289" s="170" t="n"/>
      <c r="D289" s="312" t="n"/>
      <c r="E289" s="312" t="n"/>
      <c r="F289" s="312" t="n"/>
      <c r="G289" s="312" t="n"/>
      <c r="H289" s="312" t="n"/>
      <c r="I289" s="313" t="n"/>
      <c r="J289" s="314" t="n"/>
      <c r="K289" s="170" t="n"/>
      <c r="L289" s="170" t="n"/>
      <c r="M289" s="6" t="n"/>
      <c r="N289" s="6" t="n"/>
      <c r="O289" s="6" t="n"/>
    </row>
    <row r="290">
      <c r="B290" s="170" t="n">
        <v>277</v>
      </c>
      <c r="C290" s="170" t="n"/>
      <c r="D290" s="312" t="n"/>
      <c r="E290" s="312" t="n"/>
      <c r="F290" s="312" t="n"/>
      <c r="G290" s="312" t="n"/>
      <c r="H290" s="312" t="n"/>
      <c r="I290" s="313" t="n"/>
      <c r="J290" s="314" t="n"/>
      <c r="K290" s="170" t="n"/>
      <c r="L290" s="170" t="n"/>
      <c r="M290" s="6" t="n"/>
      <c r="N290" s="6" t="n"/>
      <c r="O290" s="6" t="n"/>
    </row>
    <row r="291">
      <c r="B291" s="170" t="n">
        <v>278</v>
      </c>
      <c r="C291" s="170" t="n"/>
      <c r="D291" s="312" t="n"/>
      <c r="E291" s="312" t="n"/>
      <c r="F291" s="312" t="n"/>
      <c r="G291" s="312" t="n"/>
      <c r="H291" s="312" t="n"/>
      <c r="I291" s="313" t="n"/>
      <c r="J291" s="314" t="n"/>
      <c r="K291" s="170" t="n"/>
      <c r="L291" s="170" t="n"/>
      <c r="M291" s="6" t="n"/>
      <c r="N291" s="6" t="n"/>
      <c r="O291" s="6" t="n"/>
    </row>
    <row r="292">
      <c r="B292" s="170" t="n">
        <v>279</v>
      </c>
      <c r="C292" s="170" t="n"/>
      <c r="D292" s="312" t="n"/>
      <c r="E292" s="312" t="n"/>
      <c r="F292" s="312" t="n"/>
      <c r="G292" s="312" t="n"/>
      <c r="H292" s="312" t="n"/>
      <c r="I292" s="313" t="n"/>
      <c r="J292" s="314" t="n"/>
      <c r="K292" s="170" t="n"/>
      <c r="L292" s="170" t="n"/>
      <c r="M292" s="6" t="n"/>
      <c r="N292" s="6" t="n"/>
      <c r="O292" s="6" t="n"/>
    </row>
    <row r="293">
      <c r="B293" s="170" t="n">
        <v>280</v>
      </c>
      <c r="C293" s="170" t="n"/>
      <c r="D293" s="312" t="n"/>
      <c r="E293" s="312" t="n"/>
      <c r="F293" s="312" t="n"/>
      <c r="G293" s="312" t="n"/>
      <c r="H293" s="312" t="n"/>
      <c r="I293" s="313" t="n"/>
      <c r="J293" s="314" t="n"/>
      <c r="K293" s="170" t="n"/>
      <c r="L293" s="170" t="n"/>
      <c r="M293" s="6" t="n"/>
      <c r="N293" s="6" t="n"/>
      <c r="O293" s="6" t="n"/>
    </row>
    <row r="294">
      <c r="B294" s="170" t="n">
        <v>281</v>
      </c>
      <c r="C294" s="170" t="n"/>
      <c r="D294" s="312" t="n"/>
      <c r="E294" s="312" t="n"/>
      <c r="F294" s="312" t="n"/>
      <c r="G294" s="312" t="n"/>
      <c r="H294" s="312" t="n"/>
      <c r="I294" s="313" t="n"/>
      <c r="J294" s="314" t="n"/>
      <c r="K294" s="170" t="n"/>
      <c r="L294" s="170" t="n"/>
      <c r="M294" s="6" t="n"/>
      <c r="N294" s="6" t="n"/>
      <c r="O294" s="6" t="n"/>
    </row>
    <row r="295">
      <c r="B295" s="170" t="n">
        <v>282</v>
      </c>
      <c r="C295" s="170" t="n"/>
      <c r="D295" s="312" t="n"/>
      <c r="E295" s="312" t="n"/>
      <c r="F295" s="312" t="n"/>
      <c r="G295" s="312" t="n"/>
      <c r="H295" s="312" t="n"/>
      <c r="I295" s="313" t="n"/>
      <c r="J295" s="314" t="n"/>
      <c r="K295" s="170" t="n"/>
      <c r="L295" s="170" t="n"/>
      <c r="M295" s="6" t="n"/>
      <c r="N295" s="6" t="n"/>
      <c r="O295" s="6" t="n"/>
    </row>
    <row r="296">
      <c r="B296" s="170" t="n">
        <v>283</v>
      </c>
      <c r="C296" s="170" t="n"/>
      <c r="D296" s="312" t="n"/>
      <c r="E296" s="312" t="n"/>
      <c r="F296" s="312" t="n"/>
      <c r="G296" s="312" t="n"/>
      <c r="H296" s="312" t="n"/>
      <c r="I296" s="313" t="n"/>
      <c r="J296" s="314" t="n"/>
      <c r="K296" s="170" t="n"/>
      <c r="L296" s="170" t="n"/>
      <c r="M296" s="6" t="n"/>
      <c r="N296" s="6" t="n"/>
      <c r="O296" s="6" t="n"/>
    </row>
    <row r="297">
      <c r="B297" s="170" t="n">
        <v>284</v>
      </c>
      <c r="C297" s="170" t="n"/>
      <c r="D297" s="312" t="n"/>
      <c r="E297" s="312" t="n"/>
      <c r="F297" s="312" t="n"/>
      <c r="G297" s="312" t="n"/>
      <c r="H297" s="312" t="n"/>
      <c r="I297" s="313" t="n"/>
      <c r="J297" s="314" t="n"/>
      <c r="K297" s="170" t="n"/>
      <c r="L297" s="170" t="n"/>
      <c r="M297" s="6" t="n"/>
      <c r="N297" s="6" t="n"/>
      <c r="O297" s="6" t="n"/>
    </row>
    <row r="298">
      <c r="B298" s="170" t="n">
        <v>285</v>
      </c>
      <c r="C298" s="170" t="n"/>
      <c r="D298" s="312" t="n"/>
      <c r="E298" s="312" t="n"/>
      <c r="F298" s="312" t="n"/>
      <c r="G298" s="312" t="n"/>
      <c r="H298" s="312" t="n"/>
      <c r="I298" s="313" t="n"/>
      <c r="J298" s="314" t="n"/>
      <c r="K298" s="170" t="n"/>
      <c r="L298" s="170" t="n"/>
      <c r="M298" s="6" t="n"/>
      <c r="N298" s="6" t="n"/>
      <c r="O298" s="6" t="n"/>
    </row>
    <row r="299">
      <c r="B299" s="170" t="n">
        <v>286</v>
      </c>
      <c r="C299" s="170" t="n"/>
      <c r="D299" s="312" t="n"/>
      <c r="E299" s="312" t="n"/>
      <c r="F299" s="312" t="n"/>
      <c r="G299" s="312" t="n"/>
      <c r="H299" s="312" t="n"/>
      <c r="I299" s="313" t="n"/>
      <c r="J299" s="314" t="n"/>
      <c r="K299" s="170" t="n"/>
      <c r="L299" s="170" t="n"/>
      <c r="M299" s="6" t="n"/>
      <c r="N299" s="6" t="n"/>
      <c r="O299" s="6" t="n"/>
    </row>
    <row r="300">
      <c r="B300" s="170" t="n">
        <v>287</v>
      </c>
      <c r="C300" s="170" t="n"/>
      <c r="D300" s="312" t="n"/>
      <c r="E300" s="312" t="n"/>
      <c r="F300" s="312" t="n"/>
      <c r="G300" s="312" t="n"/>
      <c r="H300" s="312" t="n"/>
      <c r="I300" s="313" t="n"/>
      <c r="J300" s="314" t="n"/>
      <c r="K300" s="170" t="n"/>
      <c r="L300" s="170" t="n"/>
      <c r="M300" s="6" t="n"/>
      <c r="N300" s="6" t="n"/>
      <c r="O300" s="6" t="n"/>
    </row>
    <row r="301">
      <c r="B301" s="170" t="n">
        <v>288</v>
      </c>
      <c r="C301" s="170" t="n"/>
      <c r="D301" s="312" t="n"/>
      <c r="E301" s="312" t="n"/>
      <c r="F301" s="312" t="n"/>
      <c r="G301" s="312" t="n"/>
      <c r="H301" s="312" t="n"/>
      <c r="I301" s="313" t="n"/>
      <c r="J301" s="314" t="n"/>
      <c r="K301" s="170" t="n"/>
      <c r="L301" s="170" t="n"/>
      <c r="M301" s="6" t="n"/>
      <c r="N301" s="6" t="n"/>
      <c r="O301" s="6" t="n"/>
    </row>
    <row r="302">
      <c r="B302" s="170" t="n">
        <v>289</v>
      </c>
      <c r="C302" s="170" t="n"/>
      <c r="D302" s="312" t="n"/>
      <c r="E302" s="312" t="n"/>
      <c r="F302" s="312" t="n"/>
      <c r="G302" s="312" t="n"/>
      <c r="H302" s="312" t="n"/>
      <c r="I302" s="313" t="n"/>
      <c r="J302" s="314" t="n"/>
      <c r="K302" s="170" t="n"/>
      <c r="L302" s="170" t="n"/>
      <c r="M302" s="6" t="n"/>
      <c r="N302" s="6" t="n"/>
      <c r="O302" s="6" t="n"/>
    </row>
    <row r="303">
      <c r="B303" s="170" t="n">
        <v>290</v>
      </c>
      <c r="C303" s="170" t="n"/>
      <c r="D303" s="312" t="n"/>
      <c r="E303" s="312" t="n"/>
      <c r="F303" s="312" t="n"/>
      <c r="G303" s="312" t="n"/>
      <c r="H303" s="312" t="n"/>
      <c r="I303" s="313" t="n"/>
      <c r="J303" s="314" t="n"/>
      <c r="K303" s="170" t="n"/>
      <c r="L303" s="170" t="n"/>
      <c r="M303" s="6" t="n"/>
      <c r="N303" s="6" t="n"/>
      <c r="O303" s="6" t="n"/>
    </row>
    <row r="304">
      <c r="B304" s="170" t="n">
        <v>291</v>
      </c>
      <c r="C304" s="170" t="n"/>
      <c r="D304" s="312" t="n"/>
      <c r="E304" s="312" t="n"/>
      <c r="F304" s="312" t="n"/>
      <c r="G304" s="312" t="n"/>
      <c r="H304" s="312" t="n"/>
      <c r="I304" s="313" t="n"/>
      <c r="J304" s="314" t="n"/>
      <c r="K304" s="170" t="n"/>
      <c r="L304" s="170" t="n"/>
      <c r="M304" s="6" t="n"/>
      <c r="N304" s="6" t="n"/>
      <c r="O304" s="6" t="n"/>
    </row>
    <row r="305">
      <c r="B305" s="170" t="n">
        <v>292</v>
      </c>
      <c r="C305" s="170" t="n"/>
      <c r="D305" s="312" t="n"/>
      <c r="E305" s="312" t="n"/>
      <c r="F305" s="312" t="n"/>
      <c r="G305" s="312" t="n"/>
      <c r="H305" s="312" t="n"/>
      <c r="I305" s="313" t="n"/>
      <c r="J305" s="314" t="n"/>
      <c r="K305" s="170" t="n"/>
      <c r="L305" s="170" t="n"/>
      <c r="M305" s="6" t="n"/>
      <c r="N305" s="6" t="n"/>
      <c r="O305" s="6" t="n"/>
    </row>
    <row r="306">
      <c r="B306" s="170" t="n">
        <v>293</v>
      </c>
      <c r="C306" s="170" t="n"/>
      <c r="D306" s="312" t="n"/>
      <c r="E306" s="312" t="n"/>
      <c r="F306" s="312" t="n"/>
      <c r="G306" s="312" t="n"/>
      <c r="H306" s="312" t="n"/>
      <c r="I306" s="313" t="n"/>
      <c r="J306" s="314" t="n"/>
      <c r="K306" s="170" t="n"/>
      <c r="L306" s="170" t="n"/>
      <c r="M306" s="6" t="n"/>
      <c r="N306" s="6" t="n"/>
      <c r="O306" s="6" t="n"/>
    </row>
    <row r="307">
      <c r="B307" s="170" t="n">
        <v>294</v>
      </c>
      <c r="C307" s="170" t="n"/>
      <c r="D307" s="312" t="n"/>
      <c r="E307" s="312" t="n"/>
      <c r="F307" s="312" t="n"/>
      <c r="G307" s="312" t="n"/>
      <c r="H307" s="312" t="n"/>
      <c r="I307" s="313" t="n"/>
      <c r="J307" s="314" t="n"/>
      <c r="K307" s="170" t="n"/>
      <c r="L307" s="170" t="n"/>
      <c r="M307" s="6" t="n"/>
      <c r="N307" s="6" t="n"/>
      <c r="O307" s="6" t="n"/>
    </row>
    <row r="308">
      <c r="B308" s="170" t="n">
        <v>295</v>
      </c>
      <c r="C308" s="170" t="n"/>
      <c r="D308" s="312" t="n"/>
      <c r="E308" s="312" t="n"/>
      <c r="F308" s="312" t="n"/>
      <c r="G308" s="312" t="n"/>
      <c r="H308" s="312" t="n"/>
      <c r="I308" s="313" t="n"/>
      <c r="J308" s="314" t="n"/>
      <c r="K308" s="170" t="n"/>
      <c r="L308" s="170" t="n"/>
      <c r="M308" s="6" t="n"/>
      <c r="N308" s="6" t="n"/>
      <c r="O308" s="6" t="n"/>
    </row>
    <row r="309">
      <c r="B309" s="170" t="n">
        <v>296</v>
      </c>
      <c r="C309" s="170" t="n"/>
      <c r="D309" s="312" t="n"/>
      <c r="E309" s="312" t="n"/>
      <c r="F309" s="312" t="n"/>
      <c r="G309" s="312" t="n"/>
      <c r="H309" s="312" t="n"/>
      <c r="I309" s="313" t="n"/>
      <c r="J309" s="314" t="n"/>
      <c r="K309" s="170" t="n"/>
      <c r="L309" s="170" t="n"/>
      <c r="M309" s="6" t="n"/>
      <c r="N309" s="6" t="n"/>
      <c r="O309" s="6" t="n"/>
    </row>
    <row r="310">
      <c r="B310" s="170" t="n">
        <v>297</v>
      </c>
      <c r="C310" s="170" t="n"/>
      <c r="D310" s="312" t="n"/>
      <c r="E310" s="312" t="n"/>
      <c r="F310" s="312" t="n"/>
      <c r="G310" s="312" t="n"/>
      <c r="H310" s="312" t="n"/>
      <c r="I310" s="313" t="n"/>
      <c r="J310" s="314" t="n"/>
      <c r="K310" s="170" t="n"/>
      <c r="L310" s="170" t="n"/>
      <c r="M310" s="6" t="n"/>
      <c r="N310" s="6" t="n"/>
      <c r="O310" s="6" t="n"/>
    </row>
    <row r="311">
      <c r="B311" s="170" t="n">
        <v>298</v>
      </c>
      <c r="C311" s="170" t="n"/>
      <c r="D311" s="312" t="n"/>
      <c r="E311" s="312" t="n"/>
      <c r="F311" s="312" t="n"/>
      <c r="G311" s="312" t="n"/>
      <c r="H311" s="312" t="n"/>
      <c r="I311" s="313" t="n"/>
      <c r="J311" s="314" t="n"/>
      <c r="K311" s="170" t="n"/>
      <c r="L311" s="170" t="n"/>
      <c r="M311" s="6" t="n"/>
      <c r="N311" s="6" t="n"/>
      <c r="O311" s="6" t="n"/>
    </row>
    <row r="312">
      <c r="B312" s="170" t="n">
        <v>299</v>
      </c>
      <c r="C312" s="170" t="n"/>
      <c r="D312" s="312" t="n"/>
      <c r="E312" s="312" t="n"/>
      <c r="F312" s="312" t="n"/>
      <c r="G312" s="312" t="n"/>
      <c r="H312" s="312" t="n"/>
      <c r="I312" s="313" t="n"/>
      <c r="J312" s="314" t="n"/>
      <c r="K312" s="170" t="n"/>
      <c r="L312" s="170" t="n"/>
      <c r="M312" s="6" t="n"/>
      <c r="N312" s="6" t="n"/>
      <c r="O312" s="6" t="n"/>
    </row>
    <row r="313">
      <c r="B313" s="170" t="n">
        <v>300</v>
      </c>
      <c r="C313" s="170" t="n"/>
      <c r="D313" s="312" t="n"/>
      <c r="E313" s="312" t="n"/>
      <c r="F313" s="312" t="n"/>
      <c r="G313" s="312" t="n"/>
      <c r="H313" s="312" t="n"/>
      <c r="I313" s="313" t="n"/>
      <c r="J313" s="314" t="n"/>
      <c r="K313" s="170" t="n"/>
      <c r="L313" s="170" t="n"/>
      <c r="M313" s="6" t="n"/>
      <c r="N313" s="6" t="n"/>
      <c r="O313" s="6" t="n"/>
    </row>
    <row r="314">
      <c r="B314" s="170" t="n">
        <v>301</v>
      </c>
      <c r="C314" s="170" t="n"/>
      <c r="D314" s="312" t="n"/>
      <c r="E314" s="312" t="n"/>
      <c r="F314" s="312" t="n"/>
      <c r="G314" s="312" t="n"/>
      <c r="H314" s="312" t="n"/>
      <c r="I314" s="313" t="n"/>
      <c r="J314" s="314" t="n"/>
      <c r="K314" s="170" t="n"/>
      <c r="L314" s="170" t="n"/>
      <c r="M314" s="6" t="n"/>
      <c r="N314" s="6" t="n"/>
      <c r="O314" s="6" t="n"/>
    </row>
    <row r="315">
      <c r="B315" s="170" t="n">
        <v>302</v>
      </c>
      <c r="C315" s="170" t="n"/>
      <c r="D315" s="312" t="n"/>
      <c r="E315" s="312" t="n"/>
      <c r="F315" s="312" t="n"/>
      <c r="G315" s="312" t="n"/>
      <c r="H315" s="312" t="n"/>
      <c r="I315" s="313" t="n"/>
      <c r="J315" s="314" t="n"/>
      <c r="K315" s="170" t="n"/>
      <c r="L315" s="170" t="n"/>
      <c r="M315" s="6" t="n"/>
      <c r="N315" s="6" t="n"/>
      <c r="O315" s="6" t="n"/>
    </row>
    <row r="316">
      <c r="B316" s="170" t="n">
        <v>303</v>
      </c>
      <c r="C316" s="170" t="n"/>
      <c r="D316" s="312" t="n"/>
      <c r="E316" s="312" t="n"/>
      <c r="F316" s="312" t="n"/>
      <c r="G316" s="312" t="n"/>
      <c r="H316" s="312" t="n"/>
      <c r="I316" s="313" t="n"/>
      <c r="J316" s="314" t="n"/>
      <c r="K316" s="170" t="n"/>
      <c r="L316" s="170" t="n"/>
      <c r="M316" s="6" t="n"/>
      <c r="N316" s="6" t="n"/>
      <c r="O316" s="6" t="n"/>
    </row>
    <row r="317">
      <c r="B317" s="170" t="n">
        <v>304</v>
      </c>
      <c r="C317" s="170" t="n"/>
      <c r="D317" s="312" t="n"/>
      <c r="E317" s="312" t="n"/>
      <c r="F317" s="312" t="n"/>
      <c r="G317" s="312" t="n"/>
      <c r="H317" s="312" t="n"/>
      <c r="I317" s="313" t="n"/>
      <c r="J317" s="314" t="n"/>
      <c r="K317" s="170" t="n"/>
      <c r="L317" s="170" t="n"/>
      <c r="M317" s="6" t="n"/>
      <c r="N317" s="6" t="n"/>
      <c r="O317" s="6" t="n"/>
    </row>
    <row r="318">
      <c r="B318" s="170" t="n">
        <v>305</v>
      </c>
      <c r="C318" s="170" t="n"/>
      <c r="D318" s="312" t="n"/>
      <c r="E318" s="312" t="n"/>
      <c r="F318" s="312" t="n"/>
      <c r="G318" s="312" t="n"/>
      <c r="H318" s="312" t="n"/>
      <c r="I318" s="313" t="n"/>
      <c r="J318" s="314" t="n"/>
      <c r="K318" s="170" t="n"/>
      <c r="L318" s="170" t="n"/>
      <c r="M318" s="6" t="n"/>
      <c r="N318" s="6" t="n"/>
      <c r="O318" s="6" t="n"/>
    </row>
    <row r="319">
      <c r="B319" s="170" t="n">
        <v>306</v>
      </c>
      <c r="C319" s="170" t="n"/>
      <c r="D319" s="312" t="n"/>
      <c r="E319" s="312" t="n"/>
      <c r="F319" s="312" t="n"/>
      <c r="G319" s="312" t="n"/>
      <c r="H319" s="312" t="n"/>
      <c r="I319" s="313" t="n"/>
      <c r="J319" s="314" t="n"/>
      <c r="K319" s="170" t="n"/>
      <c r="L319" s="170" t="n"/>
      <c r="M319" s="6" t="n"/>
      <c r="N319" s="6" t="n"/>
      <c r="O319" s="6" t="n"/>
    </row>
    <row r="320">
      <c r="B320" s="170" t="n">
        <v>307</v>
      </c>
      <c r="C320" s="170" t="n"/>
      <c r="D320" s="312" t="n"/>
      <c r="E320" s="312" t="n"/>
      <c r="F320" s="312" t="n"/>
      <c r="G320" s="312" t="n"/>
      <c r="H320" s="312" t="n"/>
      <c r="I320" s="313" t="n"/>
      <c r="J320" s="314" t="n"/>
      <c r="K320" s="170" t="n"/>
      <c r="L320" s="170" t="n"/>
      <c r="M320" s="6" t="n"/>
      <c r="N320" s="6" t="n"/>
      <c r="O320" s="6" t="n"/>
    </row>
    <row r="321">
      <c r="B321" s="170" t="n">
        <v>308</v>
      </c>
      <c r="C321" s="170" t="n"/>
      <c r="D321" s="312" t="n"/>
      <c r="E321" s="312" t="n"/>
      <c r="F321" s="312" t="n"/>
      <c r="G321" s="312" t="n"/>
      <c r="H321" s="312" t="n"/>
      <c r="I321" s="313" t="n"/>
      <c r="J321" s="314" t="n"/>
      <c r="K321" s="170" t="n"/>
      <c r="L321" s="170" t="n"/>
      <c r="M321" s="6" t="n"/>
      <c r="N321" s="6" t="n"/>
      <c r="O321" s="6" t="n"/>
    </row>
    <row r="322">
      <c r="B322" s="170" t="n">
        <v>309</v>
      </c>
      <c r="C322" s="170" t="n"/>
      <c r="D322" s="312" t="n"/>
      <c r="E322" s="312" t="n"/>
      <c r="F322" s="312" t="n"/>
      <c r="G322" s="312" t="n"/>
      <c r="H322" s="312" t="n"/>
      <c r="I322" s="313" t="n"/>
      <c r="J322" s="314" t="n"/>
      <c r="K322" s="170" t="n"/>
      <c r="L322" s="170" t="n"/>
      <c r="M322" s="6" t="n"/>
      <c r="N322" s="6" t="n"/>
      <c r="O322" s="6" t="n"/>
    </row>
    <row r="323">
      <c r="B323" s="170" t="n">
        <v>310</v>
      </c>
      <c r="C323" s="170" t="n"/>
      <c r="D323" s="312" t="n"/>
      <c r="E323" s="312" t="n"/>
      <c r="F323" s="312" t="n"/>
      <c r="G323" s="312" t="n"/>
      <c r="H323" s="312" t="n"/>
      <c r="I323" s="313" t="n"/>
      <c r="J323" s="314" t="n"/>
      <c r="K323" s="170" t="n"/>
      <c r="L323" s="170" t="n"/>
      <c r="M323" s="6" t="n"/>
      <c r="N323" s="6" t="n"/>
      <c r="O323" s="6" t="n"/>
    </row>
    <row r="324">
      <c r="B324" s="170" t="n">
        <v>311</v>
      </c>
      <c r="C324" s="170" t="n"/>
      <c r="D324" s="312" t="n"/>
      <c r="E324" s="312" t="n"/>
      <c r="F324" s="312" t="n"/>
      <c r="G324" s="312" t="n"/>
      <c r="H324" s="312" t="n"/>
      <c r="I324" s="313" t="n"/>
      <c r="J324" s="314" t="n"/>
      <c r="K324" s="170" t="n"/>
      <c r="L324" s="170" t="n"/>
      <c r="M324" s="6" t="n"/>
      <c r="N324" s="6" t="n"/>
      <c r="O324" s="6" t="n"/>
    </row>
    <row r="325">
      <c r="B325" s="170" t="n">
        <v>312</v>
      </c>
      <c r="C325" s="170" t="n"/>
      <c r="D325" s="312" t="n"/>
      <c r="E325" s="312" t="n"/>
      <c r="F325" s="312" t="n"/>
      <c r="G325" s="312" t="n"/>
      <c r="H325" s="312" t="n"/>
      <c r="I325" s="313" t="n"/>
      <c r="J325" s="314" t="n"/>
      <c r="K325" s="170" t="n"/>
      <c r="L325" s="170" t="n"/>
      <c r="M325" s="6" t="n"/>
      <c r="N325" s="6" t="n"/>
      <c r="O325" s="6" t="n"/>
    </row>
    <row r="326">
      <c r="B326" s="170" t="n">
        <v>313</v>
      </c>
      <c r="C326" s="170" t="n"/>
      <c r="D326" s="312" t="n"/>
      <c r="E326" s="312" t="n"/>
      <c r="F326" s="312" t="n"/>
      <c r="G326" s="312" t="n"/>
      <c r="H326" s="312" t="n"/>
      <c r="I326" s="313" t="n"/>
      <c r="J326" s="314" t="n"/>
      <c r="K326" s="170" t="n"/>
      <c r="L326" s="170" t="n"/>
      <c r="M326" s="6" t="n"/>
      <c r="N326" s="6" t="n"/>
      <c r="O326" s="6" t="n"/>
    </row>
    <row r="327">
      <c r="B327" s="170" t="n">
        <v>314</v>
      </c>
      <c r="C327" s="170" t="n"/>
      <c r="D327" s="312" t="n"/>
      <c r="E327" s="312" t="n"/>
      <c r="F327" s="312" t="n"/>
      <c r="G327" s="312" t="n"/>
      <c r="H327" s="312" t="n"/>
      <c r="I327" s="313" t="n"/>
      <c r="J327" s="314" t="n"/>
      <c r="K327" s="170" t="n"/>
      <c r="L327" s="170" t="n"/>
      <c r="M327" s="6" t="n"/>
      <c r="N327" s="6" t="n"/>
      <c r="O327" s="6" t="n"/>
    </row>
    <row r="328">
      <c r="B328" s="170" t="n">
        <v>315</v>
      </c>
      <c r="C328" s="170" t="n"/>
      <c r="D328" s="312" t="n"/>
      <c r="E328" s="312" t="n"/>
      <c r="F328" s="312" t="n"/>
      <c r="G328" s="312" t="n"/>
      <c r="H328" s="312" t="n"/>
      <c r="I328" s="313" t="n"/>
      <c r="J328" s="314" t="n"/>
      <c r="K328" s="170" t="n"/>
      <c r="L328" s="170" t="n"/>
      <c r="M328" s="6" t="n"/>
      <c r="N328" s="6" t="n"/>
      <c r="O328" s="6" t="n"/>
    </row>
    <row r="329">
      <c r="B329" s="170" t="n">
        <v>316</v>
      </c>
      <c r="C329" s="170" t="n"/>
      <c r="D329" s="312" t="n"/>
      <c r="E329" s="312" t="n"/>
      <c r="F329" s="312" t="n"/>
      <c r="G329" s="312" t="n"/>
      <c r="H329" s="312" t="n"/>
      <c r="I329" s="313" t="n"/>
      <c r="J329" s="314" t="n"/>
      <c r="K329" s="170" t="n"/>
      <c r="L329" s="170" t="n"/>
      <c r="M329" s="6" t="n"/>
      <c r="N329" s="6" t="n"/>
      <c r="O329" s="6" t="n"/>
    </row>
    <row r="330">
      <c r="B330" s="170" t="n">
        <v>317</v>
      </c>
      <c r="C330" s="170" t="n"/>
      <c r="D330" s="312" t="n"/>
      <c r="E330" s="312" t="n"/>
      <c r="F330" s="312" t="n"/>
      <c r="G330" s="312" t="n"/>
      <c r="H330" s="312" t="n"/>
      <c r="I330" s="313" t="n"/>
      <c r="J330" s="314" t="n"/>
      <c r="K330" s="170" t="n"/>
      <c r="L330" s="170" t="n"/>
      <c r="M330" s="6" t="n"/>
      <c r="N330" s="6" t="n"/>
      <c r="O330" s="6" t="n"/>
    </row>
    <row r="331">
      <c r="B331" s="170" t="n">
        <v>318</v>
      </c>
      <c r="C331" s="170" t="n"/>
      <c r="D331" s="312" t="n"/>
      <c r="E331" s="312" t="n"/>
      <c r="F331" s="312" t="n"/>
      <c r="G331" s="312" t="n"/>
      <c r="H331" s="312" t="n"/>
      <c r="I331" s="313" t="n"/>
      <c r="J331" s="314" t="n"/>
      <c r="K331" s="170" t="n"/>
      <c r="L331" s="170" t="n"/>
      <c r="M331" s="6" t="n"/>
      <c r="N331" s="6" t="n"/>
      <c r="O331" s="6" t="n"/>
    </row>
    <row r="332">
      <c r="B332" s="170" t="n">
        <v>319</v>
      </c>
      <c r="C332" s="170" t="n"/>
      <c r="D332" s="312" t="n"/>
      <c r="E332" s="312" t="n"/>
      <c r="F332" s="312" t="n"/>
      <c r="G332" s="312" t="n"/>
      <c r="H332" s="312" t="n"/>
      <c r="I332" s="313" t="n"/>
      <c r="J332" s="314" t="n"/>
      <c r="K332" s="170" t="n"/>
      <c r="L332" s="170" t="n"/>
      <c r="M332" s="6" t="n"/>
      <c r="N332" s="6" t="n"/>
      <c r="O332" s="6" t="n"/>
    </row>
    <row r="333">
      <c r="B333" s="170" t="n">
        <v>320</v>
      </c>
      <c r="C333" s="170" t="n"/>
      <c r="D333" s="312" t="n"/>
      <c r="E333" s="312" t="n"/>
      <c r="F333" s="312" t="n"/>
      <c r="G333" s="312" t="n"/>
      <c r="H333" s="312" t="n"/>
      <c r="I333" s="313" t="n"/>
      <c r="J333" s="314" t="n"/>
      <c r="K333" s="170" t="n"/>
      <c r="L333" s="170" t="n"/>
      <c r="M333" s="6" t="n"/>
      <c r="N333" s="6" t="n"/>
      <c r="O333" s="6" t="n"/>
    </row>
    <row r="334">
      <c r="B334" s="170" t="n">
        <v>321</v>
      </c>
      <c r="C334" s="170" t="n"/>
      <c r="D334" s="312" t="n"/>
      <c r="E334" s="312" t="n"/>
      <c r="F334" s="312" t="n"/>
      <c r="G334" s="312" t="n"/>
      <c r="H334" s="312" t="n"/>
      <c r="I334" s="313" t="n"/>
      <c r="J334" s="314" t="n"/>
      <c r="K334" s="170" t="n"/>
      <c r="L334" s="170" t="n"/>
      <c r="M334" s="6" t="n"/>
      <c r="N334" s="6" t="n"/>
      <c r="O334" s="6" t="n"/>
    </row>
    <row r="335">
      <c r="B335" s="170" t="n">
        <v>322</v>
      </c>
      <c r="C335" s="170" t="n"/>
      <c r="D335" s="312" t="n"/>
      <c r="E335" s="312" t="n"/>
      <c r="F335" s="312" t="n"/>
      <c r="G335" s="312" t="n"/>
      <c r="H335" s="312" t="n"/>
      <c r="I335" s="313" t="n"/>
      <c r="J335" s="314" t="n"/>
      <c r="K335" s="170" t="n"/>
      <c r="L335" s="170" t="n"/>
      <c r="M335" s="6" t="n"/>
      <c r="N335" s="6" t="n"/>
      <c r="O335" s="6" t="n"/>
    </row>
    <row r="336">
      <c r="B336" s="170" t="n">
        <v>323</v>
      </c>
      <c r="C336" s="170" t="n"/>
      <c r="D336" s="312" t="n"/>
      <c r="E336" s="312" t="n"/>
      <c r="F336" s="312" t="n"/>
      <c r="G336" s="312" t="n"/>
      <c r="H336" s="312" t="n"/>
      <c r="I336" s="313" t="n"/>
      <c r="J336" s="314" t="n"/>
      <c r="K336" s="170" t="n"/>
      <c r="L336" s="170" t="n"/>
      <c r="M336" s="6" t="n"/>
      <c r="N336" s="6" t="n"/>
      <c r="O336" s="6" t="n"/>
    </row>
    <row r="337">
      <c r="B337" s="170" t="n">
        <v>324</v>
      </c>
      <c r="C337" s="170" t="n"/>
      <c r="D337" s="312" t="n"/>
      <c r="E337" s="312" t="n"/>
      <c r="F337" s="312" t="n"/>
      <c r="G337" s="312" t="n"/>
      <c r="H337" s="312" t="n"/>
      <c r="I337" s="313" t="n"/>
      <c r="J337" s="314" t="n"/>
      <c r="K337" s="170" t="n"/>
      <c r="L337" s="170" t="n"/>
      <c r="M337" s="6" t="n"/>
      <c r="N337" s="6" t="n"/>
      <c r="O337" s="6" t="n"/>
    </row>
    <row r="338">
      <c r="B338" s="170" t="n">
        <v>325</v>
      </c>
      <c r="C338" s="170" t="n"/>
      <c r="D338" s="312" t="n"/>
      <c r="E338" s="312" t="n"/>
      <c r="F338" s="312" t="n"/>
      <c r="G338" s="312" t="n"/>
      <c r="H338" s="312" t="n"/>
      <c r="I338" s="313" t="n"/>
      <c r="J338" s="314" t="n"/>
      <c r="K338" s="170" t="n"/>
      <c r="L338" s="170" t="n"/>
      <c r="M338" s="6" t="n"/>
      <c r="N338" s="6" t="n"/>
      <c r="O338" s="6" t="n"/>
    </row>
    <row r="339">
      <c r="B339" s="170" t="n">
        <v>326</v>
      </c>
      <c r="C339" s="170" t="n"/>
      <c r="D339" s="312" t="n"/>
      <c r="E339" s="312" t="n"/>
      <c r="F339" s="312" t="n"/>
      <c r="G339" s="312" t="n"/>
      <c r="H339" s="312" t="n"/>
      <c r="I339" s="313" t="n"/>
      <c r="J339" s="314" t="n"/>
      <c r="K339" s="170" t="n"/>
      <c r="L339" s="170" t="n"/>
      <c r="M339" s="6" t="n"/>
      <c r="N339" s="6" t="n"/>
      <c r="O339" s="6" t="n"/>
    </row>
    <row r="340">
      <c r="B340" s="170" t="n">
        <v>327</v>
      </c>
      <c r="C340" s="170" t="n"/>
      <c r="D340" s="312" t="n"/>
      <c r="E340" s="312" t="n"/>
      <c r="F340" s="312" t="n"/>
      <c r="G340" s="312" t="n"/>
      <c r="H340" s="312" t="n"/>
      <c r="I340" s="313" t="n"/>
      <c r="J340" s="314" t="n"/>
      <c r="K340" s="170" t="n"/>
      <c r="L340" s="170" t="n"/>
      <c r="M340" s="6" t="n"/>
      <c r="N340" s="6" t="n"/>
      <c r="O340" s="6" t="n"/>
    </row>
    <row r="341">
      <c r="B341" s="170" t="n">
        <v>328</v>
      </c>
      <c r="C341" s="170" t="n"/>
      <c r="D341" s="312" t="n"/>
      <c r="E341" s="312" t="n"/>
      <c r="F341" s="312" t="n"/>
      <c r="G341" s="312" t="n"/>
      <c r="H341" s="312" t="n"/>
      <c r="I341" s="313" t="n"/>
      <c r="J341" s="314" t="n"/>
      <c r="K341" s="170" t="n"/>
      <c r="L341" s="170" t="n"/>
      <c r="M341" s="6" t="n"/>
      <c r="N341" s="6" t="n"/>
      <c r="O341" s="6" t="n"/>
    </row>
    <row r="342">
      <c r="B342" s="170" t="n">
        <v>329</v>
      </c>
      <c r="C342" s="170" t="n"/>
      <c r="D342" s="312" t="n"/>
      <c r="E342" s="312" t="n"/>
      <c r="F342" s="312" t="n"/>
      <c r="G342" s="312" t="n"/>
      <c r="H342" s="312" t="n"/>
      <c r="I342" s="313" t="n"/>
      <c r="J342" s="314" t="n"/>
      <c r="K342" s="170" t="n"/>
      <c r="L342" s="170" t="n"/>
      <c r="M342" s="6" t="n"/>
      <c r="N342" s="6" t="n"/>
      <c r="O342" s="6" t="n"/>
    </row>
    <row r="343">
      <c r="B343" s="170" t="n">
        <v>330</v>
      </c>
      <c r="C343" s="170" t="n"/>
      <c r="D343" s="312" t="n"/>
      <c r="E343" s="312" t="n"/>
      <c r="F343" s="312" t="n"/>
      <c r="G343" s="312" t="n"/>
      <c r="H343" s="312" t="n"/>
      <c r="I343" s="313" t="n"/>
      <c r="J343" s="314" t="n"/>
      <c r="K343" s="170" t="n"/>
      <c r="L343" s="170" t="n"/>
      <c r="M343" s="6" t="n"/>
      <c r="N343" s="6" t="n"/>
      <c r="O343" s="6" t="n"/>
    </row>
    <row r="344">
      <c r="B344" s="170" t="n">
        <v>331</v>
      </c>
      <c r="C344" s="170" t="n"/>
      <c r="D344" s="312" t="n"/>
      <c r="E344" s="312" t="n"/>
      <c r="F344" s="312" t="n"/>
      <c r="G344" s="312" t="n"/>
      <c r="H344" s="312" t="n"/>
      <c r="I344" s="313" t="n"/>
      <c r="J344" s="314" t="n"/>
      <c r="K344" s="170" t="n"/>
      <c r="L344" s="170" t="n"/>
      <c r="M344" s="6" t="n"/>
      <c r="N344" s="6" t="n"/>
      <c r="O344" s="6" t="n"/>
    </row>
    <row r="345">
      <c r="B345" s="170" t="n">
        <v>332</v>
      </c>
      <c r="C345" s="170" t="n"/>
      <c r="D345" s="312" t="n"/>
      <c r="E345" s="312" t="n"/>
      <c r="F345" s="312" t="n"/>
      <c r="G345" s="312" t="n"/>
      <c r="H345" s="312" t="n"/>
      <c r="I345" s="313" t="n"/>
      <c r="J345" s="314" t="n"/>
      <c r="K345" s="170" t="n"/>
      <c r="L345" s="170" t="n"/>
      <c r="M345" s="6" t="n"/>
      <c r="N345" s="6" t="n"/>
      <c r="O345" s="6" t="n"/>
    </row>
    <row r="346">
      <c r="B346" s="170" t="n">
        <v>333</v>
      </c>
      <c r="C346" s="170" t="n"/>
      <c r="D346" s="312" t="n"/>
      <c r="E346" s="312" t="n"/>
      <c r="F346" s="312" t="n"/>
      <c r="G346" s="312" t="n"/>
      <c r="H346" s="312" t="n"/>
      <c r="I346" s="313" t="n"/>
      <c r="J346" s="314" t="n"/>
      <c r="K346" s="170" t="n"/>
      <c r="L346" s="170" t="n"/>
      <c r="M346" s="6" t="n"/>
      <c r="N346" s="6" t="n"/>
      <c r="O346" s="6" t="n"/>
    </row>
    <row r="347">
      <c r="B347" s="170" t="n">
        <v>334</v>
      </c>
      <c r="C347" s="170" t="n"/>
      <c r="D347" s="312" t="n"/>
      <c r="E347" s="312" t="n"/>
      <c r="F347" s="312" t="n"/>
      <c r="G347" s="312" t="n"/>
      <c r="H347" s="312" t="n"/>
      <c r="I347" s="313" t="n"/>
      <c r="J347" s="314" t="n"/>
      <c r="K347" s="170" t="n"/>
      <c r="L347" s="170" t="n"/>
      <c r="M347" s="6" t="n"/>
      <c r="N347" s="6" t="n"/>
      <c r="O347" s="6" t="n"/>
    </row>
    <row r="348">
      <c r="B348" s="170" t="n">
        <v>335</v>
      </c>
      <c r="C348" s="170" t="n"/>
      <c r="D348" s="312" t="n"/>
      <c r="E348" s="312" t="n"/>
      <c r="F348" s="312" t="n"/>
      <c r="G348" s="312" t="n"/>
      <c r="H348" s="312" t="n"/>
      <c r="I348" s="313" t="n"/>
      <c r="J348" s="314" t="n"/>
      <c r="K348" s="170" t="n"/>
      <c r="L348" s="170" t="n"/>
      <c r="M348" s="6" t="n"/>
      <c r="N348" s="6" t="n"/>
      <c r="O348" s="6" t="n"/>
    </row>
    <row r="349">
      <c r="B349" s="170" t="n">
        <v>336</v>
      </c>
      <c r="C349" s="170" t="n"/>
      <c r="D349" s="312" t="n"/>
      <c r="E349" s="312" t="n"/>
      <c r="F349" s="312" t="n"/>
      <c r="G349" s="312" t="n"/>
      <c r="H349" s="312" t="n"/>
      <c r="I349" s="313" t="n"/>
      <c r="J349" s="314" t="n"/>
      <c r="K349" s="170" t="n"/>
      <c r="L349" s="170" t="n"/>
      <c r="M349" s="6" t="n"/>
      <c r="N349" s="6" t="n"/>
      <c r="O349" s="6" t="n"/>
    </row>
    <row r="350">
      <c r="B350" s="170" t="n">
        <v>337</v>
      </c>
      <c r="C350" s="170" t="n"/>
      <c r="D350" s="312" t="n"/>
      <c r="E350" s="312" t="n"/>
      <c r="F350" s="312" t="n"/>
      <c r="G350" s="312" t="n"/>
      <c r="H350" s="312" t="n"/>
      <c r="I350" s="313" t="n"/>
      <c r="J350" s="314" t="n"/>
      <c r="K350" s="170" t="n"/>
      <c r="L350" s="170" t="n"/>
      <c r="M350" s="6" t="n"/>
      <c r="N350" s="6" t="n"/>
      <c r="O350" s="6" t="n"/>
    </row>
    <row r="351">
      <c r="B351" s="170" t="n">
        <v>338</v>
      </c>
      <c r="C351" s="170" t="n"/>
      <c r="D351" s="312" t="n"/>
      <c r="E351" s="312" t="n"/>
      <c r="F351" s="312" t="n"/>
      <c r="G351" s="312" t="n"/>
      <c r="H351" s="312" t="n"/>
      <c r="I351" s="313" t="n"/>
      <c r="J351" s="314" t="n"/>
      <c r="K351" s="170" t="n"/>
      <c r="L351" s="170" t="n"/>
      <c r="M351" s="6" t="n"/>
      <c r="N351" s="6" t="n"/>
      <c r="O351" s="6" t="n"/>
    </row>
    <row r="352">
      <c r="B352" s="170" t="n">
        <v>339</v>
      </c>
      <c r="C352" s="170" t="n"/>
      <c r="D352" s="312" t="n"/>
      <c r="E352" s="312" t="n"/>
      <c r="F352" s="312" t="n"/>
      <c r="G352" s="312" t="n"/>
      <c r="H352" s="312" t="n"/>
      <c r="I352" s="313" t="n"/>
      <c r="J352" s="314" t="n"/>
      <c r="K352" s="170" t="n"/>
      <c r="L352" s="170" t="n"/>
      <c r="M352" s="6" t="n"/>
      <c r="N352" s="6" t="n"/>
      <c r="O352" s="6" t="n"/>
    </row>
    <row r="353">
      <c r="B353" s="170" t="n">
        <v>340</v>
      </c>
      <c r="C353" s="170" t="n"/>
      <c r="D353" s="312" t="n"/>
      <c r="E353" s="312" t="n"/>
      <c r="F353" s="312" t="n"/>
      <c r="G353" s="312" t="n"/>
      <c r="H353" s="312" t="n"/>
      <c r="I353" s="313" t="n"/>
      <c r="J353" s="314" t="n"/>
      <c r="K353" s="170" t="n"/>
      <c r="L353" s="170" t="n"/>
      <c r="M353" s="6" t="n"/>
      <c r="N353" s="6" t="n"/>
      <c r="O353" s="6" t="n"/>
    </row>
    <row r="354">
      <c r="B354" s="170" t="n">
        <v>341</v>
      </c>
      <c r="C354" s="170" t="n"/>
      <c r="D354" s="312" t="n"/>
      <c r="E354" s="312" t="n"/>
      <c r="F354" s="312" t="n"/>
      <c r="G354" s="312" t="n"/>
      <c r="H354" s="312" t="n"/>
      <c r="I354" s="313" t="n"/>
      <c r="J354" s="314" t="n"/>
      <c r="K354" s="170" t="n"/>
      <c r="L354" s="170" t="n"/>
      <c r="M354" s="6" t="n"/>
      <c r="N354" s="6" t="n"/>
      <c r="O354" s="6" t="n"/>
    </row>
    <row r="355">
      <c r="B355" s="170" t="n">
        <v>342</v>
      </c>
      <c r="C355" s="170" t="n"/>
      <c r="D355" s="312" t="n"/>
      <c r="E355" s="312" t="n"/>
      <c r="F355" s="312" t="n"/>
      <c r="G355" s="312" t="n"/>
      <c r="H355" s="312" t="n"/>
      <c r="I355" s="313" t="n"/>
      <c r="J355" s="314" t="n"/>
      <c r="K355" s="170" t="n"/>
      <c r="L355" s="170" t="n"/>
      <c r="M355" s="6" t="n"/>
      <c r="N355" s="6" t="n"/>
      <c r="O355" s="6" t="n"/>
    </row>
    <row r="356">
      <c r="B356" s="170" t="n">
        <v>343</v>
      </c>
      <c r="C356" s="170" t="n"/>
      <c r="D356" s="312" t="n"/>
      <c r="E356" s="312" t="n"/>
      <c r="F356" s="312" t="n"/>
      <c r="G356" s="312" t="n"/>
      <c r="H356" s="312" t="n"/>
      <c r="I356" s="313" t="n"/>
      <c r="J356" s="314" t="n"/>
      <c r="K356" s="170" t="n"/>
      <c r="L356" s="170" t="n"/>
      <c r="M356" s="6" t="n"/>
      <c r="N356" s="6" t="n"/>
      <c r="O356" s="6" t="n"/>
    </row>
    <row r="357">
      <c r="B357" s="170" t="n">
        <v>344</v>
      </c>
      <c r="C357" s="170" t="n"/>
      <c r="D357" s="312" t="n"/>
      <c r="E357" s="312" t="n"/>
      <c r="F357" s="312" t="n"/>
      <c r="G357" s="312" t="n"/>
      <c r="H357" s="312" t="n"/>
      <c r="I357" s="313" t="n"/>
      <c r="J357" s="314" t="n"/>
      <c r="K357" s="170" t="n"/>
      <c r="L357" s="170" t="n"/>
      <c r="M357" s="6" t="n"/>
      <c r="N357" s="6" t="n"/>
      <c r="O357" s="6" t="n"/>
    </row>
    <row r="358">
      <c r="B358" s="170" t="n">
        <v>345</v>
      </c>
      <c r="C358" s="170" t="n"/>
      <c r="D358" s="312" t="n"/>
      <c r="E358" s="312" t="n"/>
      <c r="F358" s="312" t="n"/>
      <c r="G358" s="312" t="n"/>
      <c r="H358" s="312" t="n"/>
      <c r="I358" s="313" t="n"/>
      <c r="J358" s="314" t="n"/>
      <c r="K358" s="170" t="n"/>
      <c r="L358" s="170" t="n"/>
      <c r="M358" s="6" t="n"/>
      <c r="N358" s="6" t="n"/>
      <c r="O358" s="6" t="n"/>
    </row>
    <row r="359">
      <c r="B359" s="170" t="n">
        <v>346</v>
      </c>
      <c r="C359" s="170" t="n"/>
      <c r="D359" s="312" t="n"/>
      <c r="E359" s="312" t="n"/>
      <c r="F359" s="312" t="n"/>
      <c r="G359" s="312" t="n"/>
      <c r="H359" s="312" t="n"/>
      <c r="I359" s="313" t="n"/>
      <c r="J359" s="314" t="n"/>
      <c r="K359" s="170" t="n"/>
      <c r="L359" s="170" t="n"/>
      <c r="M359" s="6" t="n"/>
      <c r="N359" s="6" t="n"/>
      <c r="O359" s="6" t="n"/>
    </row>
    <row r="360">
      <c r="B360" s="170" t="n">
        <v>347</v>
      </c>
      <c r="C360" s="170" t="n"/>
      <c r="D360" s="312" t="n"/>
      <c r="E360" s="312" t="n"/>
      <c r="F360" s="312" t="n"/>
      <c r="G360" s="312" t="n"/>
      <c r="H360" s="312" t="n"/>
      <c r="I360" s="313" t="n"/>
      <c r="J360" s="314" t="n"/>
      <c r="K360" s="170" t="n"/>
      <c r="L360" s="170" t="n"/>
      <c r="M360" s="6" t="n"/>
      <c r="N360" s="6" t="n"/>
      <c r="O360" s="6" t="n"/>
    </row>
    <row r="361">
      <c r="B361" s="170" t="n">
        <v>348</v>
      </c>
      <c r="C361" s="170" t="n"/>
      <c r="D361" s="312" t="n"/>
      <c r="E361" s="312" t="n"/>
      <c r="F361" s="312" t="n"/>
      <c r="G361" s="312" t="n"/>
      <c r="H361" s="312" t="n"/>
      <c r="I361" s="313" t="n"/>
      <c r="J361" s="314" t="n"/>
      <c r="K361" s="170" t="n"/>
      <c r="L361" s="170" t="n"/>
      <c r="M361" s="6" t="n"/>
      <c r="N361" s="6" t="n"/>
      <c r="O361" s="6" t="n"/>
    </row>
    <row r="362">
      <c r="B362" s="170" t="n">
        <v>349</v>
      </c>
      <c r="C362" s="170" t="n"/>
      <c r="D362" s="312" t="n"/>
      <c r="E362" s="312" t="n"/>
      <c r="F362" s="312" t="n"/>
      <c r="G362" s="312" t="n"/>
      <c r="H362" s="312" t="n"/>
      <c r="I362" s="313" t="n"/>
      <c r="J362" s="314" t="n"/>
      <c r="K362" s="170" t="n"/>
      <c r="L362" s="170" t="n"/>
      <c r="M362" s="6" t="n"/>
      <c r="N362" s="6" t="n"/>
      <c r="O362" s="6" t="n"/>
    </row>
    <row r="363">
      <c r="B363" s="170" t="n">
        <v>350</v>
      </c>
      <c r="C363" s="170" t="n"/>
      <c r="D363" s="312" t="n"/>
      <c r="E363" s="312" t="n"/>
      <c r="F363" s="312" t="n"/>
      <c r="G363" s="312" t="n"/>
      <c r="H363" s="312" t="n"/>
      <c r="I363" s="313" t="n"/>
      <c r="J363" s="314" t="n"/>
      <c r="K363" s="170" t="n"/>
      <c r="L363" s="170" t="n"/>
      <c r="M363" s="6" t="n"/>
      <c r="N363" s="6" t="n"/>
      <c r="O363" s="6" t="n"/>
    </row>
    <row r="364">
      <c r="B364" s="170" t="n">
        <v>351</v>
      </c>
      <c r="C364" s="170" t="n"/>
      <c r="D364" s="312" t="n"/>
      <c r="E364" s="312" t="n"/>
      <c r="F364" s="312" t="n"/>
      <c r="G364" s="312" t="n"/>
      <c r="H364" s="312" t="n"/>
      <c r="I364" s="313" t="n"/>
      <c r="J364" s="314" t="n"/>
      <c r="K364" s="170" t="n"/>
      <c r="L364" s="170" t="n"/>
      <c r="M364" s="6" t="n"/>
      <c r="N364" s="6" t="n"/>
      <c r="O364" s="6" t="n"/>
    </row>
    <row r="365">
      <c r="B365" s="170" t="n">
        <v>352</v>
      </c>
      <c r="C365" s="170" t="n"/>
      <c r="D365" s="312" t="n"/>
      <c r="E365" s="312" t="n"/>
      <c r="F365" s="312" t="n"/>
      <c r="G365" s="312" t="n"/>
      <c r="H365" s="312" t="n"/>
      <c r="I365" s="313" t="n"/>
      <c r="J365" s="314" t="n"/>
      <c r="K365" s="170" t="n"/>
      <c r="L365" s="170" t="n"/>
      <c r="M365" s="6" t="n"/>
      <c r="N365" s="6" t="n"/>
      <c r="O365" s="6" t="n"/>
    </row>
    <row r="366">
      <c r="B366" s="170" t="n">
        <v>353</v>
      </c>
      <c r="C366" s="170" t="n"/>
      <c r="D366" s="312" t="n"/>
      <c r="E366" s="312" t="n"/>
      <c r="F366" s="312" t="n"/>
      <c r="G366" s="312" t="n"/>
      <c r="H366" s="312" t="n"/>
      <c r="I366" s="313" t="n"/>
      <c r="J366" s="314" t="n"/>
      <c r="K366" s="170" t="n"/>
      <c r="L366" s="170" t="n"/>
      <c r="M366" s="6" t="n"/>
      <c r="N366" s="6" t="n"/>
      <c r="O366" s="6" t="n"/>
    </row>
    <row r="367">
      <c r="B367" s="170" t="n">
        <v>354</v>
      </c>
      <c r="C367" s="170" t="n"/>
      <c r="D367" s="312" t="n"/>
      <c r="E367" s="312" t="n"/>
      <c r="F367" s="312" t="n"/>
      <c r="G367" s="312" t="n"/>
      <c r="H367" s="312" t="n"/>
      <c r="I367" s="313" t="n"/>
      <c r="J367" s="314" t="n"/>
      <c r="K367" s="170" t="n"/>
      <c r="L367" s="170" t="n"/>
      <c r="M367" s="6" t="n"/>
      <c r="N367" s="6" t="n"/>
      <c r="O367" s="6" t="n"/>
    </row>
    <row r="368">
      <c r="B368" s="170" t="n">
        <v>355</v>
      </c>
      <c r="C368" s="170" t="n"/>
      <c r="D368" s="312" t="n"/>
      <c r="E368" s="312" t="n"/>
      <c r="F368" s="312" t="n"/>
      <c r="G368" s="312" t="n"/>
      <c r="H368" s="312" t="n"/>
      <c r="I368" s="313" t="n"/>
      <c r="J368" s="314" t="n"/>
      <c r="K368" s="170" t="n"/>
      <c r="L368" s="170" t="n"/>
      <c r="M368" s="6" t="n"/>
      <c r="N368" s="6" t="n"/>
      <c r="O368" s="6" t="n"/>
    </row>
    <row r="369">
      <c r="B369" s="170" t="n">
        <v>356</v>
      </c>
      <c r="C369" s="170" t="n"/>
      <c r="D369" s="312" t="n"/>
      <c r="E369" s="312" t="n"/>
      <c r="F369" s="312" t="n"/>
      <c r="G369" s="312" t="n"/>
      <c r="H369" s="312" t="n"/>
      <c r="I369" s="313" t="n"/>
      <c r="J369" s="314" t="n"/>
      <c r="K369" s="170" t="n"/>
      <c r="L369" s="170" t="n"/>
      <c r="M369" s="6" t="n"/>
      <c r="N369" s="6" t="n"/>
      <c r="O369" s="6" t="n"/>
    </row>
    <row r="370">
      <c r="B370" s="170" t="n">
        <v>357</v>
      </c>
      <c r="C370" s="170" t="n"/>
      <c r="D370" s="312" t="n"/>
      <c r="E370" s="312" t="n"/>
      <c r="F370" s="312" t="n"/>
      <c r="G370" s="312" t="n"/>
      <c r="H370" s="312" t="n"/>
      <c r="I370" s="313" t="n"/>
      <c r="J370" s="314" t="n"/>
      <c r="K370" s="170" t="n"/>
      <c r="L370" s="170" t="n"/>
      <c r="M370" s="6" t="n"/>
      <c r="N370" s="6" t="n"/>
      <c r="O370" s="6" t="n"/>
    </row>
    <row r="371">
      <c r="B371" s="170" t="n">
        <v>358</v>
      </c>
      <c r="C371" s="170" t="n"/>
      <c r="D371" s="312" t="n"/>
      <c r="E371" s="312" t="n"/>
      <c r="F371" s="312" t="n"/>
      <c r="G371" s="312" t="n"/>
      <c r="H371" s="312" t="n"/>
      <c r="I371" s="313" t="n"/>
      <c r="J371" s="314" t="n"/>
      <c r="K371" s="170" t="n"/>
      <c r="L371" s="170" t="n"/>
      <c r="M371" s="6" t="n"/>
      <c r="N371" s="6" t="n"/>
      <c r="O371" s="6" t="n"/>
    </row>
    <row r="372">
      <c r="B372" s="170" t="n">
        <v>359</v>
      </c>
      <c r="C372" s="170" t="n"/>
      <c r="D372" s="312" t="n"/>
      <c r="E372" s="312" t="n"/>
      <c r="F372" s="312" t="n"/>
      <c r="G372" s="312" t="n"/>
      <c r="H372" s="312" t="n"/>
      <c r="I372" s="313" t="n"/>
      <c r="J372" s="314" t="n"/>
      <c r="K372" s="170" t="n"/>
      <c r="L372" s="170" t="n"/>
      <c r="M372" s="6" t="n"/>
      <c r="N372" s="6" t="n"/>
      <c r="O372" s="6" t="n"/>
    </row>
    <row r="373">
      <c r="B373" s="170" t="n">
        <v>360</v>
      </c>
      <c r="C373" s="170" t="n"/>
      <c r="D373" s="312" t="n"/>
      <c r="E373" s="312" t="n"/>
      <c r="F373" s="312" t="n"/>
      <c r="G373" s="312" t="n"/>
      <c r="H373" s="312" t="n"/>
      <c r="I373" s="313" t="n"/>
      <c r="J373" s="314" t="n"/>
      <c r="K373" s="170" t="n"/>
      <c r="L373" s="170" t="n"/>
      <c r="M373" s="6" t="n"/>
      <c r="N373" s="6" t="n"/>
      <c r="O373" s="6" t="n"/>
    </row>
    <row r="374">
      <c r="B374" s="170" t="n">
        <v>361</v>
      </c>
      <c r="C374" s="170" t="n"/>
      <c r="D374" s="312" t="n"/>
      <c r="E374" s="312" t="n"/>
      <c r="F374" s="312" t="n"/>
      <c r="G374" s="312" t="n"/>
      <c r="H374" s="312" t="n"/>
      <c r="I374" s="313" t="n"/>
      <c r="J374" s="314" t="n"/>
      <c r="K374" s="170" t="n"/>
      <c r="L374" s="170" t="n"/>
      <c r="M374" s="6" t="n"/>
      <c r="N374" s="6" t="n"/>
      <c r="O374" s="6" t="n"/>
    </row>
    <row r="375">
      <c r="B375" s="170" t="n">
        <v>362</v>
      </c>
      <c r="C375" s="170" t="n"/>
      <c r="D375" s="312" t="n"/>
      <c r="E375" s="312" t="n"/>
      <c r="F375" s="312" t="n"/>
      <c r="G375" s="312" t="n"/>
      <c r="H375" s="312" t="n"/>
      <c r="I375" s="313" t="n"/>
      <c r="J375" s="314" t="n"/>
      <c r="K375" s="170" t="n"/>
      <c r="L375" s="170" t="n"/>
      <c r="M375" s="6" t="n"/>
      <c r="N375" s="6" t="n"/>
      <c r="O375" s="6" t="n"/>
    </row>
    <row r="376">
      <c r="B376" s="170" t="n">
        <v>363</v>
      </c>
      <c r="C376" s="170" t="n"/>
      <c r="D376" s="312" t="n"/>
      <c r="E376" s="312" t="n"/>
      <c r="F376" s="312" t="n"/>
      <c r="G376" s="312" t="n"/>
      <c r="H376" s="312" t="n"/>
      <c r="I376" s="313" t="n"/>
      <c r="J376" s="314" t="n"/>
      <c r="K376" s="170" t="n"/>
      <c r="L376" s="170" t="n"/>
      <c r="M376" s="6" t="n"/>
      <c r="N376" s="6" t="n"/>
      <c r="O376" s="6" t="n"/>
    </row>
    <row r="377">
      <c r="B377" s="170" t="n">
        <v>364</v>
      </c>
      <c r="C377" s="170" t="n"/>
      <c r="D377" s="312" t="n"/>
      <c r="E377" s="312" t="n"/>
      <c r="F377" s="312" t="n"/>
      <c r="G377" s="312" t="n"/>
      <c r="H377" s="312" t="n"/>
      <c r="I377" s="313" t="n"/>
      <c r="J377" s="314" t="n"/>
      <c r="K377" s="170" t="n"/>
      <c r="L377" s="170" t="n"/>
      <c r="M377" s="6" t="n"/>
      <c r="N377" s="6" t="n"/>
      <c r="O377" s="6" t="n"/>
    </row>
    <row r="378">
      <c r="B378" s="170" t="n">
        <v>365</v>
      </c>
      <c r="C378" s="170" t="n"/>
      <c r="D378" s="312" t="n"/>
      <c r="E378" s="312" t="n"/>
      <c r="F378" s="312" t="n"/>
      <c r="G378" s="312" t="n"/>
      <c r="H378" s="312" t="n"/>
      <c r="I378" s="313" t="n"/>
      <c r="J378" s="314" t="n"/>
      <c r="K378" s="170" t="n"/>
      <c r="L378" s="170" t="n"/>
      <c r="M378" s="6" t="n"/>
      <c r="N378" s="6" t="n"/>
      <c r="O378" s="6" t="n"/>
    </row>
    <row r="379">
      <c r="B379" s="170" t="n">
        <v>366</v>
      </c>
      <c r="C379" s="170" t="n"/>
      <c r="D379" s="312" t="n"/>
      <c r="E379" s="312" t="n"/>
      <c r="F379" s="312" t="n"/>
      <c r="G379" s="312" t="n"/>
      <c r="H379" s="312" t="n"/>
      <c r="I379" s="313" t="n"/>
      <c r="J379" s="314" t="n"/>
      <c r="K379" s="170" t="n"/>
      <c r="L379" s="170" t="n"/>
      <c r="M379" s="6" t="n"/>
      <c r="N379" s="6" t="n"/>
      <c r="O379" s="6" t="n"/>
    </row>
    <row r="380">
      <c r="B380" s="170" t="n">
        <v>367</v>
      </c>
      <c r="C380" s="170" t="n"/>
      <c r="D380" s="312" t="n"/>
      <c r="E380" s="312" t="n"/>
      <c r="F380" s="312" t="n"/>
      <c r="G380" s="312" t="n"/>
      <c r="H380" s="312" t="n"/>
      <c r="I380" s="313" t="n"/>
      <c r="J380" s="314" t="n"/>
      <c r="K380" s="170" t="n"/>
      <c r="L380" s="170" t="n"/>
      <c r="M380" s="6" t="n"/>
      <c r="N380" s="6" t="n"/>
      <c r="O380" s="6" t="n"/>
    </row>
    <row r="381">
      <c r="B381" s="170" t="n">
        <v>368</v>
      </c>
      <c r="C381" s="170" t="n"/>
      <c r="D381" s="312" t="n"/>
      <c r="E381" s="312" t="n"/>
      <c r="F381" s="312" t="n"/>
      <c r="G381" s="312" t="n"/>
      <c r="H381" s="312" t="n"/>
      <c r="I381" s="313" t="n"/>
      <c r="J381" s="314" t="n"/>
      <c r="K381" s="170" t="n"/>
      <c r="L381" s="170" t="n"/>
      <c r="M381" s="6" t="n"/>
      <c r="N381" s="6" t="n"/>
      <c r="O381" s="6" t="n"/>
    </row>
    <row r="382">
      <c r="B382" s="170" t="n">
        <v>369</v>
      </c>
      <c r="C382" s="170" t="n"/>
      <c r="D382" s="312" t="n"/>
      <c r="E382" s="312" t="n"/>
      <c r="F382" s="312" t="n"/>
      <c r="G382" s="312" t="n"/>
      <c r="H382" s="312" t="n"/>
      <c r="I382" s="313" t="n"/>
      <c r="J382" s="314" t="n"/>
      <c r="K382" s="170" t="n"/>
      <c r="L382" s="170" t="n"/>
      <c r="M382" s="6" t="n"/>
      <c r="N382" s="6" t="n"/>
      <c r="O382" s="6" t="n"/>
    </row>
    <row r="383">
      <c r="B383" s="170" t="n">
        <v>370</v>
      </c>
      <c r="C383" s="170" t="n"/>
      <c r="D383" s="312" t="n"/>
      <c r="E383" s="312" t="n"/>
      <c r="F383" s="312" t="n"/>
      <c r="G383" s="312" t="n"/>
      <c r="H383" s="312" t="n"/>
      <c r="I383" s="313" t="n"/>
      <c r="J383" s="314" t="n"/>
      <c r="K383" s="170" t="n"/>
      <c r="L383" s="170" t="n"/>
      <c r="M383" s="6" t="n"/>
      <c r="N383" s="6" t="n"/>
      <c r="O383" s="6" t="n"/>
    </row>
    <row r="384">
      <c r="B384" s="170" t="n">
        <v>371</v>
      </c>
      <c r="C384" s="170" t="n"/>
      <c r="D384" s="312" t="n"/>
      <c r="E384" s="312" t="n"/>
      <c r="F384" s="312" t="n"/>
      <c r="G384" s="312" t="n"/>
      <c r="H384" s="312" t="n"/>
      <c r="I384" s="313" t="n"/>
      <c r="J384" s="314" t="n"/>
      <c r="K384" s="170" t="n"/>
      <c r="L384" s="170" t="n"/>
      <c r="M384" s="6" t="n"/>
      <c r="N384" s="6" t="n"/>
      <c r="O384" s="6" t="n"/>
    </row>
    <row r="385">
      <c r="B385" s="170" t="n">
        <v>372</v>
      </c>
      <c r="C385" s="170" t="n"/>
      <c r="D385" s="312" t="n"/>
      <c r="E385" s="312" t="n"/>
      <c r="F385" s="312" t="n"/>
      <c r="G385" s="312" t="n"/>
      <c r="H385" s="312" t="n"/>
      <c r="I385" s="313" t="n"/>
      <c r="J385" s="314" t="n"/>
      <c r="K385" s="170" t="n"/>
      <c r="L385" s="170" t="n"/>
      <c r="M385" s="6" t="n"/>
      <c r="N385" s="6" t="n"/>
      <c r="O385" s="6" t="n"/>
    </row>
    <row r="386">
      <c r="B386" s="170" t="n">
        <v>373</v>
      </c>
      <c r="C386" s="170" t="n"/>
      <c r="D386" s="312" t="n"/>
      <c r="E386" s="312" t="n"/>
      <c r="F386" s="312" t="n"/>
      <c r="G386" s="312" t="n"/>
      <c r="H386" s="312" t="n"/>
      <c r="I386" s="313" t="n"/>
      <c r="J386" s="314" t="n"/>
      <c r="K386" s="170" t="n"/>
      <c r="L386" s="170" t="n"/>
      <c r="M386" s="6" t="n"/>
      <c r="N386" s="6" t="n"/>
      <c r="O386" s="6" t="n"/>
    </row>
    <row r="387">
      <c r="B387" s="170" t="n">
        <v>374</v>
      </c>
      <c r="C387" s="170" t="n"/>
      <c r="D387" s="312" t="n"/>
      <c r="E387" s="312" t="n"/>
      <c r="F387" s="312" t="n"/>
      <c r="G387" s="312" t="n"/>
      <c r="H387" s="312" t="n"/>
      <c r="I387" s="313" t="n"/>
      <c r="J387" s="314" t="n"/>
      <c r="K387" s="170" t="n"/>
      <c r="L387" s="170" t="n"/>
      <c r="M387" s="6" t="n"/>
      <c r="N387" s="6" t="n"/>
      <c r="O387" s="6" t="n"/>
    </row>
    <row r="388">
      <c r="B388" s="170" t="n">
        <v>375</v>
      </c>
      <c r="C388" s="170" t="n"/>
      <c r="D388" s="312" t="n"/>
      <c r="E388" s="312" t="n"/>
      <c r="F388" s="312" t="n"/>
      <c r="G388" s="312" t="n"/>
      <c r="H388" s="312" t="n"/>
      <c r="I388" s="313" t="n"/>
      <c r="J388" s="314" t="n"/>
      <c r="K388" s="170" t="n"/>
      <c r="L388" s="170" t="n"/>
      <c r="M388" s="6" t="n"/>
      <c r="N388" s="6" t="n"/>
      <c r="O388" s="6" t="n"/>
    </row>
    <row r="389">
      <c r="B389" s="170" t="n">
        <v>376</v>
      </c>
      <c r="C389" s="170" t="n"/>
      <c r="D389" s="312" t="n"/>
      <c r="E389" s="312" t="n"/>
      <c r="F389" s="312" t="n"/>
      <c r="G389" s="312" t="n"/>
      <c r="H389" s="312" t="n"/>
      <c r="I389" s="313" t="n"/>
      <c r="J389" s="314" t="n"/>
      <c r="K389" s="170" t="n"/>
      <c r="L389" s="170" t="n"/>
      <c r="M389" s="6" t="n"/>
      <c r="N389" s="6" t="n"/>
      <c r="O389" s="6" t="n"/>
    </row>
    <row r="390">
      <c r="B390" s="170" t="n">
        <v>377</v>
      </c>
      <c r="C390" s="170" t="n"/>
      <c r="D390" s="312" t="n"/>
      <c r="E390" s="312" t="n"/>
      <c r="F390" s="312" t="n"/>
      <c r="G390" s="312" t="n"/>
      <c r="H390" s="312" t="n"/>
      <c r="I390" s="313" t="n"/>
      <c r="J390" s="314" t="n"/>
      <c r="K390" s="170" t="n"/>
      <c r="L390" s="170" t="n"/>
      <c r="M390" s="6" t="n"/>
      <c r="N390" s="6" t="n"/>
      <c r="O390" s="6" t="n"/>
    </row>
    <row r="391">
      <c r="B391" s="170" t="n">
        <v>378</v>
      </c>
      <c r="C391" s="170" t="n"/>
      <c r="D391" s="312" t="n"/>
      <c r="E391" s="312" t="n"/>
      <c r="F391" s="312" t="n"/>
      <c r="G391" s="312" t="n"/>
      <c r="H391" s="312" t="n"/>
      <c r="I391" s="313" t="n"/>
      <c r="J391" s="314" t="n"/>
      <c r="K391" s="170" t="n"/>
      <c r="L391" s="170" t="n"/>
      <c r="M391" s="6" t="n"/>
      <c r="N391" s="6" t="n"/>
      <c r="O391" s="6" t="n"/>
    </row>
    <row r="392">
      <c r="B392" s="170" t="n">
        <v>379</v>
      </c>
      <c r="C392" s="170" t="n"/>
      <c r="D392" s="312" t="n"/>
      <c r="E392" s="312" t="n"/>
      <c r="F392" s="312" t="n"/>
      <c r="G392" s="312" t="n"/>
      <c r="H392" s="312" t="n"/>
      <c r="I392" s="313" t="n"/>
      <c r="J392" s="314" t="n"/>
      <c r="K392" s="170" t="n"/>
      <c r="L392" s="170" t="n"/>
      <c r="M392" s="6" t="n"/>
      <c r="N392" s="6" t="n"/>
      <c r="O392" s="6" t="n"/>
    </row>
    <row r="393">
      <c r="B393" s="170" t="n">
        <v>380</v>
      </c>
      <c r="C393" s="170" t="n"/>
      <c r="D393" s="312" t="n"/>
      <c r="E393" s="312" t="n"/>
      <c r="F393" s="312" t="n"/>
      <c r="G393" s="312" t="n"/>
      <c r="H393" s="312" t="n"/>
      <c r="I393" s="313" t="n"/>
      <c r="J393" s="314" t="n"/>
      <c r="K393" s="170" t="n"/>
      <c r="L393" s="170" t="n"/>
      <c r="M393" s="6" t="n"/>
      <c r="N393" s="6" t="n"/>
      <c r="O393" s="6" t="n"/>
    </row>
    <row r="394">
      <c r="B394" s="170" t="n">
        <v>381</v>
      </c>
      <c r="C394" s="170" t="n"/>
      <c r="D394" s="312" t="n"/>
      <c r="E394" s="312" t="n"/>
      <c r="F394" s="312" t="n"/>
      <c r="G394" s="312" t="n"/>
      <c r="H394" s="312" t="n"/>
      <c r="I394" s="313" t="n"/>
      <c r="J394" s="314" t="n"/>
      <c r="K394" s="170" t="n"/>
      <c r="L394" s="170" t="n"/>
      <c r="M394" s="6" t="n"/>
      <c r="N394" s="6" t="n"/>
      <c r="O394" s="6" t="n"/>
    </row>
    <row r="395">
      <c r="B395" s="170" t="n">
        <v>382</v>
      </c>
      <c r="C395" s="170" t="n"/>
      <c r="D395" s="312" t="n"/>
      <c r="E395" s="312" t="n"/>
      <c r="F395" s="312" t="n"/>
      <c r="G395" s="312" t="n"/>
      <c r="H395" s="312" t="n"/>
      <c r="I395" s="313" t="n"/>
      <c r="J395" s="314" t="n"/>
      <c r="K395" s="170" t="n"/>
      <c r="L395" s="170" t="n"/>
      <c r="M395" s="6" t="n"/>
      <c r="N395" s="6" t="n"/>
      <c r="O395" s="6" t="n"/>
    </row>
    <row r="396">
      <c r="B396" s="170" t="n">
        <v>383</v>
      </c>
      <c r="C396" s="170" t="n"/>
      <c r="D396" s="312" t="n"/>
      <c r="E396" s="312" t="n"/>
      <c r="F396" s="312" t="n"/>
      <c r="G396" s="312" t="n"/>
      <c r="H396" s="312" t="n"/>
      <c r="I396" s="313" t="n"/>
      <c r="J396" s="314" t="n"/>
      <c r="K396" s="170" t="n"/>
      <c r="L396" s="170" t="n"/>
      <c r="M396" s="6" t="n"/>
      <c r="N396" s="6" t="n"/>
      <c r="O396" s="6" t="n"/>
    </row>
    <row r="397">
      <c r="B397" s="170" t="n">
        <v>384</v>
      </c>
      <c r="C397" s="170" t="n"/>
      <c r="D397" s="312" t="n"/>
      <c r="E397" s="312" t="n"/>
      <c r="F397" s="312" t="n"/>
      <c r="G397" s="312" t="n"/>
      <c r="H397" s="312" t="n"/>
      <c r="I397" s="313" t="n"/>
      <c r="J397" s="314" t="n"/>
      <c r="K397" s="170" t="n"/>
      <c r="L397" s="170" t="n"/>
      <c r="M397" s="6" t="n"/>
      <c r="N397" s="6" t="n"/>
      <c r="O397" s="6" t="n"/>
    </row>
    <row r="398">
      <c r="B398" s="170" t="n">
        <v>385</v>
      </c>
      <c r="C398" s="170" t="n"/>
      <c r="D398" s="312" t="n"/>
      <c r="E398" s="312" t="n"/>
      <c r="F398" s="312" t="n"/>
      <c r="G398" s="312" t="n"/>
      <c r="H398" s="312" t="n"/>
      <c r="I398" s="313" t="n"/>
      <c r="J398" s="314" t="n"/>
      <c r="K398" s="170" t="n"/>
      <c r="L398" s="170" t="n"/>
      <c r="M398" s="6" t="n"/>
      <c r="N398" s="6" t="n"/>
      <c r="O398" s="6" t="n"/>
    </row>
    <row r="399">
      <c r="B399" s="170" t="n">
        <v>386</v>
      </c>
      <c r="C399" s="170" t="n"/>
      <c r="D399" s="312" t="n"/>
      <c r="E399" s="312" t="n"/>
      <c r="F399" s="312" t="n"/>
      <c r="G399" s="312" t="n"/>
      <c r="H399" s="312" t="n"/>
      <c r="I399" s="313" t="n"/>
      <c r="J399" s="314" t="n"/>
      <c r="K399" s="170" t="n"/>
      <c r="L399" s="170" t="n"/>
      <c r="M399" s="6" t="n"/>
      <c r="N399" s="6" t="n"/>
      <c r="O399" s="6" t="n"/>
    </row>
    <row r="400">
      <c r="B400" s="170" t="n">
        <v>387</v>
      </c>
      <c r="C400" s="170" t="n"/>
      <c r="D400" s="312" t="n"/>
      <c r="E400" s="312" t="n"/>
      <c r="F400" s="312" t="n"/>
      <c r="G400" s="312" t="n"/>
      <c r="H400" s="312" t="n"/>
      <c r="I400" s="313" t="n"/>
      <c r="J400" s="314" t="n"/>
      <c r="K400" s="170" t="n"/>
      <c r="L400" s="170" t="n"/>
      <c r="M400" s="6" t="n"/>
      <c r="N400" s="6" t="n"/>
      <c r="O400" s="6" t="n"/>
    </row>
    <row r="401">
      <c r="B401" s="170" t="n">
        <v>388</v>
      </c>
      <c r="C401" s="170" t="n"/>
      <c r="D401" s="312" t="n"/>
      <c r="E401" s="312" t="n"/>
      <c r="F401" s="312" t="n"/>
      <c r="G401" s="312" t="n"/>
      <c r="H401" s="312" t="n"/>
      <c r="I401" s="313" t="n"/>
      <c r="J401" s="314" t="n"/>
      <c r="K401" s="170" t="n"/>
      <c r="L401" s="170" t="n"/>
      <c r="M401" s="6" t="n"/>
      <c r="N401" s="6" t="n"/>
      <c r="O401" s="6" t="n"/>
    </row>
    <row r="402">
      <c r="B402" s="170" t="n">
        <v>389</v>
      </c>
      <c r="C402" s="170" t="n"/>
      <c r="D402" s="312" t="n"/>
      <c r="E402" s="312" t="n"/>
      <c r="F402" s="312" t="n"/>
      <c r="G402" s="312" t="n"/>
      <c r="H402" s="312" t="n"/>
      <c r="I402" s="313" t="n"/>
      <c r="J402" s="314" t="n"/>
      <c r="K402" s="170" t="n"/>
      <c r="L402" s="170" t="n"/>
      <c r="M402" s="6" t="n"/>
      <c r="N402" s="6" t="n"/>
      <c r="O402" s="6" t="n"/>
    </row>
    <row r="403">
      <c r="B403" s="170" t="n">
        <v>390</v>
      </c>
      <c r="C403" s="170" t="n"/>
      <c r="D403" s="312" t="n"/>
      <c r="E403" s="312" t="n"/>
      <c r="F403" s="312" t="n"/>
      <c r="G403" s="312" t="n"/>
      <c r="H403" s="312" t="n"/>
      <c r="I403" s="313" t="n"/>
      <c r="J403" s="314" t="n"/>
      <c r="K403" s="170" t="n"/>
      <c r="L403" s="170" t="n"/>
      <c r="M403" s="6" t="n"/>
      <c r="N403" s="6" t="n"/>
      <c r="O403" s="6" t="n"/>
    </row>
    <row r="404">
      <c r="B404" s="170" t="n">
        <v>391</v>
      </c>
      <c r="C404" s="170" t="n"/>
      <c r="D404" s="312" t="n"/>
      <c r="E404" s="312" t="n"/>
      <c r="F404" s="312" t="n"/>
      <c r="G404" s="312" t="n"/>
      <c r="H404" s="312" t="n"/>
      <c r="I404" s="313" t="n"/>
      <c r="J404" s="314" t="n"/>
      <c r="K404" s="170" t="n"/>
      <c r="L404" s="170" t="n"/>
      <c r="M404" s="6" t="n"/>
      <c r="N404" s="6" t="n"/>
      <c r="O404" s="6" t="n"/>
    </row>
    <row r="405">
      <c r="B405" s="170" t="n">
        <v>392</v>
      </c>
      <c r="C405" s="170" t="n"/>
      <c r="D405" s="312" t="n"/>
      <c r="E405" s="312" t="n"/>
      <c r="F405" s="312" t="n"/>
      <c r="G405" s="312" t="n"/>
      <c r="H405" s="312" t="n"/>
      <c r="I405" s="313" t="n"/>
      <c r="J405" s="314" t="n"/>
      <c r="K405" s="170" t="n"/>
      <c r="L405" s="170" t="n"/>
      <c r="M405" s="6" t="n"/>
      <c r="N405" s="6" t="n"/>
      <c r="O405" s="6" t="n"/>
    </row>
    <row r="406">
      <c r="B406" s="170" t="n">
        <v>393</v>
      </c>
      <c r="C406" s="170" t="n"/>
      <c r="D406" s="312" t="n"/>
      <c r="E406" s="312" t="n"/>
      <c r="F406" s="312" t="n"/>
      <c r="G406" s="312" t="n"/>
      <c r="H406" s="312" t="n"/>
      <c r="I406" s="313" t="n"/>
      <c r="J406" s="314" t="n"/>
      <c r="K406" s="170" t="n"/>
      <c r="L406" s="170" t="n"/>
      <c r="M406" s="6" t="n"/>
      <c r="N406" s="6" t="n"/>
      <c r="O406" s="6" t="n"/>
    </row>
    <row r="407">
      <c r="B407" s="170" t="n">
        <v>394</v>
      </c>
      <c r="C407" s="170" t="n"/>
      <c r="D407" s="312" t="n"/>
      <c r="E407" s="312" t="n"/>
      <c r="F407" s="312" t="n"/>
      <c r="G407" s="312" t="n"/>
      <c r="H407" s="312" t="n"/>
      <c r="I407" s="313" t="n"/>
      <c r="J407" s="314" t="n"/>
      <c r="K407" s="170" t="n"/>
      <c r="L407" s="170" t="n"/>
      <c r="M407" s="6" t="n"/>
      <c r="N407" s="6" t="n"/>
      <c r="O407" s="6" t="n"/>
    </row>
    <row r="408">
      <c r="B408" s="170" t="n">
        <v>395</v>
      </c>
      <c r="C408" s="170" t="n"/>
      <c r="D408" s="312" t="n"/>
      <c r="E408" s="312" t="n"/>
      <c r="F408" s="312" t="n"/>
      <c r="G408" s="312" t="n"/>
      <c r="H408" s="312" t="n"/>
      <c r="I408" s="313" t="n"/>
      <c r="J408" s="314" t="n"/>
      <c r="K408" s="170" t="n"/>
      <c r="L408" s="170" t="n"/>
      <c r="M408" s="6" t="n"/>
      <c r="N408" s="6" t="n"/>
      <c r="O408" s="6" t="n"/>
    </row>
    <row r="409">
      <c r="B409" s="170" t="n">
        <v>396</v>
      </c>
      <c r="C409" s="170" t="n"/>
      <c r="D409" s="312" t="n"/>
      <c r="E409" s="312" t="n"/>
      <c r="F409" s="312" t="n"/>
      <c r="G409" s="312" t="n"/>
      <c r="H409" s="312" t="n"/>
      <c r="I409" s="313" t="n"/>
      <c r="J409" s="314" t="n"/>
      <c r="K409" s="170" t="n"/>
      <c r="L409" s="170" t="n"/>
      <c r="M409" s="6" t="n"/>
      <c r="N409" s="6" t="n"/>
      <c r="O409" s="6" t="n"/>
    </row>
    <row r="410">
      <c r="B410" s="170" t="n">
        <v>397</v>
      </c>
      <c r="C410" s="170" t="n"/>
      <c r="D410" s="312" t="n"/>
      <c r="E410" s="312" t="n"/>
      <c r="F410" s="312" t="n"/>
      <c r="G410" s="312" t="n"/>
      <c r="H410" s="312" t="n"/>
      <c r="I410" s="313" t="n"/>
      <c r="J410" s="314" t="n"/>
      <c r="K410" s="170" t="n"/>
      <c r="L410" s="170" t="n"/>
      <c r="M410" s="6" t="n"/>
      <c r="N410" s="6" t="n"/>
      <c r="O410" s="6" t="n"/>
    </row>
    <row r="411">
      <c r="B411" s="170" t="n">
        <v>398</v>
      </c>
      <c r="C411" s="170" t="n"/>
      <c r="D411" s="312" t="n"/>
      <c r="E411" s="312" t="n"/>
      <c r="F411" s="312" t="n"/>
      <c r="G411" s="312" t="n"/>
      <c r="H411" s="312" t="n"/>
      <c r="I411" s="313" t="n"/>
      <c r="J411" s="314" t="n"/>
      <c r="K411" s="170" t="n"/>
      <c r="L411" s="170" t="n"/>
      <c r="M411" s="6" t="n"/>
      <c r="N411" s="6" t="n"/>
      <c r="O411" s="6" t="n"/>
    </row>
    <row r="412">
      <c r="B412" s="170" t="n">
        <v>399</v>
      </c>
      <c r="C412" s="170" t="n"/>
      <c r="D412" s="312" t="n"/>
      <c r="E412" s="312" t="n"/>
      <c r="F412" s="312" t="n"/>
      <c r="G412" s="312" t="n"/>
      <c r="H412" s="312" t="n"/>
      <c r="I412" s="313" t="n"/>
      <c r="J412" s="314" t="n"/>
      <c r="K412" s="170" t="n"/>
      <c r="L412" s="170" t="n"/>
      <c r="M412" s="6" t="n"/>
      <c r="N412" s="6" t="n"/>
      <c r="O412" s="6" t="n"/>
    </row>
    <row r="413">
      <c r="B413" s="170" t="n">
        <v>400</v>
      </c>
      <c r="C413" s="170" t="n"/>
      <c r="D413" s="312" t="n"/>
      <c r="E413" s="312" t="n"/>
      <c r="F413" s="312" t="n"/>
      <c r="G413" s="312" t="n"/>
      <c r="H413" s="312" t="n"/>
      <c r="I413" s="313" t="n"/>
      <c r="J413" s="314" t="n"/>
      <c r="K413" s="170" t="n"/>
      <c r="L413" s="170" t="n"/>
      <c r="M413" s="6" t="n"/>
      <c r="N413" s="6" t="n"/>
      <c r="O413" s="6" t="n"/>
    </row>
    <row r="414">
      <c r="B414" s="170" t="n">
        <v>401</v>
      </c>
      <c r="C414" s="170" t="n"/>
      <c r="D414" s="312" t="n"/>
      <c r="E414" s="312" t="n"/>
      <c r="F414" s="312" t="n"/>
      <c r="G414" s="312" t="n"/>
      <c r="H414" s="312" t="n"/>
      <c r="I414" s="313" t="n"/>
      <c r="J414" s="314" t="n"/>
      <c r="K414" s="170" t="n"/>
      <c r="L414" s="170" t="n"/>
      <c r="M414" s="6" t="n"/>
      <c r="N414" s="6" t="n"/>
      <c r="O414" s="6" t="n"/>
    </row>
    <row r="415">
      <c r="B415" s="170" t="n">
        <v>402</v>
      </c>
      <c r="C415" s="170" t="n"/>
      <c r="D415" s="312" t="n"/>
      <c r="E415" s="312" t="n"/>
      <c r="F415" s="312" t="n"/>
      <c r="G415" s="312" t="n"/>
      <c r="H415" s="312" t="n"/>
      <c r="I415" s="313" t="n"/>
      <c r="J415" s="314" t="n"/>
      <c r="K415" s="170" t="n"/>
      <c r="L415" s="170" t="n"/>
      <c r="M415" s="6" t="n"/>
      <c r="N415" s="6" t="n"/>
      <c r="O415" s="6" t="n"/>
    </row>
    <row r="416">
      <c r="B416" s="170" t="n">
        <v>403</v>
      </c>
      <c r="C416" s="170" t="n"/>
      <c r="D416" s="312" t="n"/>
      <c r="E416" s="312" t="n"/>
      <c r="F416" s="312" t="n"/>
      <c r="G416" s="312" t="n"/>
      <c r="H416" s="312" t="n"/>
      <c r="I416" s="313" t="n"/>
      <c r="J416" s="314" t="n"/>
      <c r="K416" s="170" t="n"/>
      <c r="L416" s="170" t="n"/>
      <c r="M416" s="6" t="n"/>
      <c r="N416" s="6" t="n"/>
      <c r="O416" s="6" t="n"/>
    </row>
    <row r="417">
      <c r="B417" s="170" t="n">
        <v>404</v>
      </c>
      <c r="C417" s="170" t="n"/>
      <c r="D417" s="312" t="n"/>
      <c r="E417" s="312" t="n"/>
      <c r="F417" s="312" t="n"/>
      <c r="G417" s="312" t="n"/>
      <c r="H417" s="312" t="n"/>
      <c r="I417" s="313" t="n"/>
      <c r="J417" s="314" t="n"/>
      <c r="K417" s="170" t="n"/>
      <c r="L417" s="170" t="n"/>
      <c r="M417" s="6" t="n"/>
      <c r="N417" s="6" t="n"/>
      <c r="O417" s="6" t="n"/>
    </row>
    <row r="418">
      <c r="B418" s="170" t="n">
        <v>405</v>
      </c>
      <c r="C418" s="170" t="n"/>
      <c r="D418" s="312" t="n"/>
      <c r="E418" s="312" t="n"/>
      <c r="F418" s="312" t="n"/>
      <c r="G418" s="312" t="n"/>
      <c r="H418" s="312" t="n"/>
      <c r="I418" s="313" t="n"/>
      <c r="J418" s="314" t="n"/>
      <c r="K418" s="170" t="n"/>
      <c r="L418" s="170" t="n"/>
      <c r="M418" s="6" t="n"/>
      <c r="N418" s="6" t="n"/>
      <c r="O418" s="6" t="n"/>
    </row>
    <row r="419">
      <c r="B419" s="170" t="n">
        <v>406</v>
      </c>
      <c r="C419" s="170" t="n"/>
      <c r="D419" s="312" t="n"/>
      <c r="E419" s="312" t="n"/>
      <c r="F419" s="312" t="n"/>
      <c r="G419" s="312" t="n"/>
      <c r="H419" s="312" t="n"/>
      <c r="I419" s="313" t="n"/>
      <c r="J419" s="314" t="n"/>
      <c r="K419" s="170" t="n"/>
      <c r="L419" s="170" t="n"/>
      <c r="M419" s="6" t="n"/>
      <c r="N419" s="6" t="n"/>
      <c r="O419" s="6" t="n"/>
    </row>
    <row r="420">
      <c r="B420" s="170" t="n">
        <v>407</v>
      </c>
      <c r="C420" s="170" t="n"/>
      <c r="D420" s="312" t="n"/>
      <c r="E420" s="312" t="n"/>
      <c r="F420" s="312" t="n"/>
      <c r="G420" s="312" t="n"/>
      <c r="H420" s="312" t="n"/>
      <c r="I420" s="313" t="n"/>
      <c r="J420" s="314" t="n"/>
      <c r="K420" s="170" t="n"/>
      <c r="L420" s="170" t="n"/>
      <c r="M420" s="6" t="n"/>
      <c r="N420" s="6" t="n"/>
      <c r="O420" s="6" t="n"/>
    </row>
    <row r="421">
      <c r="B421" s="170" t="n">
        <v>408</v>
      </c>
      <c r="C421" s="170" t="n"/>
      <c r="D421" s="312" t="n"/>
      <c r="E421" s="312" t="n"/>
      <c r="F421" s="312" t="n"/>
      <c r="G421" s="312" t="n"/>
      <c r="H421" s="312" t="n"/>
      <c r="I421" s="313" t="n"/>
      <c r="J421" s="314" t="n"/>
      <c r="K421" s="170" t="n"/>
      <c r="L421" s="170" t="n"/>
      <c r="M421" s="6" t="n"/>
      <c r="N421" s="6" t="n"/>
      <c r="O421" s="6" t="n"/>
    </row>
    <row r="422">
      <c r="B422" s="170" t="n">
        <v>409</v>
      </c>
      <c r="C422" s="170" t="n"/>
      <c r="D422" s="312" t="n"/>
      <c r="E422" s="312" t="n"/>
      <c r="F422" s="312" t="n"/>
      <c r="G422" s="312" t="n"/>
      <c r="H422" s="312" t="n"/>
      <c r="I422" s="313" t="n"/>
      <c r="J422" s="314" t="n"/>
      <c r="K422" s="170" t="n"/>
      <c r="L422" s="170" t="n"/>
      <c r="M422" s="6" t="n"/>
      <c r="N422" s="6" t="n"/>
      <c r="O422" s="6" t="n"/>
    </row>
    <row r="423">
      <c r="B423" s="170" t="n">
        <v>410</v>
      </c>
      <c r="C423" s="170" t="n"/>
      <c r="D423" s="312" t="n"/>
      <c r="E423" s="312" t="n"/>
      <c r="F423" s="312" t="n"/>
      <c r="G423" s="312" t="n"/>
      <c r="H423" s="312" t="n"/>
      <c r="I423" s="313" t="n"/>
      <c r="J423" s="314" t="n"/>
      <c r="K423" s="170" t="n"/>
      <c r="L423" s="170" t="n"/>
      <c r="M423" s="6" t="n"/>
      <c r="N423" s="6" t="n"/>
      <c r="O423" s="6" t="n"/>
    </row>
    <row r="424">
      <c r="B424" s="170" t="n">
        <v>411</v>
      </c>
      <c r="C424" s="170" t="n"/>
      <c r="D424" s="312" t="n"/>
      <c r="E424" s="312" t="n"/>
      <c r="F424" s="312" t="n"/>
      <c r="G424" s="312" t="n"/>
      <c r="H424" s="312" t="n"/>
      <c r="I424" s="313" t="n"/>
      <c r="J424" s="314" t="n"/>
      <c r="K424" s="170" t="n"/>
      <c r="L424" s="170" t="n"/>
      <c r="M424" s="6" t="n"/>
      <c r="N424" s="6" t="n"/>
      <c r="O424" s="6" t="n"/>
    </row>
    <row r="425">
      <c r="B425" s="170" t="n">
        <v>412</v>
      </c>
      <c r="C425" s="170" t="n"/>
      <c r="D425" s="312" t="n"/>
      <c r="E425" s="312" t="n"/>
      <c r="F425" s="312" t="n"/>
      <c r="G425" s="312" t="n"/>
      <c r="H425" s="312" t="n"/>
      <c r="I425" s="313" t="n"/>
      <c r="J425" s="314" t="n"/>
      <c r="K425" s="170" t="n"/>
      <c r="L425" s="170" t="n"/>
      <c r="M425" s="6" t="n"/>
      <c r="N425" s="6" t="n"/>
      <c r="O425" s="6" t="n"/>
    </row>
    <row r="426">
      <c r="B426" s="170" t="n">
        <v>413</v>
      </c>
      <c r="C426" s="170" t="n"/>
      <c r="D426" s="312" t="n"/>
      <c r="E426" s="312" t="n"/>
      <c r="F426" s="312" t="n"/>
      <c r="G426" s="312" t="n"/>
      <c r="H426" s="312" t="n"/>
      <c r="I426" s="313" t="n"/>
      <c r="J426" s="314" t="n"/>
      <c r="K426" s="170" t="n"/>
      <c r="L426" s="170" t="n"/>
      <c r="M426" s="6" t="n"/>
      <c r="N426" s="6" t="n"/>
      <c r="O426" s="6" t="n"/>
    </row>
    <row r="427">
      <c r="B427" s="170" t="n">
        <v>414</v>
      </c>
      <c r="C427" s="170" t="n"/>
      <c r="D427" s="312" t="n"/>
      <c r="E427" s="312" t="n"/>
      <c r="F427" s="312" t="n"/>
      <c r="G427" s="312" t="n"/>
      <c r="H427" s="312" t="n"/>
      <c r="I427" s="313" t="n"/>
      <c r="J427" s="314" t="n"/>
      <c r="K427" s="170" t="n"/>
      <c r="L427" s="170" t="n"/>
      <c r="M427" s="6" t="n"/>
      <c r="N427" s="6" t="n"/>
      <c r="O427" s="6" t="n"/>
    </row>
    <row r="428">
      <c r="B428" s="170" t="n">
        <v>415</v>
      </c>
      <c r="C428" s="170" t="n"/>
      <c r="D428" s="312" t="n"/>
      <c r="E428" s="312" t="n"/>
      <c r="F428" s="312" t="n"/>
      <c r="G428" s="312" t="n"/>
      <c r="H428" s="312" t="n"/>
      <c r="I428" s="313" t="n"/>
      <c r="J428" s="314" t="n"/>
      <c r="K428" s="170" t="n"/>
      <c r="L428" s="170" t="n"/>
      <c r="M428" s="6" t="n"/>
      <c r="N428" s="6" t="n"/>
      <c r="O428" s="6" t="n"/>
    </row>
    <row r="429">
      <c r="B429" s="170" t="n">
        <v>416</v>
      </c>
      <c r="C429" s="170" t="n"/>
      <c r="D429" s="312" t="n"/>
      <c r="E429" s="312" t="n"/>
      <c r="F429" s="312" t="n"/>
      <c r="G429" s="312" t="n"/>
      <c r="H429" s="312" t="n"/>
      <c r="I429" s="313" t="n"/>
      <c r="J429" s="314" t="n"/>
      <c r="K429" s="170" t="n"/>
      <c r="L429" s="170" t="n"/>
      <c r="M429" s="6" t="n"/>
      <c r="N429" s="6" t="n"/>
      <c r="O429" s="6" t="n"/>
    </row>
    <row r="430">
      <c r="B430" s="170" t="n">
        <v>417</v>
      </c>
      <c r="C430" s="170" t="n"/>
      <c r="D430" s="312" t="n"/>
      <c r="E430" s="312" t="n"/>
      <c r="F430" s="312" t="n"/>
      <c r="G430" s="312" t="n"/>
      <c r="H430" s="312" t="n"/>
      <c r="I430" s="313" t="n"/>
      <c r="J430" s="314" t="n"/>
      <c r="K430" s="170" t="n"/>
      <c r="L430" s="170" t="n"/>
      <c r="M430" s="6" t="n"/>
      <c r="N430" s="6" t="n"/>
      <c r="O430" s="6" t="n"/>
    </row>
    <row r="431">
      <c r="B431" s="170" t="n">
        <v>418</v>
      </c>
      <c r="C431" s="170" t="n"/>
      <c r="D431" s="312" t="n"/>
      <c r="E431" s="312" t="n"/>
      <c r="F431" s="312" t="n"/>
      <c r="G431" s="312" t="n"/>
      <c r="H431" s="312" t="n"/>
      <c r="I431" s="313" t="n"/>
      <c r="J431" s="314" t="n"/>
      <c r="K431" s="170" t="n"/>
      <c r="L431" s="170" t="n"/>
      <c r="M431" s="6" t="n"/>
      <c r="N431" s="6" t="n"/>
      <c r="O431" s="6" t="n"/>
    </row>
    <row r="432">
      <c r="B432" s="170" t="n">
        <v>419</v>
      </c>
      <c r="C432" s="170" t="n"/>
      <c r="D432" s="312" t="n"/>
      <c r="E432" s="312" t="n"/>
      <c r="F432" s="312" t="n"/>
      <c r="G432" s="312" t="n"/>
      <c r="H432" s="312" t="n"/>
      <c r="I432" s="313" t="n"/>
      <c r="J432" s="314" t="n"/>
      <c r="K432" s="170" t="n"/>
      <c r="L432" s="170" t="n"/>
      <c r="M432" s="6" t="n"/>
      <c r="N432" s="6" t="n"/>
      <c r="O432" s="6" t="n"/>
    </row>
    <row r="433">
      <c r="B433" s="170" t="n">
        <v>420</v>
      </c>
      <c r="C433" s="170" t="n"/>
      <c r="D433" s="312" t="n"/>
      <c r="E433" s="312" t="n"/>
      <c r="F433" s="312" t="n"/>
      <c r="G433" s="312" t="n"/>
      <c r="H433" s="312" t="n"/>
      <c r="I433" s="313" t="n"/>
      <c r="J433" s="314" t="n"/>
      <c r="K433" s="170" t="n"/>
      <c r="L433" s="170" t="n"/>
      <c r="M433" s="6" t="n"/>
      <c r="N433" s="6" t="n"/>
      <c r="O433" s="6" t="n"/>
    </row>
    <row r="434">
      <c r="B434" s="170" t="n">
        <v>421</v>
      </c>
      <c r="C434" s="170" t="n"/>
      <c r="D434" s="312" t="n"/>
      <c r="E434" s="312" t="n"/>
      <c r="F434" s="312" t="n"/>
      <c r="G434" s="312" t="n"/>
      <c r="H434" s="312" t="n"/>
      <c r="I434" s="313" t="n"/>
      <c r="J434" s="314" t="n"/>
      <c r="K434" s="170" t="n"/>
      <c r="L434" s="170" t="n"/>
      <c r="M434" s="6" t="n"/>
      <c r="N434" s="6" t="n"/>
      <c r="O434" s="6" t="n"/>
    </row>
    <row r="435">
      <c r="B435" s="170" t="n">
        <v>422</v>
      </c>
      <c r="C435" s="170" t="n"/>
      <c r="D435" s="312" t="n"/>
      <c r="E435" s="312" t="n"/>
      <c r="F435" s="312" t="n"/>
      <c r="G435" s="312" t="n"/>
      <c r="H435" s="312" t="n"/>
      <c r="I435" s="313" t="n"/>
      <c r="J435" s="314" t="n"/>
      <c r="K435" s="170" t="n"/>
      <c r="L435" s="170" t="n"/>
      <c r="M435" s="6" t="n"/>
      <c r="N435" s="6" t="n"/>
      <c r="O435" s="6" t="n"/>
    </row>
    <row r="436">
      <c r="B436" s="170" t="n">
        <v>423</v>
      </c>
      <c r="C436" s="170" t="n"/>
      <c r="D436" s="312" t="n"/>
      <c r="E436" s="312" t="n"/>
      <c r="F436" s="312" t="n"/>
      <c r="G436" s="312" t="n"/>
      <c r="H436" s="312" t="n"/>
      <c r="I436" s="313" t="n"/>
      <c r="J436" s="314" t="n"/>
      <c r="K436" s="170" t="n"/>
      <c r="L436" s="170" t="n"/>
      <c r="M436" s="6" t="n"/>
      <c r="N436" s="6" t="n"/>
      <c r="O436" s="6" t="n"/>
    </row>
    <row r="437">
      <c r="B437" s="170" t="n">
        <v>424</v>
      </c>
      <c r="C437" s="170" t="n"/>
      <c r="D437" s="312" t="n"/>
      <c r="E437" s="312" t="n"/>
      <c r="F437" s="312" t="n"/>
      <c r="G437" s="312" t="n"/>
      <c r="H437" s="312" t="n"/>
      <c r="I437" s="313" t="n"/>
      <c r="J437" s="314" t="n"/>
      <c r="K437" s="170" t="n"/>
      <c r="L437" s="170" t="n"/>
      <c r="M437" s="6" t="n"/>
      <c r="N437" s="6" t="n"/>
      <c r="O437" s="6" t="n"/>
    </row>
    <row r="438">
      <c r="B438" s="170" t="n">
        <v>425</v>
      </c>
      <c r="C438" s="170" t="n"/>
      <c r="D438" s="312" t="n"/>
      <c r="E438" s="312" t="n"/>
      <c r="F438" s="312" t="n"/>
      <c r="G438" s="312" t="n"/>
      <c r="H438" s="312" t="n"/>
      <c r="I438" s="313" t="n"/>
      <c r="J438" s="314" t="n"/>
      <c r="K438" s="170" t="n"/>
      <c r="L438" s="170" t="n"/>
      <c r="M438" s="6" t="n"/>
      <c r="N438" s="6" t="n"/>
      <c r="O438" s="6" t="n"/>
    </row>
    <row r="439">
      <c r="B439" s="170" t="n">
        <v>426</v>
      </c>
      <c r="C439" s="170" t="n"/>
      <c r="D439" s="312" t="n"/>
      <c r="E439" s="312" t="n"/>
      <c r="F439" s="312" t="n"/>
      <c r="G439" s="312" t="n"/>
      <c r="H439" s="312" t="n"/>
      <c r="I439" s="313" t="n"/>
      <c r="J439" s="314" t="n"/>
      <c r="K439" s="170" t="n"/>
      <c r="L439" s="170" t="n"/>
      <c r="M439" s="6" t="n"/>
      <c r="N439" s="6" t="n"/>
      <c r="O439" s="6" t="n"/>
    </row>
    <row r="440">
      <c r="B440" s="170" t="n">
        <v>427</v>
      </c>
      <c r="C440" s="170" t="n"/>
      <c r="D440" s="312" t="n"/>
      <c r="E440" s="312" t="n"/>
      <c r="F440" s="312" t="n"/>
      <c r="G440" s="312" t="n"/>
      <c r="H440" s="312" t="n"/>
      <c r="I440" s="313" t="n"/>
      <c r="J440" s="314" t="n"/>
      <c r="K440" s="170" t="n"/>
      <c r="L440" s="170" t="n"/>
      <c r="M440" s="6" t="n"/>
      <c r="N440" s="6" t="n"/>
      <c r="O440" s="6" t="n"/>
    </row>
    <row r="441">
      <c r="B441" s="170" t="n">
        <v>428</v>
      </c>
      <c r="C441" s="170" t="n"/>
      <c r="D441" s="312" t="n"/>
      <c r="E441" s="312" t="n"/>
      <c r="F441" s="312" t="n"/>
      <c r="G441" s="312" t="n"/>
      <c r="H441" s="312" t="n"/>
      <c r="I441" s="313" t="n"/>
      <c r="J441" s="314" t="n"/>
      <c r="K441" s="170" t="n"/>
      <c r="L441" s="170" t="n"/>
      <c r="M441" s="6" t="n"/>
      <c r="N441" s="6" t="n"/>
      <c r="O441" s="6" t="n"/>
    </row>
    <row r="442">
      <c r="B442" s="170" t="n">
        <v>429</v>
      </c>
      <c r="C442" s="170" t="n"/>
      <c r="D442" s="312" t="n"/>
      <c r="E442" s="312" t="n"/>
      <c r="F442" s="312" t="n"/>
      <c r="G442" s="312" t="n"/>
      <c r="H442" s="312" t="n"/>
      <c r="I442" s="313" t="n"/>
      <c r="J442" s="314" t="n"/>
      <c r="K442" s="170" t="n"/>
      <c r="L442" s="170" t="n"/>
      <c r="M442" s="6" t="n"/>
      <c r="N442" s="6" t="n"/>
      <c r="O442" s="6" t="n"/>
    </row>
    <row r="443">
      <c r="B443" s="170" t="n">
        <v>430</v>
      </c>
      <c r="C443" s="170" t="n"/>
      <c r="D443" s="312" t="n"/>
      <c r="E443" s="312" t="n"/>
      <c r="F443" s="312" t="n"/>
      <c r="G443" s="312" t="n"/>
      <c r="H443" s="312" t="n"/>
      <c r="I443" s="313" t="n"/>
      <c r="J443" s="314" t="n"/>
      <c r="K443" s="170" t="n"/>
      <c r="L443" s="170" t="n"/>
      <c r="M443" s="6" t="n"/>
      <c r="N443" s="6" t="n"/>
      <c r="O443" s="6" t="n"/>
    </row>
    <row r="444">
      <c r="B444" s="170" t="n">
        <v>431</v>
      </c>
      <c r="C444" s="170" t="n"/>
      <c r="D444" s="312" t="n"/>
      <c r="E444" s="312" t="n"/>
      <c r="F444" s="312" t="n"/>
      <c r="G444" s="312" t="n"/>
      <c r="H444" s="312" t="n"/>
      <c r="I444" s="313" t="n"/>
      <c r="J444" s="314" t="n"/>
      <c r="K444" s="170" t="n"/>
      <c r="L444" s="170" t="n"/>
      <c r="M444" s="6" t="n"/>
      <c r="N444" s="6" t="n"/>
      <c r="O444" s="6" t="n"/>
    </row>
    <row r="445">
      <c r="B445" s="170" t="n">
        <v>432</v>
      </c>
      <c r="C445" s="170" t="n"/>
      <c r="D445" s="312" t="n"/>
      <c r="E445" s="312" t="n"/>
      <c r="F445" s="312" t="n"/>
      <c r="G445" s="312" t="n"/>
      <c r="H445" s="312" t="n"/>
      <c r="I445" s="313" t="n"/>
      <c r="J445" s="314" t="n"/>
      <c r="K445" s="170" t="n"/>
      <c r="L445" s="170" t="n"/>
      <c r="M445" s="6" t="n"/>
      <c r="N445" s="6" t="n"/>
      <c r="O445" s="6" t="n"/>
    </row>
    <row r="446">
      <c r="B446" s="170" t="n">
        <v>433</v>
      </c>
      <c r="C446" s="170" t="n"/>
      <c r="D446" s="312" t="n"/>
      <c r="E446" s="312" t="n"/>
      <c r="F446" s="312" t="n"/>
      <c r="G446" s="312" t="n"/>
      <c r="H446" s="312" t="n"/>
      <c r="I446" s="313" t="n"/>
      <c r="J446" s="314" t="n"/>
      <c r="K446" s="170" t="n"/>
      <c r="L446" s="170" t="n"/>
      <c r="M446" s="6" t="n"/>
      <c r="N446" s="6" t="n"/>
      <c r="O446" s="6" t="n"/>
    </row>
    <row r="447">
      <c r="B447" s="170" t="n">
        <v>434</v>
      </c>
      <c r="C447" s="170" t="n"/>
      <c r="D447" s="312" t="n"/>
      <c r="E447" s="312" t="n"/>
      <c r="F447" s="312" t="n"/>
      <c r="G447" s="312" t="n"/>
      <c r="H447" s="312" t="n"/>
      <c r="I447" s="313" t="n"/>
      <c r="J447" s="314" t="n"/>
      <c r="K447" s="170" t="n"/>
      <c r="L447" s="170" t="n"/>
      <c r="M447" s="6" t="n"/>
      <c r="N447" s="6" t="n"/>
      <c r="O447" s="6" t="n"/>
    </row>
    <row r="448">
      <c r="B448" s="170" t="n">
        <v>435</v>
      </c>
      <c r="C448" s="170" t="n"/>
      <c r="D448" s="312" t="n"/>
      <c r="E448" s="312" t="n"/>
      <c r="F448" s="312" t="n"/>
      <c r="G448" s="312" t="n"/>
      <c r="H448" s="312" t="n"/>
      <c r="I448" s="313" t="n"/>
      <c r="J448" s="314" t="n"/>
      <c r="K448" s="170" t="n"/>
      <c r="L448" s="170" t="n"/>
      <c r="M448" s="6" t="n"/>
      <c r="N448" s="6" t="n"/>
      <c r="O448" s="6" t="n"/>
    </row>
    <row r="449">
      <c r="B449" s="170" t="n">
        <v>436</v>
      </c>
      <c r="C449" s="170" t="n"/>
      <c r="D449" s="312" t="n"/>
      <c r="E449" s="312" t="n"/>
      <c r="F449" s="312" t="n"/>
      <c r="G449" s="312" t="n"/>
      <c r="H449" s="312" t="n"/>
      <c r="I449" s="313" t="n"/>
      <c r="J449" s="314" t="n"/>
      <c r="K449" s="170" t="n"/>
      <c r="L449" s="170" t="n"/>
      <c r="M449" s="6" t="n"/>
      <c r="N449" s="6" t="n"/>
      <c r="O449" s="6" t="n"/>
    </row>
    <row r="450">
      <c r="B450" s="170" t="n">
        <v>437</v>
      </c>
      <c r="C450" s="170" t="n"/>
      <c r="D450" s="312" t="n"/>
      <c r="E450" s="312" t="n"/>
      <c r="F450" s="312" t="n"/>
      <c r="G450" s="312" t="n"/>
      <c r="H450" s="312" t="n"/>
      <c r="I450" s="313" t="n"/>
      <c r="J450" s="314" t="n"/>
      <c r="K450" s="170" t="n"/>
      <c r="L450" s="170" t="n"/>
      <c r="M450" s="6" t="n"/>
      <c r="N450" s="6" t="n"/>
      <c r="O450" s="6" t="n"/>
    </row>
    <row r="451">
      <c r="B451" s="170" t="n">
        <v>438</v>
      </c>
      <c r="C451" s="170" t="n"/>
      <c r="D451" s="312" t="n"/>
      <c r="E451" s="312" t="n"/>
      <c r="F451" s="312" t="n"/>
      <c r="G451" s="312" t="n"/>
      <c r="H451" s="312" t="n"/>
      <c r="I451" s="313" t="n"/>
      <c r="J451" s="314" t="n"/>
      <c r="K451" s="170" t="n"/>
      <c r="L451" s="170" t="n"/>
      <c r="M451" s="6" t="n"/>
      <c r="N451" s="6" t="n"/>
      <c r="O451" s="6" t="n"/>
    </row>
    <row r="452">
      <c r="B452" s="170" t="n">
        <v>439</v>
      </c>
      <c r="C452" s="170" t="n"/>
      <c r="D452" s="312" t="n"/>
      <c r="E452" s="312" t="n"/>
      <c r="F452" s="312" t="n"/>
      <c r="G452" s="312" t="n"/>
      <c r="H452" s="312" t="n"/>
      <c r="I452" s="313" t="n"/>
      <c r="J452" s="314" t="n"/>
      <c r="K452" s="170" t="n"/>
      <c r="L452" s="170" t="n"/>
      <c r="M452" s="6" t="n"/>
      <c r="N452" s="6" t="n"/>
      <c r="O452" s="6" t="n"/>
    </row>
    <row r="453">
      <c r="B453" s="170" t="n">
        <v>440</v>
      </c>
      <c r="C453" s="170" t="n"/>
      <c r="D453" s="312" t="n"/>
      <c r="E453" s="312" t="n"/>
      <c r="F453" s="312" t="n"/>
      <c r="G453" s="312" t="n"/>
      <c r="H453" s="312" t="n"/>
      <c r="I453" s="313" t="n"/>
      <c r="J453" s="314" t="n"/>
      <c r="K453" s="170" t="n"/>
      <c r="L453" s="170" t="n"/>
      <c r="M453" s="6" t="n"/>
      <c r="N453" s="6" t="n"/>
      <c r="O453" s="6" t="n"/>
    </row>
    <row r="454">
      <c r="B454" s="170" t="n">
        <v>441</v>
      </c>
      <c r="C454" s="170" t="n"/>
      <c r="D454" s="312" t="n"/>
      <c r="E454" s="312" t="n"/>
      <c r="F454" s="312" t="n"/>
      <c r="G454" s="312" t="n"/>
      <c r="H454" s="312" t="n"/>
      <c r="I454" s="313" t="n"/>
      <c r="J454" s="314" t="n"/>
      <c r="K454" s="170" t="n"/>
      <c r="L454" s="170" t="n"/>
      <c r="M454" s="6" t="n"/>
      <c r="N454" s="6" t="n"/>
      <c r="O454" s="6" t="n"/>
    </row>
    <row r="455">
      <c r="B455" s="170" t="n">
        <v>442</v>
      </c>
      <c r="C455" s="170" t="n"/>
      <c r="D455" s="312" t="n"/>
      <c r="E455" s="312" t="n"/>
      <c r="F455" s="312" t="n"/>
      <c r="G455" s="312" t="n"/>
      <c r="H455" s="312" t="n"/>
      <c r="I455" s="313" t="n"/>
      <c r="J455" s="314" t="n"/>
      <c r="K455" s="170" t="n"/>
      <c r="L455" s="170" t="n"/>
      <c r="M455" s="6" t="n"/>
      <c r="N455" s="6" t="n"/>
      <c r="O455" s="6" t="n"/>
    </row>
    <row r="456">
      <c r="B456" s="170" t="n">
        <v>443</v>
      </c>
      <c r="C456" s="170" t="n"/>
      <c r="D456" s="312" t="n"/>
      <c r="E456" s="312" t="n"/>
      <c r="F456" s="312" t="n"/>
      <c r="G456" s="312" t="n"/>
      <c r="H456" s="312" t="n"/>
      <c r="I456" s="313" t="n"/>
      <c r="J456" s="314" t="n"/>
      <c r="K456" s="170" t="n"/>
      <c r="L456" s="170" t="n"/>
      <c r="M456" s="6" t="n"/>
      <c r="N456" s="6" t="n"/>
      <c r="O456" s="6" t="n"/>
    </row>
    <row r="457">
      <c r="B457" s="170" t="n">
        <v>444</v>
      </c>
      <c r="C457" s="170" t="n"/>
      <c r="D457" s="312" t="n"/>
      <c r="E457" s="312" t="n"/>
      <c r="F457" s="312" t="n"/>
      <c r="G457" s="312" t="n"/>
      <c r="H457" s="312" t="n"/>
      <c r="I457" s="313" t="n"/>
      <c r="J457" s="314" t="n"/>
      <c r="K457" s="170" t="n"/>
      <c r="L457" s="170" t="n"/>
      <c r="M457" s="6" t="n"/>
      <c r="N457" s="6" t="n"/>
      <c r="O457" s="6" t="n"/>
    </row>
    <row r="458">
      <c r="B458" s="170" t="n">
        <v>445</v>
      </c>
      <c r="C458" s="170" t="n"/>
      <c r="D458" s="312" t="n"/>
      <c r="E458" s="312" t="n"/>
      <c r="F458" s="312" t="n"/>
      <c r="G458" s="312" t="n"/>
      <c r="H458" s="312" t="n"/>
      <c r="I458" s="313" t="n"/>
      <c r="J458" s="314" t="n"/>
      <c r="K458" s="170" t="n"/>
      <c r="L458" s="170" t="n"/>
      <c r="M458" s="6" t="n"/>
      <c r="N458" s="6" t="n"/>
      <c r="O458" s="6" t="n"/>
    </row>
    <row r="459">
      <c r="B459" s="170" t="n">
        <v>446</v>
      </c>
      <c r="C459" s="170" t="n"/>
      <c r="D459" s="312" t="n"/>
      <c r="E459" s="312" t="n"/>
      <c r="F459" s="312" t="n"/>
      <c r="G459" s="312" t="n"/>
      <c r="H459" s="312" t="n"/>
      <c r="I459" s="313" t="n"/>
      <c r="J459" s="314" t="n"/>
      <c r="K459" s="170" t="n"/>
      <c r="L459" s="170" t="n"/>
      <c r="M459" s="6" t="n"/>
      <c r="N459" s="6" t="n"/>
      <c r="O459" s="6" t="n"/>
    </row>
    <row r="460">
      <c r="B460" s="170" t="n">
        <v>447</v>
      </c>
      <c r="C460" s="170" t="n"/>
      <c r="D460" s="312" t="n"/>
      <c r="E460" s="312" t="n"/>
      <c r="F460" s="312" t="n"/>
      <c r="G460" s="312" t="n"/>
      <c r="H460" s="312" t="n"/>
      <c r="I460" s="313" t="n"/>
      <c r="J460" s="314" t="n"/>
      <c r="K460" s="170" t="n"/>
      <c r="L460" s="170" t="n"/>
      <c r="M460" s="6" t="n"/>
      <c r="N460" s="6" t="n"/>
      <c r="O460" s="6" t="n"/>
    </row>
    <row r="461">
      <c r="B461" s="170" t="n">
        <v>448</v>
      </c>
      <c r="C461" s="170" t="n"/>
      <c r="D461" s="312" t="n"/>
      <c r="E461" s="312" t="n"/>
      <c r="F461" s="312" t="n"/>
      <c r="G461" s="312" t="n"/>
      <c r="H461" s="312" t="n"/>
      <c r="I461" s="313" t="n"/>
      <c r="J461" s="314" t="n"/>
      <c r="K461" s="170" t="n"/>
      <c r="L461" s="170" t="n"/>
      <c r="M461" s="6" t="n"/>
      <c r="N461" s="6" t="n"/>
      <c r="O461" s="6" t="n"/>
    </row>
    <row r="462">
      <c r="B462" s="170" t="n">
        <v>449</v>
      </c>
      <c r="C462" s="170" t="n"/>
      <c r="D462" s="312" t="n"/>
      <c r="E462" s="312" t="n"/>
      <c r="F462" s="312" t="n"/>
      <c r="G462" s="312" t="n"/>
      <c r="H462" s="312" t="n"/>
      <c r="I462" s="313" t="n"/>
      <c r="J462" s="314" t="n"/>
      <c r="K462" s="170" t="n"/>
      <c r="L462" s="170" t="n"/>
      <c r="M462" s="6" t="n"/>
      <c r="N462" s="6" t="n"/>
      <c r="O462" s="6" t="n"/>
    </row>
    <row r="463">
      <c r="B463" s="170" t="n">
        <v>450</v>
      </c>
      <c r="C463" s="170" t="n"/>
      <c r="D463" s="312" t="n"/>
      <c r="E463" s="312" t="n"/>
      <c r="F463" s="312" t="n"/>
      <c r="G463" s="312" t="n"/>
      <c r="H463" s="312" t="n"/>
      <c r="I463" s="313" t="n"/>
      <c r="J463" s="314" t="n"/>
      <c r="K463" s="170" t="n"/>
      <c r="L463" s="170" t="n"/>
      <c r="M463" s="6" t="n"/>
      <c r="N463" s="6" t="n"/>
      <c r="O463" s="6" t="n"/>
    </row>
    <row r="464">
      <c r="B464" s="170" t="n">
        <v>451</v>
      </c>
      <c r="C464" s="170" t="n"/>
      <c r="D464" s="312" t="n"/>
      <c r="E464" s="312" t="n"/>
      <c r="F464" s="312" t="n"/>
      <c r="G464" s="312" t="n"/>
      <c r="H464" s="312" t="n"/>
      <c r="I464" s="313" t="n"/>
      <c r="J464" s="314" t="n"/>
      <c r="K464" s="170" t="n"/>
      <c r="L464" s="170" t="n"/>
      <c r="M464" s="6" t="n"/>
      <c r="N464" s="6" t="n"/>
      <c r="O464" s="6" t="n"/>
    </row>
    <row r="465">
      <c r="B465" s="170" t="n">
        <v>452</v>
      </c>
      <c r="C465" s="170" t="n"/>
      <c r="D465" s="312" t="n"/>
      <c r="E465" s="312" t="n"/>
      <c r="F465" s="312" t="n"/>
      <c r="G465" s="312" t="n"/>
      <c r="H465" s="312" t="n"/>
      <c r="I465" s="313" t="n"/>
      <c r="J465" s="314" t="n"/>
      <c r="K465" s="170" t="n"/>
      <c r="L465" s="170" t="n"/>
      <c r="M465" s="6" t="n"/>
      <c r="N465" s="6" t="n"/>
      <c r="O465" s="6" t="n"/>
    </row>
    <row r="466">
      <c r="B466" s="170" t="n">
        <v>453</v>
      </c>
      <c r="C466" s="170" t="n"/>
      <c r="D466" s="312" t="n"/>
      <c r="E466" s="312" t="n"/>
      <c r="F466" s="312" t="n"/>
      <c r="G466" s="312" t="n"/>
      <c r="H466" s="312" t="n"/>
      <c r="I466" s="313" t="n"/>
      <c r="J466" s="314" t="n"/>
      <c r="K466" s="170" t="n"/>
      <c r="L466" s="170" t="n"/>
      <c r="M466" s="6" t="n"/>
      <c r="N466" s="6" t="n"/>
      <c r="O466" s="6" t="n"/>
    </row>
    <row r="467">
      <c r="B467" s="170" t="n">
        <v>454</v>
      </c>
      <c r="C467" s="170" t="n"/>
      <c r="D467" s="312" t="n"/>
      <c r="E467" s="312" t="n"/>
      <c r="F467" s="312" t="n"/>
      <c r="G467" s="312" t="n"/>
      <c r="H467" s="312" t="n"/>
      <c r="I467" s="313" t="n"/>
      <c r="J467" s="314" t="n"/>
      <c r="K467" s="170" t="n"/>
      <c r="L467" s="170" t="n"/>
      <c r="M467" s="6" t="n"/>
      <c r="N467" s="6" t="n"/>
      <c r="O467" s="6" t="n"/>
    </row>
    <row r="468">
      <c r="B468" s="170" t="n">
        <v>455</v>
      </c>
      <c r="C468" s="170" t="n"/>
      <c r="D468" s="312" t="n"/>
      <c r="E468" s="312" t="n"/>
      <c r="F468" s="312" t="n"/>
      <c r="G468" s="312" t="n"/>
      <c r="H468" s="312" t="n"/>
      <c r="I468" s="313" t="n"/>
      <c r="J468" s="314" t="n"/>
      <c r="K468" s="170" t="n"/>
      <c r="L468" s="170" t="n"/>
      <c r="M468" s="6" t="n"/>
      <c r="N468" s="6" t="n"/>
      <c r="O468" s="6" t="n"/>
    </row>
    <row r="469">
      <c r="B469" s="170" t="n">
        <v>456</v>
      </c>
      <c r="C469" s="170" t="n"/>
      <c r="D469" s="312" t="n"/>
      <c r="E469" s="312" t="n"/>
      <c r="F469" s="312" t="n"/>
      <c r="G469" s="312" t="n"/>
      <c r="H469" s="312" t="n"/>
      <c r="I469" s="313" t="n"/>
      <c r="J469" s="314" t="n"/>
      <c r="K469" s="170" t="n"/>
      <c r="L469" s="170" t="n"/>
      <c r="M469" s="6" t="n"/>
      <c r="N469" s="6" t="n"/>
      <c r="O469" s="6" t="n"/>
    </row>
    <row r="470">
      <c r="B470" s="170" t="n">
        <v>457</v>
      </c>
      <c r="C470" s="170" t="n"/>
      <c r="D470" s="312" t="n"/>
      <c r="E470" s="312" t="n"/>
      <c r="F470" s="312" t="n"/>
      <c r="G470" s="312" t="n"/>
      <c r="H470" s="312" t="n"/>
      <c r="I470" s="313" t="n"/>
      <c r="J470" s="314" t="n"/>
      <c r="K470" s="170" t="n"/>
      <c r="L470" s="170" t="n"/>
      <c r="M470" s="6" t="n"/>
      <c r="N470" s="6" t="n"/>
      <c r="O470" s="6" t="n"/>
    </row>
    <row r="471">
      <c r="B471" s="170" t="n">
        <v>458</v>
      </c>
      <c r="C471" s="170" t="n"/>
      <c r="D471" s="312" t="n"/>
      <c r="E471" s="312" t="n"/>
      <c r="F471" s="312" t="n"/>
      <c r="G471" s="312" t="n"/>
      <c r="H471" s="312" t="n"/>
      <c r="I471" s="313" t="n"/>
      <c r="J471" s="314" t="n"/>
      <c r="K471" s="170" t="n"/>
      <c r="L471" s="170" t="n"/>
      <c r="M471" s="6" t="n"/>
      <c r="N471" s="6" t="n"/>
      <c r="O471" s="6" t="n"/>
    </row>
    <row r="472">
      <c r="B472" s="170" t="n">
        <v>459</v>
      </c>
      <c r="C472" s="170" t="n"/>
      <c r="D472" s="312" t="n"/>
      <c r="E472" s="312" t="n"/>
      <c r="F472" s="312" t="n"/>
      <c r="G472" s="312" t="n"/>
      <c r="H472" s="312" t="n"/>
      <c r="I472" s="313" t="n"/>
      <c r="J472" s="314" t="n"/>
      <c r="K472" s="170" t="n"/>
      <c r="L472" s="170" t="n"/>
      <c r="M472" s="6" t="n"/>
      <c r="N472" s="6" t="n"/>
      <c r="O472" s="6" t="n"/>
    </row>
    <row r="473">
      <c r="B473" s="170" t="n">
        <v>460</v>
      </c>
      <c r="C473" s="170" t="n"/>
      <c r="D473" s="312" t="n"/>
      <c r="E473" s="312" t="n"/>
      <c r="F473" s="312" t="n"/>
      <c r="G473" s="312" t="n"/>
      <c r="H473" s="312" t="n"/>
      <c r="I473" s="313" t="n"/>
      <c r="J473" s="314" t="n"/>
      <c r="K473" s="170" t="n"/>
      <c r="L473" s="170" t="n"/>
      <c r="M473" s="6" t="n"/>
      <c r="N473" s="6" t="n"/>
      <c r="O473" s="6" t="n"/>
    </row>
    <row r="474">
      <c r="B474" s="170" t="n">
        <v>461</v>
      </c>
      <c r="C474" s="170" t="n"/>
      <c r="D474" s="312" t="n"/>
      <c r="E474" s="312" t="n"/>
      <c r="F474" s="312" t="n"/>
      <c r="G474" s="312" t="n"/>
      <c r="H474" s="312" t="n"/>
      <c r="I474" s="313" t="n"/>
      <c r="J474" s="314" t="n"/>
      <c r="K474" s="170" t="n"/>
      <c r="L474" s="170" t="n"/>
      <c r="M474" s="6" t="n"/>
      <c r="N474" s="6" t="n"/>
      <c r="O474" s="6" t="n"/>
    </row>
    <row r="475">
      <c r="B475" s="170" t="n">
        <v>462</v>
      </c>
      <c r="C475" s="170" t="n"/>
      <c r="D475" s="312" t="n"/>
      <c r="E475" s="312" t="n"/>
      <c r="F475" s="312" t="n"/>
      <c r="G475" s="312" t="n"/>
      <c r="H475" s="312" t="n"/>
      <c r="I475" s="313" t="n"/>
      <c r="J475" s="314" t="n"/>
      <c r="K475" s="170" t="n"/>
      <c r="L475" s="170" t="n"/>
      <c r="M475" s="6" t="n"/>
      <c r="N475" s="6" t="n"/>
      <c r="O475" s="6" t="n"/>
    </row>
    <row r="476">
      <c r="B476" s="170" t="n">
        <v>463</v>
      </c>
      <c r="C476" s="170" t="n"/>
      <c r="D476" s="312" t="n"/>
      <c r="E476" s="312" t="n"/>
      <c r="F476" s="312" t="n"/>
      <c r="G476" s="312" t="n"/>
      <c r="H476" s="312" t="n"/>
      <c r="I476" s="313" t="n"/>
      <c r="J476" s="314" t="n"/>
      <c r="K476" s="170" t="n"/>
      <c r="L476" s="170" t="n"/>
      <c r="M476" s="6" t="n"/>
      <c r="N476" s="6" t="n"/>
      <c r="O476" s="6" t="n"/>
    </row>
    <row r="477">
      <c r="B477" s="170" t="n">
        <v>464</v>
      </c>
      <c r="C477" s="170" t="n"/>
      <c r="D477" s="312" t="n"/>
      <c r="E477" s="312" t="n"/>
      <c r="F477" s="312" t="n"/>
      <c r="G477" s="312" t="n"/>
      <c r="H477" s="312" t="n"/>
      <c r="I477" s="313" t="n"/>
      <c r="J477" s="314" t="n"/>
      <c r="K477" s="170" t="n"/>
      <c r="L477" s="170" t="n"/>
      <c r="M477" s="6" t="n"/>
      <c r="N477" s="6" t="n"/>
      <c r="O477" s="6" t="n"/>
    </row>
    <row r="478">
      <c r="B478" s="170" t="n">
        <v>465</v>
      </c>
      <c r="C478" s="170" t="n"/>
      <c r="D478" s="312" t="n"/>
      <c r="E478" s="312" t="n"/>
      <c r="F478" s="312" t="n"/>
      <c r="G478" s="312" t="n"/>
      <c r="H478" s="312" t="n"/>
      <c r="I478" s="313" t="n"/>
      <c r="J478" s="314" t="n"/>
      <c r="K478" s="170" t="n"/>
      <c r="L478" s="170" t="n"/>
      <c r="M478" s="6" t="n"/>
      <c r="N478" s="6" t="n"/>
      <c r="O478" s="6" t="n"/>
    </row>
    <row r="479">
      <c r="B479" s="170" t="n">
        <v>466</v>
      </c>
      <c r="C479" s="170" t="n"/>
      <c r="D479" s="312" t="n"/>
      <c r="E479" s="312" t="n"/>
      <c r="F479" s="312" t="n"/>
      <c r="G479" s="312" t="n"/>
      <c r="H479" s="312" t="n"/>
      <c r="I479" s="313" t="n"/>
      <c r="J479" s="314" t="n"/>
      <c r="K479" s="170" t="n"/>
      <c r="L479" s="170" t="n"/>
      <c r="M479" s="6" t="n"/>
      <c r="N479" s="6" t="n"/>
      <c r="O479" s="6" t="n"/>
    </row>
    <row r="480">
      <c r="B480" s="170" t="n">
        <v>467</v>
      </c>
      <c r="C480" s="170" t="n"/>
      <c r="D480" s="312" t="n"/>
      <c r="E480" s="312" t="n"/>
      <c r="F480" s="312" t="n"/>
      <c r="G480" s="312" t="n"/>
      <c r="H480" s="312" t="n"/>
      <c r="I480" s="313" t="n"/>
      <c r="J480" s="314" t="n"/>
      <c r="K480" s="170" t="n"/>
      <c r="L480" s="170" t="n"/>
      <c r="M480" s="6" t="n"/>
      <c r="N480" s="6" t="n"/>
      <c r="O480" s="6" t="n"/>
    </row>
    <row r="481">
      <c r="B481" s="170" t="n">
        <v>468</v>
      </c>
      <c r="C481" s="170" t="n"/>
      <c r="D481" s="312" t="n"/>
      <c r="E481" s="312" t="n"/>
      <c r="F481" s="312" t="n"/>
      <c r="G481" s="312" t="n"/>
      <c r="H481" s="312" t="n"/>
      <c r="I481" s="313" t="n"/>
      <c r="J481" s="314" t="n"/>
      <c r="K481" s="170" t="n"/>
      <c r="L481" s="170" t="n"/>
      <c r="M481" s="6" t="n"/>
      <c r="N481" s="6" t="n"/>
      <c r="O481" s="6" t="n"/>
    </row>
    <row r="482">
      <c r="B482" s="170" t="n">
        <v>469</v>
      </c>
      <c r="C482" s="170" t="n"/>
      <c r="D482" s="312" t="n"/>
      <c r="E482" s="312" t="n"/>
      <c r="F482" s="312" t="n"/>
      <c r="G482" s="312" t="n"/>
      <c r="H482" s="312" t="n"/>
      <c r="I482" s="313" t="n"/>
      <c r="J482" s="314" t="n"/>
      <c r="K482" s="170" t="n"/>
      <c r="L482" s="170" t="n"/>
      <c r="M482" s="6" t="n"/>
      <c r="N482" s="6" t="n"/>
      <c r="O482" s="6" t="n"/>
    </row>
    <row r="483">
      <c r="B483" s="170" t="n">
        <v>470</v>
      </c>
      <c r="C483" s="170" t="n"/>
      <c r="D483" s="312" t="n"/>
      <c r="E483" s="312" t="n"/>
      <c r="F483" s="312" t="n"/>
      <c r="G483" s="312" t="n"/>
      <c r="H483" s="312" t="n"/>
      <c r="I483" s="313" t="n"/>
      <c r="J483" s="314" t="n"/>
      <c r="K483" s="170" t="n"/>
      <c r="L483" s="170" t="n"/>
      <c r="M483" s="6" t="n"/>
      <c r="N483" s="6" t="n"/>
      <c r="O483" s="6" t="n"/>
    </row>
    <row r="484">
      <c r="B484" s="170" t="n">
        <v>471</v>
      </c>
      <c r="C484" s="170" t="n"/>
      <c r="D484" s="312" t="n"/>
      <c r="E484" s="312" t="n"/>
      <c r="F484" s="312" t="n"/>
      <c r="G484" s="312" t="n"/>
      <c r="H484" s="312" t="n"/>
      <c r="I484" s="313" t="n"/>
      <c r="J484" s="314" t="n"/>
      <c r="K484" s="170" t="n"/>
      <c r="L484" s="170" t="n"/>
      <c r="M484" s="6" t="n"/>
      <c r="N484" s="6" t="n"/>
      <c r="O484" s="6" t="n"/>
    </row>
    <row r="485">
      <c r="B485" s="170" t="n">
        <v>472</v>
      </c>
      <c r="C485" s="170" t="n"/>
      <c r="D485" s="312" t="n"/>
      <c r="E485" s="312" t="n"/>
      <c r="F485" s="312" t="n"/>
      <c r="G485" s="312" t="n"/>
      <c r="H485" s="312" t="n"/>
      <c r="I485" s="313" t="n"/>
      <c r="J485" s="314" t="n"/>
      <c r="K485" s="170" t="n"/>
      <c r="L485" s="170" t="n"/>
      <c r="M485" s="6" t="n"/>
      <c r="N485" s="6" t="n"/>
      <c r="O485" s="6" t="n"/>
    </row>
    <row r="486">
      <c r="B486" s="170" t="n">
        <v>473</v>
      </c>
      <c r="C486" s="170" t="n"/>
      <c r="D486" s="312" t="n"/>
      <c r="E486" s="312" t="n"/>
      <c r="F486" s="312" t="n"/>
      <c r="G486" s="312" t="n"/>
      <c r="H486" s="312" t="n"/>
      <c r="I486" s="313" t="n"/>
      <c r="J486" s="314" t="n"/>
      <c r="K486" s="170" t="n"/>
      <c r="L486" s="170" t="n"/>
      <c r="M486" s="6" t="n"/>
      <c r="N486" s="6" t="n"/>
      <c r="O486" s="6" t="n"/>
    </row>
    <row r="487">
      <c r="B487" s="170" t="n">
        <v>474</v>
      </c>
      <c r="C487" s="170" t="n"/>
      <c r="D487" s="312" t="n"/>
      <c r="E487" s="312" t="n"/>
      <c r="F487" s="312" t="n"/>
      <c r="G487" s="312" t="n"/>
      <c r="H487" s="312" t="n"/>
      <c r="I487" s="313" t="n"/>
      <c r="J487" s="314" t="n"/>
      <c r="K487" s="170" t="n"/>
      <c r="L487" s="170" t="n"/>
      <c r="M487" s="6" t="n"/>
      <c r="N487" s="6" t="n"/>
      <c r="O487" s="6" t="n"/>
    </row>
    <row r="488">
      <c r="B488" s="170" t="n">
        <v>475</v>
      </c>
      <c r="C488" s="170" t="n"/>
      <c r="D488" s="312" t="n"/>
      <c r="E488" s="312" t="n"/>
      <c r="F488" s="312" t="n"/>
      <c r="G488" s="312" t="n"/>
      <c r="H488" s="312" t="n"/>
      <c r="I488" s="313" t="n"/>
      <c r="J488" s="314" t="n"/>
      <c r="K488" s="170" t="n"/>
      <c r="L488" s="170" t="n"/>
      <c r="M488" s="6" t="n"/>
      <c r="N488" s="6" t="n"/>
      <c r="O488" s="6" t="n"/>
    </row>
    <row r="489">
      <c r="B489" s="170" t="n">
        <v>476</v>
      </c>
      <c r="C489" s="170" t="n"/>
      <c r="D489" s="312" t="n"/>
      <c r="E489" s="312" t="n"/>
      <c r="F489" s="312" t="n"/>
      <c r="G489" s="312" t="n"/>
      <c r="H489" s="312" t="n"/>
      <c r="I489" s="313" t="n"/>
      <c r="J489" s="314" t="n"/>
      <c r="K489" s="170" t="n"/>
      <c r="L489" s="170" t="n"/>
      <c r="M489" s="6" t="n"/>
      <c r="N489" s="6" t="n"/>
      <c r="O489" s="6" t="n"/>
    </row>
    <row r="490">
      <c r="B490" s="170" t="n">
        <v>477</v>
      </c>
      <c r="C490" s="170" t="n"/>
      <c r="D490" s="312" t="n"/>
      <c r="E490" s="312" t="n"/>
      <c r="F490" s="312" t="n"/>
      <c r="G490" s="312" t="n"/>
      <c r="H490" s="312" t="n"/>
      <c r="I490" s="313" t="n"/>
      <c r="J490" s="314" t="n"/>
      <c r="K490" s="170" t="n"/>
      <c r="L490" s="170" t="n"/>
      <c r="M490" s="6" t="n"/>
      <c r="N490" s="6" t="n"/>
      <c r="O490" s="6" t="n"/>
    </row>
    <row r="491">
      <c r="B491" s="170" t="n">
        <v>478</v>
      </c>
      <c r="C491" s="170" t="n"/>
      <c r="D491" s="312" t="n"/>
      <c r="E491" s="312" t="n"/>
      <c r="F491" s="312" t="n"/>
      <c r="G491" s="312" t="n"/>
      <c r="H491" s="312" t="n"/>
      <c r="I491" s="313" t="n"/>
      <c r="J491" s="314" t="n"/>
      <c r="K491" s="170" t="n"/>
      <c r="L491" s="170" t="n"/>
      <c r="M491" s="6" t="n"/>
      <c r="N491" s="6" t="n"/>
      <c r="O491" s="6" t="n"/>
    </row>
    <row r="492">
      <c r="B492" s="170" t="n">
        <v>479</v>
      </c>
      <c r="C492" s="170" t="n"/>
      <c r="D492" s="312" t="n"/>
      <c r="E492" s="312" t="n"/>
      <c r="F492" s="312" t="n"/>
      <c r="G492" s="312" t="n"/>
      <c r="H492" s="312" t="n"/>
      <c r="I492" s="313" t="n"/>
      <c r="J492" s="314" t="n"/>
      <c r="K492" s="170" t="n"/>
      <c r="L492" s="170" t="n"/>
      <c r="M492" s="6" t="n"/>
      <c r="N492" s="6" t="n"/>
      <c r="O492" s="6" t="n"/>
    </row>
    <row r="493">
      <c r="B493" s="170" t="n">
        <v>480</v>
      </c>
      <c r="C493" s="170" t="n"/>
      <c r="D493" s="312" t="n"/>
      <c r="E493" s="312" t="n"/>
      <c r="F493" s="312" t="n"/>
      <c r="G493" s="312" t="n"/>
      <c r="H493" s="312" t="n"/>
      <c r="I493" s="313" t="n"/>
      <c r="J493" s="314" t="n"/>
      <c r="K493" s="170" t="n"/>
      <c r="L493" s="170" t="n"/>
      <c r="M493" s="6" t="n"/>
      <c r="N493" s="6" t="n"/>
      <c r="O493" s="6" t="n"/>
    </row>
    <row r="494">
      <c r="B494" s="170" t="n">
        <v>481</v>
      </c>
      <c r="C494" s="170" t="n"/>
      <c r="D494" s="312" t="n"/>
      <c r="E494" s="312" t="n"/>
      <c r="F494" s="312" t="n"/>
      <c r="G494" s="312" t="n"/>
      <c r="H494" s="312" t="n"/>
      <c r="I494" s="313" t="n"/>
      <c r="J494" s="314" t="n"/>
      <c r="K494" s="170" t="n"/>
      <c r="L494" s="170" t="n"/>
      <c r="M494" s="6" t="n"/>
      <c r="N494" s="6" t="n"/>
      <c r="O494" s="6" t="n"/>
    </row>
    <row r="495">
      <c r="B495" s="170" t="n">
        <v>482</v>
      </c>
      <c r="C495" s="170" t="n"/>
      <c r="D495" s="312" t="n"/>
      <c r="E495" s="312" t="n"/>
      <c r="F495" s="312" t="n"/>
      <c r="G495" s="312" t="n"/>
      <c r="H495" s="312" t="n"/>
      <c r="I495" s="313" t="n"/>
      <c r="J495" s="314" t="n"/>
      <c r="K495" s="170" t="n"/>
      <c r="L495" s="170" t="n"/>
      <c r="M495" s="6" t="n"/>
      <c r="N495" s="6" t="n"/>
      <c r="O495" s="6" t="n"/>
    </row>
    <row r="496">
      <c r="B496" s="170" t="n">
        <v>483</v>
      </c>
      <c r="C496" s="170" t="n"/>
      <c r="D496" s="312" t="n"/>
      <c r="E496" s="312" t="n"/>
      <c r="F496" s="312" t="n"/>
      <c r="G496" s="312" t="n"/>
      <c r="H496" s="312" t="n"/>
      <c r="I496" s="313" t="n"/>
      <c r="J496" s="314" t="n"/>
      <c r="K496" s="170" t="n"/>
      <c r="L496" s="170" t="n"/>
      <c r="M496" s="6" t="n"/>
      <c r="N496" s="6" t="n"/>
      <c r="O496" s="6" t="n"/>
    </row>
    <row r="497">
      <c r="B497" s="170" t="n">
        <v>484</v>
      </c>
      <c r="C497" s="170" t="n"/>
      <c r="D497" s="312" t="n"/>
      <c r="E497" s="312" t="n"/>
      <c r="F497" s="312" t="n"/>
      <c r="G497" s="312" t="n"/>
      <c r="H497" s="312" t="n"/>
      <c r="I497" s="313" t="n"/>
      <c r="J497" s="314" t="n"/>
      <c r="K497" s="170" t="n"/>
      <c r="L497" s="170" t="n"/>
      <c r="M497" s="6" t="n"/>
      <c r="N497" s="6" t="n"/>
      <c r="O497" s="6" t="n"/>
    </row>
    <row r="498">
      <c r="B498" s="170" t="n">
        <v>485</v>
      </c>
      <c r="C498" s="170" t="n"/>
      <c r="D498" s="312" t="n"/>
      <c r="E498" s="312" t="n"/>
      <c r="F498" s="312" t="n"/>
      <c r="G498" s="312" t="n"/>
      <c r="H498" s="312" t="n"/>
      <c r="I498" s="313" t="n"/>
      <c r="J498" s="314" t="n"/>
      <c r="K498" s="170" t="n"/>
      <c r="L498" s="170" t="n"/>
      <c r="M498" s="6" t="n"/>
      <c r="N498" s="6" t="n"/>
      <c r="O498" s="6" t="n"/>
    </row>
    <row r="499">
      <c r="B499" s="170" t="n">
        <v>486</v>
      </c>
      <c r="C499" s="170" t="n"/>
      <c r="D499" s="312" t="n"/>
      <c r="E499" s="312" t="n"/>
      <c r="F499" s="312" t="n"/>
      <c r="G499" s="312" t="n"/>
      <c r="H499" s="312" t="n"/>
      <c r="I499" s="313" t="n"/>
      <c r="J499" s="314" t="n"/>
      <c r="K499" s="170" t="n"/>
      <c r="L499" s="170" t="n"/>
      <c r="M499" s="6" t="n"/>
      <c r="N499" s="6" t="n"/>
      <c r="O499" s="6" t="n"/>
    </row>
    <row r="500">
      <c r="B500" s="170" t="n">
        <v>487</v>
      </c>
      <c r="C500" s="170" t="n"/>
      <c r="D500" s="312" t="n"/>
      <c r="E500" s="312" t="n"/>
      <c r="F500" s="312" t="n"/>
      <c r="G500" s="312" t="n"/>
      <c r="H500" s="312" t="n"/>
      <c r="I500" s="313" t="n"/>
      <c r="J500" s="314" t="n"/>
      <c r="K500" s="170" t="n"/>
      <c r="L500" s="170" t="n"/>
      <c r="M500" s="6" t="n"/>
      <c r="N500" s="6" t="n"/>
      <c r="O500" s="6" t="n"/>
    </row>
    <row r="501">
      <c r="B501" s="170" t="n">
        <v>488</v>
      </c>
      <c r="C501" s="170" t="n"/>
      <c r="D501" s="312" t="n"/>
      <c r="E501" s="312" t="n"/>
      <c r="F501" s="312" t="n"/>
      <c r="G501" s="312" t="n"/>
      <c r="H501" s="312" t="n"/>
      <c r="I501" s="313" t="n"/>
      <c r="J501" s="314" t="n"/>
      <c r="K501" s="170" t="n"/>
      <c r="L501" s="170" t="n"/>
      <c r="M501" s="6" t="n"/>
      <c r="N501" s="6" t="n"/>
      <c r="O501" s="6" t="n"/>
    </row>
    <row r="502">
      <c r="B502" s="170" t="n">
        <v>489</v>
      </c>
      <c r="C502" s="170" t="n"/>
      <c r="D502" s="312" t="n"/>
      <c r="E502" s="312" t="n"/>
      <c r="F502" s="312" t="n"/>
      <c r="G502" s="312" t="n"/>
      <c r="H502" s="312" t="n"/>
      <c r="I502" s="313" t="n"/>
      <c r="J502" s="314" t="n"/>
      <c r="K502" s="170" t="n"/>
      <c r="L502" s="170" t="n"/>
      <c r="M502" s="6" t="n"/>
      <c r="N502" s="6" t="n"/>
      <c r="O502" s="6" t="n"/>
    </row>
    <row r="503">
      <c r="B503" s="170" t="n">
        <v>490</v>
      </c>
      <c r="C503" s="170" t="n"/>
      <c r="D503" s="312" t="n"/>
      <c r="E503" s="312" t="n"/>
      <c r="F503" s="312" t="n"/>
      <c r="G503" s="312" t="n"/>
      <c r="H503" s="312" t="n"/>
      <c r="I503" s="313" t="n"/>
      <c r="J503" s="314" t="n"/>
      <c r="K503" s="170" t="n"/>
      <c r="L503" s="170" t="n"/>
      <c r="M503" s="6" t="n"/>
      <c r="N503" s="6" t="n"/>
      <c r="O503" s="6" t="n"/>
    </row>
    <row r="504">
      <c r="B504" s="170" t="n">
        <v>491</v>
      </c>
      <c r="C504" s="170" t="n"/>
      <c r="D504" s="312" t="n"/>
      <c r="E504" s="312" t="n"/>
      <c r="F504" s="312" t="n"/>
      <c r="G504" s="312" t="n"/>
      <c r="H504" s="312" t="n"/>
      <c r="I504" s="313" t="n"/>
      <c r="J504" s="314" t="n"/>
      <c r="K504" s="170" t="n"/>
      <c r="L504" s="170" t="n"/>
      <c r="M504" s="6" t="n"/>
      <c r="N504" s="6" t="n"/>
      <c r="O504" s="6" t="n"/>
    </row>
    <row r="505">
      <c r="B505" s="170" t="n">
        <v>492</v>
      </c>
      <c r="C505" s="170" t="n"/>
      <c r="D505" s="312" t="n"/>
      <c r="E505" s="312" t="n"/>
      <c r="F505" s="312" t="n"/>
      <c r="G505" s="312" t="n"/>
      <c r="H505" s="312" t="n"/>
      <c r="I505" s="313" t="n"/>
      <c r="J505" s="314" t="n"/>
      <c r="K505" s="170" t="n"/>
      <c r="L505" s="170" t="n"/>
      <c r="M505" s="6" t="n"/>
      <c r="N505" s="6" t="n"/>
      <c r="O505" s="6" t="n"/>
    </row>
    <row r="506">
      <c r="B506" s="170" t="n">
        <v>493</v>
      </c>
      <c r="C506" s="170" t="n"/>
      <c r="D506" s="312" t="n"/>
      <c r="E506" s="312" t="n"/>
      <c r="F506" s="312" t="n"/>
      <c r="G506" s="312" t="n"/>
      <c r="H506" s="312" t="n"/>
      <c r="I506" s="313" t="n"/>
      <c r="J506" s="314" t="n"/>
      <c r="K506" s="170" t="n"/>
      <c r="L506" s="170" t="n"/>
      <c r="M506" s="6" t="n"/>
      <c r="N506" s="6" t="n"/>
      <c r="O506" s="6" t="n"/>
    </row>
    <row r="507">
      <c r="B507" s="170" t="n">
        <v>494</v>
      </c>
      <c r="C507" s="170" t="n"/>
      <c r="D507" s="312" t="n"/>
      <c r="E507" s="312" t="n"/>
      <c r="F507" s="312" t="n"/>
      <c r="G507" s="312" t="n"/>
      <c r="H507" s="312" t="n"/>
      <c r="I507" s="313" t="n"/>
      <c r="J507" s="314" t="n"/>
      <c r="K507" s="170" t="n"/>
      <c r="L507" s="170" t="n"/>
      <c r="M507" s="6" t="n"/>
      <c r="N507" s="6" t="n"/>
      <c r="O507" s="6" t="n"/>
    </row>
    <row r="508">
      <c r="B508" s="170" t="n">
        <v>495</v>
      </c>
      <c r="C508" s="170" t="n"/>
      <c r="D508" s="312" t="n"/>
      <c r="E508" s="312" t="n"/>
      <c r="F508" s="312" t="n"/>
      <c r="G508" s="312" t="n"/>
      <c r="H508" s="312" t="n"/>
      <c r="I508" s="313" t="n"/>
      <c r="J508" s="314" t="n"/>
      <c r="K508" s="170" t="n"/>
      <c r="L508" s="170" t="n"/>
      <c r="M508" s="6" t="n"/>
      <c r="N508" s="6" t="n"/>
      <c r="O508" s="6" t="n"/>
    </row>
    <row r="509">
      <c r="B509" s="170" t="n">
        <v>496</v>
      </c>
      <c r="C509" s="170" t="n"/>
      <c r="D509" s="312" t="n"/>
      <c r="E509" s="312" t="n"/>
      <c r="F509" s="312" t="n"/>
      <c r="G509" s="312" t="n"/>
      <c r="H509" s="312" t="n"/>
      <c r="I509" s="313" t="n"/>
      <c r="J509" s="314" t="n"/>
      <c r="K509" s="170" t="n"/>
      <c r="L509" s="170" t="n"/>
      <c r="M509" s="6" t="n"/>
      <c r="N509" s="6" t="n"/>
      <c r="O509" s="6" t="n"/>
    </row>
    <row r="510">
      <c r="B510" s="170" t="n">
        <v>497</v>
      </c>
      <c r="C510" s="170" t="n"/>
      <c r="D510" s="312" t="n"/>
      <c r="E510" s="312" t="n"/>
      <c r="F510" s="312" t="n"/>
      <c r="G510" s="312" t="n"/>
      <c r="H510" s="312" t="n"/>
      <c r="I510" s="313" t="n"/>
      <c r="J510" s="314" t="n"/>
      <c r="K510" s="170" t="n"/>
      <c r="L510" s="170" t="n"/>
      <c r="M510" s="6" t="n"/>
      <c r="N510" s="6" t="n"/>
      <c r="O510" s="6" t="n"/>
    </row>
    <row r="511">
      <c r="B511" s="170" t="n">
        <v>498</v>
      </c>
      <c r="C511" s="170" t="n"/>
      <c r="D511" s="312" t="n"/>
      <c r="E511" s="312" t="n"/>
      <c r="F511" s="312" t="n"/>
      <c r="G511" s="312" t="n"/>
      <c r="H511" s="312" t="n"/>
      <c r="I511" s="313" t="n"/>
      <c r="J511" s="314" t="n"/>
      <c r="K511" s="170" t="n"/>
      <c r="L511" s="170" t="n"/>
      <c r="M511" s="6" t="n"/>
      <c r="N511" s="6" t="n"/>
      <c r="O511" s="6" t="n"/>
    </row>
    <row r="512">
      <c r="B512" s="170" t="n">
        <v>499</v>
      </c>
      <c r="C512" s="170" t="n"/>
      <c r="D512" s="312" t="n"/>
      <c r="E512" s="312" t="n"/>
      <c r="F512" s="312" t="n"/>
      <c r="G512" s="312" t="n"/>
      <c r="H512" s="312" t="n"/>
      <c r="I512" s="313" t="n"/>
      <c r="J512" s="314" t="n"/>
      <c r="K512" s="170" t="n"/>
      <c r="L512" s="170" t="n"/>
      <c r="M512" s="6" t="n"/>
      <c r="N512" s="6" t="n"/>
      <c r="O512" s="6" t="n"/>
    </row>
    <row r="513">
      <c r="B513" s="170" t="n">
        <v>500</v>
      </c>
      <c r="C513" s="170" t="n"/>
      <c r="D513" s="312" t="n"/>
      <c r="E513" s="312" t="n"/>
      <c r="F513" s="312" t="n"/>
      <c r="G513" s="312" t="n"/>
      <c r="H513" s="312" t="n"/>
      <c r="I513" s="313" t="n"/>
      <c r="J513" s="314" t="n"/>
      <c r="K513" s="170" t="n"/>
      <c r="L513" s="170" t="n"/>
      <c r="M513" s="6" t="n"/>
      <c r="N513" s="6" t="n"/>
      <c r="O513" s="6" t="n"/>
    </row>
    <row r="514">
      <c r="B514" s="170" t="n">
        <v>501</v>
      </c>
      <c r="C514" s="170" t="n"/>
      <c r="D514" s="312" t="n"/>
      <c r="E514" s="312" t="n"/>
      <c r="F514" s="312" t="n"/>
      <c r="G514" s="312" t="n"/>
      <c r="H514" s="312" t="n"/>
      <c r="I514" s="313" t="n"/>
      <c r="J514" s="314" t="n"/>
      <c r="K514" s="170" t="n"/>
      <c r="L514" s="170" t="n"/>
      <c r="M514" s="6" t="n"/>
      <c r="N514" s="6" t="n"/>
      <c r="O514" s="6" t="n"/>
    </row>
    <row r="515">
      <c r="B515" s="170" t="n">
        <v>502</v>
      </c>
      <c r="C515" s="170" t="n"/>
      <c r="D515" s="312" t="n"/>
      <c r="E515" s="312" t="n"/>
      <c r="F515" s="312" t="n"/>
      <c r="G515" s="312" t="n"/>
      <c r="H515" s="312" t="n"/>
      <c r="I515" s="313" t="n"/>
      <c r="J515" s="314" t="n"/>
      <c r="K515" s="170" t="n"/>
      <c r="L515" s="170" t="n"/>
      <c r="M515" s="6" t="n"/>
      <c r="N515" s="6" t="n"/>
      <c r="O515" s="6" t="n"/>
    </row>
    <row r="516">
      <c r="B516" s="170" t="n">
        <v>503</v>
      </c>
      <c r="C516" s="170" t="n"/>
      <c r="D516" s="312" t="n"/>
      <c r="E516" s="312" t="n"/>
      <c r="F516" s="312" t="n"/>
      <c r="G516" s="312" t="n"/>
      <c r="H516" s="312" t="n"/>
      <c r="I516" s="313" t="n"/>
      <c r="J516" s="314" t="n"/>
      <c r="K516" s="170" t="n"/>
      <c r="L516" s="170" t="n"/>
      <c r="M516" s="6" t="n"/>
      <c r="N516" s="6" t="n"/>
      <c r="O516" s="6" t="n"/>
    </row>
    <row r="517">
      <c r="B517" s="170" t="n">
        <v>504</v>
      </c>
      <c r="C517" s="170" t="n"/>
      <c r="D517" s="312" t="n"/>
      <c r="E517" s="312" t="n"/>
      <c r="F517" s="312" t="n"/>
      <c r="G517" s="312" t="n"/>
      <c r="H517" s="312" t="n"/>
      <c r="I517" s="313" t="n"/>
      <c r="J517" s="314" t="n"/>
      <c r="K517" s="170" t="n"/>
      <c r="L517" s="170" t="n"/>
      <c r="M517" s="6" t="n"/>
      <c r="N517" s="6" t="n"/>
      <c r="O517" s="6" t="n"/>
    </row>
    <row r="518">
      <c r="B518" s="170" t="n">
        <v>505</v>
      </c>
      <c r="C518" s="170" t="n"/>
      <c r="D518" s="312" t="n"/>
      <c r="E518" s="312" t="n"/>
      <c r="F518" s="312" t="n"/>
      <c r="G518" s="312" t="n"/>
      <c r="H518" s="312" t="n"/>
      <c r="I518" s="313" t="n"/>
      <c r="J518" s="314" t="n"/>
      <c r="K518" s="170" t="n"/>
      <c r="L518" s="170" t="n"/>
      <c r="M518" s="6" t="n"/>
      <c r="N518" s="6" t="n"/>
      <c r="O518" s="6" t="n"/>
    </row>
    <row r="519">
      <c r="B519" s="170" t="n">
        <v>506</v>
      </c>
      <c r="C519" s="170" t="n"/>
      <c r="D519" s="312" t="n"/>
      <c r="E519" s="312" t="n"/>
      <c r="F519" s="312" t="n"/>
      <c r="G519" s="312" t="n"/>
      <c r="H519" s="312" t="n"/>
      <c r="I519" s="313" t="n"/>
      <c r="J519" s="314" t="n"/>
      <c r="K519" s="170" t="n"/>
      <c r="L519" s="170" t="n"/>
      <c r="M519" s="6" t="n"/>
      <c r="N519" s="6" t="n"/>
      <c r="O519" s="6" t="n"/>
    </row>
    <row r="520">
      <c r="B520" s="170" t="n">
        <v>507</v>
      </c>
      <c r="C520" s="170" t="n"/>
      <c r="D520" s="312" t="n"/>
      <c r="E520" s="312" t="n"/>
      <c r="F520" s="312" t="n"/>
      <c r="G520" s="312" t="n"/>
      <c r="H520" s="312" t="n"/>
      <c r="I520" s="313" t="n"/>
      <c r="J520" s="314" t="n"/>
      <c r="K520" s="170" t="n"/>
      <c r="L520" s="170" t="n"/>
      <c r="M520" s="6" t="n"/>
      <c r="N520" s="6" t="n"/>
      <c r="O520" s="6" t="n"/>
    </row>
    <row r="521">
      <c r="B521" s="170" t="n">
        <v>508</v>
      </c>
      <c r="C521" s="170" t="n"/>
      <c r="D521" s="312" t="n"/>
      <c r="E521" s="312" t="n"/>
      <c r="F521" s="312" t="n"/>
      <c r="G521" s="312" t="n"/>
      <c r="H521" s="312" t="n"/>
      <c r="I521" s="313" t="n"/>
      <c r="J521" s="314" t="n"/>
      <c r="K521" s="170" t="n"/>
      <c r="L521" s="170" t="n"/>
      <c r="M521" s="6" t="n"/>
      <c r="N521" s="6" t="n"/>
      <c r="O521" s="6" t="n"/>
    </row>
    <row r="522">
      <c r="B522" s="170" t="n">
        <v>509</v>
      </c>
      <c r="C522" s="170" t="n"/>
      <c r="D522" s="312" t="n"/>
      <c r="E522" s="312" t="n"/>
      <c r="F522" s="312" t="n"/>
      <c r="G522" s="312" t="n"/>
      <c r="H522" s="312" t="n"/>
      <c r="I522" s="313" t="n"/>
      <c r="J522" s="314" t="n"/>
      <c r="K522" s="170" t="n"/>
      <c r="L522" s="170" t="n"/>
      <c r="M522" s="6" t="n"/>
      <c r="N522" s="6" t="n"/>
      <c r="O522" s="6" t="n"/>
    </row>
    <row r="523">
      <c r="B523" s="170" t="n">
        <v>510</v>
      </c>
      <c r="C523" s="170" t="n"/>
      <c r="D523" s="312" t="n"/>
      <c r="E523" s="312" t="n"/>
      <c r="F523" s="312" t="n"/>
      <c r="G523" s="312" t="n"/>
      <c r="H523" s="312" t="n"/>
      <c r="I523" s="313" t="n"/>
      <c r="J523" s="314" t="n"/>
      <c r="K523" s="170" t="n"/>
      <c r="L523" s="170" t="n"/>
      <c r="M523" s="6" t="n"/>
      <c r="N523" s="6" t="n"/>
      <c r="O523" s="6" t="n"/>
    </row>
    <row r="524">
      <c r="B524" s="170" t="n">
        <v>511</v>
      </c>
      <c r="C524" s="170" t="n"/>
      <c r="D524" s="312" t="n"/>
      <c r="E524" s="312" t="n"/>
      <c r="F524" s="312" t="n"/>
      <c r="G524" s="312" t="n"/>
      <c r="H524" s="312" t="n"/>
      <c r="I524" s="313" t="n"/>
      <c r="J524" s="314" t="n"/>
      <c r="K524" s="170" t="n"/>
      <c r="L524" s="170" t="n"/>
      <c r="M524" s="6" t="n"/>
      <c r="N524" s="6" t="n"/>
      <c r="O524" s="6" t="n"/>
    </row>
    <row r="525">
      <c r="B525" s="170" t="n">
        <v>512</v>
      </c>
      <c r="C525" s="170" t="n"/>
      <c r="D525" s="312" t="n"/>
      <c r="E525" s="312" t="n"/>
      <c r="F525" s="312" t="n"/>
      <c r="G525" s="312" t="n"/>
      <c r="H525" s="312" t="n"/>
      <c r="I525" s="313" t="n"/>
      <c r="J525" s="314" t="n"/>
      <c r="K525" s="170" t="n"/>
      <c r="L525" s="170" t="n"/>
      <c r="M525" s="6" t="n"/>
      <c r="N525" s="6" t="n"/>
      <c r="O525" s="6" t="n"/>
    </row>
    <row r="526">
      <c r="B526" s="170" t="n">
        <v>513</v>
      </c>
      <c r="C526" s="170" t="n"/>
      <c r="D526" s="312" t="n"/>
      <c r="E526" s="312" t="n"/>
      <c r="F526" s="312" t="n"/>
      <c r="G526" s="312" t="n"/>
      <c r="H526" s="312" t="n"/>
      <c r="I526" s="313" t="n"/>
      <c r="J526" s="314" t="n"/>
      <c r="K526" s="170" t="n"/>
      <c r="L526" s="170" t="n"/>
      <c r="M526" s="6" t="n"/>
      <c r="N526" s="6" t="n"/>
      <c r="O526" s="6" t="n"/>
    </row>
    <row r="527">
      <c r="B527" s="170" t="n">
        <v>514</v>
      </c>
      <c r="C527" s="170" t="n"/>
      <c r="D527" s="312" t="n"/>
      <c r="E527" s="312" t="n"/>
      <c r="F527" s="312" t="n"/>
      <c r="G527" s="312" t="n"/>
      <c r="H527" s="312" t="n"/>
      <c r="I527" s="313" t="n"/>
      <c r="J527" s="314" t="n"/>
      <c r="K527" s="170" t="n"/>
      <c r="L527" s="170" t="n"/>
      <c r="M527" s="6" t="n"/>
      <c r="N527" s="6" t="n"/>
      <c r="O527" s="6" t="n"/>
    </row>
    <row r="528">
      <c r="B528" s="170" t="n">
        <v>515</v>
      </c>
      <c r="C528" s="170" t="n"/>
      <c r="D528" s="312" t="n"/>
      <c r="E528" s="312" t="n"/>
      <c r="F528" s="312" t="n"/>
      <c r="G528" s="312" t="n"/>
      <c r="H528" s="312" t="n"/>
      <c r="I528" s="313" t="n"/>
      <c r="J528" s="314" t="n"/>
      <c r="K528" s="170" t="n"/>
      <c r="L528" s="170" t="n"/>
      <c r="M528" s="6" t="n"/>
      <c r="N528" s="6" t="n"/>
      <c r="O528" s="6" t="n"/>
    </row>
    <row r="529">
      <c r="B529" s="170" t="n">
        <v>516</v>
      </c>
      <c r="C529" s="170" t="n"/>
      <c r="D529" s="312" t="n"/>
      <c r="E529" s="312" t="n"/>
      <c r="F529" s="312" t="n"/>
      <c r="G529" s="312" t="n"/>
      <c r="H529" s="312" t="n"/>
      <c r="I529" s="313" t="n"/>
      <c r="J529" s="314" t="n"/>
      <c r="K529" s="170" t="n"/>
      <c r="L529" s="170" t="n"/>
      <c r="M529" s="6" t="n"/>
      <c r="N529" s="6" t="n"/>
      <c r="O529" s="6" t="n"/>
    </row>
    <row r="530">
      <c r="B530" s="170" t="n">
        <v>517</v>
      </c>
      <c r="C530" s="170" t="n"/>
      <c r="D530" s="312" t="n"/>
      <c r="E530" s="312" t="n"/>
      <c r="F530" s="312" t="n"/>
      <c r="G530" s="312" t="n"/>
      <c r="H530" s="312" t="n"/>
      <c r="I530" s="313" t="n"/>
      <c r="J530" s="314" t="n"/>
      <c r="K530" s="170" t="n"/>
      <c r="L530" s="170" t="n"/>
      <c r="M530" s="6" t="n"/>
      <c r="N530" s="6" t="n"/>
      <c r="O530" s="6" t="n"/>
    </row>
    <row r="531">
      <c r="B531" s="170" t="n">
        <v>518</v>
      </c>
      <c r="C531" s="170" t="n"/>
      <c r="D531" s="312" t="n"/>
      <c r="E531" s="312" t="n"/>
      <c r="F531" s="312" t="n"/>
      <c r="G531" s="312" t="n"/>
      <c r="H531" s="312" t="n"/>
      <c r="I531" s="313" t="n"/>
      <c r="J531" s="314" t="n"/>
      <c r="K531" s="170" t="n"/>
      <c r="L531" s="170" t="n"/>
      <c r="M531" s="6" t="n"/>
      <c r="N531" s="6" t="n"/>
      <c r="O531" s="6" t="n"/>
    </row>
    <row r="532">
      <c r="B532" s="170" t="n">
        <v>519</v>
      </c>
      <c r="C532" s="170" t="n"/>
      <c r="D532" s="312" t="n"/>
      <c r="E532" s="312" t="n"/>
      <c r="F532" s="312" t="n"/>
      <c r="G532" s="312" t="n"/>
      <c r="H532" s="312" t="n"/>
      <c r="I532" s="313" t="n"/>
      <c r="J532" s="314" t="n"/>
      <c r="K532" s="170" t="n"/>
      <c r="L532" s="170" t="n"/>
      <c r="M532" s="6" t="n"/>
      <c r="N532" s="6" t="n"/>
      <c r="O532" s="6" t="n"/>
    </row>
    <row r="533">
      <c r="B533" s="170" t="n">
        <v>520</v>
      </c>
      <c r="C533" s="170" t="n"/>
      <c r="D533" s="312" t="n"/>
      <c r="E533" s="312" t="n"/>
      <c r="F533" s="312" t="n"/>
      <c r="G533" s="312" t="n"/>
      <c r="H533" s="312" t="n"/>
      <c r="I533" s="313" t="n"/>
      <c r="J533" s="314" t="n"/>
      <c r="K533" s="170" t="n"/>
      <c r="L533" s="170" t="n"/>
      <c r="M533" s="6" t="n"/>
      <c r="N533" s="6" t="n"/>
      <c r="O533" s="6" t="n"/>
    </row>
    <row r="534">
      <c r="B534" s="170" t="n">
        <v>521</v>
      </c>
      <c r="C534" s="170" t="n"/>
      <c r="D534" s="312" t="n"/>
      <c r="E534" s="312" t="n"/>
      <c r="F534" s="312" t="n"/>
      <c r="G534" s="312" t="n"/>
      <c r="H534" s="312" t="n"/>
      <c r="I534" s="313" t="n"/>
      <c r="J534" s="314" t="n"/>
      <c r="K534" s="170" t="n"/>
      <c r="L534" s="170" t="n"/>
      <c r="M534" s="6" t="n"/>
      <c r="N534" s="6" t="n"/>
      <c r="O534" s="6" t="n"/>
    </row>
    <row r="535">
      <c r="B535" s="170" t="n">
        <v>522</v>
      </c>
      <c r="C535" s="170" t="n"/>
      <c r="D535" s="312" t="n"/>
      <c r="E535" s="312" t="n"/>
      <c r="F535" s="312" t="n"/>
      <c r="G535" s="312" t="n"/>
      <c r="H535" s="312" t="n"/>
      <c r="I535" s="313" t="n"/>
      <c r="J535" s="314" t="n"/>
      <c r="K535" s="170" t="n"/>
      <c r="L535" s="170" t="n"/>
      <c r="M535" s="6" t="n"/>
      <c r="N535" s="6" t="n"/>
      <c r="O535" s="6" t="n"/>
    </row>
    <row r="536">
      <c r="B536" s="170" t="n">
        <v>523</v>
      </c>
      <c r="C536" s="170" t="n"/>
      <c r="D536" s="312" t="n"/>
      <c r="E536" s="312" t="n"/>
      <c r="F536" s="312" t="n"/>
      <c r="G536" s="312" t="n"/>
      <c r="H536" s="312" t="n"/>
      <c r="I536" s="313" t="n"/>
      <c r="J536" s="314" t="n"/>
      <c r="K536" s="170" t="n"/>
      <c r="L536" s="170" t="n"/>
      <c r="M536" s="6" t="n"/>
      <c r="N536" s="6" t="n"/>
      <c r="O536" s="6" t="n"/>
    </row>
    <row r="537">
      <c r="B537" s="170" t="n">
        <v>524</v>
      </c>
      <c r="C537" s="170" t="n"/>
      <c r="D537" s="312" t="n"/>
      <c r="E537" s="312" t="n"/>
      <c r="F537" s="312" t="n"/>
      <c r="G537" s="312" t="n"/>
      <c r="H537" s="312" t="n"/>
      <c r="I537" s="313" t="n"/>
      <c r="J537" s="314" t="n"/>
      <c r="K537" s="170" t="n"/>
      <c r="L537" s="170" t="n"/>
      <c r="M537" s="6" t="n"/>
      <c r="N537" s="6" t="n"/>
      <c r="O537" s="6" t="n"/>
    </row>
    <row r="538">
      <c r="B538" s="170" t="n">
        <v>525</v>
      </c>
      <c r="C538" s="170" t="n"/>
      <c r="D538" s="312" t="n"/>
      <c r="E538" s="312" t="n"/>
      <c r="F538" s="312" t="n"/>
      <c r="G538" s="312" t="n"/>
      <c r="H538" s="312" t="n"/>
      <c r="I538" s="313" t="n"/>
      <c r="J538" s="314" t="n"/>
      <c r="K538" s="170" t="n"/>
      <c r="L538" s="170" t="n"/>
      <c r="M538" s="6" t="n"/>
      <c r="N538" s="6" t="n"/>
      <c r="O538" s="6" t="n"/>
    </row>
    <row r="539">
      <c r="B539" s="170" t="n">
        <v>526</v>
      </c>
      <c r="C539" s="170" t="n"/>
      <c r="D539" s="312" t="n"/>
      <c r="E539" s="312" t="n"/>
      <c r="F539" s="312" t="n"/>
      <c r="G539" s="312" t="n"/>
      <c r="H539" s="312" t="n"/>
      <c r="I539" s="313" t="n"/>
      <c r="J539" s="314" t="n"/>
      <c r="K539" s="170" t="n"/>
      <c r="L539" s="170" t="n"/>
      <c r="M539" s="6" t="n"/>
      <c r="N539" s="6" t="n"/>
      <c r="O539" s="6" t="n"/>
    </row>
    <row r="540">
      <c r="B540" s="170" t="n">
        <v>527</v>
      </c>
      <c r="C540" s="170" t="n"/>
      <c r="D540" s="312" t="n"/>
      <c r="E540" s="312" t="n"/>
      <c r="F540" s="312" t="n"/>
      <c r="G540" s="312" t="n"/>
      <c r="H540" s="312" t="n"/>
      <c r="I540" s="313" t="n"/>
      <c r="J540" s="314" t="n"/>
      <c r="K540" s="170" t="n"/>
      <c r="L540" s="170" t="n"/>
      <c r="M540" s="6" t="n"/>
      <c r="N540" s="6" t="n"/>
      <c r="O540" s="6" t="n"/>
    </row>
    <row r="541">
      <c r="B541" s="170" t="n">
        <v>528</v>
      </c>
      <c r="C541" s="170" t="n"/>
      <c r="D541" s="312" t="n"/>
      <c r="E541" s="312" t="n"/>
      <c r="F541" s="312" t="n"/>
      <c r="G541" s="312" t="n"/>
      <c r="H541" s="312" t="n"/>
      <c r="I541" s="313" t="n"/>
      <c r="J541" s="314" t="n"/>
      <c r="K541" s="170" t="n"/>
      <c r="L541" s="170" t="n"/>
      <c r="M541" s="6" t="n"/>
      <c r="N541" s="6" t="n"/>
      <c r="O541" s="6" t="n"/>
    </row>
    <row r="542">
      <c r="B542" s="170" t="n">
        <v>529</v>
      </c>
      <c r="C542" s="170" t="n"/>
      <c r="D542" s="312" t="n"/>
      <c r="E542" s="312" t="n"/>
      <c r="F542" s="312" t="n"/>
      <c r="G542" s="312" t="n"/>
      <c r="H542" s="312" t="n"/>
      <c r="I542" s="313" t="n"/>
      <c r="J542" s="314" t="n"/>
      <c r="K542" s="170" t="n"/>
      <c r="L542" s="170" t="n"/>
      <c r="M542" s="6" t="n"/>
      <c r="N542" s="6" t="n"/>
      <c r="O542" s="6" t="n"/>
    </row>
    <row r="543">
      <c r="B543" s="170" t="n">
        <v>530</v>
      </c>
      <c r="C543" s="170" t="n"/>
      <c r="D543" s="312" t="n"/>
      <c r="E543" s="312" t="n"/>
      <c r="F543" s="312" t="n"/>
      <c r="G543" s="312" t="n"/>
      <c r="H543" s="312" t="n"/>
      <c r="I543" s="313" t="n"/>
      <c r="J543" s="314" t="n"/>
      <c r="K543" s="170" t="n"/>
      <c r="L543" s="170" t="n"/>
      <c r="M543" s="6" t="n"/>
      <c r="N543" s="6" t="n"/>
      <c r="O543" s="6" t="n"/>
    </row>
    <row r="544">
      <c r="B544" s="170" t="n">
        <v>531</v>
      </c>
      <c r="C544" s="170" t="n"/>
      <c r="D544" s="312" t="n"/>
      <c r="E544" s="312" t="n"/>
      <c r="F544" s="312" t="n"/>
      <c r="G544" s="312" t="n"/>
      <c r="H544" s="312" t="n"/>
      <c r="I544" s="313" t="n"/>
      <c r="J544" s="314" t="n"/>
      <c r="K544" s="170" t="n"/>
      <c r="L544" s="170" t="n"/>
      <c r="M544" s="6" t="n"/>
      <c r="N544" s="6" t="n"/>
      <c r="O544" s="6" t="n"/>
    </row>
    <row r="545">
      <c r="B545" s="170" t="n">
        <v>532</v>
      </c>
      <c r="C545" s="170" t="n"/>
      <c r="D545" s="312" t="n"/>
      <c r="E545" s="312" t="n"/>
      <c r="F545" s="312" t="n"/>
      <c r="G545" s="312" t="n"/>
      <c r="H545" s="312" t="n"/>
      <c r="I545" s="313" t="n"/>
      <c r="J545" s="314" t="n"/>
      <c r="K545" s="170" t="n"/>
      <c r="L545" s="170" t="n"/>
      <c r="M545" s="6" t="n"/>
      <c r="N545" s="6" t="n"/>
      <c r="O545" s="6" t="n"/>
    </row>
    <row r="546">
      <c r="B546" s="170" t="n">
        <v>533</v>
      </c>
      <c r="C546" s="170" t="n"/>
      <c r="D546" s="312" t="n"/>
      <c r="E546" s="312" t="n"/>
      <c r="F546" s="312" t="n"/>
      <c r="G546" s="312" t="n"/>
      <c r="H546" s="312" t="n"/>
      <c r="I546" s="313" t="n"/>
      <c r="J546" s="314" t="n"/>
      <c r="K546" s="170" t="n"/>
      <c r="L546" s="170" t="n"/>
      <c r="M546" s="6" t="n"/>
      <c r="N546" s="6" t="n"/>
      <c r="O546" s="6" t="n"/>
    </row>
    <row r="547">
      <c r="B547" s="170" t="n">
        <v>534</v>
      </c>
      <c r="C547" s="170" t="n"/>
      <c r="D547" s="312" t="n"/>
      <c r="E547" s="312" t="n"/>
      <c r="F547" s="312" t="n"/>
      <c r="G547" s="312" t="n"/>
      <c r="H547" s="312" t="n"/>
      <c r="I547" s="313" t="n"/>
      <c r="J547" s="314" t="n"/>
      <c r="K547" s="170" t="n"/>
      <c r="L547" s="170" t="n"/>
      <c r="M547" s="6" t="n"/>
      <c r="N547" s="6" t="n"/>
      <c r="O547" s="6" t="n"/>
    </row>
    <row r="548">
      <c r="B548" s="170" t="n">
        <v>535</v>
      </c>
      <c r="C548" s="170" t="n"/>
      <c r="D548" s="312" t="n"/>
      <c r="E548" s="312" t="n"/>
      <c r="F548" s="312" t="n"/>
      <c r="G548" s="312" t="n"/>
      <c r="H548" s="312" t="n"/>
      <c r="I548" s="313" t="n"/>
      <c r="J548" s="314" t="n"/>
      <c r="K548" s="170" t="n"/>
      <c r="L548" s="170" t="n"/>
      <c r="M548" s="6" t="n"/>
      <c r="N548" s="6" t="n"/>
      <c r="O548" s="6" t="n"/>
    </row>
    <row r="549">
      <c r="B549" s="170" t="n">
        <v>536</v>
      </c>
      <c r="C549" s="170" t="n"/>
      <c r="D549" s="312" t="n"/>
      <c r="E549" s="312" t="n"/>
      <c r="F549" s="312" t="n"/>
      <c r="G549" s="312" t="n"/>
      <c r="H549" s="312" t="n"/>
      <c r="I549" s="313" t="n"/>
      <c r="J549" s="314" t="n"/>
      <c r="K549" s="170" t="n"/>
      <c r="L549" s="170" t="n"/>
      <c r="M549" s="6" t="n"/>
      <c r="N549" s="6" t="n"/>
      <c r="O549" s="6" t="n"/>
    </row>
    <row r="550">
      <c r="B550" s="170" t="n">
        <v>537</v>
      </c>
      <c r="C550" s="170" t="n"/>
      <c r="D550" s="312" t="n"/>
      <c r="E550" s="312" t="n"/>
      <c r="F550" s="312" t="n"/>
      <c r="G550" s="312" t="n"/>
      <c r="H550" s="312" t="n"/>
      <c r="I550" s="313" t="n"/>
      <c r="J550" s="314" t="n"/>
      <c r="K550" s="170" t="n"/>
      <c r="L550" s="170" t="n"/>
      <c r="M550" s="6" t="n"/>
      <c r="N550" s="6" t="n"/>
      <c r="O550" s="6" t="n"/>
    </row>
    <row r="551">
      <c r="B551" s="170" t="n">
        <v>538</v>
      </c>
      <c r="C551" s="170" t="n"/>
      <c r="D551" s="312" t="n"/>
      <c r="E551" s="312" t="n"/>
      <c r="F551" s="312" t="n"/>
      <c r="G551" s="312" t="n"/>
      <c r="H551" s="312" t="n"/>
      <c r="I551" s="313" t="n"/>
      <c r="J551" s="314" t="n"/>
      <c r="K551" s="170" t="n"/>
      <c r="L551" s="170" t="n"/>
      <c r="M551" s="6" t="n"/>
      <c r="N551" s="6" t="n"/>
      <c r="O551" s="6" t="n"/>
    </row>
    <row r="552">
      <c r="B552" s="170" t="n">
        <v>539</v>
      </c>
      <c r="C552" s="170" t="n"/>
      <c r="D552" s="312" t="n"/>
      <c r="E552" s="312" t="n"/>
      <c r="F552" s="312" t="n"/>
      <c r="G552" s="312" t="n"/>
      <c r="H552" s="312" t="n"/>
      <c r="I552" s="313" t="n"/>
      <c r="J552" s="314" t="n"/>
      <c r="K552" s="170" t="n"/>
      <c r="L552" s="170" t="n"/>
      <c r="M552" s="6" t="n"/>
      <c r="N552" s="6" t="n"/>
      <c r="O552" s="6" t="n"/>
    </row>
    <row r="553">
      <c r="B553" s="170" t="n">
        <v>540</v>
      </c>
      <c r="C553" s="170" t="n"/>
      <c r="D553" s="312" t="n"/>
      <c r="E553" s="312" t="n"/>
      <c r="F553" s="312" t="n"/>
      <c r="G553" s="312" t="n"/>
      <c r="H553" s="312" t="n"/>
      <c r="I553" s="313" t="n"/>
      <c r="J553" s="314" t="n"/>
      <c r="K553" s="170" t="n"/>
      <c r="L553" s="170" t="n"/>
      <c r="M553" s="6" t="n"/>
      <c r="N553" s="6" t="n"/>
      <c r="O553" s="6" t="n"/>
    </row>
    <row r="554">
      <c r="B554" s="170" t="n">
        <v>541</v>
      </c>
      <c r="C554" s="170" t="n"/>
      <c r="D554" s="312" t="n"/>
      <c r="E554" s="312" t="n"/>
      <c r="F554" s="312" t="n"/>
      <c r="G554" s="312" t="n"/>
      <c r="H554" s="312" t="n"/>
      <c r="I554" s="313" t="n"/>
      <c r="J554" s="314" t="n"/>
      <c r="K554" s="170" t="n"/>
      <c r="L554" s="170" t="n"/>
      <c r="M554" s="6" t="n"/>
      <c r="N554" s="6" t="n"/>
      <c r="O554" s="6" t="n"/>
    </row>
    <row r="555">
      <c r="B555" s="170" t="n">
        <v>542</v>
      </c>
      <c r="C555" s="170" t="n"/>
      <c r="D555" s="312" t="n"/>
      <c r="E555" s="312" t="n"/>
      <c r="F555" s="312" t="n"/>
      <c r="G555" s="312" t="n"/>
      <c r="H555" s="312" t="n"/>
      <c r="I555" s="313" t="n"/>
      <c r="J555" s="314" t="n"/>
      <c r="K555" s="170" t="n"/>
      <c r="L555" s="170" t="n"/>
      <c r="M555" s="6" t="n"/>
      <c r="N555" s="6" t="n"/>
      <c r="O555" s="6" t="n"/>
    </row>
    <row r="556">
      <c r="B556" s="170" t="n">
        <v>543</v>
      </c>
      <c r="C556" s="170" t="n"/>
      <c r="D556" s="312" t="n"/>
      <c r="E556" s="312" t="n"/>
      <c r="F556" s="312" t="n"/>
      <c r="G556" s="312" t="n"/>
      <c r="H556" s="312" t="n"/>
      <c r="I556" s="313" t="n"/>
      <c r="J556" s="314" t="n"/>
      <c r="K556" s="170" t="n"/>
      <c r="L556" s="170" t="n"/>
      <c r="M556" s="6" t="n"/>
      <c r="N556" s="6" t="n"/>
      <c r="O556" s="6" t="n"/>
    </row>
    <row r="557">
      <c r="B557" s="170" t="n">
        <v>544</v>
      </c>
      <c r="C557" s="170" t="n"/>
      <c r="D557" s="312" t="n"/>
      <c r="E557" s="312" t="n"/>
      <c r="F557" s="312" t="n"/>
      <c r="G557" s="312" t="n"/>
      <c r="H557" s="312" t="n"/>
      <c r="I557" s="313" t="n"/>
      <c r="J557" s="314" t="n"/>
      <c r="K557" s="170" t="n"/>
      <c r="L557" s="170" t="n"/>
      <c r="M557" s="6" t="n"/>
      <c r="N557" s="6" t="n"/>
      <c r="O557" s="6" t="n"/>
    </row>
    <row r="558">
      <c r="B558" s="170" t="n">
        <v>545</v>
      </c>
      <c r="C558" s="170" t="n"/>
      <c r="D558" s="312" t="n"/>
      <c r="E558" s="312" t="n"/>
      <c r="F558" s="312" t="n"/>
      <c r="G558" s="312" t="n"/>
      <c r="H558" s="312" t="n"/>
      <c r="I558" s="313" t="n"/>
      <c r="J558" s="314" t="n"/>
      <c r="K558" s="170" t="n"/>
      <c r="L558" s="170" t="n"/>
      <c r="M558" s="6" t="n"/>
      <c r="N558" s="6" t="n"/>
      <c r="O558" s="6" t="n"/>
    </row>
    <row r="559">
      <c r="B559" s="170" t="n">
        <v>546</v>
      </c>
      <c r="C559" s="170" t="n"/>
      <c r="D559" s="312" t="n"/>
      <c r="E559" s="312" t="n"/>
      <c r="F559" s="312" t="n"/>
      <c r="G559" s="312" t="n"/>
      <c r="H559" s="312" t="n"/>
      <c r="I559" s="313" t="n"/>
      <c r="J559" s="314" t="n"/>
      <c r="K559" s="170" t="n"/>
      <c r="L559" s="170" t="n"/>
      <c r="M559" s="6" t="n"/>
      <c r="N559" s="6" t="n"/>
      <c r="O559" s="6" t="n"/>
    </row>
    <row r="560">
      <c r="B560" s="170" t="n">
        <v>547</v>
      </c>
      <c r="C560" s="170" t="n"/>
      <c r="D560" s="312" t="n"/>
      <c r="E560" s="312" t="n"/>
      <c r="F560" s="312" t="n"/>
      <c r="G560" s="312" t="n"/>
      <c r="H560" s="312" t="n"/>
      <c r="I560" s="313" t="n"/>
      <c r="J560" s="314" t="n"/>
      <c r="K560" s="170" t="n"/>
      <c r="L560" s="170" t="n"/>
      <c r="M560" s="6" t="n"/>
      <c r="N560" s="6" t="n"/>
      <c r="O560" s="6" t="n"/>
    </row>
    <row r="561">
      <c r="B561" s="170" t="n">
        <v>548</v>
      </c>
      <c r="C561" s="170" t="n"/>
      <c r="D561" s="312" t="n"/>
      <c r="E561" s="312" t="n"/>
      <c r="F561" s="312" t="n"/>
      <c r="G561" s="312" t="n"/>
      <c r="H561" s="312" t="n"/>
      <c r="I561" s="313" t="n"/>
      <c r="J561" s="314" t="n"/>
      <c r="K561" s="170" t="n"/>
      <c r="L561" s="170" t="n"/>
      <c r="M561" s="6" t="n"/>
      <c r="N561" s="6" t="n"/>
      <c r="O561" s="6" t="n"/>
    </row>
    <row r="562">
      <c r="B562" s="170" t="n">
        <v>549</v>
      </c>
      <c r="C562" s="170" t="n"/>
      <c r="D562" s="312" t="n"/>
      <c r="E562" s="312" t="n"/>
      <c r="F562" s="312" t="n"/>
      <c r="G562" s="312" t="n"/>
      <c r="H562" s="312" t="n"/>
      <c r="I562" s="313" t="n"/>
      <c r="J562" s="314" t="n"/>
      <c r="K562" s="170" t="n"/>
      <c r="L562" s="170" t="n"/>
      <c r="M562" s="6" t="n"/>
      <c r="N562" s="6" t="n"/>
      <c r="O562" s="6" t="n"/>
    </row>
    <row r="563">
      <c r="B563" s="170" t="n">
        <v>550</v>
      </c>
      <c r="C563" s="170" t="n"/>
      <c r="D563" s="312" t="n"/>
      <c r="E563" s="312" t="n"/>
      <c r="F563" s="312" t="n"/>
      <c r="G563" s="312" t="n"/>
      <c r="H563" s="312" t="n"/>
      <c r="I563" s="313" t="n"/>
      <c r="J563" s="314" t="n"/>
      <c r="K563" s="170" t="n"/>
      <c r="L563" s="170" t="n"/>
      <c r="M563" s="6" t="n"/>
      <c r="N563" s="6" t="n"/>
      <c r="O563" s="6" t="n"/>
    </row>
    <row r="564">
      <c r="B564" s="170" t="n">
        <v>551</v>
      </c>
      <c r="C564" s="170" t="n"/>
      <c r="D564" s="312" t="n"/>
      <c r="E564" s="312" t="n"/>
      <c r="F564" s="312" t="n"/>
      <c r="G564" s="312" t="n"/>
      <c r="H564" s="312" t="n"/>
      <c r="I564" s="313" t="n"/>
      <c r="J564" s="314" t="n"/>
      <c r="K564" s="170" t="n"/>
      <c r="L564" s="170" t="n"/>
      <c r="M564" s="6" t="n"/>
      <c r="N564" s="6" t="n"/>
      <c r="O564" s="6" t="n"/>
    </row>
    <row r="565">
      <c r="B565" s="170" t="n">
        <v>552</v>
      </c>
      <c r="C565" s="170" t="n"/>
      <c r="D565" s="312" t="n"/>
      <c r="E565" s="312" t="n"/>
      <c r="F565" s="312" t="n"/>
      <c r="G565" s="312" t="n"/>
      <c r="H565" s="312" t="n"/>
      <c r="I565" s="313" t="n"/>
      <c r="J565" s="314" t="n"/>
      <c r="K565" s="170" t="n"/>
      <c r="L565" s="170" t="n"/>
      <c r="M565" s="6" t="n"/>
      <c r="N565" s="6" t="n"/>
      <c r="O565" s="6" t="n"/>
    </row>
    <row r="566">
      <c r="B566" s="170" t="n">
        <v>553</v>
      </c>
      <c r="C566" s="170" t="n"/>
      <c r="D566" s="312" t="n"/>
      <c r="E566" s="312" t="n"/>
      <c r="F566" s="312" t="n"/>
      <c r="G566" s="312" t="n"/>
      <c r="H566" s="312" t="n"/>
      <c r="I566" s="313" t="n"/>
      <c r="J566" s="314" t="n"/>
      <c r="K566" s="170" t="n"/>
      <c r="L566" s="170" t="n"/>
      <c r="M566" s="6" t="n"/>
      <c r="N566" s="6" t="n"/>
      <c r="O566" s="6" t="n"/>
    </row>
    <row r="567">
      <c r="B567" s="170" t="n">
        <v>554</v>
      </c>
      <c r="C567" s="170" t="n"/>
      <c r="D567" s="312" t="n"/>
      <c r="E567" s="312" t="n"/>
      <c r="F567" s="312" t="n"/>
      <c r="G567" s="312" t="n"/>
      <c r="H567" s="312" t="n"/>
      <c r="I567" s="313" t="n"/>
      <c r="J567" s="314" t="n"/>
      <c r="K567" s="170" t="n"/>
      <c r="L567" s="170" t="n"/>
      <c r="M567" s="6" t="n"/>
      <c r="N567" s="6" t="n"/>
      <c r="O567" s="6" t="n"/>
    </row>
    <row r="568">
      <c r="B568" s="170" t="n">
        <v>555</v>
      </c>
      <c r="C568" s="170" t="n"/>
      <c r="D568" s="312" t="n"/>
      <c r="E568" s="312" t="n"/>
      <c r="F568" s="312" t="n"/>
      <c r="G568" s="312" t="n"/>
      <c r="H568" s="312" t="n"/>
      <c r="I568" s="313" t="n"/>
      <c r="J568" s="314" t="n"/>
      <c r="K568" s="170" t="n"/>
      <c r="L568" s="170" t="n"/>
      <c r="M568" s="6" t="n"/>
      <c r="N568" s="6" t="n"/>
      <c r="O568" s="6" t="n"/>
    </row>
    <row r="569">
      <c r="B569" s="170" t="n">
        <v>556</v>
      </c>
      <c r="C569" s="170" t="n"/>
      <c r="D569" s="312" t="n"/>
      <c r="E569" s="312" t="n"/>
      <c r="F569" s="312" t="n"/>
      <c r="G569" s="312" t="n"/>
      <c r="H569" s="312" t="n"/>
      <c r="I569" s="313" t="n"/>
      <c r="J569" s="314" t="n"/>
      <c r="K569" s="170" t="n"/>
      <c r="L569" s="170" t="n"/>
      <c r="M569" s="6" t="n"/>
      <c r="N569" s="6" t="n"/>
      <c r="O569" s="6" t="n"/>
    </row>
    <row r="570">
      <c r="B570" s="170" t="n">
        <v>557</v>
      </c>
      <c r="C570" s="170" t="n"/>
      <c r="D570" s="312" t="n"/>
      <c r="E570" s="312" t="n"/>
      <c r="F570" s="312" t="n"/>
      <c r="G570" s="312" t="n"/>
      <c r="H570" s="312" t="n"/>
      <c r="I570" s="313" t="n"/>
      <c r="J570" s="314" t="n"/>
      <c r="K570" s="170" t="n"/>
      <c r="L570" s="170" t="n"/>
      <c r="M570" s="6" t="n"/>
      <c r="N570" s="6" t="n"/>
      <c r="O570" s="6" t="n"/>
    </row>
    <row r="571">
      <c r="B571" s="170" t="n">
        <v>558</v>
      </c>
      <c r="C571" s="170" t="n"/>
      <c r="D571" s="312" t="n"/>
      <c r="E571" s="312" t="n"/>
      <c r="F571" s="312" t="n"/>
      <c r="G571" s="312" t="n"/>
      <c r="H571" s="312" t="n"/>
      <c r="I571" s="313" t="n"/>
      <c r="J571" s="314" t="n"/>
      <c r="K571" s="170" t="n"/>
      <c r="L571" s="170" t="n"/>
      <c r="M571" s="6" t="n"/>
      <c r="N571" s="6" t="n"/>
      <c r="O571" s="6" t="n"/>
    </row>
    <row r="572">
      <c r="B572" s="170" t="n">
        <v>559</v>
      </c>
      <c r="C572" s="170" t="n"/>
      <c r="D572" s="312" t="n"/>
      <c r="E572" s="312" t="n"/>
      <c r="F572" s="312" t="n"/>
      <c r="G572" s="312" t="n"/>
      <c r="H572" s="312" t="n"/>
      <c r="I572" s="313" t="n"/>
      <c r="J572" s="314" t="n"/>
      <c r="K572" s="170" t="n"/>
      <c r="L572" s="170" t="n"/>
      <c r="M572" s="6" t="n"/>
      <c r="N572" s="6" t="n"/>
      <c r="O572" s="6" t="n"/>
    </row>
    <row r="573">
      <c r="B573" s="170" t="n">
        <v>560</v>
      </c>
      <c r="C573" s="170" t="n"/>
      <c r="D573" s="312" t="n"/>
      <c r="E573" s="312" t="n"/>
      <c r="F573" s="312" t="n"/>
      <c r="G573" s="312" t="n"/>
      <c r="H573" s="312" t="n"/>
      <c r="I573" s="313" t="n"/>
      <c r="J573" s="314" t="n"/>
      <c r="K573" s="170" t="n"/>
      <c r="L573" s="170" t="n"/>
      <c r="M573" s="6" t="n"/>
      <c r="N573" s="6" t="n"/>
      <c r="O573" s="6" t="n"/>
    </row>
    <row r="574">
      <c r="B574" s="170" t="n">
        <v>561</v>
      </c>
      <c r="C574" s="170" t="n"/>
      <c r="D574" s="312" t="n"/>
      <c r="E574" s="312" t="n"/>
      <c r="F574" s="312" t="n"/>
      <c r="G574" s="312" t="n"/>
      <c r="H574" s="312" t="n"/>
      <c r="I574" s="313" t="n"/>
      <c r="J574" s="314" t="n"/>
      <c r="K574" s="170" t="n"/>
      <c r="L574" s="170" t="n"/>
      <c r="M574" s="6" t="n"/>
      <c r="N574" s="6" t="n"/>
      <c r="O574" s="6" t="n"/>
    </row>
    <row r="575">
      <c r="B575" s="170" t="n">
        <v>562</v>
      </c>
      <c r="C575" s="170" t="n"/>
      <c r="D575" s="312" t="n"/>
      <c r="E575" s="312" t="n"/>
      <c r="F575" s="312" t="n"/>
      <c r="G575" s="312" t="n"/>
      <c r="H575" s="312" t="n"/>
      <c r="I575" s="313" t="n"/>
      <c r="J575" s="314" t="n"/>
      <c r="K575" s="170" t="n"/>
      <c r="L575" s="170" t="n"/>
      <c r="M575" s="6" t="n"/>
      <c r="N575" s="6" t="n"/>
      <c r="O575" s="6" t="n"/>
    </row>
    <row r="576">
      <c r="B576" s="170" t="n">
        <v>563</v>
      </c>
      <c r="C576" s="170" t="n"/>
      <c r="D576" s="312" t="n"/>
      <c r="E576" s="312" t="n"/>
      <c r="F576" s="312" t="n"/>
      <c r="G576" s="312" t="n"/>
      <c r="H576" s="312" t="n"/>
      <c r="I576" s="313" t="n"/>
      <c r="J576" s="314" t="n"/>
      <c r="K576" s="170" t="n"/>
      <c r="L576" s="170" t="n"/>
      <c r="M576" s="6" t="n"/>
      <c r="N576" s="6" t="n"/>
      <c r="O576" s="6" t="n"/>
    </row>
    <row r="577">
      <c r="B577" s="170" t="n">
        <v>564</v>
      </c>
      <c r="C577" s="170" t="n"/>
      <c r="D577" s="312" t="n"/>
      <c r="E577" s="312" t="n"/>
      <c r="F577" s="312" t="n"/>
      <c r="G577" s="312" t="n"/>
      <c r="H577" s="312" t="n"/>
      <c r="I577" s="313" t="n"/>
      <c r="J577" s="314" t="n"/>
      <c r="K577" s="170" t="n"/>
      <c r="L577" s="170" t="n"/>
      <c r="M577" s="6" t="n"/>
      <c r="N577" s="6" t="n"/>
      <c r="O577" s="6" t="n"/>
    </row>
    <row r="578">
      <c r="B578" s="170" t="n">
        <v>565</v>
      </c>
      <c r="C578" s="170" t="n"/>
      <c r="D578" s="312" t="n"/>
      <c r="E578" s="312" t="n"/>
      <c r="F578" s="312" t="n"/>
      <c r="G578" s="312" t="n"/>
      <c r="H578" s="312" t="n"/>
      <c r="I578" s="313" t="n"/>
      <c r="J578" s="314" t="n"/>
      <c r="K578" s="170" t="n"/>
      <c r="L578" s="170" t="n"/>
      <c r="M578" s="6" t="n"/>
      <c r="N578" s="6" t="n"/>
      <c r="O578" s="6" t="n"/>
    </row>
    <row r="579">
      <c r="B579" s="170" t="n">
        <v>566</v>
      </c>
      <c r="C579" s="170" t="n"/>
      <c r="D579" s="312" t="n"/>
      <c r="E579" s="312" t="n"/>
      <c r="F579" s="312" t="n"/>
      <c r="G579" s="312" t="n"/>
      <c r="H579" s="312" t="n"/>
      <c r="I579" s="313" t="n"/>
      <c r="J579" s="314" t="n"/>
      <c r="K579" s="170" t="n"/>
      <c r="L579" s="170" t="n"/>
      <c r="M579" s="6" t="n"/>
      <c r="N579" s="6" t="n"/>
      <c r="O579" s="6" t="n"/>
    </row>
    <row r="580">
      <c r="B580" s="170" t="n">
        <v>567</v>
      </c>
      <c r="C580" s="170" t="n"/>
      <c r="D580" s="312" t="n"/>
      <c r="E580" s="312" t="n"/>
      <c r="F580" s="312" t="n"/>
      <c r="G580" s="312" t="n"/>
      <c r="H580" s="312" t="n"/>
      <c r="I580" s="313" t="n"/>
      <c r="J580" s="314" t="n"/>
      <c r="K580" s="170" t="n"/>
      <c r="L580" s="170" t="n"/>
      <c r="M580" s="6" t="n"/>
      <c r="N580" s="6" t="n"/>
      <c r="O580" s="6" t="n"/>
    </row>
    <row r="581">
      <c r="B581" s="170" t="n">
        <v>568</v>
      </c>
      <c r="C581" s="170" t="n"/>
      <c r="D581" s="312" t="n"/>
      <c r="E581" s="312" t="n"/>
      <c r="F581" s="312" t="n"/>
      <c r="G581" s="312" t="n"/>
      <c r="H581" s="312" t="n"/>
      <c r="I581" s="313" t="n"/>
      <c r="J581" s="314" t="n"/>
      <c r="K581" s="170" t="n"/>
      <c r="L581" s="170" t="n"/>
      <c r="M581" s="6" t="n"/>
      <c r="N581" s="6" t="n"/>
      <c r="O581" s="6" t="n"/>
    </row>
    <row r="582">
      <c r="B582" s="170" t="n">
        <v>569</v>
      </c>
      <c r="C582" s="170" t="n"/>
      <c r="D582" s="312" t="n"/>
      <c r="E582" s="312" t="n"/>
      <c r="F582" s="312" t="n"/>
      <c r="G582" s="312" t="n"/>
      <c r="H582" s="312" t="n"/>
      <c r="I582" s="313" t="n"/>
      <c r="J582" s="314" t="n"/>
      <c r="K582" s="170" t="n"/>
      <c r="L582" s="170" t="n"/>
      <c r="M582" s="6" t="n"/>
      <c r="N582" s="6" t="n"/>
      <c r="O582" s="6" t="n"/>
    </row>
    <row r="583">
      <c r="B583" s="170" t="n">
        <v>570</v>
      </c>
      <c r="C583" s="170" t="n"/>
      <c r="D583" s="312" t="n"/>
      <c r="E583" s="312" t="n"/>
      <c r="F583" s="312" t="n"/>
      <c r="G583" s="312" t="n"/>
      <c r="H583" s="312" t="n"/>
      <c r="I583" s="313" t="n"/>
      <c r="J583" s="314" t="n"/>
      <c r="K583" s="170" t="n"/>
      <c r="L583" s="170" t="n"/>
      <c r="M583" s="6" t="n"/>
      <c r="N583" s="6" t="n"/>
      <c r="O583" s="6" t="n"/>
    </row>
    <row r="584">
      <c r="B584" s="170" t="n">
        <v>571</v>
      </c>
      <c r="C584" s="170" t="n"/>
      <c r="D584" s="312" t="n"/>
      <c r="E584" s="312" t="n"/>
      <c r="F584" s="312" t="n"/>
      <c r="G584" s="312" t="n"/>
      <c r="H584" s="312" t="n"/>
      <c r="I584" s="313" t="n"/>
      <c r="J584" s="314" t="n"/>
      <c r="K584" s="170" t="n"/>
      <c r="L584" s="170" t="n"/>
      <c r="M584" s="6" t="n"/>
      <c r="N584" s="6" t="n"/>
      <c r="O584" s="6" t="n"/>
    </row>
    <row r="585">
      <c r="B585" s="170" t="n">
        <v>572</v>
      </c>
      <c r="C585" s="170" t="n"/>
      <c r="D585" s="312" t="n"/>
      <c r="E585" s="312" t="n"/>
      <c r="F585" s="312" t="n"/>
      <c r="G585" s="312" t="n"/>
      <c r="H585" s="312" t="n"/>
      <c r="I585" s="313" t="n"/>
      <c r="J585" s="314" t="n"/>
      <c r="K585" s="170" t="n"/>
      <c r="L585" s="170" t="n"/>
      <c r="M585" s="6" t="n"/>
      <c r="N585" s="6" t="n"/>
      <c r="O585" s="6" t="n"/>
    </row>
    <row r="586">
      <c r="B586" s="170" t="n">
        <v>573</v>
      </c>
      <c r="C586" s="170" t="n"/>
      <c r="D586" s="312" t="n"/>
      <c r="E586" s="312" t="n"/>
      <c r="F586" s="312" t="n"/>
      <c r="G586" s="312" t="n"/>
      <c r="H586" s="312" t="n"/>
      <c r="I586" s="313" t="n"/>
      <c r="J586" s="314" t="n"/>
      <c r="K586" s="170" t="n"/>
      <c r="L586" s="170" t="n"/>
      <c r="M586" s="6" t="n"/>
      <c r="N586" s="6" t="n"/>
      <c r="O586" s="6" t="n"/>
    </row>
    <row r="587">
      <c r="B587" s="170" t="n">
        <v>574</v>
      </c>
      <c r="C587" s="170" t="n"/>
      <c r="D587" s="312" t="n"/>
      <c r="E587" s="312" t="n"/>
      <c r="F587" s="312" t="n"/>
      <c r="G587" s="312" t="n"/>
      <c r="H587" s="312" t="n"/>
      <c r="I587" s="313" t="n"/>
      <c r="J587" s="314" t="n"/>
      <c r="K587" s="170" t="n"/>
      <c r="L587" s="170" t="n"/>
      <c r="M587" s="6" t="n"/>
      <c r="N587" s="6" t="n"/>
      <c r="O587" s="6" t="n"/>
    </row>
    <row r="588">
      <c r="B588" s="170" t="n">
        <v>575</v>
      </c>
      <c r="C588" s="170" t="n"/>
      <c r="D588" s="312" t="n"/>
      <c r="E588" s="312" t="n"/>
      <c r="F588" s="312" t="n"/>
      <c r="G588" s="312" t="n"/>
      <c r="H588" s="312" t="n"/>
      <c r="I588" s="313" t="n"/>
      <c r="J588" s="314" t="n"/>
      <c r="K588" s="170" t="n"/>
      <c r="L588" s="170" t="n"/>
      <c r="M588" s="6" t="n"/>
      <c r="N588" s="6" t="n"/>
      <c r="O588" s="6" t="n"/>
    </row>
    <row r="589">
      <c r="B589" s="170" t="n">
        <v>576</v>
      </c>
      <c r="C589" s="170" t="n"/>
      <c r="D589" s="312" t="n"/>
      <c r="E589" s="312" t="n"/>
      <c r="F589" s="312" t="n"/>
      <c r="G589" s="312" t="n"/>
      <c r="H589" s="312" t="n"/>
      <c r="I589" s="313" t="n"/>
      <c r="J589" s="314" t="n"/>
      <c r="K589" s="170" t="n"/>
      <c r="L589" s="170" t="n"/>
      <c r="M589" s="6" t="n"/>
      <c r="N589" s="6" t="n"/>
      <c r="O589" s="6" t="n"/>
    </row>
    <row r="590">
      <c r="B590" s="170" t="n">
        <v>577</v>
      </c>
      <c r="C590" s="170" t="n"/>
      <c r="D590" s="312" t="n"/>
      <c r="E590" s="312" t="n"/>
      <c r="F590" s="312" t="n"/>
      <c r="G590" s="312" t="n"/>
      <c r="H590" s="312" t="n"/>
      <c r="I590" s="313" t="n"/>
      <c r="J590" s="314" t="n"/>
      <c r="K590" s="170" t="n"/>
      <c r="L590" s="170" t="n"/>
      <c r="M590" s="6" t="n"/>
      <c r="N590" s="6" t="n"/>
      <c r="O590" s="6" t="n"/>
    </row>
    <row r="591">
      <c r="B591" s="170" t="n">
        <v>578</v>
      </c>
      <c r="C591" s="170" t="n"/>
      <c r="D591" s="312" t="n"/>
      <c r="E591" s="312" t="n"/>
      <c r="F591" s="312" t="n"/>
      <c r="G591" s="312" t="n"/>
      <c r="H591" s="312" t="n"/>
      <c r="I591" s="313" t="n"/>
      <c r="J591" s="314" t="n"/>
      <c r="K591" s="170" t="n"/>
      <c r="L591" s="170" t="n"/>
      <c r="M591" s="6" t="n"/>
      <c r="N591" s="6" t="n"/>
      <c r="O591" s="6" t="n"/>
    </row>
    <row r="592">
      <c r="B592" s="170" t="n">
        <v>579</v>
      </c>
      <c r="C592" s="170" t="n"/>
      <c r="D592" s="312" t="n"/>
      <c r="E592" s="312" t="n"/>
      <c r="F592" s="312" t="n"/>
      <c r="G592" s="312" t="n"/>
      <c r="H592" s="312" t="n"/>
      <c r="I592" s="313" t="n"/>
      <c r="J592" s="314" t="n"/>
      <c r="K592" s="170" t="n"/>
      <c r="L592" s="170" t="n"/>
      <c r="M592" s="6" t="n"/>
      <c r="N592" s="6" t="n"/>
      <c r="O592" s="6" t="n"/>
    </row>
    <row r="593">
      <c r="B593" s="170" t="n">
        <v>580</v>
      </c>
      <c r="C593" s="170" t="n"/>
      <c r="D593" s="312" t="n"/>
      <c r="E593" s="312" t="n"/>
      <c r="F593" s="312" t="n"/>
      <c r="G593" s="312" t="n"/>
      <c r="H593" s="312" t="n"/>
      <c r="I593" s="313" t="n"/>
      <c r="J593" s="314" t="n"/>
      <c r="K593" s="170" t="n"/>
      <c r="L593" s="170" t="n"/>
      <c r="M593" s="6" t="n"/>
      <c r="N593" s="6" t="n"/>
      <c r="O593" s="6" t="n"/>
    </row>
    <row r="594">
      <c r="B594" s="170" t="n">
        <v>581</v>
      </c>
      <c r="C594" s="170" t="n"/>
      <c r="D594" s="312" t="n"/>
      <c r="E594" s="312" t="n"/>
      <c r="F594" s="312" t="n"/>
      <c r="G594" s="312" t="n"/>
      <c r="H594" s="312" t="n"/>
      <c r="I594" s="313" t="n"/>
      <c r="J594" s="314" t="n"/>
      <c r="K594" s="170" t="n"/>
      <c r="L594" s="170" t="n"/>
      <c r="M594" s="6" t="n"/>
      <c r="N594" s="6" t="n"/>
      <c r="O594" s="6" t="n"/>
    </row>
    <row r="595">
      <c r="B595" s="170" t="n">
        <v>582</v>
      </c>
      <c r="C595" s="170" t="n"/>
      <c r="D595" s="312" t="n"/>
      <c r="E595" s="312" t="n"/>
      <c r="F595" s="312" t="n"/>
      <c r="G595" s="312" t="n"/>
      <c r="H595" s="312" t="n"/>
      <c r="I595" s="313" t="n"/>
      <c r="J595" s="314" t="n"/>
      <c r="K595" s="170" t="n"/>
      <c r="L595" s="170" t="n"/>
      <c r="M595" s="6" t="n"/>
      <c r="N595" s="6" t="n"/>
      <c r="O595" s="6" t="n"/>
    </row>
    <row r="596">
      <c r="B596" s="170" t="n">
        <v>583</v>
      </c>
      <c r="C596" s="170" t="n"/>
      <c r="D596" s="312" t="n"/>
      <c r="E596" s="312" t="n"/>
      <c r="F596" s="312" t="n"/>
      <c r="G596" s="312" t="n"/>
      <c r="H596" s="312" t="n"/>
      <c r="I596" s="313" t="n"/>
      <c r="J596" s="314" t="n"/>
      <c r="K596" s="170" t="n"/>
      <c r="L596" s="170" t="n"/>
      <c r="M596" s="6" t="n"/>
      <c r="N596" s="6" t="n"/>
      <c r="O596" s="6" t="n"/>
    </row>
    <row r="597">
      <c r="B597" s="170" t="n">
        <v>584</v>
      </c>
      <c r="C597" s="170" t="n"/>
      <c r="D597" s="312" t="n"/>
      <c r="E597" s="312" t="n"/>
      <c r="F597" s="312" t="n"/>
      <c r="G597" s="312" t="n"/>
      <c r="H597" s="312" t="n"/>
      <c r="I597" s="313" t="n"/>
      <c r="J597" s="314" t="n"/>
      <c r="K597" s="170" t="n"/>
      <c r="L597" s="170" t="n"/>
      <c r="M597" s="6" t="n"/>
      <c r="N597" s="6" t="n"/>
      <c r="O597" s="6" t="n"/>
    </row>
    <row r="598">
      <c r="B598" s="170" t="n">
        <v>585</v>
      </c>
      <c r="C598" s="170" t="n"/>
      <c r="D598" s="312" t="n"/>
      <c r="E598" s="312" t="n"/>
      <c r="F598" s="312" t="n"/>
      <c r="G598" s="312" t="n"/>
      <c r="H598" s="312" t="n"/>
      <c r="I598" s="313" t="n"/>
      <c r="J598" s="314" t="n"/>
      <c r="K598" s="170" t="n"/>
      <c r="L598" s="170" t="n"/>
      <c r="M598" s="6" t="n"/>
      <c r="N598" s="6" t="n"/>
      <c r="O598" s="6" t="n"/>
    </row>
    <row r="599">
      <c r="B599" s="170" t="n">
        <v>586</v>
      </c>
      <c r="C599" s="170" t="n"/>
      <c r="D599" s="312" t="n"/>
      <c r="E599" s="312" t="n"/>
      <c r="F599" s="312" t="n"/>
      <c r="G599" s="312" t="n"/>
      <c r="H599" s="312" t="n"/>
      <c r="I599" s="313" t="n"/>
      <c r="J599" s="314" t="n"/>
      <c r="K599" s="170" t="n"/>
      <c r="L599" s="170" t="n"/>
      <c r="M599" s="6" t="n"/>
      <c r="N599" s="6" t="n"/>
      <c r="O599" s="6" t="n"/>
    </row>
    <row r="600">
      <c r="B600" s="170" t="n">
        <v>587</v>
      </c>
      <c r="C600" s="170" t="n"/>
      <c r="D600" s="312" t="n"/>
      <c r="E600" s="312" t="n"/>
      <c r="F600" s="312" t="n"/>
      <c r="G600" s="312" t="n"/>
      <c r="H600" s="312" t="n"/>
      <c r="I600" s="313" t="n"/>
      <c r="J600" s="314" t="n"/>
      <c r="K600" s="170" t="n"/>
      <c r="L600" s="170" t="n"/>
      <c r="M600" s="6" t="n"/>
      <c r="N600" s="6" t="n"/>
      <c r="O600" s="6" t="n"/>
    </row>
    <row r="601">
      <c r="B601" s="170" t="n">
        <v>588</v>
      </c>
      <c r="C601" s="170" t="n"/>
      <c r="D601" s="312" t="n"/>
      <c r="E601" s="312" t="n"/>
      <c r="F601" s="312" t="n"/>
      <c r="G601" s="312" t="n"/>
      <c r="H601" s="312" t="n"/>
      <c r="I601" s="313" t="n"/>
      <c r="J601" s="314" t="n"/>
      <c r="K601" s="170" t="n"/>
      <c r="L601" s="170" t="n"/>
      <c r="M601" s="6" t="n"/>
      <c r="N601" s="6" t="n"/>
      <c r="O601" s="6" t="n"/>
    </row>
    <row r="602">
      <c r="B602" s="170" t="n">
        <v>589</v>
      </c>
      <c r="C602" s="170" t="n"/>
      <c r="D602" s="312" t="n"/>
      <c r="E602" s="312" t="n"/>
      <c r="F602" s="312" t="n"/>
      <c r="G602" s="312" t="n"/>
      <c r="H602" s="312" t="n"/>
      <c r="I602" s="313" t="n"/>
      <c r="J602" s="314" t="n"/>
      <c r="K602" s="170" t="n"/>
      <c r="L602" s="170" t="n"/>
      <c r="M602" s="6" t="n"/>
      <c r="N602" s="6" t="n"/>
      <c r="O602" s="6" t="n"/>
    </row>
    <row r="603">
      <c r="B603" s="170" t="n">
        <v>590</v>
      </c>
      <c r="C603" s="170" t="n"/>
      <c r="D603" s="312" t="n"/>
      <c r="E603" s="312" t="n"/>
      <c r="F603" s="312" t="n"/>
      <c r="G603" s="312" t="n"/>
      <c r="H603" s="312" t="n"/>
      <c r="I603" s="313" t="n"/>
      <c r="J603" s="314" t="n"/>
      <c r="K603" s="170" t="n"/>
      <c r="L603" s="170" t="n"/>
      <c r="M603" s="6" t="n"/>
      <c r="N603" s="6" t="n"/>
      <c r="O603" s="6" t="n"/>
    </row>
    <row r="604">
      <c r="B604" s="170" t="n">
        <v>591</v>
      </c>
      <c r="C604" s="170" t="n"/>
      <c r="D604" s="312" t="n"/>
      <c r="E604" s="312" t="n"/>
      <c r="F604" s="312" t="n"/>
      <c r="G604" s="312" t="n"/>
      <c r="H604" s="312" t="n"/>
      <c r="I604" s="313" t="n"/>
      <c r="J604" s="314" t="n"/>
      <c r="K604" s="170" t="n"/>
      <c r="L604" s="170" t="n"/>
      <c r="M604" s="6" t="n"/>
      <c r="N604" s="6" t="n"/>
      <c r="O604" s="6" t="n"/>
    </row>
    <row r="605">
      <c r="B605" s="170" t="n">
        <v>592</v>
      </c>
      <c r="C605" s="170" t="n"/>
      <c r="D605" s="312" t="n"/>
      <c r="E605" s="312" t="n"/>
      <c r="F605" s="312" t="n"/>
      <c r="G605" s="312" t="n"/>
      <c r="H605" s="312" t="n"/>
      <c r="I605" s="313" t="n"/>
      <c r="J605" s="314" t="n"/>
      <c r="K605" s="170" t="n"/>
      <c r="L605" s="170" t="n"/>
      <c r="M605" s="6" t="n"/>
      <c r="N605" s="6" t="n"/>
      <c r="O605" s="6" t="n"/>
    </row>
    <row r="606">
      <c r="B606" s="170" t="n">
        <v>593</v>
      </c>
      <c r="C606" s="170" t="n"/>
      <c r="D606" s="312" t="n"/>
      <c r="E606" s="312" t="n"/>
      <c r="F606" s="312" t="n"/>
      <c r="G606" s="312" t="n"/>
      <c r="H606" s="312" t="n"/>
      <c r="I606" s="313" t="n"/>
      <c r="J606" s="314" t="n"/>
      <c r="K606" s="170" t="n"/>
      <c r="L606" s="170" t="n"/>
      <c r="M606" s="6" t="n"/>
      <c r="N606" s="6" t="n"/>
      <c r="O606" s="6" t="n"/>
    </row>
    <row r="607">
      <c r="B607" s="170" t="n">
        <v>594</v>
      </c>
      <c r="C607" s="170" t="n"/>
      <c r="D607" s="312" t="n"/>
      <c r="E607" s="312" t="n"/>
      <c r="F607" s="312" t="n"/>
      <c r="G607" s="312" t="n"/>
      <c r="H607" s="312" t="n"/>
      <c r="I607" s="313" t="n"/>
      <c r="J607" s="314" t="n"/>
      <c r="K607" s="170" t="n"/>
      <c r="L607" s="170" t="n"/>
      <c r="M607" s="6" t="n"/>
      <c r="N607" s="6" t="n"/>
      <c r="O607" s="6" t="n"/>
    </row>
    <row r="608">
      <c r="B608" s="170" t="n">
        <v>595</v>
      </c>
      <c r="C608" s="170" t="n"/>
      <c r="D608" s="312" t="n"/>
      <c r="E608" s="312" t="n"/>
      <c r="F608" s="312" t="n"/>
      <c r="G608" s="312" t="n"/>
      <c r="H608" s="312" t="n"/>
      <c r="I608" s="313" t="n"/>
      <c r="J608" s="314" t="n"/>
      <c r="K608" s="170" t="n"/>
      <c r="L608" s="170" t="n"/>
      <c r="M608" s="6" t="n"/>
      <c r="N608" s="6" t="n"/>
      <c r="O608" s="6" t="n"/>
    </row>
    <row r="609">
      <c r="B609" s="170" t="n">
        <v>596</v>
      </c>
      <c r="C609" s="170" t="n"/>
      <c r="D609" s="312" t="n"/>
      <c r="E609" s="312" t="n"/>
      <c r="F609" s="312" t="n"/>
      <c r="G609" s="312" t="n"/>
      <c r="H609" s="312" t="n"/>
      <c r="I609" s="313" t="n"/>
      <c r="J609" s="314" t="n"/>
      <c r="K609" s="170" t="n"/>
      <c r="L609" s="170" t="n"/>
      <c r="M609" s="6" t="n"/>
      <c r="N609" s="6" t="n"/>
      <c r="O609" s="6" t="n"/>
    </row>
    <row r="610">
      <c r="B610" s="170" t="n">
        <v>597</v>
      </c>
      <c r="C610" s="170" t="n"/>
      <c r="D610" s="312" t="n"/>
      <c r="E610" s="312" t="n"/>
      <c r="F610" s="312" t="n"/>
      <c r="G610" s="312" t="n"/>
      <c r="H610" s="312" t="n"/>
      <c r="I610" s="313" t="n"/>
      <c r="J610" s="314" t="n"/>
      <c r="K610" s="170" t="n"/>
      <c r="L610" s="170" t="n"/>
      <c r="M610" s="6" t="n"/>
      <c r="N610" s="6" t="n"/>
      <c r="O610" s="6" t="n"/>
    </row>
    <row r="611">
      <c r="B611" s="170" t="n">
        <v>598</v>
      </c>
      <c r="C611" s="170" t="n"/>
      <c r="D611" s="312" t="n"/>
      <c r="E611" s="312" t="n"/>
      <c r="F611" s="312" t="n"/>
      <c r="G611" s="312" t="n"/>
      <c r="H611" s="312" t="n"/>
      <c r="I611" s="313" t="n"/>
      <c r="J611" s="314" t="n"/>
      <c r="K611" s="170" t="n"/>
      <c r="L611" s="170" t="n"/>
      <c r="M611" s="6" t="n"/>
      <c r="N611" s="6" t="n"/>
      <c r="O611" s="6" t="n"/>
    </row>
    <row r="612">
      <c r="B612" s="170" t="n">
        <v>599</v>
      </c>
      <c r="C612" s="170" t="n"/>
      <c r="D612" s="312" t="n"/>
      <c r="E612" s="312" t="n"/>
      <c r="F612" s="312" t="n"/>
      <c r="G612" s="312" t="n"/>
      <c r="H612" s="312" t="n"/>
      <c r="I612" s="313" t="n"/>
      <c r="J612" s="314" t="n"/>
      <c r="K612" s="170" t="n"/>
      <c r="L612" s="170" t="n"/>
      <c r="M612" s="6" t="n"/>
      <c r="N612" s="6" t="n"/>
      <c r="O612" s="6" t="n"/>
    </row>
    <row r="613">
      <c r="B613" s="170" t="n">
        <v>600</v>
      </c>
      <c r="C613" s="170" t="n"/>
      <c r="D613" s="312" t="n"/>
      <c r="E613" s="312" t="n"/>
      <c r="F613" s="312" t="n"/>
      <c r="G613" s="312" t="n"/>
      <c r="H613" s="312" t="n"/>
      <c r="I613" s="313" t="n"/>
      <c r="J613" s="314" t="n"/>
      <c r="K613" s="170" t="n"/>
      <c r="L613" s="170" t="n"/>
      <c r="M613" s="6" t="n"/>
      <c r="N613" s="6" t="n"/>
      <c r="O613" s="6" t="n"/>
    </row>
    <row r="614">
      <c r="B614" s="170" t="n">
        <v>601</v>
      </c>
      <c r="C614" s="170" t="n"/>
      <c r="D614" s="312" t="n"/>
      <c r="E614" s="312" t="n"/>
      <c r="F614" s="312" t="n"/>
      <c r="G614" s="312" t="n"/>
      <c r="H614" s="312" t="n"/>
      <c r="I614" s="313" t="n"/>
      <c r="J614" s="314" t="n"/>
      <c r="K614" s="170" t="n"/>
      <c r="L614" s="170" t="n"/>
      <c r="M614" s="6" t="n"/>
      <c r="N614" s="6" t="n"/>
      <c r="O614" s="6" t="n"/>
    </row>
    <row r="615">
      <c r="B615" s="170" t="n">
        <v>602</v>
      </c>
      <c r="C615" s="170" t="n"/>
      <c r="D615" s="312" t="n"/>
      <c r="E615" s="312" t="n"/>
      <c r="F615" s="312" t="n"/>
      <c r="G615" s="312" t="n"/>
      <c r="H615" s="312" t="n"/>
      <c r="I615" s="313" t="n"/>
      <c r="J615" s="314" t="n"/>
      <c r="K615" s="170" t="n"/>
      <c r="L615" s="170" t="n"/>
      <c r="M615" s="6" t="n"/>
      <c r="N615" s="6" t="n"/>
      <c r="O615" s="6" t="n"/>
    </row>
    <row r="616">
      <c r="B616" s="170" t="n">
        <v>603</v>
      </c>
      <c r="C616" s="170" t="n"/>
      <c r="D616" s="312" t="n"/>
      <c r="E616" s="312" t="n"/>
      <c r="F616" s="312" t="n"/>
      <c r="G616" s="312" t="n"/>
      <c r="H616" s="312" t="n"/>
      <c r="I616" s="313" t="n"/>
      <c r="J616" s="314" t="n"/>
      <c r="K616" s="170" t="n"/>
      <c r="L616" s="170" t="n"/>
      <c r="M616" s="6" t="n"/>
      <c r="N616" s="6" t="n"/>
      <c r="O616" s="6" t="n"/>
    </row>
    <row r="617">
      <c r="B617" s="170" t="n">
        <v>604</v>
      </c>
      <c r="C617" s="170" t="n"/>
      <c r="D617" s="312" t="n"/>
      <c r="E617" s="312" t="n"/>
      <c r="F617" s="312" t="n"/>
      <c r="G617" s="312" t="n"/>
      <c r="H617" s="312" t="n"/>
      <c r="I617" s="313" t="n"/>
      <c r="J617" s="314" t="n"/>
      <c r="K617" s="170" t="n"/>
      <c r="L617" s="170" t="n"/>
      <c r="M617" s="6" t="n"/>
      <c r="N617" s="6" t="n"/>
      <c r="O617" s="6" t="n"/>
    </row>
    <row r="618">
      <c r="B618" s="170" t="n">
        <v>605</v>
      </c>
      <c r="C618" s="170" t="n"/>
      <c r="D618" s="312" t="n"/>
      <c r="E618" s="312" t="n"/>
      <c r="F618" s="312" t="n"/>
      <c r="G618" s="312" t="n"/>
      <c r="H618" s="312" t="n"/>
      <c r="I618" s="313" t="n"/>
      <c r="J618" s="314" t="n"/>
      <c r="K618" s="170" t="n"/>
      <c r="L618" s="170" t="n"/>
      <c r="M618" s="6" t="n"/>
      <c r="N618" s="6" t="n"/>
      <c r="O618" s="6" t="n"/>
    </row>
    <row r="619">
      <c r="B619" s="170" t="n">
        <v>606</v>
      </c>
      <c r="C619" s="170" t="n"/>
      <c r="D619" s="312" t="n"/>
      <c r="E619" s="312" t="n"/>
      <c r="F619" s="312" t="n"/>
      <c r="G619" s="312" t="n"/>
      <c r="H619" s="312" t="n"/>
      <c r="I619" s="313" t="n"/>
      <c r="J619" s="314" t="n"/>
      <c r="K619" s="170" t="n"/>
      <c r="L619" s="170" t="n"/>
      <c r="M619" s="6" t="n"/>
      <c r="N619" s="6" t="n"/>
      <c r="O619" s="6" t="n"/>
    </row>
    <row r="620">
      <c r="B620" s="170" t="n">
        <v>607</v>
      </c>
      <c r="C620" s="170" t="n"/>
      <c r="D620" s="312" t="n"/>
      <c r="E620" s="312" t="n"/>
      <c r="F620" s="312" t="n"/>
      <c r="G620" s="312" t="n"/>
      <c r="H620" s="312" t="n"/>
      <c r="I620" s="313" t="n"/>
      <c r="J620" s="314" t="n"/>
      <c r="K620" s="170" t="n"/>
      <c r="L620" s="170" t="n"/>
      <c r="M620" s="6" t="n"/>
      <c r="N620" s="6" t="n"/>
      <c r="O620" s="6" t="n"/>
    </row>
    <row r="621">
      <c r="B621" s="170" t="n">
        <v>608</v>
      </c>
      <c r="C621" s="170" t="n"/>
      <c r="D621" s="312" t="n"/>
      <c r="E621" s="312" t="n"/>
      <c r="F621" s="312" t="n"/>
      <c r="G621" s="312" t="n"/>
      <c r="H621" s="312" t="n"/>
      <c r="I621" s="313" t="n"/>
      <c r="J621" s="314" t="n"/>
      <c r="K621" s="170" t="n"/>
      <c r="L621" s="170" t="n"/>
      <c r="M621" s="6" t="n"/>
      <c r="N621" s="6" t="n"/>
      <c r="O621" s="6" t="n"/>
    </row>
    <row r="622">
      <c r="B622" s="170" t="n">
        <v>609</v>
      </c>
      <c r="C622" s="170" t="n"/>
      <c r="D622" s="312" t="n"/>
      <c r="E622" s="312" t="n"/>
      <c r="F622" s="312" t="n"/>
      <c r="G622" s="312" t="n"/>
      <c r="H622" s="312" t="n"/>
      <c r="I622" s="313" t="n"/>
      <c r="J622" s="314" t="n"/>
      <c r="K622" s="170" t="n"/>
      <c r="L622" s="170" t="n"/>
      <c r="M622" s="6" t="n"/>
      <c r="N622" s="6" t="n"/>
      <c r="O622" s="6" t="n"/>
    </row>
    <row r="623">
      <c r="B623" s="170" t="n">
        <v>610</v>
      </c>
      <c r="C623" s="170" t="n"/>
      <c r="D623" s="312" t="n"/>
      <c r="E623" s="312" t="n"/>
      <c r="F623" s="312" t="n"/>
      <c r="G623" s="312" t="n"/>
      <c r="H623" s="312" t="n"/>
      <c r="I623" s="313" t="n"/>
      <c r="J623" s="314" t="n"/>
      <c r="K623" s="170" t="n"/>
      <c r="L623" s="170" t="n"/>
      <c r="M623" s="6" t="n"/>
      <c r="N623" s="6" t="n"/>
      <c r="O623" s="6" t="n"/>
    </row>
    <row r="624">
      <c r="B624" s="170" t="n">
        <v>611</v>
      </c>
      <c r="C624" s="170" t="n"/>
      <c r="D624" s="312" t="n"/>
      <c r="E624" s="312" t="n"/>
      <c r="F624" s="312" t="n"/>
      <c r="G624" s="312" t="n"/>
      <c r="H624" s="312" t="n"/>
      <c r="I624" s="313" t="n"/>
      <c r="J624" s="314" t="n"/>
      <c r="K624" s="170" t="n"/>
      <c r="L624" s="170" t="n"/>
      <c r="M624" s="6" t="n"/>
      <c r="N624" s="6" t="n"/>
      <c r="O624" s="6" t="n"/>
    </row>
    <row r="625">
      <c r="B625" s="170" t="n">
        <v>612</v>
      </c>
      <c r="C625" s="170" t="n"/>
      <c r="D625" s="312" t="n"/>
      <c r="E625" s="312" t="n"/>
      <c r="F625" s="312" t="n"/>
      <c r="G625" s="312" t="n"/>
      <c r="H625" s="312" t="n"/>
      <c r="I625" s="313" t="n"/>
      <c r="J625" s="314" t="n"/>
      <c r="K625" s="170" t="n"/>
      <c r="L625" s="170" t="n"/>
      <c r="M625" s="6" t="n"/>
      <c r="N625" s="6" t="n"/>
      <c r="O625" s="6" t="n"/>
    </row>
    <row r="626">
      <c r="B626" s="170" t="n">
        <v>613</v>
      </c>
      <c r="C626" s="170" t="n"/>
      <c r="D626" s="312" t="n"/>
      <c r="E626" s="312" t="n"/>
      <c r="F626" s="312" t="n"/>
      <c r="G626" s="312" t="n"/>
      <c r="H626" s="312" t="n"/>
      <c r="I626" s="313" t="n"/>
      <c r="J626" s="314" t="n"/>
      <c r="K626" s="170" t="n"/>
      <c r="L626" s="170" t="n"/>
      <c r="M626" s="6" t="n"/>
      <c r="N626" s="6" t="n"/>
      <c r="O626" s="6" t="n"/>
    </row>
    <row r="627">
      <c r="B627" s="170" t="n">
        <v>614</v>
      </c>
      <c r="C627" s="170" t="n"/>
      <c r="D627" s="312" t="n"/>
      <c r="E627" s="312" t="n"/>
      <c r="F627" s="312" t="n"/>
      <c r="G627" s="312" t="n"/>
      <c r="H627" s="312" t="n"/>
      <c r="I627" s="313" t="n"/>
      <c r="J627" s="314" t="n"/>
      <c r="K627" s="170" t="n"/>
      <c r="L627" s="170" t="n"/>
      <c r="M627" s="6" t="n"/>
      <c r="N627" s="6" t="n"/>
      <c r="O627" s="6" t="n"/>
    </row>
    <row r="628">
      <c r="B628" s="170" t="n">
        <v>615</v>
      </c>
      <c r="C628" s="170" t="n"/>
      <c r="D628" s="312" t="n"/>
      <c r="E628" s="312" t="n"/>
      <c r="F628" s="312" t="n"/>
      <c r="G628" s="312" t="n"/>
      <c r="H628" s="312" t="n"/>
      <c r="I628" s="313" t="n"/>
      <c r="J628" s="314" t="n"/>
      <c r="K628" s="170" t="n"/>
      <c r="L628" s="170" t="n"/>
      <c r="M628" s="6" t="n"/>
      <c r="N628" s="6" t="n"/>
      <c r="O628" s="6" t="n"/>
    </row>
    <row r="629">
      <c r="B629" s="170" t="n">
        <v>616</v>
      </c>
      <c r="C629" s="170" t="n"/>
      <c r="D629" s="312" t="n"/>
      <c r="E629" s="312" t="n"/>
      <c r="F629" s="312" t="n"/>
      <c r="G629" s="312" t="n"/>
      <c r="H629" s="312" t="n"/>
      <c r="I629" s="313" t="n"/>
      <c r="J629" s="314" t="n"/>
      <c r="K629" s="170" t="n"/>
      <c r="L629" s="170" t="n"/>
      <c r="M629" s="6" t="n"/>
      <c r="N629" s="6" t="n"/>
      <c r="O629" s="6" t="n"/>
    </row>
    <row r="630">
      <c r="B630" s="170" t="n">
        <v>617</v>
      </c>
      <c r="C630" s="170" t="n"/>
      <c r="D630" s="312" t="n"/>
      <c r="E630" s="312" t="n"/>
      <c r="F630" s="312" t="n"/>
      <c r="G630" s="312" t="n"/>
      <c r="H630" s="312" t="n"/>
      <c r="I630" s="313" t="n"/>
      <c r="J630" s="314" t="n"/>
      <c r="K630" s="170" t="n"/>
      <c r="L630" s="170" t="n"/>
      <c r="M630" s="6" t="n"/>
      <c r="N630" s="6" t="n"/>
      <c r="O630" s="6" t="n"/>
    </row>
    <row r="631">
      <c r="B631" s="170" t="n">
        <v>618</v>
      </c>
      <c r="C631" s="170" t="n"/>
      <c r="D631" s="312" t="n"/>
      <c r="E631" s="312" t="n"/>
      <c r="F631" s="312" t="n"/>
      <c r="G631" s="312" t="n"/>
      <c r="H631" s="312" t="n"/>
      <c r="I631" s="313" t="n"/>
      <c r="J631" s="314" t="n"/>
      <c r="K631" s="170" t="n"/>
      <c r="L631" s="170" t="n"/>
      <c r="M631" s="6" t="n"/>
      <c r="N631" s="6" t="n"/>
      <c r="O631" s="6" t="n"/>
    </row>
    <row r="632">
      <c r="B632" s="170" t="n">
        <v>619</v>
      </c>
      <c r="C632" s="170" t="n"/>
      <c r="D632" s="312" t="n"/>
      <c r="E632" s="312" t="n"/>
      <c r="F632" s="312" t="n"/>
      <c r="G632" s="312" t="n"/>
      <c r="H632" s="312" t="n"/>
      <c r="I632" s="313" t="n"/>
      <c r="J632" s="314" t="n"/>
      <c r="K632" s="170" t="n"/>
      <c r="L632" s="170" t="n"/>
      <c r="M632" s="6" t="n"/>
      <c r="N632" s="6" t="n"/>
      <c r="O632" s="6" t="n"/>
    </row>
    <row r="633">
      <c r="B633" s="170" t="n">
        <v>620</v>
      </c>
      <c r="C633" s="170" t="n"/>
      <c r="D633" s="312" t="n"/>
      <c r="E633" s="312" t="n"/>
      <c r="F633" s="312" t="n"/>
      <c r="G633" s="312" t="n"/>
      <c r="H633" s="312" t="n"/>
      <c r="I633" s="313" t="n"/>
      <c r="J633" s="314" t="n"/>
      <c r="K633" s="170" t="n"/>
      <c r="L633" s="170" t="n"/>
      <c r="M633" s="6" t="n"/>
      <c r="N633" s="6" t="n"/>
      <c r="O633" s="6" t="n"/>
    </row>
    <row r="634">
      <c r="B634" s="170" t="n">
        <v>621</v>
      </c>
      <c r="C634" s="170" t="n"/>
      <c r="D634" s="312" t="n"/>
      <c r="E634" s="312" t="n"/>
      <c r="F634" s="312" t="n"/>
      <c r="G634" s="312" t="n"/>
      <c r="H634" s="312" t="n"/>
      <c r="I634" s="313" t="n"/>
      <c r="J634" s="314" t="n"/>
      <c r="K634" s="170" t="n"/>
      <c r="L634" s="170" t="n"/>
      <c r="M634" s="6" t="n"/>
      <c r="N634" s="6" t="n"/>
      <c r="O634" s="6" t="n"/>
    </row>
    <row r="635">
      <c r="B635" s="170" t="n">
        <v>622</v>
      </c>
      <c r="C635" s="170" t="n"/>
      <c r="D635" s="312" t="n"/>
      <c r="E635" s="312" t="n"/>
      <c r="F635" s="312" t="n"/>
      <c r="G635" s="312" t="n"/>
      <c r="H635" s="312" t="n"/>
      <c r="I635" s="313" t="n"/>
      <c r="J635" s="314" t="n"/>
      <c r="K635" s="170" t="n"/>
      <c r="L635" s="170" t="n"/>
      <c r="M635" s="6" t="n"/>
      <c r="N635" s="6" t="n"/>
      <c r="O635" s="6" t="n"/>
    </row>
    <row r="636">
      <c r="B636" s="170" t="n">
        <v>623</v>
      </c>
      <c r="C636" s="170" t="n"/>
      <c r="D636" s="312" t="n"/>
      <c r="E636" s="312" t="n"/>
      <c r="F636" s="312" t="n"/>
      <c r="G636" s="312" t="n"/>
      <c r="H636" s="312" t="n"/>
      <c r="I636" s="313" t="n"/>
      <c r="J636" s="314" t="n"/>
      <c r="K636" s="170" t="n"/>
      <c r="L636" s="170" t="n"/>
      <c r="M636" s="6" t="n"/>
      <c r="N636" s="6" t="n"/>
      <c r="O636" s="6" t="n"/>
    </row>
    <row r="637">
      <c r="B637" s="170" t="n">
        <v>624</v>
      </c>
      <c r="C637" s="170" t="n"/>
      <c r="D637" s="312" t="n"/>
      <c r="E637" s="312" t="n"/>
      <c r="F637" s="312" t="n"/>
      <c r="G637" s="312" t="n"/>
      <c r="H637" s="312" t="n"/>
      <c r="I637" s="313" t="n"/>
      <c r="J637" s="314" t="n"/>
      <c r="K637" s="170" t="n"/>
      <c r="L637" s="170" t="n"/>
      <c r="M637" s="6" t="n"/>
      <c r="N637" s="6" t="n"/>
      <c r="O637" s="6" t="n"/>
    </row>
    <row r="638">
      <c r="B638" s="170" t="n">
        <v>625</v>
      </c>
      <c r="C638" s="170" t="n"/>
      <c r="D638" s="312" t="n"/>
      <c r="E638" s="312" t="n"/>
      <c r="F638" s="312" t="n"/>
      <c r="G638" s="312" t="n"/>
      <c r="H638" s="312" t="n"/>
      <c r="I638" s="313" t="n"/>
      <c r="J638" s="314" t="n"/>
      <c r="K638" s="170" t="n"/>
      <c r="L638" s="170" t="n"/>
      <c r="M638" s="6" t="n"/>
      <c r="N638" s="6" t="n"/>
      <c r="O638" s="6" t="n"/>
    </row>
    <row r="639">
      <c r="B639" s="170" t="n">
        <v>626</v>
      </c>
      <c r="C639" s="170" t="n"/>
      <c r="D639" s="312" t="n"/>
      <c r="E639" s="312" t="n"/>
      <c r="F639" s="312" t="n"/>
      <c r="G639" s="312" t="n"/>
      <c r="H639" s="312" t="n"/>
      <c r="I639" s="313" t="n"/>
      <c r="J639" s="314" t="n"/>
      <c r="K639" s="170" t="n"/>
      <c r="L639" s="170" t="n"/>
      <c r="M639" s="6" t="n"/>
      <c r="N639" s="6" t="n"/>
      <c r="O639" s="6" t="n"/>
    </row>
    <row r="640">
      <c r="B640" s="170" t="n">
        <v>627</v>
      </c>
      <c r="C640" s="170" t="n"/>
      <c r="D640" s="312" t="n"/>
      <c r="E640" s="312" t="n"/>
      <c r="F640" s="312" t="n"/>
      <c r="G640" s="312" t="n"/>
      <c r="H640" s="312" t="n"/>
      <c r="I640" s="313" t="n"/>
      <c r="J640" s="314" t="n"/>
      <c r="K640" s="170" t="n"/>
      <c r="L640" s="170" t="n"/>
      <c r="M640" s="6" t="n"/>
      <c r="N640" s="6" t="n"/>
      <c r="O640" s="6" t="n"/>
    </row>
    <row r="641">
      <c r="B641" s="170" t="n">
        <v>628</v>
      </c>
      <c r="C641" s="170" t="n"/>
      <c r="D641" s="312" t="n"/>
      <c r="E641" s="312" t="n"/>
      <c r="F641" s="312" t="n"/>
      <c r="G641" s="312" t="n"/>
      <c r="H641" s="312" t="n"/>
      <c r="I641" s="313" t="n"/>
      <c r="J641" s="314" t="n"/>
      <c r="K641" s="170" t="n"/>
      <c r="L641" s="170" t="n"/>
      <c r="M641" s="6" t="n"/>
      <c r="N641" s="6" t="n"/>
      <c r="O641" s="6" t="n"/>
    </row>
    <row r="642">
      <c r="B642" s="170" t="n">
        <v>629</v>
      </c>
      <c r="C642" s="170" t="n"/>
      <c r="D642" s="312" t="n"/>
      <c r="E642" s="312" t="n"/>
      <c r="F642" s="312" t="n"/>
      <c r="G642" s="312" t="n"/>
      <c r="H642" s="312" t="n"/>
      <c r="I642" s="313" t="n"/>
      <c r="J642" s="314" t="n"/>
      <c r="K642" s="170" t="n"/>
      <c r="L642" s="170" t="n"/>
      <c r="M642" s="6" t="n"/>
      <c r="N642" s="6" t="n"/>
      <c r="O642" s="6" t="n"/>
    </row>
    <row r="643">
      <c r="B643" s="170" t="n">
        <v>630</v>
      </c>
      <c r="C643" s="170" t="n"/>
      <c r="D643" s="312" t="n"/>
      <c r="E643" s="312" t="n"/>
      <c r="F643" s="312" t="n"/>
      <c r="G643" s="312" t="n"/>
      <c r="H643" s="312" t="n"/>
      <c r="I643" s="313" t="n"/>
      <c r="J643" s="314" t="n"/>
      <c r="K643" s="170" t="n"/>
      <c r="L643" s="170" t="n"/>
      <c r="M643" s="6" t="n"/>
      <c r="N643" s="6" t="n"/>
      <c r="O643" s="6" t="n"/>
    </row>
    <row r="644">
      <c r="B644" s="170" t="n">
        <v>631</v>
      </c>
      <c r="C644" s="170" t="n"/>
      <c r="D644" s="312" t="n"/>
      <c r="E644" s="312" t="n"/>
      <c r="F644" s="312" t="n"/>
      <c r="G644" s="312" t="n"/>
      <c r="H644" s="312" t="n"/>
      <c r="I644" s="313" t="n"/>
      <c r="J644" s="314" t="n"/>
      <c r="K644" s="170" t="n"/>
      <c r="L644" s="170" t="n"/>
      <c r="M644" s="6" t="n"/>
      <c r="N644" s="6" t="n"/>
      <c r="O644" s="6" t="n"/>
    </row>
    <row r="645">
      <c r="B645" s="170" t="n">
        <v>632</v>
      </c>
      <c r="C645" s="170" t="n"/>
      <c r="D645" s="312" t="n"/>
      <c r="E645" s="312" t="n"/>
      <c r="F645" s="312" t="n"/>
      <c r="G645" s="312" t="n"/>
      <c r="H645" s="312" t="n"/>
      <c r="I645" s="313" t="n"/>
      <c r="J645" s="314" t="n"/>
      <c r="K645" s="170" t="n"/>
      <c r="L645" s="170" t="n"/>
      <c r="M645" s="6" t="n"/>
      <c r="N645" s="6" t="n"/>
      <c r="O645" s="6" t="n"/>
    </row>
    <row r="646">
      <c r="B646" s="170" t="n">
        <v>633</v>
      </c>
      <c r="C646" s="170" t="n"/>
      <c r="D646" s="312" t="n"/>
      <c r="E646" s="312" t="n"/>
      <c r="F646" s="312" t="n"/>
      <c r="G646" s="312" t="n"/>
      <c r="H646" s="312" t="n"/>
      <c r="I646" s="313" t="n"/>
      <c r="J646" s="314" t="n"/>
      <c r="K646" s="170" t="n"/>
      <c r="L646" s="170" t="n"/>
      <c r="M646" s="6" t="n"/>
      <c r="N646" s="6" t="n"/>
      <c r="O646" s="6" t="n"/>
    </row>
    <row r="647">
      <c r="B647" s="170" t="n">
        <v>634</v>
      </c>
      <c r="C647" s="170" t="n"/>
      <c r="D647" s="312" t="n"/>
      <c r="E647" s="312" t="n"/>
      <c r="F647" s="312" t="n"/>
      <c r="G647" s="312" t="n"/>
      <c r="H647" s="312" t="n"/>
      <c r="I647" s="313" t="n"/>
      <c r="J647" s="314" t="n"/>
      <c r="K647" s="170" t="n"/>
      <c r="L647" s="170" t="n"/>
      <c r="M647" s="6" t="n"/>
      <c r="N647" s="6" t="n"/>
      <c r="O647" s="6" t="n"/>
    </row>
    <row r="648">
      <c r="B648" s="170" t="n">
        <v>635</v>
      </c>
      <c r="C648" s="170" t="n"/>
      <c r="D648" s="312" t="n"/>
      <c r="E648" s="312" t="n"/>
      <c r="F648" s="312" t="n"/>
      <c r="G648" s="312" t="n"/>
      <c r="H648" s="312" t="n"/>
      <c r="I648" s="313" t="n"/>
      <c r="J648" s="314" t="n"/>
      <c r="K648" s="170" t="n"/>
      <c r="L648" s="170" t="n"/>
      <c r="M648" s="6" t="n"/>
      <c r="N648" s="6" t="n"/>
      <c r="O648" s="6" t="n"/>
    </row>
    <row r="649">
      <c r="B649" s="170" t="n">
        <v>636</v>
      </c>
      <c r="C649" s="170" t="n"/>
      <c r="D649" s="312" t="n"/>
      <c r="E649" s="312" t="n"/>
      <c r="F649" s="312" t="n"/>
      <c r="G649" s="312" t="n"/>
      <c r="H649" s="312" t="n"/>
      <c r="I649" s="313" t="n"/>
      <c r="J649" s="314" t="n"/>
      <c r="K649" s="170" t="n"/>
      <c r="L649" s="170" t="n"/>
      <c r="M649" s="6" t="n"/>
      <c r="N649" s="6" t="n"/>
      <c r="O649" s="6" t="n"/>
    </row>
    <row r="650">
      <c r="B650" s="170" t="n">
        <v>637</v>
      </c>
      <c r="C650" s="170" t="n"/>
      <c r="D650" s="312" t="n"/>
      <c r="E650" s="312" t="n"/>
      <c r="F650" s="312" t="n"/>
      <c r="G650" s="312" t="n"/>
      <c r="H650" s="312" t="n"/>
      <c r="I650" s="313" t="n"/>
      <c r="J650" s="314" t="n"/>
      <c r="K650" s="170" t="n"/>
      <c r="L650" s="170" t="n"/>
      <c r="M650" s="6" t="n"/>
      <c r="N650" s="6" t="n"/>
      <c r="O650" s="6" t="n"/>
    </row>
    <row r="651">
      <c r="B651" s="170" t="n">
        <v>638</v>
      </c>
      <c r="C651" s="170" t="n"/>
      <c r="D651" s="312" t="n"/>
      <c r="E651" s="312" t="n"/>
      <c r="F651" s="312" t="n"/>
      <c r="G651" s="312" t="n"/>
      <c r="H651" s="312" t="n"/>
      <c r="I651" s="313" t="n"/>
      <c r="J651" s="314" t="n"/>
      <c r="K651" s="170" t="n"/>
      <c r="L651" s="170" t="n"/>
      <c r="M651" s="6" t="n"/>
      <c r="N651" s="6" t="n"/>
      <c r="O651" s="6" t="n"/>
    </row>
    <row r="652">
      <c r="B652" s="170" t="n">
        <v>639</v>
      </c>
      <c r="C652" s="170" t="n"/>
      <c r="D652" s="312" t="n"/>
      <c r="E652" s="312" t="n"/>
      <c r="F652" s="312" t="n"/>
      <c r="G652" s="312" t="n"/>
      <c r="H652" s="312" t="n"/>
      <c r="I652" s="313" t="n"/>
      <c r="J652" s="314" t="n"/>
      <c r="K652" s="170" t="n"/>
      <c r="L652" s="170" t="n"/>
      <c r="M652" s="6" t="n"/>
      <c r="N652" s="6" t="n"/>
      <c r="O652" s="6" t="n"/>
    </row>
    <row r="653">
      <c r="B653" s="170" t="n">
        <v>640</v>
      </c>
      <c r="C653" s="170" t="n"/>
      <c r="D653" s="312" t="n"/>
      <c r="E653" s="312" t="n"/>
      <c r="F653" s="312" t="n"/>
      <c r="G653" s="312" t="n"/>
      <c r="H653" s="312" t="n"/>
      <c r="I653" s="313" t="n"/>
      <c r="J653" s="314" t="n"/>
      <c r="K653" s="170" t="n"/>
      <c r="L653" s="170" t="n"/>
      <c r="M653" s="6" t="n"/>
      <c r="N653" s="6" t="n"/>
      <c r="O653" s="6" t="n"/>
    </row>
    <row r="654">
      <c r="B654" s="170" t="n">
        <v>641</v>
      </c>
      <c r="C654" s="170" t="n"/>
      <c r="D654" s="312" t="n"/>
      <c r="E654" s="312" t="n"/>
      <c r="F654" s="312" t="n"/>
      <c r="G654" s="312" t="n"/>
      <c r="H654" s="312" t="n"/>
      <c r="I654" s="313" t="n"/>
      <c r="J654" s="314" t="n"/>
      <c r="K654" s="170" t="n"/>
      <c r="L654" s="170" t="n"/>
      <c r="M654" s="6" t="n"/>
      <c r="N654" s="6" t="n"/>
      <c r="O654" s="6" t="n"/>
    </row>
    <row r="655">
      <c r="B655" s="170" t="n">
        <v>642</v>
      </c>
      <c r="C655" s="170" t="n"/>
      <c r="D655" s="312" t="n"/>
      <c r="E655" s="312" t="n"/>
      <c r="F655" s="312" t="n"/>
      <c r="G655" s="312" t="n"/>
      <c r="H655" s="312" t="n"/>
      <c r="I655" s="313" t="n"/>
      <c r="J655" s="314" t="n"/>
      <c r="K655" s="170" t="n"/>
      <c r="L655" s="170" t="n"/>
      <c r="M655" s="6" t="n"/>
      <c r="N655" s="6" t="n"/>
      <c r="O655" s="6" t="n"/>
    </row>
    <row r="656">
      <c r="B656" s="170" t="n">
        <v>643</v>
      </c>
      <c r="C656" s="170" t="n"/>
      <c r="D656" s="312" t="n"/>
      <c r="E656" s="312" t="n"/>
      <c r="F656" s="312" t="n"/>
      <c r="G656" s="312" t="n"/>
      <c r="H656" s="312" t="n"/>
      <c r="I656" s="313" t="n"/>
      <c r="J656" s="314" t="n"/>
      <c r="K656" s="170" t="n"/>
      <c r="L656" s="170" t="n"/>
      <c r="M656" s="6" t="n"/>
      <c r="N656" s="6" t="n"/>
      <c r="O656" s="6" t="n"/>
    </row>
    <row r="657">
      <c r="B657" s="170" t="n">
        <v>644</v>
      </c>
      <c r="C657" s="170" t="n"/>
      <c r="D657" s="312" t="n"/>
      <c r="E657" s="312" t="n"/>
      <c r="F657" s="312" t="n"/>
      <c r="G657" s="312" t="n"/>
      <c r="H657" s="312" t="n"/>
      <c r="I657" s="313" t="n"/>
      <c r="J657" s="314" t="n"/>
      <c r="K657" s="170" t="n"/>
      <c r="L657" s="170" t="n"/>
      <c r="M657" s="6" t="n"/>
      <c r="N657" s="6" t="n"/>
      <c r="O657" s="6" t="n"/>
    </row>
    <row r="658">
      <c r="B658" s="170" t="n">
        <v>645</v>
      </c>
      <c r="C658" s="170" t="n"/>
      <c r="D658" s="312" t="n"/>
      <c r="E658" s="312" t="n"/>
      <c r="F658" s="312" t="n"/>
      <c r="G658" s="312" t="n"/>
      <c r="H658" s="312" t="n"/>
      <c r="I658" s="313" t="n"/>
      <c r="J658" s="314" t="n"/>
      <c r="K658" s="170" t="n"/>
      <c r="L658" s="170" t="n"/>
      <c r="M658" s="6" t="n"/>
      <c r="N658" s="6" t="n"/>
      <c r="O658" s="6" t="n"/>
    </row>
    <row r="659">
      <c r="B659" s="170" t="n">
        <v>646</v>
      </c>
      <c r="C659" s="170" t="n"/>
      <c r="D659" s="312" t="n"/>
      <c r="E659" s="312" t="n"/>
      <c r="F659" s="312" t="n"/>
      <c r="G659" s="312" t="n"/>
      <c r="H659" s="312" t="n"/>
      <c r="I659" s="313" t="n"/>
      <c r="J659" s="314" t="n"/>
      <c r="K659" s="170" t="n"/>
      <c r="L659" s="170" t="n"/>
      <c r="M659" s="6" t="n"/>
      <c r="N659" s="6" t="n"/>
      <c r="O659" s="6" t="n"/>
    </row>
    <row r="660">
      <c r="B660" s="170" t="n">
        <v>647</v>
      </c>
      <c r="C660" s="170" t="n"/>
      <c r="D660" s="312" t="n"/>
      <c r="E660" s="312" t="n"/>
      <c r="F660" s="312" t="n"/>
      <c r="G660" s="312" t="n"/>
      <c r="H660" s="312" t="n"/>
      <c r="I660" s="313" t="n"/>
      <c r="J660" s="314" t="n"/>
      <c r="K660" s="170" t="n"/>
      <c r="L660" s="170" t="n"/>
      <c r="M660" s="6" t="n"/>
      <c r="N660" s="6" t="n"/>
      <c r="O660" s="6" t="n"/>
    </row>
    <row r="661">
      <c r="B661" s="170" t="n">
        <v>648</v>
      </c>
      <c r="C661" s="170" t="n"/>
      <c r="D661" s="312" t="n"/>
      <c r="E661" s="312" t="n"/>
      <c r="F661" s="312" t="n"/>
      <c r="G661" s="312" t="n"/>
      <c r="H661" s="312" t="n"/>
      <c r="I661" s="313" t="n"/>
      <c r="J661" s="314" t="n"/>
      <c r="K661" s="170" t="n"/>
      <c r="L661" s="170" t="n"/>
      <c r="M661" s="6" t="n"/>
      <c r="N661" s="6" t="n"/>
      <c r="O661" s="6" t="n"/>
    </row>
    <row r="662">
      <c r="B662" s="170" t="n">
        <v>649</v>
      </c>
      <c r="C662" s="170" t="n"/>
      <c r="D662" s="312" t="n"/>
      <c r="E662" s="312" t="n"/>
      <c r="F662" s="312" t="n"/>
      <c r="G662" s="312" t="n"/>
      <c r="H662" s="312" t="n"/>
      <c r="I662" s="313" t="n"/>
      <c r="J662" s="314" t="n"/>
      <c r="K662" s="170" t="n"/>
      <c r="L662" s="170" t="n"/>
      <c r="M662" s="6" t="n"/>
      <c r="N662" s="6" t="n"/>
      <c r="O662" s="6" t="n"/>
    </row>
    <row r="663">
      <c r="B663" s="170" t="n">
        <v>650</v>
      </c>
      <c r="C663" s="170" t="n"/>
      <c r="D663" s="312" t="n"/>
      <c r="E663" s="312" t="n"/>
      <c r="F663" s="312" t="n"/>
      <c r="G663" s="312" t="n"/>
      <c r="H663" s="312" t="n"/>
      <c r="I663" s="313" t="n"/>
      <c r="J663" s="314" t="n"/>
      <c r="K663" s="170" t="n"/>
      <c r="L663" s="170" t="n"/>
      <c r="M663" s="6" t="n"/>
      <c r="N663" s="6" t="n"/>
      <c r="O663" s="6" t="n"/>
    </row>
    <row r="664">
      <c r="B664" s="170" t="n">
        <v>651</v>
      </c>
      <c r="C664" s="170" t="n"/>
      <c r="D664" s="312" t="n"/>
      <c r="E664" s="312" t="n"/>
      <c r="F664" s="312" t="n"/>
      <c r="G664" s="312" t="n"/>
      <c r="H664" s="312" t="n"/>
      <c r="I664" s="313" t="n"/>
      <c r="J664" s="314" t="n"/>
      <c r="K664" s="170" t="n"/>
      <c r="L664" s="170" t="n"/>
      <c r="M664" s="6" t="n"/>
      <c r="N664" s="6" t="n"/>
      <c r="O664" s="6" t="n"/>
    </row>
    <row r="665">
      <c r="B665" s="170" t="n">
        <v>652</v>
      </c>
      <c r="C665" s="170" t="n"/>
      <c r="D665" s="312" t="n"/>
      <c r="E665" s="312" t="n"/>
      <c r="F665" s="312" t="n"/>
      <c r="G665" s="312" t="n"/>
      <c r="H665" s="312" t="n"/>
      <c r="I665" s="313" t="n"/>
      <c r="J665" s="314" t="n"/>
      <c r="K665" s="170" t="n"/>
      <c r="L665" s="170" t="n"/>
      <c r="M665" s="6" t="n"/>
      <c r="N665" s="6" t="n"/>
      <c r="O665" s="6" t="n"/>
    </row>
    <row r="666">
      <c r="B666" s="170" t="n">
        <v>653</v>
      </c>
      <c r="C666" s="170" t="n"/>
      <c r="D666" s="312" t="n"/>
      <c r="E666" s="312" t="n"/>
      <c r="F666" s="312" t="n"/>
      <c r="G666" s="312" t="n"/>
      <c r="H666" s="312" t="n"/>
      <c r="I666" s="313" t="n"/>
      <c r="J666" s="314" t="n"/>
      <c r="K666" s="170" t="n"/>
      <c r="L666" s="170" t="n"/>
      <c r="M666" s="6" t="n"/>
      <c r="N666" s="6" t="n"/>
      <c r="O666" s="6" t="n"/>
    </row>
    <row r="667">
      <c r="B667" s="170" t="n">
        <v>654</v>
      </c>
      <c r="C667" s="170" t="n"/>
      <c r="D667" s="312" t="n"/>
      <c r="E667" s="312" t="n"/>
      <c r="F667" s="312" t="n"/>
      <c r="G667" s="312" t="n"/>
      <c r="H667" s="312" t="n"/>
      <c r="I667" s="313" t="n"/>
      <c r="J667" s="314" t="n"/>
      <c r="K667" s="170" t="n"/>
      <c r="L667" s="170" t="n"/>
      <c r="M667" s="6" t="n"/>
      <c r="N667" s="6" t="n"/>
      <c r="O667" s="6" t="n"/>
    </row>
    <row r="668">
      <c r="B668" s="170" t="n">
        <v>655</v>
      </c>
      <c r="C668" s="170" t="n"/>
      <c r="D668" s="312" t="n"/>
      <c r="E668" s="312" t="n"/>
      <c r="F668" s="312" t="n"/>
      <c r="G668" s="312" t="n"/>
      <c r="H668" s="312" t="n"/>
      <c r="I668" s="313" t="n"/>
      <c r="J668" s="314" t="n"/>
      <c r="K668" s="170" t="n"/>
      <c r="L668" s="170" t="n"/>
      <c r="M668" s="6" t="n"/>
      <c r="N668" s="6" t="n"/>
      <c r="O668" s="6" t="n"/>
    </row>
    <row r="669">
      <c r="B669" s="170" t="n">
        <v>656</v>
      </c>
      <c r="C669" s="170" t="n"/>
      <c r="D669" s="312" t="n"/>
      <c r="E669" s="312" t="n"/>
      <c r="F669" s="312" t="n"/>
      <c r="G669" s="312" t="n"/>
      <c r="H669" s="312" t="n"/>
      <c r="I669" s="313" t="n"/>
      <c r="J669" s="314" t="n"/>
      <c r="K669" s="170" t="n"/>
      <c r="L669" s="170" t="n"/>
      <c r="M669" s="6" t="n"/>
      <c r="N669" s="6" t="n"/>
      <c r="O669" s="6" t="n"/>
    </row>
    <row r="670">
      <c r="B670" s="170" t="n">
        <v>657</v>
      </c>
      <c r="C670" s="170" t="n"/>
      <c r="D670" s="312" t="n"/>
      <c r="E670" s="312" t="n"/>
      <c r="F670" s="312" t="n"/>
      <c r="G670" s="312" t="n"/>
      <c r="H670" s="312" t="n"/>
      <c r="I670" s="313" t="n"/>
      <c r="J670" s="314" t="n"/>
      <c r="K670" s="170" t="n"/>
      <c r="L670" s="170" t="n"/>
      <c r="M670" s="6" t="n"/>
      <c r="N670" s="6" t="n"/>
      <c r="O670" s="6" t="n"/>
    </row>
    <row r="671">
      <c r="B671" s="170" t="n">
        <v>658</v>
      </c>
      <c r="C671" s="170" t="n"/>
      <c r="D671" s="312" t="n"/>
      <c r="E671" s="312" t="n"/>
      <c r="F671" s="312" t="n"/>
      <c r="G671" s="312" t="n"/>
      <c r="H671" s="312" t="n"/>
      <c r="I671" s="313" t="n"/>
      <c r="J671" s="314" t="n"/>
      <c r="K671" s="170" t="n"/>
      <c r="L671" s="170" t="n"/>
      <c r="M671" s="6" t="n"/>
      <c r="N671" s="6" t="n"/>
      <c r="O671" s="6" t="n"/>
    </row>
    <row r="672">
      <c r="B672" s="170" t="n">
        <v>659</v>
      </c>
      <c r="C672" s="170" t="n"/>
      <c r="D672" s="312" t="n"/>
      <c r="E672" s="312" t="n"/>
      <c r="F672" s="312" t="n"/>
      <c r="G672" s="312" t="n"/>
      <c r="H672" s="312" t="n"/>
      <c r="I672" s="313" t="n"/>
      <c r="J672" s="314" t="n"/>
      <c r="K672" s="170" t="n"/>
      <c r="L672" s="170" t="n"/>
      <c r="M672" s="6" t="n"/>
      <c r="N672" s="6" t="n"/>
      <c r="O672" s="6" t="n"/>
    </row>
    <row r="673">
      <c r="B673" s="170" t="n">
        <v>660</v>
      </c>
      <c r="C673" s="170" t="n"/>
      <c r="D673" s="312" t="n"/>
      <c r="E673" s="312" t="n"/>
      <c r="F673" s="312" t="n"/>
      <c r="G673" s="312" t="n"/>
      <c r="H673" s="312" t="n"/>
      <c r="I673" s="313" t="n"/>
      <c r="J673" s="314" t="n"/>
      <c r="K673" s="170" t="n"/>
      <c r="L673" s="170" t="n"/>
      <c r="M673" s="6" t="n"/>
      <c r="N673" s="6" t="n"/>
      <c r="O673" s="6" t="n"/>
    </row>
    <row r="674">
      <c r="B674" s="170" t="n">
        <v>661</v>
      </c>
      <c r="C674" s="170" t="n"/>
      <c r="D674" s="312" t="n"/>
      <c r="E674" s="312" t="n"/>
      <c r="F674" s="312" t="n"/>
      <c r="G674" s="312" t="n"/>
      <c r="H674" s="312" t="n"/>
      <c r="I674" s="313" t="n"/>
      <c r="J674" s="314" t="n"/>
      <c r="K674" s="170" t="n"/>
      <c r="L674" s="170" t="n"/>
      <c r="M674" s="6" t="n"/>
      <c r="N674" s="6" t="n"/>
      <c r="O674" s="6" t="n"/>
    </row>
    <row r="675">
      <c r="B675" s="170" t="n">
        <v>662</v>
      </c>
      <c r="C675" s="170" t="n"/>
      <c r="D675" s="312" t="n"/>
      <c r="E675" s="312" t="n"/>
      <c r="F675" s="312" t="n"/>
      <c r="G675" s="312" t="n"/>
      <c r="H675" s="312" t="n"/>
      <c r="I675" s="313" t="n"/>
      <c r="J675" s="314" t="n"/>
      <c r="K675" s="170" t="n"/>
      <c r="L675" s="170" t="n"/>
      <c r="M675" s="6" t="n"/>
      <c r="N675" s="6" t="n"/>
      <c r="O675" s="6" t="n"/>
    </row>
    <row r="676">
      <c r="B676" s="170" t="n">
        <v>663</v>
      </c>
      <c r="C676" s="170" t="n"/>
      <c r="D676" s="312" t="n"/>
      <c r="E676" s="312" t="n"/>
      <c r="F676" s="312" t="n"/>
      <c r="G676" s="312" t="n"/>
      <c r="H676" s="312" t="n"/>
      <c r="I676" s="313" t="n"/>
      <c r="J676" s="314" t="n"/>
      <c r="K676" s="170" t="n"/>
      <c r="L676" s="170" t="n"/>
      <c r="M676" s="6" t="n"/>
      <c r="N676" s="6" t="n"/>
      <c r="O676" s="6" t="n"/>
    </row>
    <row r="677">
      <c r="B677" s="170" t="n">
        <v>664</v>
      </c>
      <c r="C677" s="170" t="n"/>
      <c r="D677" s="312" t="n"/>
      <c r="E677" s="312" t="n"/>
      <c r="F677" s="312" t="n"/>
      <c r="G677" s="312" t="n"/>
      <c r="H677" s="312" t="n"/>
      <c r="I677" s="313" t="n"/>
      <c r="J677" s="314" t="n"/>
      <c r="K677" s="170" t="n"/>
      <c r="L677" s="170" t="n"/>
      <c r="M677" s="6" t="n"/>
      <c r="N677" s="6" t="n"/>
      <c r="O677" s="6" t="n"/>
    </row>
    <row r="678">
      <c r="B678" s="170" t="n">
        <v>665</v>
      </c>
      <c r="C678" s="170" t="n"/>
      <c r="D678" s="312" t="n"/>
      <c r="E678" s="312" t="n"/>
      <c r="F678" s="312" t="n"/>
      <c r="G678" s="312" t="n"/>
      <c r="H678" s="312" t="n"/>
      <c r="I678" s="313" t="n"/>
      <c r="J678" s="314" t="n"/>
      <c r="K678" s="170" t="n"/>
      <c r="L678" s="170" t="n"/>
      <c r="M678" s="6" t="n"/>
      <c r="N678" s="6" t="n"/>
      <c r="O678" s="6" t="n"/>
    </row>
    <row r="679">
      <c r="B679" s="170" t="n">
        <v>666</v>
      </c>
      <c r="C679" s="170" t="n"/>
      <c r="D679" s="312" t="n"/>
      <c r="E679" s="312" t="n"/>
      <c r="F679" s="312" t="n"/>
      <c r="G679" s="312" t="n"/>
      <c r="H679" s="312" t="n"/>
      <c r="I679" s="313" t="n"/>
      <c r="J679" s="314" t="n"/>
      <c r="K679" s="170" t="n"/>
      <c r="L679" s="170" t="n"/>
      <c r="M679" s="6" t="n"/>
      <c r="N679" s="6" t="n"/>
      <c r="O679" s="6" t="n"/>
    </row>
    <row r="680">
      <c r="B680" s="170" t="n">
        <v>667</v>
      </c>
      <c r="C680" s="170" t="n"/>
      <c r="D680" s="312" t="n"/>
      <c r="E680" s="312" t="n"/>
      <c r="F680" s="312" t="n"/>
      <c r="G680" s="312" t="n"/>
      <c r="H680" s="312" t="n"/>
      <c r="I680" s="313" t="n"/>
      <c r="J680" s="314" t="n"/>
      <c r="K680" s="170" t="n"/>
      <c r="L680" s="170" t="n"/>
      <c r="M680" s="6" t="n"/>
      <c r="N680" s="6" t="n"/>
      <c r="O680" s="6" t="n"/>
    </row>
    <row r="681">
      <c r="B681" s="170" t="n">
        <v>668</v>
      </c>
      <c r="C681" s="170" t="n"/>
      <c r="D681" s="312" t="n"/>
      <c r="E681" s="312" t="n"/>
      <c r="F681" s="312" t="n"/>
      <c r="G681" s="312" t="n"/>
      <c r="H681" s="312" t="n"/>
      <c r="I681" s="313" t="n"/>
      <c r="J681" s="314" t="n"/>
      <c r="K681" s="170" t="n"/>
      <c r="L681" s="170" t="n"/>
      <c r="M681" s="6" t="n"/>
      <c r="N681" s="6" t="n"/>
      <c r="O681" s="6" t="n"/>
    </row>
    <row r="682">
      <c r="B682" s="170" t="n">
        <v>669</v>
      </c>
      <c r="C682" s="170" t="n"/>
      <c r="D682" s="312" t="n"/>
      <c r="E682" s="312" t="n"/>
      <c r="F682" s="312" t="n"/>
      <c r="G682" s="312" t="n"/>
      <c r="H682" s="312" t="n"/>
      <c r="I682" s="313" t="n"/>
      <c r="J682" s="314" t="n"/>
      <c r="K682" s="170" t="n"/>
      <c r="L682" s="170" t="n"/>
      <c r="M682" s="6" t="n"/>
      <c r="N682" s="6" t="n"/>
      <c r="O682" s="6" t="n"/>
    </row>
    <row r="683">
      <c r="B683" s="170" t="n">
        <v>670</v>
      </c>
      <c r="C683" s="170" t="n"/>
      <c r="D683" s="312" t="n"/>
      <c r="E683" s="312" t="n"/>
      <c r="F683" s="312" t="n"/>
      <c r="G683" s="312" t="n"/>
      <c r="H683" s="312" t="n"/>
      <c r="I683" s="313" t="n"/>
      <c r="J683" s="314" t="n"/>
      <c r="K683" s="170" t="n"/>
      <c r="L683" s="170" t="n"/>
      <c r="M683" s="6" t="n"/>
      <c r="N683" s="6" t="n"/>
      <c r="O683" s="6" t="n"/>
    </row>
    <row r="684">
      <c r="B684" s="170" t="n">
        <v>671</v>
      </c>
      <c r="C684" s="170" t="n"/>
      <c r="D684" s="312" t="n"/>
      <c r="E684" s="312" t="n"/>
      <c r="F684" s="312" t="n"/>
      <c r="G684" s="312" t="n"/>
      <c r="H684" s="312" t="n"/>
      <c r="I684" s="313" t="n"/>
      <c r="J684" s="314" t="n"/>
      <c r="K684" s="170" t="n"/>
      <c r="L684" s="170" t="n"/>
      <c r="M684" s="6" t="n"/>
      <c r="N684" s="6" t="n"/>
      <c r="O684" s="6" t="n"/>
    </row>
    <row r="685">
      <c r="B685" s="170" t="n">
        <v>672</v>
      </c>
      <c r="C685" s="170" t="n"/>
      <c r="D685" s="312" t="n"/>
      <c r="E685" s="312" t="n"/>
      <c r="F685" s="312" t="n"/>
      <c r="G685" s="312" t="n"/>
      <c r="H685" s="312" t="n"/>
      <c r="I685" s="313" t="n"/>
      <c r="J685" s="314" t="n"/>
      <c r="K685" s="170" t="n"/>
      <c r="L685" s="170" t="n"/>
      <c r="M685" s="6" t="n"/>
      <c r="N685" s="6" t="n"/>
      <c r="O685" s="6" t="n"/>
    </row>
    <row r="686">
      <c r="B686" s="170" t="n">
        <v>673</v>
      </c>
      <c r="C686" s="170" t="n"/>
      <c r="D686" s="312" t="n"/>
      <c r="E686" s="312" t="n"/>
      <c r="F686" s="312" t="n"/>
      <c r="G686" s="312" t="n"/>
      <c r="H686" s="312" t="n"/>
      <c r="I686" s="313" t="n"/>
      <c r="J686" s="314" t="n"/>
      <c r="K686" s="170" t="n"/>
      <c r="L686" s="170" t="n"/>
      <c r="M686" s="6" t="n"/>
      <c r="N686" s="6" t="n"/>
      <c r="O686" s="6" t="n"/>
    </row>
    <row r="687">
      <c r="B687" s="170" t="n">
        <v>674</v>
      </c>
      <c r="C687" s="170" t="n"/>
      <c r="D687" s="312" t="n"/>
      <c r="E687" s="312" t="n"/>
      <c r="F687" s="312" t="n"/>
      <c r="G687" s="312" t="n"/>
      <c r="H687" s="312" t="n"/>
      <c r="I687" s="313" t="n"/>
      <c r="J687" s="314" t="n"/>
      <c r="K687" s="170" t="n"/>
      <c r="L687" s="170" t="n"/>
      <c r="M687" s="6" t="n"/>
      <c r="N687" s="6" t="n"/>
      <c r="O687" s="6" t="n"/>
    </row>
    <row r="688">
      <c r="B688" s="170" t="n">
        <v>675</v>
      </c>
      <c r="C688" s="170" t="n"/>
      <c r="D688" s="312" t="n"/>
      <c r="E688" s="312" t="n"/>
      <c r="F688" s="312" t="n"/>
      <c r="G688" s="312" t="n"/>
      <c r="H688" s="312" t="n"/>
      <c r="I688" s="313" t="n"/>
      <c r="J688" s="314" t="n"/>
      <c r="K688" s="170" t="n"/>
      <c r="L688" s="170" t="n"/>
      <c r="M688" s="6" t="n"/>
      <c r="N688" s="6" t="n"/>
      <c r="O688" s="6" t="n"/>
    </row>
    <row r="689">
      <c r="B689" s="170" t="n">
        <v>676</v>
      </c>
      <c r="C689" s="170" t="n"/>
      <c r="D689" s="312" t="n"/>
      <c r="E689" s="312" t="n"/>
      <c r="F689" s="312" t="n"/>
      <c r="G689" s="312" t="n"/>
      <c r="H689" s="312" t="n"/>
      <c r="I689" s="313" t="n"/>
      <c r="J689" s="314" t="n"/>
      <c r="K689" s="170" t="n"/>
      <c r="L689" s="170" t="n"/>
      <c r="M689" s="6" t="n"/>
      <c r="N689" s="6" t="n"/>
      <c r="O689" s="6" t="n"/>
    </row>
    <row r="690">
      <c r="B690" s="170" t="n">
        <v>677</v>
      </c>
      <c r="C690" s="170" t="n"/>
      <c r="D690" s="312" t="n"/>
      <c r="E690" s="312" t="n"/>
      <c r="F690" s="312" t="n"/>
      <c r="G690" s="312" t="n"/>
      <c r="H690" s="312" t="n"/>
      <c r="I690" s="313" t="n"/>
      <c r="J690" s="314" t="n"/>
      <c r="K690" s="170" t="n"/>
      <c r="L690" s="170" t="n"/>
      <c r="M690" s="6" t="n"/>
      <c r="N690" s="6" t="n"/>
      <c r="O690" s="6" t="n"/>
    </row>
    <row r="691">
      <c r="B691" s="170" t="n">
        <v>678</v>
      </c>
      <c r="C691" s="170" t="n"/>
      <c r="D691" s="312" t="n"/>
      <c r="E691" s="312" t="n"/>
      <c r="F691" s="312" t="n"/>
      <c r="G691" s="312" t="n"/>
      <c r="H691" s="312" t="n"/>
      <c r="I691" s="313" t="n"/>
      <c r="J691" s="314" t="n"/>
      <c r="K691" s="170" t="n"/>
      <c r="L691" s="170" t="n"/>
      <c r="M691" s="6" t="n"/>
      <c r="N691" s="6" t="n"/>
      <c r="O691" s="6" t="n"/>
    </row>
    <row r="692">
      <c r="B692" s="170" t="n">
        <v>679</v>
      </c>
      <c r="C692" s="170" t="n"/>
      <c r="D692" s="312" t="n"/>
      <c r="E692" s="312" t="n"/>
      <c r="F692" s="312" t="n"/>
      <c r="G692" s="312" t="n"/>
      <c r="H692" s="312" t="n"/>
      <c r="I692" s="313" t="n"/>
      <c r="J692" s="314" t="n"/>
      <c r="K692" s="170" t="n"/>
      <c r="L692" s="170" t="n"/>
      <c r="M692" s="6" t="n"/>
      <c r="N692" s="6" t="n"/>
      <c r="O692" s="6" t="n"/>
    </row>
    <row r="693">
      <c r="B693" s="170" t="n">
        <v>680</v>
      </c>
      <c r="C693" s="170" t="n"/>
      <c r="D693" s="312" t="n"/>
      <c r="E693" s="312" t="n"/>
      <c r="F693" s="312" t="n"/>
      <c r="G693" s="312" t="n"/>
      <c r="H693" s="312" t="n"/>
      <c r="I693" s="313" t="n"/>
      <c r="J693" s="314" t="n"/>
      <c r="K693" s="170" t="n"/>
      <c r="L693" s="170" t="n"/>
      <c r="M693" s="6" t="n"/>
      <c r="N693" s="6" t="n"/>
      <c r="O693" s="6" t="n"/>
    </row>
    <row r="694">
      <c r="B694" s="170" t="n">
        <v>681</v>
      </c>
      <c r="C694" s="170" t="n"/>
      <c r="D694" s="312" t="n"/>
      <c r="E694" s="312" t="n"/>
      <c r="F694" s="312" t="n"/>
      <c r="G694" s="312" t="n"/>
      <c r="H694" s="312" t="n"/>
      <c r="I694" s="313" t="n"/>
      <c r="J694" s="314" t="n"/>
      <c r="K694" s="170" t="n"/>
      <c r="L694" s="170" t="n"/>
      <c r="M694" s="6" t="n"/>
      <c r="N694" s="6" t="n"/>
      <c r="O694" s="6" t="n"/>
    </row>
    <row r="695">
      <c r="B695" s="170" t="n">
        <v>682</v>
      </c>
      <c r="C695" s="170" t="n"/>
      <c r="D695" s="312" t="n"/>
      <c r="E695" s="312" t="n"/>
      <c r="F695" s="312" t="n"/>
      <c r="G695" s="312" t="n"/>
      <c r="H695" s="312" t="n"/>
      <c r="I695" s="313" t="n"/>
      <c r="J695" s="314" t="n"/>
      <c r="K695" s="170" t="n"/>
      <c r="L695" s="170" t="n"/>
      <c r="M695" s="6" t="n"/>
      <c r="N695" s="6" t="n"/>
      <c r="O695" s="6" t="n"/>
    </row>
    <row r="696">
      <c r="B696" s="170" t="n">
        <v>683</v>
      </c>
      <c r="C696" s="170" t="n"/>
      <c r="D696" s="312" t="n"/>
      <c r="E696" s="312" t="n"/>
      <c r="F696" s="312" t="n"/>
      <c r="G696" s="312" t="n"/>
      <c r="H696" s="312" t="n"/>
      <c r="I696" s="313" t="n"/>
      <c r="J696" s="314" t="n"/>
      <c r="K696" s="170" t="n"/>
      <c r="L696" s="170" t="n"/>
      <c r="M696" s="6" t="n"/>
      <c r="N696" s="6" t="n"/>
      <c r="O696" s="6" t="n"/>
    </row>
    <row r="697">
      <c r="B697" s="170" t="n">
        <v>684</v>
      </c>
      <c r="C697" s="170" t="n"/>
      <c r="D697" s="312" t="n"/>
      <c r="E697" s="312" t="n"/>
      <c r="F697" s="312" t="n"/>
      <c r="G697" s="312" t="n"/>
      <c r="H697" s="312" t="n"/>
      <c r="I697" s="313" t="n"/>
      <c r="J697" s="314" t="n"/>
      <c r="K697" s="170" t="n"/>
      <c r="L697" s="170" t="n"/>
      <c r="M697" s="6" t="n"/>
      <c r="N697" s="6" t="n"/>
      <c r="O697" s="6" t="n"/>
    </row>
    <row r="698">
      <c r="B698" s="170" t="n">
        <v>685</v>
      </c>
      <c r="C698" s="170" t="n"/>
      <c r="D698" s="312" t="n"/>
      <c r="E698" s="312" t="n"/>
      <c r="F698" s="312" t="n"/>
      <c r="G698" s="312" t="n"/>
      <c r="H698" s="312" t="n"/>
      <c r="I698" s="313" t="n"/>
      <c r="J698" s="314" t="n"/>
      <c r="K698" s="170" t="n"/>
      <c r="L698" s="170" t="n"/>
      <c r="M698" s="6" t="n"/>
      <c r="N698" s="6" t="n"/>
      <c r="O698" s="6" t="n"/>
    </row>
    <row r="699">
      <c r="B699" s="170" t="n">
        <v>686</v>
      </c>
      <c r="C699" s="170" t="n"/>
      <c r="D699" s="312" t="n"/>
      <c r="E699" s="312" t="n"/>
      <c r="F699" s="312" t="n"/>
      <c r="G699" s="312" t="n"/>
      <c r="H699" s="312" t="n"/>
      <c r="I699" s="313" t="n"/>
      <c r="J699" s="314" t="n"/>
      <c r="K699" s="170" t="n"/>
      <c r="L699" s="170" t="n"/>
      <c r="M699" s="6" t="n"/>
      <c r="N699" s="6" t="n"/>
      <c r="O699" s="6" t="n"/>
    </row>
    <row r="700">
      <c r="B700" s="170" t="n">
        <v>687</v>
      </c>
      <c r="C700" s="170" t="n"/>
      <c r="D700" s="312" t="n"/>
      <c r="E700" s="312" t="n"/>
      <c r="F700" s="312" t="n"/>
      <c r="G700" s="312" t="n"/>
      <c r="H700" s="312" t="n"/>
      <c r="I700" s="313" t="n"/>
      <c r="J700" s="314" t="n"/>
      <c r="K700" s="170" t="n"/>
      <c r="L700" s="170" t="n"/>
      <c r="M700" s="6" t="n"/>
      <c r="N700" s="6" t="n"/>
      <c r="O700" s="6" t="n"/>
    </row>
    <row r="701">
      <c r="B701" s="170" t="n">
        <v>688</v>
      </c>
      <c r="C701" s="170" t="n"/>
      <c r="D701" s="312" t="n"/>
      <c r="E701" s="312" t="n"/>
      <c r="F701" s="312" t="n"/>
      <c r="G701" s="312" t="n"/>
      <c r="H701" s="312" t="n"/>
      <c r="I701" s="313" t="n"/>
      <c r="J701" s="314" t="n"/>
      <c r="K701" s="170" t="n"/>
      <c r="L701" s="170" t="n"/>
      <c r="M701" s="6" t="n"/>
      <c r="N701" s="6" t="n"/>
      <c r="O701" s="6" t="n"/>
    </row>
    <row r="702">
      <c r="B702" s="170" t="n">
        <v>689</v>
      </c>
      <c r="C702" s="170" t="n"/>
      <c r="D702" s="312" t="n"/>
      <c r="E702" s="312" t="n"/>
      <c r="F702" s="312" t="n"/>
      <c r="G702" s="312" t="n"/>
      <c r="H702" s="312" t="n"/>
      <c r="I702" s="313" t="n"/>
      <c r="J702" s="314" t="n"/>
      <c r="K702" s="170" t="n"/>
      <c r="L702" s="170" t="n"/>
      <c r="M702" s="6" t="n"/>
      <c r="N702" s="6" t="n"/>
      <c r="O702" s="6" t="n"/>
    </row>
    <row r="703">
      <c r="B703" s="170" t="n">
        <v>690</v>
      </c>
      <c r="C703" s="170" t="n"/>
      <c r="D703" s="312" t="n"/>
      <c r="E703" s="312" t="n"/>
      <c r="F703" s="312" t="n"/>
      <c r="G703" s="312" t="n"/>
      <c r="H703" s="312" t="n"/>
      <c r="I703" s="313" t="n"/>
      <c r="J703" s="314" t="n"/>
      <c r="K703" s="170" t="n"/>
      <c r="L703" s="170" t="n"/>
      <c r="M703" s="6" t="n"/>
      <c r="N703" s="6" t="n"/>
      <c r="O703" s="6" t="n"/>
    </row>
    <row r="704">
      <c r="B704" s="170" t="n">
        <v>691</v>
      </c>
      <c r="C704" s="170" t="n"/>
      <c r="D704" s="312" t="n"/>
      <c r="E704" s="312" t="n"/>
      <c r="F704" s="312" t="n"/>
      <c r="G704" s="312" t="n"/>
      <c r="H704" s="312" t="n"/>
      <c r="I704" s="313" t="n"/>
      <c r="J704" s="314" t="n"/>
      <c r="K704" s="170" t="n"/>
      <c r="L704" s="170" t="n"/>
      <c r="M704" s="6" t="n"/>
      <c r="N704" s="6" t="n"/>
      <c r="O704" s="6" t="n"/>
    </row>
    <row r="705">
      <c r="B705" s="170" t="n">
        <v>692</v>
      </c>
      <c r="C705" s="170" t="n"/>
      <c r="D705" s="312" t="n"/>
      <c r="E705" s="312" t="n"/>
      <c r="F705" s="312" t="n"/>
      <c r="G705" s="312" t="n"/>
      <c r="H705" s="312" t="n"/>
      <c r="I705" s="313" t="n"/>
      <c r="J705" s="314" t="n"/>
      <c r="K705" s="170" t="n"/>
      <c r="L705" s="170" t="n"/>
      <c r="M705" s="6" t="n"/>
      <c r="N705" s="6" t="n"/>
      <c r="O705" s="6" t="n"/>
    </row>
    <row r="706">
      <c r="B706" s="170" t="n">
        <v>693</v>
      </c>
      <c r="C706" s="170" t="n"/>
      <c r="D706" s="312" t="n"/>
      <c r="E706" s="312" t="n"/>
      <c r="F706" s="312" t="n"/>
      <c r="G706" s="312" t="n"/>
      <c r="H706" s="312" t="n"/>
      <c r="I706" s="313" t="n"/>
      <c r="J706" s="314" t="n"/>
      <c r="K706" s="170" t="n"/>
      <c r="L706" s="170" t="n"/>
      <c r="M706" s="6" t="n"/>
      <c r="N706" s="6" t="n"/>
      <c r="O706" s="6" t="n"/>
    </row>
    <row r="707">
      <c r="B707" s="170" t="n">
        <v>694</v>
      </c>
      <c r="C707" s="170" t="n"/>
      <c r="D707" s="312" t="n"/>
      <c r="E707" s="312" t="n"/>
      <c r="F707" s="312" t="n"/>
      <c r="G707" s="312" t="n"/>
      <c r="H707" s="312" t="n"/>
      <c r="I707" s="313" t="n"/>
      <c r="J707" s="314" t="n"/>
      <c r="K707" s="170" t="n"/>
      <c r="L707" s="170" t="n"/>
      <c r="M707" s="6" t="n"/>
      <c r="N707" s="6" t="n"/>
      <c r="O707" s="6" t="n"/>
    </row>
    <row r="708">
      <c r="B708" s="170" t="n">
        <v>695</v>
      </c>
      <c r="C708" s="170" t="n"/>
      <c r="D708" s="312" t="n"/>
      <c r="E708" s="312" t="n"/>
      <c r="F708" s="312" t="n"/>
      <c r="G708" s="312" t="n"/>
      <c r="H708" s="312" t="n"/>
      <c r="I708" s="313" t="n"/>
      <c r="J708" s="314" t="n"/>
      <c r="K708" s="170" t="n"/>
      <c r="L708" s="170" t="n"/>
      <c r="M708" s="6" t="n"/>
      <c r="N708" s="6" t="n"/>
      <c r="O708" s="6" t="n"/>
    </row>
    <row r="709">
      <c r="B709" s="170" t="n">
        <v>696</v>
      </c>
      <c r="C709" s="170" t="n"/>
      <c r="D709" s="312" t="n"/>
      <c r="E709" s="312" t="n"/>
      <c r="F709" s="312" t="n"/>
      <c r="G709" s="312" t="n"/>
      <c r="H709" s="312" t="n"/>
      <c r="I709" s="313" t="n"/>
      <c r="J709" s="314" t="n"/>
      <c r="K709" s="170" t="n"/>
      <c r="L709" s="170" t="n"/>
      <c r="M709" s="6" t="n"/>
      <c r="N709" s="6" t="n"/>
      <c r="O709" s="6" t="n"/>
    </row>
    <row r="710">
      <c r="B710" s="170" t="n">
        <v>697</v>
      </c>
      <c r="C710" s="170" t="n"/>
      <c r="D710" s="312" t="n"/>
      <c r="E710" s="312" t="n"/>
      <c r="F710" s="312" t="n"/>
      <c r="G710" s="312" t="n"/>
      <c r="H710" s="312" t="n"/>
      <c r="I710" s="313" t="n"/>
      <c r="J710" s="314" t="n"/>
      <c r="K710" s="170" t="n"/>
      <c r="L710" s="170" t="n"/>
      <c r="M710" s="6" t="n"/>
      <c r="N710" s="6" t="n"/>
      <c r="O710" s="6" t="n"/>
    </row>
    <row r="711">
      <c r="B711" s="170" t="n">
        <v>698</v>
      </c>
      <c r="C711" s="170" t="n"/>
      <c r="D711" s="312" t="n"/>
      <c r="E711" s="312" t="n"/>
      <c r="F711" s="312" t="n"/>
      <c r="G711" s="312" t="n"/>
      <c r="H711" s="312" t="n"/>
      <c r="I711" s="313" t="n"/>
      <c r="J711" s="314" t="n"/>
      <c r="K711" s="170" t="n"/>
      <c r="L711" s="170" t="n"/>
      <c r="M711" s="6" t="n"/>
      <c r="N711" s="6" t="n"/>
      <c r="O711" s="6" t="n"/>
    </row>
    <row r="712">
      <c r="B712" s="170" t="n">
        <v>699</v>
      </c>
      <c r="C712" s="170" t="n"/>
      <c r="D712" s="312" t="n"/>
      <c r="E712" s="312" t="n"/>
      <c r="F712" s="312" t="n"/>
      <c r="G712" s="312" t="n"/>
      <c r="H712" s="312" t="n"/>
      <c r="I712" s="313" t="n"/>
      <c r="J712" s="314" t="n"/>
      <c r="K712" s="170" t="n"/>
      <c r="L712" s="170" t="n"/>
      <c r="M712" s="6" t="n"/>
      <c r="N712" s="6" t="n"/>
      <c r="O712" s="6" t="n"/>
    </row>
    <row r="713">
      <c r="B713" s="170" t="n">
        <v>700</v>
      </c>
      <c r="C713" s="170" t="n"/>
      <c r="D713" s="312" t="n"/>
      <c r="E713" s="312" t="n"/>
      <c r="F713" s="312" t="n"/>
      <c r="G713" s="312" t="n"/>
      <c r="H713" s="312" t="n"/>
      <c r="I713" s="313" t="n"/>
      <c r="J713" s="314" t="n"/>
      <c r="K713" s="170" t="n"/>
      <c r="L713" s="170" t="n"/>
      <c r="M713" s="6" t="n"/>
      <c r="N713" s="6" t="n"/>
      <c r="O713" s="6" t="n"/>
    </row>
    <row r="714">
      <c r="B714" s="170" t="n">
        <v>701</v>
      </c>
      <c r="C714" s="170" t="n"/>
      <c r="D714" s="312" t="n"/>
      <c r="E714" s="312" t="n"/>
      <c r="F714" s="312" t="n"/>
      <c r="G714" s="312" t="n"/>
      <c r="H714" s="312" t="n"/>
      <c r="I714" s="313" t="n"/>
      <c r="J714" s="314" t="n"/>
      <c r="K714" s="170" t="n"/>
      <c r="L714" s="170" t="n"/>
      <c r="M714" s="6" t="n"/>
      <c r="N714" s="6" t="n"/>
      <c r="O714" s="6" t="n"/>
    </row>
    <row r="715">
      <c r="B715" s="170" t="n">
        <v>702</v>
      </c>
      <c r="C715" s="170" t="n"/>
      <c r="D715" s="312" t="n"/>
      <c r="E715" s="312" t="n"/>
      <c r="F715" s="312" t="n"/>
      <c r="G715" s="312" t="n"/>
      <c r="H715" s="312" t="n"/>
      <c r="I715" s="313" t="n"/>
      <c r="J715" s="314" t="n"/>
      <c r="K715" s="170" t="n"/>
      <c r="L715" s="170" t="n"/>
      <c r="M715" s="6" t="n"/>
      <c r="N715" s="6" t="n"/>
      <c r="O715" s="6" t="n"/>
    </row>
    <row r="716">
      <c r="B716" s="170" t="n">
        <v>703</v>
      </c>
      <c r="C716" s="170" t="n"/>
      <c r="D716" s="312" t="n"/>
      <c r="E716" s="312" t="n"/>
      <c r="F716" s="312" t="n"/>
      <c r="G716" s="312" t="n"/>
      <c r="H716" s="312" t="n"/>
      <c r="I716" s="313" t="n"/>
      <c r="J716" s="314" t="n"/>
      <c r="K716" s="170" t="n"/>
      <c r="L716" s="170" t="n"/>
      <c r="M716" s="6" t="n"/>
      <c r="N716" s="6" t="n"/>
      <c r="O716" s="6" t="n"/>
    </row>
    <row r="717">
      <c r="B717" s="170" t="n">
        <v>704</v>
      </c>
      <c r="C717" s="170" t="n"/>
      <c r="D717" s="312" t="n"/>
      <c r="E717" s="312" t="n"/>
      <c r="F717" s="312" t="n"/>
      <c r="G717" s="312" t="n"/>
      <c r="H717" s="312" t="n"/>
      <c r="I717" s="313" t="n"/>
      <c r="J717" s="314" t="n"/>
      <c r="K717" s="170" t="n"/>
      <c r="L717" s="170" t="n"/>
      <c r="M717" s="6" t="n"/>
      <c r="N717" s="6" t="n"/>
      <c r="O717" s="6" t="n"/>
    </row>
    <row r="718">
      <c r="B718" s="170" t="n">
        <v>705</v>
      </c>
      <c r="C718" s="170" t="n"/>
      <c r="D718" s="312" t="n"/>
      <c r="E718" s="312" t="n"/>
      <c r="F718" s="312" t="n"/>
      <c r="G718" s="312" t="n"/>
      <c r="H718" s="312" t="n"/>
      <c r="I718" s="313" t="n"/>
      <c r="J718" s="314" t="n"/>
      <c r="K718" s="170" t="n"/>
      <c r="L718" s="170" t="n"/>
      <c r="M718" s="6" t="n"/>
      <c r="N718" s="6" t="n"/>
      <c r="O718" s="6" t="n"/>
    </row>
    <row r="719">
      <c r="B719" s="170" t="n">
        <v>706</v>
      </c>
      <c r="C719" s="170" t="n"/>
      <c r="D719" s="312" t="n"/>
      <c r="E719" s="312" t="n"/>
      <c r="F719" s="312" t="n"/>
      <c r="G719" s="312" t="n"/>
      <c r="H719" s="312" t="n"/>
      <c r="I719" s="313" t="n"/>
      <c r="J719" s="314" t="n"/>
      <c r="K719" s="170" t="n"/>
      <c r="L719" s="170" t="n"/>
      <c r="M719" s="6" t="n"/>
      <c r="N719" s="6" t="n"/>
      <c r="O719" s="6" t="n"/>
    </row>
    <row r="720">
      <c r="B720" s="170" t="n">
        <v>707</v>
      </c>
      <c r="C720" s="170" t="n"/>
      <c r="D720" s="312" t="n"/>
      <c r="E720" s="312" t="n"/>
      <c r="F720" s="312" t="n"/>
      <c r="G720" s="312" t="n"/>
      <c r="H720" s="312" t="n"/>
      <c r="I720" s="313" t="n"/>
      <c r="J720" s="314" t="n"/>
      <c r="K720" s="170" t="n"/>
      <c r="L720" s="170" t="n"/>
      <c r="M720" s="6" t="n"/>
      <c r="N720" s="6" t="n"/>
      <c r="O720" s="6" t="n"/>
    </row>
    <row r="721">
      <c r="B721" s="170" t="n">
        <v>708</v>
      </c>
      <c r="C721" s="170" t="n"/>
      <c r="D721" s="312" t="n"/>
      <c r="E721" s="312" t="n"/>
      <c r="F721" s="312" t="n"/>
      <c r="G721" s="312" t="n"/>
      <c r="H721" s="312" t="n"/>
      <c r="I721" s="313" t="n"/>
      <c r="J721" s="314" t="n"/>
      <c r="K721" s="170" t="n"/>
      <c r="L721" s="170" t="n"/>
      <c r="M721" s="6" t="n"/>
      <c r="N721" s="6" t="n"/>
      <c r="O721" s="6" t="n"/>
    </row>
    <row r="722">
      <c r="B722" s="170" t="n">
        <v>709</v>
      </c>
      <c r="C722" s="170" t="n"/>
      <c r="D722" s="312" t="n"/>
      <c r="E722" s="312" t="n"/>
      <c r="F722" s="312" t="n"/>
      <c r="G722" s="312" t="n"/>
      <c r="H722" s="312" t="n"/>
      <c r="I722" s="313" t="n"/>
      <c r="J722" s="314" t="n"/>
      <c r="K722" s="170" t="n"/>
      <c r="L722" s="170" t="n"/>
      <c r="M722" s="6" t="n"/>
      <c r="N722" s="6" t="n"/>
      <c r="O722" s="6" t="n"/>
    </row>
    <row r="723">
      <c r="B723" s="170" t="n">
        <v>710</v>
      </c>
      <c r="C723" s="170" t="n"/>
      <c r="D723" s="312" t="n"/>
      <c r="E723" s="312" t="n"/>
      <c r="F723" s="312" t="n"/>
      <c r="G723" s="312" t="n"/>
      <c r="H723" s="312" t="n"/>
      <c r="I723" s="313" t="n"/>
      <c r="J723" s="314" t="n"/>
      <c r="K723" s="170" t="n"/>
      <c r="L723" s="170" t="n"/>
      <c r="M723" s="6" t="n"/>
      <c r="N723" s="6" t="n"/>
      <c r="O723" s="6" t="n"/>
    </row>
    <row r="724">
      <c r="B724" s="170" t="n">
        <v>711</v>
      </c>
      <c r="C724" s="170" t="n"/>
      <c r="D724" s="312" t="n"/>
      <c r="E724" s="312" t="n"/>
      <c r="F724" s="312" t="n"/>
      <c r="G724" s="312" t="n"/>
      <c r="H724" s="312" t="n"/>
      <c r="I724" s="313" t="n"/>
      <c r="J724" s="314" t="n"/>
      <c r="K724" s="170" t="n"/>
      <c r="L724" s="170" t="n"/>
      <c r="M724" s="6" t="n"/>
      <c r="N724" s="6" t="n"/>
      <c r="O724" s="6" t="n"/>
    </row>
    <row r="725">
      <c r="B725" s="170" t="n">
        <v>712</v>
      </c>
      <c r="C725" s="170" t="n"/>
      <c r="D725" s="312" t="n"/>
      <c r="E725" s="312" t="n"/>
      <c r="F725" s="312" t="n"/>
      <c r="G725" s="312" t="n"/>
      <c r="H725" s="312" t="n"/>
      <c r="I725" s="313" t="n"/>
      <c r="J725" s="314" t="n"/>
      <c r="K725" s="170" t="n"/>
      <c r="L725" s="170" t="n"/>
      <c r="M725" s="6" t="n"/>
      <c r="N725" s="6" t="n"/>
      <c r="O725" s="6" t="n"/>
    </row>
    <row r="726">
      <c r="B726" s="170" t="n">
        <v>713</v>
      </c>
      <c r="C726" s="170" t="n"/>
      <c r="D726" s="312" t="n"/>
      <c r="E726" s="312" t="n"/>
      <c r="F726" s="312" t="n"/>
      <c r="G726" s="312" t="n"/>
      <c r="H726" s="312" t="n"/>
      <c r="I726" s="313" t="n"/>
      <c r="J726" s="314" t="n"/>
      <c r="K726" s="170" t="n"/>
      <c r="L726" s="170" t="n"/>
      <c r="M726" s="6" t="n"/>
      <c r="N726" s="6" t="n"/>
      <c r="O726" s="6" t="n"/>
    </row>
    <row r="727">
      <c r="B727" s="170" t="n">
        <v>714</v>
      </c>
      <c r="C727" s="170" t="n"/>
      <c r="D727" s="312" t="n"/>
      <c r="E727" s="312" t="n"/>
      <c r="F727" s="312" t="n"/>
      <c r="G727" s="312" t="n"/>
      <c r="H727" s="312" t="n"/>
      <c r="I727" s="313" t="n"/>
      <c r="J727" s="314" t="n"/>
      <c r="K727" s="170" t="n"/>
      <c r="L727" s="170" t="n"/>
      <c r="M727" s="6" t="n"/>
      <c r="N727" s="6" t="n"/>
      <c r="O727" s="6" t="n"/>
    </row>
    <row r="728">
      <c r="B728" s="170" t="n">
        <v>715</v>
      </c>
      <c r="C728" s="170" t="n"/>
      <c r="D728" s="312" t="n"/>
      <c r="E728" s="312" t="n"/>
      <c r="F728" s="312" t="n"/>
      <c r="G728" s="312" t="n"/>
      <c r="H728" s="312" t="n"/>
      <c r="I728" s="313" t="n"/>
      <c r="J728" s="314" t="n"/>
      <c r="K728" s="170" t="n"/>
      <c r="L728" s="170" t="n"/>
      <c r="M728" s="6" t="n"/>
      <c r="N728" s="6" t="n"/>
      <c r="O728" s="6" t="n"/>
    </row>
    <row r="729">
      <c r="B729" s="170" t="n">
        <v>716</v>
      </c>
      <c r="C729" s="170" t="n"/>
      <c r="D729" s="312" t="n"/>
      <c r="E729" s="312" t="n"/>
      <c r="F729" s="312" t="n"/>
      <c r="G729" s="312" t="n"/>
      <c r="H729" s="312" t="n"/>
      <c r="I729" s="313" t="n"/>
      <c r="J729" s="314" t="n"/>
      <c r="K729" s="170" t="n"/>
      <c r="L729" s="170" t="n"/>
      <c r="M729" s="6" t="n"/>
      <c r="N729" s="6" t="n"/>
      <c r="O729" s="6" t="n"/>
    </row>
    <row r="730">
      <c r="B730" s="170" t="n">
        <v>717</v>
      </c>
      <c r="C730" s="170" t="n"/>
      <c r="D730" s="312" t="n"/>
      <c r="E730" s="312" t="n"/>
      <c r="F730" s="312" t="n"/>
      <c r="G730" s="312" t="n"/>
      <c r="H730" s="312" t="n"/>
      <c r="I730" s="313" t="n"/>
      <c r="J730" s="314" t="n"/>
      <c r="K730" s="170" t="n"/>
      <c r="L730" s="170" t="n"/>
      <c r="M730" s="6" t="n"/>
      <c r="N730" s="6" t="n"/>
      <c r="O730" s="6" t="n"/>
    </row>
    <row r="731">
      <c r="B731" s="170" t="n">
        <v>718</v>
      </c>
      <c r="C731" s="170" t="n"/>
      <c r="D731" s="312" t="n"/>
      <c r="E731" s="312" t="n"/>
      <c r="F731" s="312" t="n"/>
      <c r="G731" s="312" t="n"/>
      <c r="H731" s="312" t="n"/>
      <c r="I731" s="313" t="n"/>
      <c r="J731" s="314" t="n"/>
      <c r="K731" s="170" t="n"/>
      <c r="L731" s="170" t="n"/>
      <c r="M731" s="6" t="n"/>
      <c r="N731" s="6" t="n"/>
      <c r="O731" s="6" t="n"/>
    </row>
    <row r="732">
      <c r="B732" s="170" t="n">
        <v>719</v>
      </c>
      <c r="C732" s="170" t="n"/>
      <c r="D732" s="312" t="n"/>
      <c r="E732" s="312" t="n"/>
      <c r="F732" s="312" t="n"/>
      <c r="G732" s="312" t="n"/>
      <c r="H732" s="312" t="n"/>
      <c r="I732" s="313" t="n"/>
      <c r="J732" s="314" t="n"/>
      <c r="K732" s="170" t="n"/>
      <c r="L732" s="170" t="n"/>
      <c r="M732" s="6" t="n"/>
      <c r="N732" s="6" t="n"/>
      <c r="O732" s="6" t="n"/>
    </row>
    <row r="733">
      <c r="B733" s="170" t="n">
        <v>720</v>
      </c>
      <c r="C733" s="170" t="n"/>
      <c r="D733" s="312" t="n"/>
      <c r="E733" s="312" t="n"/>
      <c r="F733" s="312" t="n"/>
      <c r="G733" s="312" t="n"/>
      <c r="H733" s="312" t="n"/>
      <c r="I733" s="313" t="n"/>
      <c r="J733" s="314" t="n"/>
      <c r="K733" s="170" t="n"/>
      <c r="L733" s="170" t="n"/>
      <c r="M733" s="6" t="n"/>
      <c r="N733" s="6" t="n"/>
      <c r="O733" s="6" t="n"/>
    </row>
    <row r="734">
      <c r="B734" s="170" t="n">
        <v>721</v>
      </c>
      <c r="C734" s="170" t="n"/>
      <c r="D734" s="312" t="n"/>
      <c r="E734" s="312" t="n"/>
      <c r="F734" s="312" t="n"/>
      <c r="G734" s="312" t="n"/>
      <c r="H734" s="312" t="n"/>
      <c r="I734" s="313" t="n"/>
      <c r="J734" s="314" t="n"/>
      <c r="K734" s="170" t="n"/>
      <c r="L734" s="170" t="n"/>
      <c r="M734" s="6" t="n"/>
      <c r="N734" s="6" t="n"/>
      <c r="O734" s="6" t="n"/>
    </row>
    <row r="735">
      <c r="B735" s="170" t="n">
        <v>722</v>
      </c>
      <c r="C735" s="170" t="n"/>
      <c r="D735" s="312" t="n"/>
      <c r="E735" s="312" t="n"/>
      <c r="F735" s="312" t="n"/>
      <c r="G735" s="312" t="n"/>
      <c r="H735" s="312" t="n"/>
      <c r="I735" s="313" t="n"/>
      <c r="J735" s="314" t="n"/>
      <c r="K735" s="170" t="n"/>
      <c r="L735" s="170" t="n"/>
      <c r="M735" s="6" t="n"/>
      <c r="N735" s="6" t="n"/>
      <c r="O735" s="6" t="n"/>
    </row>
    <row r="736">
      <c r="B736" s="170" t="n">
        <v>723</v>
      </c>
      <c r="C736" s="170" t="n"/>
      <c r="D736" s="312" t="n"/>
      <c r="E736" s="312" t="n"/>
      <c r="F736" s="312" t="n"/>
      <c r="G736" s="312" t="n"/>
      <c r="H736" s="312" t="n"/>
      <c r="I736" s="313" t="n"/>
      <c r="J736" s="314" t="n"/>
      <c r="K736" s="170" t="n"/>
      <c r="L736" s="170" t="n"/>
      <c r="M736" s="6" t="n"/>
      <c r="N736" s="6" t="n"/>
      <c r="O736" s="6" t="n"/>
    </row>
    <row r="737">
      <c r="B737" s="170" t="n">
        <v>724</v>
      </c>
      <c r="C737" s="170" t="n"/>
      <c r="D737" s="312" t="n"/>
      <c r="E737" s="312" t="n"/>
      <c r="F737" s="312" t="n"/>
      <c r="G737" s="312" t="n"/>
      <c r="H737" s="312" t="n"/>
      <c r="I737" s="313" t="n"/>
      <c r="J737" s="314" t="n"/>
      <c r="K737" s="170" t="n"/>
      <c r="L737" s="170" t="n"/>
      <c r="M737" s="6" t="n"/>
      <c r="N737" s="6" t="n"/>
      <c r="O737" s="6" t="n"/>
    </row>
    <row r="738">
      <c r="B738" s="170" t="n">
        <v>725</v>
      </c>
      <c r="C738" s="170" t="n"/>
      <c r="D738" s="312" t="n"/>
      <c r="E738" s="312" t="n"/>
      <c r="F738" s="312" t="n"/>
      <c r="G738" s="312" t="n"/>
      <c r="H738" s="312" t="n"/>
      <c r="I738" s="313" t="n"/>
      <c r="J738" s="314" t="n"/>
      <c r="K738" s="170" t="n"/>
      <c r="L738" s="170" t="n"/>
      <c r="M738" s="6" t="n"/>
      <c r="N738" s="6" t="n"/>
      <c r="O738" s="6" t="n"/>
    </row>
    <row r="739">
      <c r="B739" s="170" t="n">
        <v>726</v>
      </c>
      <c r="C739" s="170" t="n"/>
      <c r="D739" s="312" t="n"/>
      <c r="E739" s="312" t="n"/>
      <c r="F739" s="312" t="n"/>
      <c r="G739" s="312" t="n"/>
      <c r="H739" s="312" t="n"/>
      <c r="I739" s="313" t="n"/>
      <c r="J739" s="314" t="n"/>
      <c r="K739" s="170" t="n"/>
      <c r="L739" s="170" t="n"/>
      <c r="M739" s="6" t="n"/>
      <c r="N739" s="6" t="n"/>
      <c r="O739" s="6" t="n"/>
    </row>
    <row r="740">
      <c r="B740" s="170" t="n">
        <v>727</v>
      </c>
      <c r="C740" s="170" t="n"/>
      <c r="D740" s="312" t="n"/>
      <c r="E740" s="312" t="n"/>
      <c r="F740" s="312" t="n"/>
      <c r="G740" s="312" t="n"/>
      <c r="H740" s="312" t="n"/>
      <c r="I740" s="313" t="n"/>
      <c r="J740" s="314" t="n"/>
      <c r="K740" s="170" t="n"/>
      <c r="L740" s="170" t="n"/>
      <c r="M740" s="6" t="n"/>
      <c r="N740" s="6" t="n"/>
      <c r="O740" s="6" t="n"/>
    </row>
    <row r="741">
      <c r="B741" s="170" t="n">
        <v>728</v>
      </c>
      <c r="C741" s="170" t="n"/>
      <c r="D741" s="312" t="n"/>
      <c r="E741" s="312" t="n"/>
      <c r="F741" s="312" t="n"/>
      <c r="G741" s="312" t="n"/>
      <c r="H741" s="312" t="n"/>
      <c r="I741" s="313" t="n"/>
      <c r="J741" s="314" t="n"/>
      <c r="K741" s="170" t="n"/>
      <c r="L741" s="170" t="n"/>
      <c r="M741" s="6" t="n"/>
      <c r="N741" s="6" t="n"/>
      <c r="O741" s="6" t="n"/>
    </row>
    <row r="742">
      <c r="B742" s="170" t="n">
        <v>729</v>
      </c>
      <c r="C742" s="170" t="n"/>
      <c r="D742" s="312" t="n"/>
      <c r="E742" s="312" t="n"/>
      <c r="F742" s="312" t="n"/>
      <c r="G742" s="312" t="n"/>
      <c r="H742" s="312" t="n"/>
      <c r="I742" s="313" t="n"/>
      <c r="J742" s="314" t="n"/>
      <c r="K742" s="170" t="n"/>
      <c r="L742" s="170" t="n"/>
      <c r="M742" s="6" t="n"/>
      <c r="N742" s="6" t="n"/>
      <c r="O742" s="6" t="n"/>
    </row>
    <row r="743">
      <c r="B743" s="170" t="n">
        <v>730</v>
      </c>
      <c r="C743" s="170" t="n"/>
      <c r="D743" s="312" t="n"/>
      <c r="E743" s="312" t="n"/>
      <c r="F743" s="312" t="n"/>
      <c r="G743" s="312" t="n"/>
      <c r="H743" s="312" t="n"/>
      <c r="I743" s="313" t="n"/>
      <c r="J743" s="314" t="n"/>
      <c r="K743" s="170" t="n"/>
      <c r="L743" s="170" t="n"/>
      <c r="M743" s="6" t="n"/>
      <c r="N743" s="6" t="n"/>
      <c r="O743" s="6" t="n"/>
    </row>
    <row r="744">
      <c r="B744" s="170" t="n">
        <v>731</v>
      </c>
      <c r="C744" s="170" t="n"/>
      <c r="D744" s="312" t="n"/>
      <c r="E744" s="312" t="n"/>
      <c r="F744" s="312" t="n"/>
      <c r="G744" s="312" t="n"/>
      <c r="H744" s="312" t="n"/>
      <c r="I744" s="313" t="n"/>
      <c r="J744" s="314" t="n"/>
      <c r="K744" s="170" t="n"/>
      <c r="L744" s="170" t="n"/>
      <c r="M744" s="6" t="n"/>
      <c r="N744" s="6" t="n"/>
      <c r="O744" s="6" t="n"/>
    </row>
    <row r="745">
      <c r="B745" s="170" t="n">
        <v>732</v>
      </c>
      <c r="C745" s="170" t="n"/>
      <c r="D745" s="312" t="n"/>
      <c r="E745" s="312" t="n"/>
      <c r="F745" s="312" t="n"/>
      <c r="G745" s="312" t="n"/>
      <c r="H745" s="312" t="n"/>
      <c r="I745" s="313" t="n"/>
      <c r="J745" s="314" t="n"/>
      <c r="K745" s="170" t="n"/>
      <c r="L745" s="170" t="n"/>
      <c r="M745" s="6" t="n"/>
      <c r="N745" s="6" t="n"/>
      <c r="O745" s="6" t="n"/>
    </row>
    <row r="746">
      <c r="B746" s="170" t="n">
        <v>733</v>
      </c>
      <c r="C746" s="170" t="n"/>
      <c r="D746" s="312" t="n"/>
      <c r="E746" s="312" t="n"/>
      <c r="F746" s="312" t="n"/>
      <c r="G746" s="312" t="n"/>
      <c r="H746" s="312" t="n"/>
      <c r="I746" s="313" t="n"/>
      <c r="J746" s="314" t="n"/>
      <c r="K746" s="170" t="n"/>
      <c r="L746" s="170" t="n"/>
      <c r="M746" s="6" t="n"/>
      <c r="N746" s="6" t="n"/>
      <c r="O746" s="6" t="n"/>
    </row>
    <row r="747">
      <c r="B747" s="170" t="n">
        <v>734</v>
      </c>
      <c r="C747" s="170" t="n"/>
      <c r="D747" s="312" t="n"/>
      <c r="E747" s="312" t="n"/>
      <c r="F747" s="312" t="n"/>
      <c r="G747" s="312" t="n"/>
      <c r="H747" s="312" t="n"/>
      <c r="I747" s="313" t="n"/>
      <c r="J747" s="314" t="n"/>
      <c r="K747" s="170" t="n"/>
      <c r="L747" s="170" t="n"/>
      <c r="M747" s="6" t="n"/>
      <c r="N747" s="6" t="n"/>
      <c r="O747" s="6" t="n"/>
    </row>
    <row r="748">
      <c r="B748" s="170" t="n">
        <v>735</v>
      </c>
      <c r="C748" s="170" t="n"/>
      <c r="D748" s="312" t="n"/>
      <c r="E748" s="312" t="n"/>
      <c r="F748" s="312" t="n"/>
      <c r="G748" s="312" t="n"/>
      <c r="H748" s="312" t="n"/>
      <c r="I748" s="313" t="n"/>
      <c r="J748" s="314" t="n"/>
      <c r="K748" s="170" t="n"/>
      <c r="L748" s="170" t="n"/>
      <c r="M748" s="6" t="n"/>
      <c r="N748" s="6" t="n"/>
      <c r="O748" s="6" t="n"/>
    </row>
    <row r="749">
      <c r="B749" s="170" t="n">
        <v>736</v>
      </c>
      <c r="C749" s="170" t="n"/>
      <c r="D749" s="312" t="n"/>
      <c r="E749" s="312" t="n"/>
      <c r="F749" s="312" t="n"/>
      <c r="G749" s="312" t="n"/>
      <c r="H749" s="312" t="n"/>
      <c r="I749" s="313" t="n"/>
      <c r="J749" s="314" t="n"/>
      <c r="K749" s="170" t="n"/>
      <c r="L749" s="170" t="n"/>
      <c r="M749" s="6" t="n"/>
      <c r="N749" s="6" t="n"/>
      <c r="O749" s="6" t="n"/>
    </row>
    <row r="750">
      <c r="B750" s="170" t="n">
        <v>737</v>
      </c>
      <c r="C750" s="170" t="n"/>
      <c r="D750" s="312" t="n"/>
      <c r="E750" s="312" t="n"/>
      <c r="F750" s="312" t="n"/>
      <c r="G750" s="312" t="n"/>
      <c r="H750" s="312" t="n"/>
      <c r="I750" s="313" t="n"/>
      <c r="J750" s="314" t="n"/>
      <c r="K750" s="170" t="n"/>
      <c r="L750" s="170" t="n"/>
      <c r="M750" s="6" t="n"/>
      <c r="N750" s="6" t="n"/>
      <c r="O750" s="6" t="n"/>
    </row>
    <row r="751">
      <c r="B751" s="170" t="n">
        <v>738</v>
      </c>
      <c r="C751" s="170" t="n"/>
      <c r="D751" s="312" t="n"/>
      <c r="E751" s="312" t="n"/>
      <c r="F751" s="312" t="n"/>
      <c r="G751" s="312" t="n"/>
      <c r="H751" s="312" t="n"/>
      <c r="I751" s="313" t="n"/>
      <c r="J751" s="314" t="n"/>
      <c r="K751" s="170" t="n"/>
      <c r="L751" s="170" t="n"/>
      <c r="M751" s="6" t="n"/>
      <c r="N751" s="6" t="n"/>
      <c r="O751" s="6" t="n"/>
    </row>
    <row r="752">
      <c r="B752" s="170" t="n">
        <v>739</v>
      </c>
      <c r="C752" s="170" t="n"/>
      <c r="D752" s="312" t="n"/>
      <c r="E752" s="312" t="n"/>
      <c r="F752" s="312" t="n"/>
      <c r="G752" s="312" t="n"/>
      <c r="H752" s="312" t="n"/>
      <c r="I752" s="313" t="n"/>
      <c r="J752" s="314" t="n"/>
      <c r="K752" s="170" t="n"/>
      <c r="L752" s="170" t="n"/>
      <c r="M752" s="6" t="n"/>
      <c r="N752" s="6" t="n"/>
      <c r="O752" s="6" t="n"/>
    </row>
    <row r="753">
      <c r="B753" s="170" t="n">
        <v>740</v>
      </c>
      <c r="C753" s="170" t="n"/>
      <c r="D753" s="312" t="n"/>
      <c r="E753" s="312" t="n"/>
      <c r="F753" s="312" t="n"/>
      <c r="G753" s="312" t="n"/>
      <c r="H753" s="312" t="n"/>
      <c r="I753" s="313" t="n"/>
      <c r="J753" s="314" t="n"/>
      <c r="K753" s="170" t="n"/>
      <c r="L753" s="170" t="n"/>
      <c r="M753" s="6" t="n"/>
      <c r="N753" s="6" t="n"/>
      <c r="O753" s="6" t="n"/>
    </row>
    <row r="754">
      <c r="B754" s="170" t="n">
        <v>741</v>
      </c>
      <c r="C754" s="170" t="n"/>
      <c r="D754" s="312" t="n"/>
      <c r="E754" s="312" t="n"/>
      <c r="F754" s="312" t="n"/>
      <c r="G754" s="312" t="n"/>
      <c r="H754" s="312" t="n"/>
      <c r="I754" s="313" t="n"/>
      <c r="J754" s="314" t="n"/>
      <c r="K754" s="170" t="n"/>
      <c r="L754" s="170" t="n"/>
      <c r="M754" s="6" t="n"/>
      <c r="N754" s="6" t="n"/>
      <c r="O754" s="6" t="n"/>
    </row>
    <row r="755">
      <c r="B755" s="170" t="n">
        <v>742</v>
      </c>
      <c r="C755" s="170" t="n"/>
      <c r="D755" s="312" t="n"/>
      <c r="E755" s="312" t="n"/>
      <c r="F755" s="312" t="n"/>
      <c r="G755" s="312" t="n"/>
      <c r="H755" s="312" t="n"/>
      <c r="I755" s="313" t="n"/>
      <c r="J755" s="314" t="n"/>
      <c r="K755" s="170" t="n"/>
      <c r="L755" s="170" t="n"/>
      <c r="M755" s="6" t="n"/>
      <c r="N755" s="6" t="n"/>
      <c r="O755" s="6" t="n"/>
    </row>
    <row r="756">
      <c r="B756" s="170" t="n">
        <v>743</v>
      </c>
      <c r="C756" s="170" t="n"/>
      <c r="D756" s="312" t="n"/>
      <c r="E756" s="312" t="n"/>
      <c r="F756" s="312" t="n"/>
      <c r="G756" s="312" t="n"/>
      <c r="H756" s="312" t="n"/>
      <c r="I756" s="313" t="n"/>
      <c r="J756" s="314" t="n"/>
      <c r="K756" s="170" t="n"/>
      <c r="L756" s="170" t="n"/>
      <c r="M756" s="6" t="n"/>
      <c r="N756" s="6" t="n"/>
      <c r="O756" s="6" t="n"/>
    </row>
    <row r="757">
      <c r="B757" s="170" t="n">
        <v>744</v>
      </c>
      <c r="C757" s="170" t="n"/>
      <c r="D757" s="312" t="n"/>
      <c r="E757" s="312" t="n"/>
      <c r="F757" s="312" t="n"/>
      <c r="G757" s="312" t="n"/>
      <c r="H757" s="312" t="n"/>
      <c r="I757" s="313" t="n"/>
      <c r="J757" s="314" t="n"/>
      <c r="K757" s="170" t="n"/>
      <c r="L757" s="170" t="n"/>
      <c r="M757" s="6" t="n"/>
      <c r="N757" s="6" t="n"/>
      <c r="O757" s="6" t="n"/>
    </row>
    <row r="758">
      <c r="B758" s="170" t="n">
        <v>745</v>
      </c>
      <c r="C758" s="170" t="n"/>
      <c r="D758" s="312" t="n"/>
      <c r="E758" s="312" t="n"/>
      <c r="F758" s="312" t="n"/>
      <c r="G758" s="312" t="n"/>
      <c r="H758" s="312" t="n"/>
      <c r="I758" s="313" t="n"/>
      <c r="J758" s="314" t="n"/>
      <c r="K758" s="170" t="n"/>
      <c r="L758" s="170" t="n"/>
      <c r="M758" s="6" t="n"/>
      <c r="N758" s="6" t="n"/>
      <c r="O758" s="6" t="n"/>
    </row>
    <row r="759">
      <c r="B759" s="170" t="n">
        <v>746</v>
      </c>
      <c r="C759" s="170" t="n"/>
      <c r="D759" s="312" t="n"/>
      <c r="E759" s="312" t="n"/>
      <c r="F759" s="312" t="n"/>
      <c r="G759" s="312" t="n"/>
      <c r="H759" s="312" t="n"/>
      <c r="I759" s="313" t="n"/>
      <c r="J759" s="314" t="n"/>
      <c r="K759" s="170" t="n"/>
      <c r="L759" s="170" t="n"/>
      <c r="M759" s="6" t="n"/>
      <c r="N759" s="6" t="n"/>
      <c r="O759" s="6" t="n"/>
    </row>
    <row r="760">
      <c r="B760" s="170" t="n">
        <v>747</v>
      </c>
      <c r="C760" s="170" t="n"/>
      <c r="D760" s="312" t="n"/>
      <c r="E760" s="312" t="n"/>
      <c r="F760" s="312" t="n"/>
      <c r="G760" s="312" t="n"/>
      <c r="H760" s="312" t="n"/>
      <c r="I760" s="313" t="n"/>
      <c r="J760" s="314" t="n"/>
      <c r="K760" s="170" t="n"/>
      <c r="L760" s="170" t="n"/>
      <c r="M760" s="6" t="n"/>
      <c r="N760" s="6" t="n"/>
      <c r="O760" s="6" t="n"/>
    </row>
    <row r="761">
      <c r="B761" s="170" t="n">
        <v>748</v>
      </c>
      <c r="C761" s="170" t="n"/>
      <c r="D761" s="312" t="n"/>
      <c r="E761" s="312" t="n"/>
      <c r="F761" s="312" t="n"/>
      <c r="G761" s="312" t="n"/>
      <c r="H761" s="312" t="n"/>
      <c r="I761" s="313" t="n"/>
      <c r="J761" s="314" t="n"/>
      <c r="K761" s="170" t="n"/>
      <c r="L761" s="170" t="n"/>
      <c r="M761" s="6" t="n"/>
      <c r="N761" s="6" t="n"/>
      <c r="O761" s="6" t="n"/>
    </row>
    <row r="762">
      <c r="B762" s="170" t="n">
        <v>749</v>
      </c>
      <c r="C762" s="170" t="n"/>
      <c r="D762" s="312" t="n"/>
      <c r="E762" s="312" t="n"/>
      <c r="F762" s="312" t="n"/>
      <c r="G762" s="312" t="n"/>
      <c r="H762" s="312" t="n"/>
      <c r="I762" s="313" t="n"/>
      <c r="J762" s="314" t="n"/>
      <c r="K762" s="170" t="n"/>
      <c r="L762" s="170" t="n"/>
      <c r="M762" s="6" t="n"/>
      <c r="N762" s="6" t="n"/>
      <c r="O762" s="6" t="n"/>
    </row>
    <row r="763">
      <c r="B763" s="170" t="n">
        <v>750</v>
      </c>
      <c r="C763" s="170" t="n"/>
      <c r="D763" s="312" t="n"/>
      <c r="E763" s="312" t="n"/>
      <c r="F763" s="312" t="n"/>
      <c r="G763" s="312" t="n"/>
      <c r="H763" s="312" t="n"/>
      <c r="I763" s="313" t="n"/>
      <c r="J763" s="314" t="n"/>
      <c r="K763" s="170" t="n"/>
      <c r="L763" s="170" t="n"/>
      <c r="M763" s="6" t="n"/>
      <c r="N763" s="6" t="n"/>
      <c r="O763" s="6" t="n"/>
    </row>
    <row r="764">
      <c r="B764" s="170" t="n">
        <v>751</v>
      </c>
      <c r="C764" s="170" t="n"/>
      <c r="D764" s="312" t="n"/>
      <c r="E764" s="312" t="n"/>
      <c r="F764" s="312" t="n"/>
      <c r="G764" s="312" t="n"/>
      <c r="H764" s="312" t="n"/>
      <c r="I764" s="313" t="n"/>
      <c r="J764" s="314" t="n"/>
      <c r="K764" s="170" t="n"/>
      <c r="L764" s="170" t="n"/>
      <c r="M764" s="6" t="n"/>
      <c r="N764" s="6" t="n"/>
      <c r="O764" s="6" t="n"/>
    </row>
    <row r="765">
      <c r="B765" s="170" t="n">
        <v>752</v>
      </c>
      <c r="C765" s="170" t="n"/>
      <c r="D765" s="312" t="n"/>
      <c r="E765" s="312" t="n"/>
      <c r="F765" s="312" t="n"/>
      <c r="G765" s="312" t="n"/>
      <c r="H765" s="312" t="n"/>
      <c r="I765" s="313" t="n"/>
      <c r="J765" s="314" t="n"/>
      <c r="K765" s="170" t="n"/>
      <c r="L765" s="170" t="n"/>
      <c r="M765" s="6" t="n"/>
      <c r="N765" s="6" t="n"/>
      <c r="O765" s="6" t="n"/>
    </row>
    <row r="766">
      <c r="B766" s="170" t="n">
        <v>753</v>
      </c>
      <c r="C766" s="170" t="n"/>
      <c r="D766" s="312" t="n"/>
      <c r="E766" s="312" t="n"/>
      <c r="F766" s="312" t="n"/>
      <c r="G766" s="312" t="n"/>
      <c r="H766" s="312" t="n"/>
      <c r="I766" s="313" t="n"/>
      <c r="J766" s="314" t="n"/>
      <c r="K766" s="170" t="n"/>
      <c r="L766" s="170" t="n"/>
      <c r="M766" s="6" t="n"/>
      <c r="N766" s="6" t="n"/>
      <c r="O766" s="6" t="n"/>
    </row>
    <row r="767">
      <c r="B767" s="170" t="n">
        <v>754</v>
      </c>
      <c r="C767" s="170" t="n"/>
      <c r="D767" s="312" t="n"/>
      <c r="E767" s="312" t="n"/>
      <c r="F767" s="312" t="n"/>
      <c r="G767" s="312" t="n"/>
      <c r="H767" s="312" t="n"/>
      <c r="I767" s="313" t="n"/>
      <c r="J767" s="314" t="n"/>
      <c r="K767" s="170" t="n"/>
      <c r="L767" s="170" t="n"/>
      <c r="M767" s="6" t="n"/>
      <c r="N767" s="6" t="n"/>
      <c r="O767" s="6" t="n"/>
    </row>
    <row r="768">
      <c r="B768" s="170" t="n">
        <v>755</v>
      </c>
      <c r="C768" s="170" t="n"/>
      <c r="D768" s="312" t="n"/>
      <c r="E768" s="312" t="n"/>
      <c r="F768" s="312" t="n"/>
      <c r="G768" s="312" t="n"/>
      <c r="H768" s="312" t="n"/>
      <c r="I768" s="313" t="n"/>
      <c r="J768" s="314" t="n"/>
      <c r="K768" s="170" t="n"/>
      <c r="L768" s="170" t="n"/>
      <c r="M768" s="6" t="n"/>
      <c r="N768" s="6" t="n"/>
      <c r="O768" s="6" t="n"/>
    </row>
    <row r="769">
      <c r="B769" s="170" t="n">
        <v>756</v>
      </c>
      <c r="C769" s="170" t="n"/>
      <c r="D769" s="312" t="n"/>
      <c r="E769" s="312" t="n"/>
      <c r="F769" s="312" t="n"/>
      <c r="G769" s="312" t="n"/>
      <c r="H769" s="312" t="n"/>
      <c r="I769" s="313" t="n"/>
      <c r="J769" s="314" t="n"/>
      <c r="K769" s="170" t="n"/>
      <c r="L769" s="170" t="n"/>
      <c r="M769" s="6" t="n"/>
      <c r="N769" s="6" t="n"/>
      <c r="O769" s="6" t="n"/>
    </row>
    <row r="770">
      <c r="B770" s="170" t="n">
        <v>757</v>
      </c>
      <c r="C770" s="170" t="n"/>
      <c r="D770" s="312" t="n"/>
      <c r="E770" s="312" t="n"/>
      <c r="F770" s="312" t="n"/>
      <c r="G770" s="312" t="n"/>
      <c r="H770" s="312" t="n"/>
      <c r="I770" s="313" t="n"/>
      <c r="J770" s="314" t="n"/>
      <c r="K770" s="170" t="n"/>
      <c r="L770" s="170" t="n"/>
      <c r="M770" s="6" t="n"/>
      <c r="N770" s="6" t="n"/>
      <c r="O770" s="6" t="n"/>
    </row>
    <row r="771">
      <c r="B771" s="170" t="n">
        <v>758</v>
      </c>
      <c r="C771" s="170" t="n"/>
      <c r="D771" s="312" t="n"/>
      <c r="E771" s="312" t="n"/>
      <c r="F771" s="312" t="n"/>
      <c r="G771" s="312" t="n"/>
      <c r="H771" s="312" t="n"/>
      <c r="I771" s="313" t="n"/>
      <c r="J771" s="314" t="n"/>
      <c r="K771" s="170" t="n"/>
      <c r="L771" s="170" t="n"/>
      <c r="M771" s="6" t="n"/>
      <c r="N771" s="6" t="n"/>
      <c r="O771" s="6" t="n"/>
    </row>
    <row r="772">
      <c r="B772" s="170" t="n">
        <v>759</v>
      </c>
      <c r="C772" s="170" t="n"/>
      <c r="D772" s="312" t="n"/>
      <c r="E772" s="312" t="n"/>
      <c r="F772" s="312" t="n"/>
      <c r="G772" s="312" t="n"/>
      <c r="H772" s="312" t="n"/>
      <c r="I772" s="313" t="n"/>
      <c r="J772" s="314" t="n"/>
      <c r="K772" s="170" t="n"/>
      <c r="L772" s="170" t="n"/>
      <c r="M772" s="6" t="n"/>
      <c r="N772" s="6" t="n"/>
      <c r="O772" s="6" t="n"/>
    </row>
    <row r="773">
      <c r="B773" s="170" t="n">
        <v>760</v>
      </c>
      <c r="C773" s="170" t="n"/>
      <c r="D773" s="312" t="n"/>
      <c r="E773" s="312" t="n"/>
      <c r="F773" s="312" t="n"/>
      <c r="G773" s="312" t="n"/>
      <c r="H773" s="312" t="n"/>
      <c r="I773" s="313" t="n"/>
      <c r="J773" s="314" t="n"/>
      <c r="K773" s="170" t="n"/>
      <c r="L773" s="170" t="n"/>
      <c r="M773" s="6" t="n"/>
      <c r="N773" s="6" t="n"/>
      <c r="O773" s="6" t="n"/>
    </row>
    <row r="774">
      <c r="B774" s="170" t="n">
        <v>761</v>
      </c>
      <c r="C774" s="170" t="n"/>
      <c r="D774" s="312" t="n"/>
      <c r="E774" s="312" t="n"/>
      <c r="F774" s="312" t="n"/>
      <c r="G774" s="312" t="n"/>
      <c r="H774" s="312" t="n"/>
      <c r="I774" s="313" t="n"/>
      <c r="J774" s="314" t="n"/>
      <c r="K774" s="170" t="n"/>
      <c r="L774" s="170" t="n"/>
      <c r="M774" s="6" t="n"/>
      <c r="N774" s="6" t="n"/>
      <c r="O774" s="6" t="n"/>
    </row>
    <row r="775">
      <c r="B775" s="170" t="n">
        <v>762</v>
      </c>
      <c r="C775" s="170" t="n"/>
      <c r="D775" s="312" t="n"/>
      <c r="E775" s="312" t="n"/>
      <c r="F775" s="312" t="n"/>
      <c r="G775" s="312" t="n"/>
      <c r="H775" s="312" t="n"/>
      <c r="I775" s="313" t="n"/>
      <c r="J775" s="314" t="n"/>
      <c r="K775" s="170" t="n"/>
      <c r="L775" s="170" t="n"/>
      <c r="M775" s="6" t="n"/>
      <c r="N775" s="6" t="n"/>
      <c r="O775" s="6" t="n"/>
    </row>
    <row r="776">
      <c r="B776" s="170" t="n">
        <v>763</v>
      </c>
      <c r="C776" s="170" t="n"/>
      <c r="D776" s="312" t="n"/>
      <c r="E776" s="312" t="n"/>
      <c r="F776" s="312" t="n"/>
      <c r="G776" s="312" t="n"/>
      <c r="H776" s="312" t="n"/>
      <c r="I776" s="313" t="n"/>
      <c r="J776" s="314" t="n"/>
      <c r="K776" s="170" t="n"/>
      <c r="L776" s="170" t="n"/>
      <c r="M776" s="6" t="n"/>
      <c r="N776" s="6" t="n"/>
      <c r="O776" s="6" t="n"/>
    </row>
    <row r="777">
      <c r="B777" s="170" t="n">
        <v>764</v>
      </c>
      <c r="C777" s="170" t="n"/>
      <c r="D777" s="312" t="n"/>
      <c r="E777" s="312" t="n"/>
      <c r="F777" s="312" t="n"/>
      <c r="G777" s="312" t="n"/>
      <c r="H777" s="312" t="n"/>
      <c r="I777" s="313" t="n"/>
      <c r="J777" s="314" t="n"/>
      <c r="K777" s="170" t="n"/>
      <c r="L777" s="170" t="n"/>
      <c r="M777" s="6" t="n"/>
      <c r="N777" s="6" t="n"/>
      <c r="O777" s="6" t="n"/>
    </row>
    <row r="778">
      <c r="B778" s="170" t="n">
        <v>765</v>
      </c>
      <c r="C778" s="170" t="n"/>
      <c r="D778" s="312" t="n"/>
      <c r="E778" s="312" t="n"/>
      <c r="F778" s="312" t="n"/>
      <c r="G778" s="312" t="n"/>
      <c r="H778" s="312" t="n"/>
      <c r="I778" s="313" t="n"/>
      <c r="J778" s="314" t="n"/>
      <c r="K778" s="170" t="n"/>
      <c r="L778" s="170" t="n"/>
      <c r="M778" s="6" t="n"/>
      <c r="N778" s="6" t="n"/>
      <c r="O778" s="6" t="n"/>
    </row>
    <row r="779">
      <c r="B779" s="170" t="n">
        <v>766</v>
      </c>
      <c r="C779" s="170" t="n"/>
      <c r="D779" s="312" t="n"/>
      <c r="E779" s="312" t="n"/>
      <c r="F779" s="312" t="n"/>
      <c r="G779" s="312" t="n"/>
      <c r="H779" s="312" t="n"/>
      <c r="I779" s="313" t="n"/>
      <c r="J779" s="314" t="n"/>
      <c r="K779" s="170" t="n"/>
      <c r="L779" s="170" t="n"/>
      <c r="M779" s="6" t="n"/>
      <c r="N779" s="6" t="n"/>
      <c r="O779" s="6" t="n"/>
    </row>
    <row r="780">
      <c r="B780" s="170" t="n">
        <v>767</v>
      </c>
      <c r="C780" s="170" t="n"/>
      <c r="D780" s="312" t="n"/>
      <c r="E780" s="312" t="n"/>
      <c r="F780" s="312" t="n"/>
      <c r="G780" s="312" t="n"/>
      <c r="H780" s="312" t="n"/>
      <c r="I780" s="313" t="n"/>
      <c r="J780" s="314" t="n"/>
      <c r="K780" s="170" t="n"/>
      <c r="L780" s="170" t="n"/>
      <c r="M780" s="6" t="n"/>
      <c r="N780" s="6" t="n"/>
      <c r="O780" s="6" t="n"/>
    </row>
    <row r="781">
      <c r="B781" s="170" t="n">
        <v>768</v>
      </c>
      <c r="C781" s="170" t="n"/>
      <c r="D781" s="312" t="n"/>
      <c r="E781" s="312" t="n"/>
      <c r="F781" s="312" t="n"/>
      <c r="G781" s="312" t="n"/>
      <c r="H781" s="312" t="n"/>
      <c r="I781" s="313" t="n"/>
      <c r="J781" s="314" t="n"/>
      <c r="K781" s="170" t="n"/>
      <c r="L781" s="170" t="n"/>
      <c r="M781" s="6" t="n"/>
      <c r="N781" s="6" t="n"/>
      <c r="O781" s="6" t="n"/>
    </row>
    <row r="782">
      <c r="B782" s="170" t="n">
        <v>769</v>
      </c>
      <c r="C782" s="170" t="n"/>
      <c r="D782" s="312" t="n"/>
      <c r="E782" s="312" t="n"/>
      <c r="F782" s="312" t="n"/>
      <c r="G782" s="312" t="n"/>
      <c r="H782" s="312" t="n"/>
      <c r="I782" s="313" t="n"/>
      <c r="J782" s="314" t="n"/>
      <c r="K782" s="170" t="n"/>
      <c r="L782" s="170" t="n"/>
      <c r="M782" s="6" t="n"/>
      <c r="N782" s="6" t="n"/>
      <c r="O782" s="6" t="n"/>
    </row>
    <row r="783">
      <c r="B783" s="170" t="n">
        <v>770</v>
      </c>
      <c r="C783" s="170" t="n"/>
      <c r="D783" s="312" t="n"/>
      <c r="E783" s="312" t="n"/>
      <c r="F783" s="312" t="n"/>
      <c r="G783" s="312" t="n"/>
      <c r="H783" s="312" t="n"/>
      <c r="I783" s="313" t="n"/>
      <c r="J783" s="314" t="n"/>
      <c r="K783" s="170" t="n"/>
      <c r="L783" s="170" t="n"/>
      <c r="M783" s="6" t="n"/>
      <c r="N783" s="6" t="n"/>
      <c r="O783" s="6" t="n"/>
    </row>
    <row r="784">
      <c r="B784" s="170" t="n">
        <v>771</v>
      </c>
      <c r="C784" s="170" t="n"/>
      <c r="D784" s="312" t="n"/>
      <c r="E784" s="312" t="n"/>
      <c r="F784" s="312" t="n"/>
      <c r="G784" s="312" t="n"/>
      <c r="H784" s="312" t="n"/>
      <c r="I784" s="313" t="n"/>
      <c r="J784" s="314" t="n"/>
      <c r="K784" s="170" t="n"/>
      <c r="L784" s="170" t="n"/>
      <c r="M784" s="6" t="n"/>
      <c r="N784" s="6" t="n"/>
      <c r="O784" s="6" t="n"/>
    </row>
    <row r="785">
      <c r="B785" s="170" t="n">
        <v>772</v>
      </c>
      <c r="C785" s="170" t="n"/>
      <c r="D785" s="312" t="n"/>
      <c r="E785" s="312" t="n"/>
      <c r="F785" s="312" t="n"/>
      <c r="G785" s="312" t="n"/>
      <c r="H785" s="312" t="n"/>
      <c r="I785" s="313" t="n"/>
      <c r="J785" s="314" t="n"/>
      <c r="K785" s="170" t="n"/>
      <c r="L785" s="170" t="n"/>
      <c r="M785" s="6" t="n"/>
      <c r="N785" s="6" t="n"/>
      <c r="O785" s="6" t="n"/>
    </row>
    <row r="786">
      <c r="B786" s="170" t="n">
        <v>773</v>
      </c>
      <c r="C786" s="170" t="n"/>
      <c r="D786" s="312" t="n"/>
      <c r="E786" s="312" t="n"/>
      <c r="F786" s="312" t="n"/>
      <c r="G786" s="312" t="n"/>
      <c r="H786" s="312" t="n"/>
      <c r="I786" s="313" t="n"/>
      <c r="J786" s="314" t="n"/>
      <c r="K786" s="170" t="n"/>
      <c r="L786" s="170" t="n"/>
      <c r="M786" s="6" t="n"/>
      <c r="N786" s="6" t="n"/>
      <c r="O786" s="6" t="n"/>
    </row>
    <row r="787">
      <c r="B787" s="170" t="n">
        <v>774</v>
      </c>
      <c r="C787" s="170" t="n"/>
      <c r="D787" s="312" t="n"/>
      <c r="E787" s="312" t="n"/>
      <c r="F787" s="312" t="n"/>
      <c r="G787" s="312" t="n"/>
      <c r="H787" s="312" t="n"/>
      <c r="I787" s="313" t="n"/>
      <c r="J787" s="314" t="n"/>
      <c r="K787" s="170" t="n"/>
      <c r="L787" s="170" t="n"/>
      <c r="M787" s="6" t="n"/>
      <c r="N787" s="6" t="n"/>
      <c r="O787" s="6" t="n"/>
    </row>
    <row r="788">
      <c r="B788" s="170" t="n">
        <v>775</v>
      </c>
      <c r="C788" s="170" t="n"/>
      <c r="D788" s="312" t="n"/>
      <c r="E788" s="312" t="n"/>
      <c r="F788" s="312" t="n"/>
      <c r="G788" s="312" t="n"/>
      <c r="H788" s="312" t="n"/>
      <c r="I788" s="313" t="n"/>
      <c r="J788" s="314" t="n"/>
      <c r="K788" s="170" t="n"/>
      <c r="L788" s="170" t="n"/>
      <c r="M788" s="6" t="n"/>
      <c r="N788" s="6" t="n"/>
      <c r="O788" s="6" t="n"/>
    </row>
    <row r="789">
      <c r="B789" s="170" t="n">
        <v>776</v>
      </c>
      <c r="C789" s="170" t="n"/>
      <c r="D789" s="312" t="n"/>
      <c r="E789" s="312" t="n"/>
      <c r="F789" s="312" t="n"/>
      <c r="G789" s="312" t="n"/>
      <c r="H789" s="312" t="n"/>
      <c r="I789" s="313" t="n"/>
      <c r="J789" s="314" t="n"/>
      <c r="K789" s="170" t="n"/>
      <c r="L789" s="170" t="n"/>
      <c r="M789" s="6" t="n"/>
      <c r="N789" s="6" t="n"/>
      <c r="O789" s="6" t="n"/>
    </row>
    <row r="790">
      <c r="B790" s="170" t="n">
        <v>777</v>
      </c>
      <c r="C790" s="170" t="n"/>
      <c r="D790" s="312" t="n"/>
      <c r="E790" s="312" t="n"/>
      <c r="F790" s="312" t="n"/>
      <c r="G790" s="312" t="n"/>
      <c r="H790" s="312" t="n"/>
      <c r="I790" s="313" t="n"/>
      <c r="J790" s="314" t="n"/>
      <c r="K790" s="170" t="n"/>
      <c r="L790" s="170" t="n"/>
      <c r="M790" s="6" t="n"/>
      <c r="N790" s="6" t="n"/>
      <c r="O790" s="6" t="n"/>
    </row>
    <row r="791">
      <c r="B791" s="170" t="n">
        <v>778</v>
      </c>
      <c r="C791" s="170" t="n"/>
      <c r="D791" s="312" t="n"/>
      <c r="E791" s="312" t="n"/>
      <c r="F791" s="312" t="n"/>
      <c r="G791" s="312" t="n"/>
      <c r="H791" s="312" t="n"/>
      <c r="I791" s="313" t="n"/>
      <c r="J791" s="314" t="n"/>
      <c r="K791" s="170" t="n"/>
      <c r="L791" s="170" t="n"/>
      <c r="M791" s="6" t="n"/>
      <c r="N791" s="6" t="n"/>
      <c r="O791" s="6" t="n"/>
    </row>
    <row r="792">
      <c r="B792" s="170" t="n">
        <v>779</v>
      </c>
      <c r="C792" s="170" t="n"/>
      <c r="D792" s="312" t="n"/>
      <c r="E792" s="312" t="n"/>
      <c r="F792" s="312" t="n"/>
      <c r="G792" s="312" t="n"/>
      <c r="H792" s="312" t="n"/>
      <c r="I792" s="313" t="n"/>
      <c r="J792" s="314" t="n"/>
      <c r="K792" s="170" t="n"/>
      <c r="L792" s="170" t="n"/>
      <c r="M792" s="6" t="n"/>
      <c r="N792" s="6" t="n"/>
      <c r="O792" s="6" t="n"/>
    </row>
    <row r="793">
      <c r="B793" s="170" t="n">
        <v>780</v>
      </c>
      <c r="C793" s="170" t="n"/>
      <c r="D793" s="312" t="n"/>
      <c r="E793" s="312" t="n"/>
      <c r="F793" s="312" t="n"/>
      <c r="G793" s="312" t="n"/>
      <c r="H793" s="312" t="n"/>
      <c r="I793" s="313" t="n"/>
      <c r="J793" s="314" t="n"/>
      <c r="K793" s="170" t="n"/>
      <c r="L793" s="170" t="n"/>
      <c r="M793" s="6" t="n"/>
      <c r="N793" s="6" t="n"/>
      <c r="O793" s="6" t="n"/>
    </row>
    <row r="794">
      <c r="B794" s="170" t="n">
        <v>781</v>
      </c>
      <c r="C794" s="170" t="n"/>
      <c r="D794" s="312" t="n"/>
      <c r="E794" s="312" t="n"/>
      <c r="F794" s="312" t="n"/>
      <c r="G794" s="312" t="n"/>
      <c r="H794" s="312" t="n"/>
      <c r="I794" s="313" t="n"/>
      <c r="J794" s="314" t="n"/>
      <c r="K794" s="170" t="n"/>
      <c r="L794" s="170" t="n"/>
      <c r="M794" s="6" t="n"/>
      <c r="N794" s="6" t="n"/>
      <c r="O794" s="6" t="n"/>
    </row>
    <row r="795">
      <c r="B795" s="170" t="n">
        <v>782</v>
      </c>
      <c r="C795" s="170" t="n"/>
      <c r="D795" s="312" t="n"/>
      <c r="E795" s="312" t="n"/>
      <c r="F795" s="312" t="n"/>
      <c r="G795" s="312" t="n"/>
      <c r="H795" s="312" t="n"/>
      <c r="I795" s="313" t="n"/>
      <c r="J795" s="314" t="n"/>
      <c r="K795" s="170" t="n"/>
      <c r="L795" s="170" t="n"/>
      <c r="M795" s="6" t="n"/>
      <c r="N795" s="6" t="n"/>
      <c r="O795" s="6" t="n"/>
    </row>
    <row r="796">
      <c r="B796" s="170" t="n">
        <v>783</v>
      </c>
      <c r="C796" s="170" t="n"/>
      <c r="D796" s="312" t="n"/>
      <c r="E796" s="312" t="n"/>
      <c r="F796" s="312" t="n"/>
      <c r="G796" s="312" t="n"/>
      <c r="H796" s="312" t="n"/>
      <c r="I796" s="313" t="n"/>
      <c r="J796" s="314" t="n"/>
      <c r="K796" s="170" t="n"/>
      <c r="L796" s="170" t="n"/>
      <c r="M796" s="6" t="n"/>
      <c r="N796" s="6" t="n"/>
      <c r="O796" s="6" t="n"/>
    </row>
    <row r="797">
      <c r="B797" s="170" t="n">
        <v>784</v>
      </c>
      <c r="C797" s="170" t="n"/>
      <c r="D797" s="312" t="n"/>
      <c r="E797" s="312" t="n"/>
      <c r="F797" s="312" t="n"/>
      <c r="G797" s="312" t="n"/>
      <c r="H797" s="312" t="n"/>
      <c r="I797" s="313" t="n"/>
      <c r="J797" s="314" t="n"/>
      <c r="K797" s="170" t="n"/>
      <c r="L797" s="170" t="n"/>
      <c r="M797" s="6" t="n"/>
      <c r="N797" s="6" t="n"/>
      <c r="O797" s="6" t="n"/>
    </row>
    <row r="798">
      <c r="B798" s="170" t="n">
        <v>785</v>
      </c>
      <c r="C798" s="170" t="n"/>
      <c r="D798" s="312" t="n"/>
      <c r="E798" s="312" t="n"/>
      <c r="F798" s="312" t="n"/>
      <c r="G798" s="312" t="n"/>
      <c r="H798" s="312" t="n"/>
      <c r="I798" s="313" t="n"/>
      <c r="J798" s="314" t="n"/>
      <c r="K798" s="170" t="n"/>
      <c r="L798" s="170" t="n"/>
      <c r="M798" s="6" t="n"/>
      <c r="N798" s="6" t="n"/>
      <c r="O798" s="6" t="n"/>
    </row>
    <row r="799">
      <c r="B799" s="170" t="n">
        <v>786</v>
      </c>
      <c r="C799" s="170" t="n"/>
      <c r="D799" s="312" t="n"/>
      <c r="E799" s="312" t="n"/>
      <c r="F799" s="312" t="n"/>
      <c r="G799" s="312" t="n"/>
      <c r="H799" s="312" t="n"/>
      <c r="I799" s="313" t="n"/>
      <c r="J799" s="314" t="n"/>
      <c r="K799" s="170" t="n"/>
      <c r="L799" s="170" t="n"/>
      <c r="M799" s="6" t="n"/>
      <c r="N799" s="6" t="n"/>
      <c r="O799" s="6" t="n"/>
    </row>
    <row r="800">
      <c r="B800" s="170" t="n">
        <v>787</v>
      </c>
      <c r="C800" s="170" t="n"/>
      <c r="D800" s="312" t="n"/>
      <c r="E800" s="312" t="n"/>
      <c r="F800" s="312" t="n"/>
      <c r="G800" s="312" t="n"/>
      <c r="H800" s="312" t="n"/>
      <c r="I800" s="313" t="n"/>
      <c r="J800" s="314" t="n"/>
      <c r="K800" s="170" t="n"/>
      <c r="L800" s="170" t="n"/>
      <c r="M800" s="6" t="n"/>
      <c r="N800" s="6" t="n"/>
      <c r="O800" s="6" t="n"/>
    </row>
    <row r="801">
      <c r="B801" s="170" t="n">
        <v>788</v>
      </c>
      <c r="C801" s="170" t="n"/>
      <c r="D801" s="312" t="n"/>
      <c r="E801" s="312" t="n"/>
      <c r="F801" s="312" t="n"/>
      <c r="G801" s="312" t="n"/>
      <c r="H801" s="312" t="n"/>
      <c r="I801" s="313" t="n"/>
      <c r="J801" s="314" t="n"/>
      <c r="K801" s="170" t="n"/>
      <c r="L801" s="170" t="n"/>
      <c r="M801" s="6" t="n"/>
      <c r="N801" s="6" t="n"/>
      <c r="O801" s="6" t="n"/>
    </row>
    <row r="802">
      <c r="B802" s="170" t="n">
        <v>789</v>
      </c>
      <c r="C802" s="170" t="n"/>
      <c r="D802" s="312" t="n"/>
      <c r="E802" s="312" t="n"/>
      <c r="F802" s="312" t="n"/>
      <c r="G802" s="312" t="n"/>
      <c r="H802" s="312" t="n"/>
      <c r="I802" s="313" t="n"/>
      <c r="J802" s="314" t="n"/>
      <c r="K802" s="170" t="n"/>
      <c r="L802" s="170" t="n"/>
      <c r="M802" s="6" t="n"/>
      <c r="N802" s="6" t="n"/>
      <c r="O802" s="6" t="n"/>
    </row>
    <row r="803">
      <c r="B803" s="170" t="n">
        <v>790</v>
      </c>
      <c r="C803" s="170" t="n"/>
      <c r="D803" s="312" t="n"/>
      <c r="E803" s="312" t="n"/>
      <c r="F803" s="312" t="n"/>
      <c r="G803" s="312" t="n"/>
      <c r="H803" s="312" t="n"/>
      <c r="I803" s="313" t="n"/>
      <c r="J803" s="314" t="n"/>
      <c r="K803" s="170" t="n"/>
      <c r="L803" s="170" t="n"/>
      <c r="M803" s="6" t="n"/>
      <c r="N803" s="6" t="n"/>
      <c r="O803" s="6" t="n"/>
    </row>
    <row r="804">
      <c r="B804" s="170" t="n">
        <v>791</v>
      </c>
      <c r="C804" s="170" t="n"/>
      <c r="D804" s="312" t="n"/>
      <c r="E804" s="312" t="n"/>
      <c r="F804" s="312" t="n"/>
      <c r="G804" s="312" t="n"/>
      <c r="H804" s="312" t="n"/>
      <c r="I804" s="313" t="n"/>
      <c r="J804" s="314" t="n"/>
      <c r="K804" s="170" t="n"/>
      <c r="L804" s="170" t="n"/>
      <c r="M804" s="6" t="n"/>
      <c r="N804" s="6" t="n"/>
      <c r="O804" s="6" t="n"/>
    </row>
    <row r="805">
      <c r="B805" s="170" t="n">
        <v>792</v>
      </c>
      <c r="C805" s="170" t="n"/>
      <c r="D805" s="312" t="n"/>
      <c r="E805" s="312" t="n"/>
      <c r="F805" s="312" t="n"/>
      <c r="G805" s="312" t="n"/>
      <c r="H805" s="312" t="n"/>
      <c r="I805" s="313" t="n"/>
      <c r="J805" s="314" t="n"/>
      <c r="K805" s="170" t="n"/>
      <c r="L805" s="170" t="n"/>
      <c r="M805" s="6" t="n"/>
      <c r="N805" s="6" t="n"/>
      <c r="O805" s="6" t="n"/>
    </row>
    <row r="806">
      <c r="B806" s="170" t="n">
        <v>793</v>
      </c>
      <c r="C806" s="170" t="n"/>
      <c r="D806" s="312" t="n"/>
      <c r="E806" s="312" t="n"/>
      <c r="F806" s="312" t="n"/>
      <c r="G806" s="312" t="n"/>
      <c r="H806" s="312" t="n"/>
      <c r="I806" s="313" t="n"/>
      <c r="J806" s="314" t="n"/>
      <c r="K806" s="170" t="n"/>
      <c r="L806" s="170" t="n"/>
      <c r="M806" s="6" t="n"/>
      <c r="N806" s="6" t="n"/>
      <c r="O806" s="6" t="n"/>
    </row>
    <row r="807">
      <c r="B807" s="170" t="n">
        <v>794</v>
      </c>
      <c r="C807" s="170" t="n"/>
      <c r="D807" s="312" t="n"/>
      <c r="E807" s="312" t="n"/>
      <c r="F807" s="312" t="n"/>
      <c r="G807" s="312" t="n"/>
      <c r="H807" s="312" t="n"/>
      <c r="I807" s="313" t="n"/>
      <c r="J807" s="314" t="n"/>
      <c r="K807" s="170" t="n"/>
      <c r="L807" s="170" t="n"/>
      <c r="M807" s="6" t="n"/>
      <c r="N807" s="6" t="n"/>
      <c r="O807" s="6" t="n"/>
    </row>
    <row r="808">
      <c r="B808" s="170" t="n">
        <v>795</v>
      </c>
      <c r="C808" s="170" t="n"/>
      <c r="D808" s="312" t="n"/>
      <c r="E808" s="312" t="n"/>
      <c r="F808" s="312" t="n"/>
      <c r="G808" s="312" t="n"/>
      <c r="H808" s="312" t="n"/>
      <c r="I808" s="313" t="n"/>
      <c r="J808" s="314" t="n"/>
      <c r="K808" s="170" t="n"/>
      <c r="L808" s="170" t="n"/>
      <c r="M808" s="6" t="n"/>
      <c r="N808" s="6" t="n"/>
      <c r="O808" s="6" t="n"/>
    </row>
    <row r="809">
      <c r="B809" s="170" t="n">
        <v>796</v>
      </c>
      <c r="C809" s="170" t="n"/>
      <c r="D809" s="312" t="n"/>
      <c r="E809" s="312" t="n"/>
      <c r="F809" s="312" t="n"/>
      <c r="G809" s="312" t="n"/>
      <c r="H809" s="312" t="n"/>
      <c r="I809" s="313" t="n"/>
      <c r="J809" s="314" t="n"/>
      <c r="K809" s="170" t="n"/>
      <c r="L809" s="170" t="n"/>
      <c r="M809" s="6" t="n"/>
      <c r="N809" s="6" t="n"/>
      <c r="O809" s="6" t="n"/>
    </row>
    <row r="810">
      <c r="B810" s="170" t="n">
        <v>797</v>
      </c>
      <c r="C810" s="170" t="n"/>
      <c r="D810" s="312" t="n"/>
      <c r="E810" s="312" t="n"/>
      <c r="F810" s="312" t="n"/>
      <c r="G810" s="312" t="n"/>
      <c r="H810" s="312" t="n"/>
      <c r="I810" s="313" t="n"/>
      <c r="J810" s="314" t="n"/>
      <c r="K810" s="170" t="n"/>
      <c r="L810" s="170" t="n"/>
      <c r="M810" s="6" t="n"/>
      <c r="N810" s="6" t="n"/>
      <c r="O810" s="6" t="n"/>
    </row>
    <row r="811">
      <c r="B811" s="170" t="n">
        <v>798</v>
      </c>
      <c r="C811" s="170" t="n"/>
      <c r="D811" s="312" t="n"/>
      <c r="E811" s="312" t="n"/>
      <c r="F811" s="312" t="n"/>
      <c r="G811" s="312" t="n"/>
      <c r="H811" s="312" t="n"/>
      <c r="I811" s="313" t="n"/>
      <c r="J811" s="314" t="n"/>
      <c r="K811" s="170" t="n"/>
      <c r="L811" s="170" t="n"/>
      <c r="M811" s="6" t="n"/>
      <c r="N811" s="6" t="n"/>
      <c r="O811" s="6" t="n"/>
    </row>
    <row r="812">
      <c r="B812" s="170" t="n">
        <v>799</v>
      </c>
      <c r="C812" s="170" t="n"/>
      <c r="D812" s="312" t="n"/>
      <c r="E812" s="312" t="n"/>
      <c r="F812" s="312" t="n"/>
      <c r="G812" s="312" t="n"/>
      <c r="H812" s="312" t="n"/>
      <c r="I812" s="313" t="n"/>
      <c r="J812" s="314" t="n"/>
      <c r="K812" s="170" t="n"/>
      <c r="L812" s="170" t="n"/>
      <c r="M812" s="6" t="n"/>
      <c r="N812" s="6" t="n"/>
      <c r="O812" s="6" t="n"/>
    </row>
    <row r="813">
      <c r="B813" s="170" t="n">
        <v>800</v>
      </c>
      <c r="C813" s="170" t="n"/>
      <c r="D813" s="312" t="n"/>
      <c r="E813" s="312" t="n"/>
      <c r="F813" s="312" t="n"/>
      <c r="G813" s="312" t="n"/>
      <c r="H813" s="312" t="n"/>
      <c r="I813" s="313" t="n"/>
      <c r="J813" s="314" t="n"/>
      <c r="K813" s="170" t="n"/>
      <c r="L813" s="170" t="n"/>
      <c r="M813" s="6" t="n"/>
      <c r="N813" s="6" t="n"/>
      <c r="O813" s="6" t="n"/>
    </row>
    <row r="814">
      <c r="B814" s="170" t="n">
        <v>801</v>
      </c>
      <c r="C814" s="170" t="n"/>
      <c r="D814" s="312" t="n"/>
      <c r="E814" s="312" t="n"/>
      <c r="F814" s="312" t="n"/>
      <c r="G814" s="312" t="n"/>
      <c r="H814" s="312" t="n"/>
      <c r="I814" s="313" t="n"/>
      <c r="J814" s="314" t="n"/>
      <c r="K814" s="170" t="n"/>
      <c r="L814" s="170" t="n"/>
      <c r="M814" s="6" t="n"/>
      <c r="N814" s="6" t="n"/>
      <c r="O814" s="6" t="n"/>
    </row>
    <row r="815">
      <c r="B815" s="170" t="n">
        <v>802</v>
      </c>
      <c r="C815" s="170" t="n"/>
      <c r="D815" s="312" t="n"/>
      <c r="E815" s="312" t="n"/>
      <c r="F815" s="312" t="n"/>
      <c r="G815" s="312" t="n"/>
      <c r="H815" s="312" t="n"/>
      <c r="I815" s="313" t="n"/>
      <c r="J815" s="314" t="n"/>
      <c r="K815" s="170" t="n"/>
      <c r="L815" s="170" t="n"/>
      <c r="M815" s="6" t="n"/>
      <c r="N815" s="6" t="n"/>
      <c r="O815" s="6" t="n"/>
    </row>
    <row r="816">
      <c r="B816" s="170" t="n">
        <v>803</v>
      </c>
      <c r="C816" s="170" t="n"/>
      <c r="D816" s="312" t="n"/>
      <c r="E816" s="312" t="n"/>
      <c r="F816" s="312" t="n"/>
      <c r="G816" s="312" t="n"/>
      <c r="H816" s="312" t="n"/>
      <c r="I816" s="313" t="n"/>
      <c r="J816" s="314" t="n"/>
      <c r="K816" s="170" t="n"/>
      <c r="L816" s="170" t="n"/>
      <c r="M816" s="6" t="n"/>
      <c r="N816" s="6" t="n"/>
      <c r="O816" s="6" t="n"/>
    </row>
    <row r="817">
      <c r="B817" s="170" t="n">
        <v>804</v>
      </c>
      <c r="C817" s="170" t="n"/>
      <c r="D817" s="312" t="n"/>
      <c r="E817" s="312" t="n"/>
      <c r="F817" s="312" t="n"/>
      <c r="G817" s="312" t="n"/>
      <c r="H817" s="312" t="n"/>
      <c r="I817" s="313" t="n"/>
      <c r="J817" s="314" t="n"/>
      <c r="K817" s="170" t="n"/>
      <c r="L817" s="170" t="n"/>
      <c r="M817" s="6" t="n"/>
      <c r="N817" s="6" t="n"/>
      <c r="O817" s="6" t="n"/>
    </row>
    <row r="818">
      <c r="B818" s="170" t="n">
        <v>805</v>
      </c>
      <c r="C818" s="170" t="n"/>
      <c r="D818" s="312" t="n"/>
      <c r="E818" s="312" t="n"/>
      <c r="F818" s="312" t="n"/>
      <c r="G818" s="312" t="n"/>
      <c r="H818" s="312" t="n"/>
      <c r="I818" s="313" t="n"/>
      <c r="J818" s="314" t="n"/>
      <c r="K818" s="170" t="n"/>
      <c r="L818" s="170" t="n"/>
      <c r="M818" s="6" t="n"/>
      <c r="N818" s="6" t="n"/>
      <c r="O818" s="6" t="n"/>
    </row>
    <row r="819">
      <c r="B819" s="170" t="n">
        <v>806</v>
      </c>
      <c r="C819" s="170" t="n"/>
      <c r="D819" s="312" t="n"/>
      <c r="E819" s="312" t="n"/>
      <c r="F819" s="312" t="n"/>
      <c r="G819" s="312" t="n"/>
      <c r="H819" s="312" t="n"/>
      <c r="I819" s="313" t="n"/>
      <c r="J819" s="314" t="n"/>
      <c r="K819" s="170" t="n"/>
      <c r="L819" s="170" t="n"/>
      <c r="M819" s="6" t="n"/>
      <c r="N819" s="6" t="n"/>
      <c r="O819" s="6" t="n"/>
    </row>
    <row r="820">
      <c r="B820" s="170" t="n">
        <v>807</v>
      </c>
      <c r="C820" s="170" t="n"/>
      <c r="D820" s="312" t="n"/>
      <c r="E820" s="312" t="n"/>
      <c r="F820" s="312" t="n"/>
      <c r="G820" s="312" t="n"/>
      <c r="H820" s="312" t="n"/>
      <c r="I820" s="313" t="n"/>
      <c r="J820" s="314" t="n"/>
      <c r="K820" s="170" t="n"/>
      <c r="L820" s="170" t="n"/>
      <c r="M820" s="6" t="n"/>
      <c r="N820" s="6" t="n"/>
      <c r="O820" s="6" t="n"/>
    </row>
    <row r="821">
      <c r="B821" s="170" t="n">
        <v>808</v>
      </c>
      <c r="C821" s="170" t="n"/>
      <c r="D821" s="312" t="n"/>
      <c r="E821" s="312" t="n"/>
      <c r="F821" s="312" t="n"/>
      <c r="G821" s="312" t="n"/>
      <c r="H821" s="312" t="n"/>
      <c r="I821" s="313" t="n"/>
      <c r="J821" s="314" t="n"/>
      <c r="K821" s="170" t="n"/>
      <c r="L821" s="170" t="n"/>
      <c r="M821" s="6" t="n"/>
      <c r="N821" s="6" t="n"/>
      <c r="O821" s="6" t="n"/>
    </row>
    <row r="822">
      <c r="B822" s="170" t="n">
        <v>809</v>
      </c>
      <c r="C822" s="170" t="n"/>
      <c r="D822" s="312" t="n"/>
      <c r="E822" s="312" t="n"/>
      <c r="F822" s="312" t="n"/>
      <c r="G822" s="312" t="n"/>
      <c r="H822" s="312" t="n"/>
      <c r="I822" s="313" t="n"/>
      <c r="J822" s="314" t="n"/>
      <c r="K822" s="170" t="n"/>
      <c r="L822" s="170" t="n"/>
      <c r="M822" s="6" t="n"/>
      <c r="N822" s="6" t="n"/>
      <c r="O822" s="6" t="n"/>
    </row>
    <row r="823">
      <c r="B823" s="170" t="n">
        <v>810</v>
      </c>
      <c r="C823" s="170" t="n"/>
      <c r="D823" s="312" t="n"/>
      <c r="E823" s="312" t="n"/>
      <c r="F823" s="312" t="n"/>
      <c r="G823" s="312" t="n"/>
      <c r="H823" s="312" t="n"/>
      <c r="I823" s="313" t="n"/>
      <c r="J823" s="314" t="n"/>
      <c r="K823" s="170" t="n"/>
      <c r="L823" s="170" t="n"/>
      <c r="M823" s="6" t="n"/>
      <c r="N823" s="6" t="n"/>
      <c r="O823" s="6" t="n"/>
    </row>
    <row r="824">
      <c r="B824" s="170" t="n">
        <v>811</v>
      </c>
      <c r="C824" s="170" t="n"/>
      <c r="D824" s="312" t="n"/>
      <c r="E824" s="312" t="n"/>
      <c r="F824" s="312" t="n"/>
      <c r="G824" s="312" t="n"/>
      <c r="H824" s="312" t="n"/>
      <c r="I824" s="313" t="n"/>
      <c r="J824" s="314" t="n"/>
      <c r="K824" s="170" t="n"/>
      <c r="L824" s="170" t="n"/>
      <c r="M824" s="6" t="n"/>
      <c r="N824" s="6" t="n"/>
      <c r="O824" s="6" t="n"/>
    </row>
    <row r="825">
      <c r="B825" s="170" t="n">
        <v>812</v>
      </c>
      <c r="C825" s="170" t="n"/>
      <c r="D825" s="312" t="n"/>
      <c r="E825" s="312" t="n"/>
      <c r="F825" s="312" t="n"/>
      <c r="G825" s="312" t="n"/>
      <c r="H825" s="312" t="n"/>
      <c r="I825" s="313" t="n"/>
      <c r="J825" s="314" t="n"/>
      <c r="K825" s="170" t="n"/>
      <c r="L825" s="170" t="n"/>
      <c r="M825" s="6" t="n"/>
      <c r="N825" s="6" t="n"/>
      <c r="O825" s="6" t="n"/>
    </row>
    <row r="826">
      <c r="B826" s="170" t="n">
        <v>813</v>
      </c>
      <c r="C826" s="170" t="n"/>
      <c r="D826" s="312" t="n"/>
      <c r="E826" s="312" t="n"/>
      <c r="F826" s="312" t="n"/>
      <c r="G826" s="312" t="n"/>
      <c r="H826" s="312" t="n"/>
      <c r="I826" s="313" t="n"/>
      <c r="J826" s="314" t="n"/>
      <c r="K826" s="170" t="n"/>
      <c r="L826" s="170" t="n"/>
      <c r="M826" s="6" t="n"/>
      <c r="N826" s="6" t="n"/>
      <c r="O826" s="6" t="n"/>
    </row>
    <row r="827">
      <c r="B827" s="170" t="n">
        <v>814</v>
      </c>
      <c r="C827" s="170" t="n"/>
      <c r="D827" s="312" t="n"/>
      <c r="E827" s="312" t="n"/>
      <c r="F827" s="312" t="n"/>
      <c r="G827" s="312" t="n"/>
      <c r="H827" s="312" t="n"/>
      <c r="I827" s="313" t="n"/>
      <c r="J827" s="314" t="n"/>
      <c r="K827" s="170" t="n"/>
      <c r="L827" s="170" t="n"/>
      <c r="M827" s="6" t="n"/>
      <c r="N827" s="6" t="n"/>
      <c r="O827" s="6" t="n"/>
    </row>
    <row r="828">
      <c r="B828" s="170" t="n">
        <v>815</v>
      </c>
      <c r="C828" s="170" t="n"/>
      <c r="D828" s="312" t="n"/>
      <c r="E828" s="312" t="n"/>
      <c r="F828" s="312" t="n"/>
      <c r="G828" s="312" t="n"/>
      <c r="H828" s="312" t="n"/>
      <c r="I828" s="313" t="n"/>
      <c r="J828" s="314" t="n"/>
      <c r="K828" s="170" t="n"/>
      <c r="L828" s="170" t="n"/>
      <c r="M828" s="6" t="n"/>
      <c r="N828" s="6" t="n"/>
      <c r="O828" s="6" t="n"/>
    </row>
    <row r="829">
      <c r="B829" s="170" t="n">
        <v>816</v>
      </c>
      <c r="C829" s="170" t="n"/>
      <c r="D829" s="312" t="n"/>
      <c r="E829" s="312" t="n"/>
      <c r="F829" s="312" t="n"/>
      <c r="G829" s="312" t="n"/>
      <c r="H829" s="312" t="n"/>
      <c r="I829" s="313" t="n"/>
      <c r="J829" s="314" t="n"/>
      <c r="K829" s="170" t="n"/>
      <c r="L829" s="170" t="n"/>
      <c r="M829" s="6" t="n"/>
      <c r="N829" s="6" t="n"/>
      <c r="O829" s="6" t="n"/>
    </row>
    <row r="830">
      <c r="B830" s="170" t="n">
        <v>817</v>
      </c>
      <c r="C830" s="170" t="n"/>
      <c r="D830" s="312" t="n"/>
      <c r="E830" s="312" t="n"/>
      <c r="F830" s="312" t="n"/>
      <c r="G830" s="312" t="n"/>
      <c r="H830" s="312" t="n"/>
      <c r="I830" s="313" t="n"/>
      <c r="J830" s="314" t="n"/>
      <c r="K830" s="170" t="n"/>
      <c r="L830" s="170" t="n"/>
      <c r="M830" s="6" t="n"/>
      <c r="N830" s="6" t="n"/>
      <c r="O830" s="6" t="n"/>
    </row>
    <row r="831">
      <c r="B831" s="170" t="n">
        <v>818</v>
      </c>
      <c r="C831" s="170" t="n"/>
      <c r="D831" s="312" t="n"/>
      <c r="E831" s="312" t="n"/>
      <c r="F831" s="312" t="n"/>
      <c r="G831" s="312" t="n"/>
      <c r="H831" s="312" t="n"/>
      <c r="I831" s="313" t="n"/>
      <c r="J831" s="314" t="n"/>
      <c r="K831" s="170" t="n"/>
      <c r="L831" s="170" t="n"/>
      <c r="M831" s="6" t="n"/>
      <c r="N831" s="6" t="n"/>
      <c r="O831" s="6" t="n"/>
    </row>
    <row r="832">
      <c r="B832" s="170" t="n">
        <v>819</v>
      </c>
      <c r="C832" s="170" t="n"/>
      <c r="D832" s="312" t="n"/>
      <c r="E832" s="312" t="n"/>
      <c r="F832" s="312" t="n"/>
      <c r="G832" s="312" t="n"/>
      <c r="H832" s="312" t="n"/>
      <c r="I832" s="313" t="n"/>
      <c r="J832" s="314" t="n"/>
      <c r="K832" s="170" t="n"/>
      <c r="L832" s="170" t="n"/>
      <c r="M832" s="6" t="n"/>
      <c r="N832" s="6" t="n"/>
      <c r="O832" s="6" t="n"/>
    </row>
    <row r="833">
      <c r="B833" s="170" t="n">
        <v>820</v>
      </c>
      <c r="C833" s="170" t="n"/>
      <c r="D833" s="312" t="n"/>
      <c r="E833" s="312" t="n"/>
      <c r="F833" s="312" t="n"/>
      <c r="G833" s="312" t="n"/>
      <c r="H833" s="312" t="n"/>
      <c r="I833" s="313" t="n"/>
      <c r="J833" s="314" t="n"/>
      <c r="K833" s="170" t="n"/>
      <c r="L833" s="170" t="n"/>
      <c r="M833" s="6" t="n"/>
      <c r="N833" s="6" t="n"/>
      <c r="O833" s="6" t="n"/>
    </row>
    <row r="834">
      <c r="B834" s="170" t="n">
        <v>821</v>
      </c>
      <c r="C834" s="170" t="n"/>
      <c r="D834" s="312" t="n"/>
      <c r="E834" s="312" t="n"/>
      <c r="F834" s="312" t="n"/>
      <c r="G834" s="312" t="n"/>
      <c r="H834" s="312" t="n"/>
      <c r="I834" s="313" t="n"/>
      <c r="J834" s="314" t="n"/>
      <c r="K834" s="170" t="n"/>
      <c r="L834" s="170" t="n"/>
      <c r="M834" s="6" t="n"/>
      <c r="N834" s="6" t="n"/>
      <c r="O834" s="6" t="n"/>
    </row>
    <row r="835">
      <c r="B835" s="170" t="n">
        <v>822</v>
      </c>
      <c r="C835" s="170" t="n"/>
      <c r="D835" s="312" t="n"/>
      <c r="E835" s="312" t="n"/>
      <c r="F835" s="312" t="n"/>
      <c r="G835" s="312" t="n"/>
      <c r="H835" s="312" t="n"/>
      <c r="I835" s="313" t="n"/>
      <c r="J835" s="314" t="n"/>
      <c r="K835" s="170" t="n"/>
      <c r="L835" s="170" t="n"/>
      <c r="M835" s="6" t="n"/>
      <c r="N835" s="6" t="n"/>
      <c r="O835" s="6" t="n"/>
    </row>
    <row r="836">
      <c r="B836" s="170" t="n">
        <v>823</v>
      </c>
      <c r="C836" s="170" t="n"/>
      <c r="D836" s="312" t="n"/>
      <c r="E836" s="312" t="n"/>
      <c r="F836" s="312" t="n"/>
      <c r="G836" s="312" t="n"/>
      <c r="H836" s="312" t="n"/>
      <c r="I836" s="313" t="n"/>
      <c r="J836" s="314" t="n"/>
      <c r="K836" s="170" t="n"/>
      <c r="L836" s="170" t="n"/>
      <c r="M836" s="6" t="n"/>
      <c r="N836" s="6" t="n"/>
      <c r="O836" s="6" t="n"/>
    </row>
    <row r="837">
      <c r="B837" s="170" t="n">
        <v>824</v>
      </c>
      <c r="C837" s="170" t="n"/>
      <c r="D837" s="312" t="n"/>
      <c r="E837" s="312" t="n"/>
      <c r="F837" s="312" t="n"/>
      <c r="G837" s="312" t="n"/>
      <c r="H837" s="312" t="n"/>
      <c r="I837" s="313" t="n"/>
      <c r="J837" s="314" t="n"/>
      <c r="K837" s="170" t="n"/>
      <c r="L837" s="170" t="n"/>
      <c r="M837" s="6" t="n"/>
      <c r="N837" s="6" t="n"/>
      <c r="O837" s="6" t="n"/>
    </row>
    <row r="838">
      <c r="B838" s="170" t="n">
        <v>825</v>
      </c>
      <c r="C838" s="170" t="n"/>
      <c r="D838" s="312" t="n"/>
      <c r="E838" s="312" t="n"/>
      <c r="F838" s="312" t="n"/>
      <c r="G838" s="312" t="n"/>
      <c r="H838" s="312" t="n"/>
      <c r="I838" s="313" t="n"/>
      <c r="J838" s="314" t="n"/>
      <c r="K838" s="170" t="n"/>
      <c r="L838" s="170" t="n"/>
      <c r="M838" s="6" t="n"/>
      <c r="N838" s="6" t="n"/>
      <c r="O838" s="6" t="n"/>
    </row>
    <row r="839">
      <c r="B839" s="170" t="n">
        <v>826</v>
      </c>
      <c r="C839" s="170" t="n"/>
      <c r="D839" s="312" t="n"/>
      <c r="E839" s="312" t="n"/>
      <c r="F839" s="312" t="n"/>
      <c r="G839" s="312" t="n"/>
      <c r="H839" s="312" t="n"/>
      <c r="I839" s="313" t="n"/>
      <c r="J839" s="314" t="n"/>
      <c r="K839" s="170" t="n"/>
      <c r="L839" s="170" t="n"/>
      <c r="M839" s="6" t="n"/>
      <c r="N839" s="6" t="n"/>
      <c r="O839" s="6" t="n"/>
    </row>
    <row r="840">
      <c r="B840" s="170" t="n">
        <v>827</v>
      </c>
      <c r="C840" s="170" t="n"/>
      <c r="D840" s="312" t="n"/>
      <c r="E840" s="312" t="n"/>
      <c r="F840" s="312" t="n"/>
      <c r="G840" s="312" t="n"/>
      <c r="H840" s="312" t="n"/>
      <c r="I840" s="313" t="n"/>
      <c r="J840" s="314" t="n"/>
      <c r="K840" s="170" t="n"/>
      <c r="L840" s="170" t="n"/>
      <c r="M840" s="6" t="n"/>
      <c r="N840" s="6" t="n"/>
      <c r="O840" s="6" t="n"/>
    </row>
    <row r="841">
      <c r="B841" s="170" t="n">
        <v>828</v>
      </c>
      <c r="C841" s="170" t="n"/>
      <c r="D841" s="312" t="n"/>
      <c r="E841" s="312" t="n"/>
      <c r="F841" s="312" t="n"/>
      <c r="G841" s="312" t="n"/>
      <c r="H841" s="312" t="n"/>
      <c r="I841" s="313" t="n"/>
      <c r="J841" s="314" t="n"/>
      <c r="K841" s="170" t="n"/>
      <c r="L841" s="170" t="n"/>
      <c r="M841" s="6" t="n"/>
      <c r="N841" s="6" t="n"/>
      <c r="O841" s="6" t="n"/>
    </row>
    <row r="842">
      <c r="B842" s="170" t="n">
        <v>829</v>
      </c>
      <c r="C842" s="170" t="n"/>
      <c r="D842" s="312" t="n"/>
      <c r="E842" s="312" t="n"/>
      <c r="F842" s="312" t="n"/>
      <c r="G842" s="312" t="n"/>
      <c r="H842" s="312" t="n"/>
      <c r="I842" s="313" t="n"/>
      <c r="J842" s="314" t="n"/>
      <c r="K842" s="170" t="n"/>
      <c r="L842" s="170" t="n"/>
      <c r="M842" s="6" t="n"/>
      <c r="N842" s="6" t="n"/>
      <c r="O842" s="6" t="n"/>
    </row>
    <row r="843">
      <c r="B843" s="170" t="n">
        <v>830</v>
      </c>
      <c r="C843" s="170" t="n"/>
      <c r="D843" s="312" t="n"/>
      <c r="E843" s="312" t="n"/>
      <c r="F843" s="312" t="n"/>
      <c r="G843" s="312" t="n"/>
      <c r="H843" s="312" t="n"/>
      <c r="I843" s="313" t="n"/>
      <c r="J843" s="314" t="n"/>
      <c r="K843" s="170" t="n"/>
      <c r="L843" s="170" t="n"/>
      <c r="M843" s="6" t="n"/>
      <c r="N843" s="6" t="n"/>
      <c r="O843" s="6" t="n"/>
    </row>
    <row r="844">
      <c r="B844" s="170" t="n">
        <v>831</v>
      </c>
      <c r="C844" s="170" t="n"/>
      <c r="D844" s="312" t="n"/>
      <c r="E844" s="312" t="n"/>
      <c r="F844" s="312" t="n"/>
      <c r="G844" s="312" t="n"/>
      <c r="H844" s="312" t="n"/>
      <c r="I844" s="313" t="n"/>
      <c r="J844" s="314" t="n"/>
      <c r="K844" s="170" t="n"/>
      <c r="L844" s="170" t="n"/>
      <c r="M844" s="6" t="n"/>
      <c r="N844" s="6" t="n"/>
      <c r="O844" s="6" t="n"/>
    </row>
    <row r="845">
      <c r="B845" s="170" t="n">
        <v>832</v>
      </c>
      <c r="C845" s="170" t="n"/>
      <c r="D845" s="312" t="n"/>
      <c r="E845" s="312" t="n"/>
      <c r="F845" s="312" t="n"/>
      <c r="G845" s="312" t="n"/>
      <c r="H845" s="312" t="n"/>
      <c r="I845" s="313" t="n"/>
      <c r="J845" s="314" t="n"/>
      <c r="K845" s="170" t="n"/>
      <c r="L845" s="170" t="n"/>
      <c r="M845" s="6" t="n"/>
      <c r="N845" s="6" t="n"/>
      <c r="O845" s="6" t="n"/>
    </row>
    <row r="846">
      <c r="B846" s="170" t="n">
        <v>833</v>
      </c>
      <c r="C846" s="170" t="n"/>
      <c r="D846" s="312" t="n"/>
      <c r="E846" s="312" t="n"/>
      <c r="F846" s="312" t="n"/>
      <c r="G846" s="312" t="n"/>
      <c r="H846" s="312" t="n"/>
      <c r="I846" s="313" t="n"/>
      <c r="J846" s="314" t="n"/>
      <c r="K846" s="170" t="n"/>
      <c r="L846" s="170" t="n"/>
      <c r="M846" s="6" t="n"/>
      <c r="N846" s="6" t="n"/>
      <c r="O846" s="6" t="n"/>
    </row>
    <row r="847">
      <c r="B847" s="170" t="n">
        <v>834</v>
      </c>
      <c r="C847" s="170" t="n"/>
      <c r="D847" s="312" t="n"/>
      <c r="E847" s="312" t="n"/>
      <c r="F847" s="312" t="n"/>
      <c r="G847" s="312" t="n"/>
      <c r="H847" s="312" t="n"/>
      <c r="I847" s="313" t="n"/>
      <c r="J847" s="314" t="n"/>
      <c r="K847" s="170" t="n"/>
      <c r="L847" s="170" t="n"/>
      <c r="M847" s="6" t="n"/>
      <c r="N847" s="6" t="n"/>
      <c r="O847" s="6" t="n"/>
    </row>
    <row r="848">
      <c r="B848" s="170" t="n">
        <v>835</v>
      </c>
      <c r="C848" s="170" t="n"/>
      <c r="D848" s="312" t="n"/>
      <c r="E848" s="312" t="n"/>
      <c r="F848" s="312" t="n"/>
      <c r="G848" s="312" t="n"/>
      <c r="H848" s="312" t="n"/>
      <c r="I848" s="313" t="n"/>
      <c r="J848" s="314" t="n"/>
      <c r="K848" s="170" t="n"/>
      <c r="L848" s="170" t="n"/>
      <c r="M848" s="6" t="n"/>
      <c r="N848" s="6" t="n"/>
      <c r="O848" s="6" t="n"/>
    </row>
    <row r="849">
      <c r="B849" s="170" t="n">
        <v>836</v>
      </c>
      <c r="C849" s="170" t="n"/>
      <c r="D849" s="312" t="n"/>
      <c r="E849" s="312" t="n"/>
      <c r="F849" s="312" t="n"/>
      <c r="G849" s="312" t="n"/>
      <c r="H849" s="312" t="n"/>
      <c r="I849" s="313" t="n"/>
      <c r="J849" s="314" t="n"/>
      <c r="K849" s="170" t="n"/>
      <c r="L849" s="170" t="n"/>
      <c r="M849" s="6" t="n"/>
      <c r="N849" s="6" t="n"/>
      <c r="O849" s="6" t="n"/>
    </row>
    <row r="850">
      <c r="B850" s="170" t="n">
        <v>837</v>
      </c>
      <c r="C850" s="170" t="n"/>
      <c r="D850" s="312" t="n"/>
      <c r="E850" s="312" t="n"/>
      <c r="F850" s="312" t="n"/>
      <c r="G850" s="312" t="n"/>
      <c r="H850" s="312" t="n"/>
      <c r="I850" s="313" t="n"/>
      <c r="J850" s="314" t="n"/>
      <c r="K850" s="170" t="n"/>
      <c r="L850" s="170" t="n"/>
      <c r="M850" s="6" t="n"/>
      <c r="N850" s="6" t="n"/>
      <c r="O850" s="6" t="n"/>
    </row>
    <row r="851">
      <c r="B851" s="170" t="n">
        <v>838</v>
      </c>
      <c r="C851" s="170" t="n"/>
      <c r="D851" s="312" t="n"/>
      <c r="E851" s="312" t="n"/>
      <c r="F851" s="312" t="n"/>
      <c r="G851" s="312" t="n"/>
      <c r="H851" s="312" t="n"/>
      <c r="I851" s="313" t="n"/>
      <c r="J851" s="314" t="n"/>
      <c r="K851" s="170" t="n"/>
      <c r="L851" s="170" t="n"/>
      <c r="M851" s="6" t="n"/>
      <c r="N851" s="6" t="n"/>
      <c r="O851" s="6" t="n"/>
    </row>
    <row r="852">
      <c r="B852" s="170" t="n">
        <v>839</v>
      </c>
      <c r="C852" s="170" t="n"/>
      <c r="D852" s="312" t="n"/>
      <c r="E852" s="312" t="n"/>
      <c r="F852" s="312" t="n"/>
      <c r="G852" s="312" t="n"/>
      <c r="H852" s="312" t="n"/>
      <c r="I852" s="313" t="n"/>
      <c r="J852" s="314" t="n"/>
      <c r="K852" s="170" t="n"/>
      <c r="L852" s="170" t="n"/>
      <c r="M852" s="6" t="n"/>
      <c r="N852" s="6" t="n"/>
      <c r="O852" s="6" t="n"/>
    </row>
    <row r="853">
      <c r="B853" s="170" t="n">
        <v>840</v>
      </c>
      <c r="C853" s="170" t="n"/>
      <c r="D853" s="312" t="n"/>
      <c r="E853" s="312" t="n"/>
      <c r="F853" s="312" t="n"/>
      <c r="G853" s="312" t="n"/>
      <c r="H853" s="312" t="n"/>
      <c r="I853" s="313" t="n"/>
      <c r="J853" s="314" t="n"/>
      <c r="K853" s="170" t="n"/>
      <c r="L853" s="170" t="n"/>
      <c r="M853" s="6" t="n"/>
      <c r="N853" s="6" t="n"/>
      <c r="O853" s="6" t="n"/>
    </row>
    <row r="854">
      <c r="B854" s="170" t="n">
        <v>841</v>
      </c>
      <c r="C854" s="170" t="n"/>
      <c r="D854" s="312" t="n"/>
      <c r="E854" s="312" t="n"/>
      <c r="F854" s="312" t="n"/>
      <c r="G854" s="312" t="n"/>
      <c r="H854" s="312" t="n"/>
      <c r="I854" s="313" t="n"/>
      <c r="J854" s="314" t="n"/>
      <c r="K854" s="170" t="n"/>
      <c r="L854" s="170" t="n"/>
      <c r="M854" s="6" t="n"/>
      <c r="N854" s="6" t="n"/>
      <c r="O854" s="6" t="n"/>
    </row>
    <row r="855">
      <c r="B855" s="170" t="n">
        <v>842</v>
      </c>
      <c r="C855" s="170" t="n"/>
      <c r="D855" s="312" t="n"/>
      <c r="E855" s="312" t="n"/>
      <c r="F855" s="312" t="n"/>
      <c r="G855" s="312" t="n"/>
      <c r="H855" s="312" t="n"/>
      <c r="I855" s="313" t="n"/>
      <c r="J855" s="314" t="n"/>
      <c r="K855" s="170" t="n"/>
      <c r="L855" s="170" t="n"/>
      <c r="M855" s="6" t="n"/>
      <c r="N855" s="6" t="n"/>
      <c r="O855" s="6" t="n"/>
    </row>
    <row r="856">
      <c r="B856" s="170" t="n">
        <v>843</v>
      </c>
      <c r="C856" s="170" t="n"/>
      <c r="D856" s="312" t="n"/>
      <c r="E856" s="312" t="n"/>
      <c r="F856" s="312" t="n"/>
      <c r="G856" s="312" t="n"/>
      <c r="H856" s="312" t="n"/>
      <c r="I856" s="313" t="n"/>
      <c r="J856" s="314" t="n"/>
      <c r="K856" s="170" t="n"/>
      <c r="L856" s="170" t="n"/>
      <c r="M856" s="6" t="n"/>
      <c r="N856" s="6" t="n"/>
      <c r="O856" s="6" t="n"/>
    </row>
    <row r="857">
      <c r="B857" s="170" t="n">
        <v>844</v>
      </c>
      <c r="C857" s="170" t="n"/>
      <c r="D857" s="312" t="n"/>
      <c r="E857" s="312" t="n"/>
      <c r="F857" s="312" t="n"/>
      <c r="G857" s="312" t="n"/>
      <c r="H857" s="312" t="n"/>
      <c r="I857" s="313" t="n"/>
      <c r="J857" s="314" t="n"/>
      <c r="K857" s="170" t="n"/>
      <c r="L857" s="170" t="n"/>
      <c r="M857" s="6" t="n"/>
      <c r="N857" s="6" t="n"/>
      <c r="O857" s="6" t="n"/>
    </row>
    <row r="858">
      <c r="B858" s="170" t="n">
        <v>845</v>
      </c>
      <c r="C858" s="170" t="n"/>
      <c r="D858" s="312" t="n"/>
      <c r="E858" s="312" t="n"/>
      <c r="F858" s="312" t="n"/>
      <c r="G858" s="312" t="n"/>
      <c r="H858" s="312" t="n"/>
      <c r="I858" s="313" t="n"/>
      <c r="J858" s="314" t="n"/>
      <c r="K858" s="170" t="n"/>
      <c r="L858" s="170" t="n"/>
      <c r="M858" s="6" t="n"/>
      <c r="N858" s="6" t="n"/>
      <c r="O858" s="6" t="n"/>
    </row>
    <row r="859">
      <c r="B859" s="170" t="n">
        <v>846</v>
      </c>
      <c r="C859" s="170" t="n"/>
      <c r="D859" s="312" t="n"/>
      <c r="E859" s="312" t="n"/>
      <c r="F859" s="312" t="n"/>
      <c r="G859" s="312" t="n"/>
      <c r="H859" s="312" t="n"/>
      <c r="I859" s="313" t="n"/>
      <c r="J859" s="314" t="n"/>
      <c r="K859" s="170" t="n"/>
      <c r="L859" s="170" t="n"/>
      <c r="M859" s="6" t="n"/>
      <c r="N859" s="6" t="n"/>
      <c r="O859" s="6" t="n"/>
    </row>
    <row r="860">
      <c r="B860" s="170" t="n">
        <v>847</v>
      </c>
      <c r="C860" s="170" t="n"/>
      <c r="D860" s="312" t="n"/>
      <c r="E860" s="312" t="n"/>
      <c r="F860" s="312" t="n"/>
      <c r="G860" s="312" t="n"/>
      <c r="H860" s="312" t="n"/>
      <c r="I860" s="313" t="n"/>
      <c r="J860" s="314" t="n"/>
      <c r="K860" s="170" t="n"/>
      <c r="L860" s="170" t="n"/>
      <c r="M860" s="6" t="n"/>
      <c r="N860" s="6" t="n"/>
      <c r="O860" s="6" t="n"/>
    </row>
    <row r="861">
      <c r="B861" s="170" t="n">
        <v>848</v>
      </c>
      <c r="C861" s="170" t="n"/>
      <c r="D861" s="312" t="n"/>
      <c r="E861" s="312" t="n"/>
      <c r="F861" s="312" t="n"/>
      <c r="G861" s="312" t="n"/>
      <c r="H861" s="312" t="n"/>
      <c r="I861" s="313" t="n"/>
      <c r="J861" s="314" t="n"/>
      <c r="K861" s="170" t="n"/>
      <c r="L861" s="170" t="n"/>
      <c r="M861" s="6" t="n"/>
      <c r="N861" s="6" t="n"/>
      <c r="O861" s="6" t="n"/>
    </row>
    <row r="862">
      <c r="B862" s="170" t="n">
        <v>849</v>
      </c>
      <c r="C862" s="170" t="n"/>
      <c r="D862" s="312" t="n"/>
      <c r="E862" s="312" t="n"/>
      <c r="F862" s="312" t="n"/>
      <c r="G862" s="312" t="n"/>
      <c r="H862" s="312" t="n"/>
      <c r="I862" s="313" t="n"/>
      <c r="J862" s="314" t="n"/>
      <c r="K862" s="170" t="n"/>
      <c r="L862" s="170" t="n"/>
      <c r="M862" s="6" t="n"/>
      <c r="N862" s="6" t="n"/>
      <c r="O862" s="6" t="n"/>
    </row>
    <row r="863">
      <c r="B863" s="170" t="n">
        <v>850</v>
      </c>
      <c r="C863" s="170" t="n"/>
      <c r="D863" s="312" t="n"/>
      <c r="E863" s="312" t="n"/>
      <c r="F863" s="312" t="n"/>
      <c r="G863" s="312" t="n"/>
      <c r="H863" s="312" t="n"/>
      <c r="I863" s="313" t="n"/>
      <c r="J863" s="314" t="n"/>
      <c r="K863" s="170" t="n"/>
      <c r="L863" s="170" t="n"/>
      <c r="M863" s="6" t="n"/>
      <c r="N863" s="6" t="n"/>
      <c r="O863" s="6" t="n"/>
    </row>
    <row r="864">
      <c r="B864" s="170" t="n">
        <v>851</v>
      </c>
      <c r="C864" s="170" t="n"/>
      <c r="D864" s="312" t="n"/>
      <c r="E864" s="312" t="n"/>
      <c r="F864" s="312" t="n"/>
      <c r="G864" s="312" t="n"/>
      <c r="H864" s="312" t="n"/>
      <c r="I864" s="313" t="n"/>
      <c r="J864" s="314" t="n"/>
      <c r="K864" s="170" t="n"/>
      <c r="L864" s="170" t="n"/>
      <c r="M864" s="6" t="n"/>
      <c r="N864" s="6" t="n"/>
      <c r="O864" s="6" t="n"/>
    </row>
    <row r="865">
      <c r="B865" s="170" t="n">
        <v>852</v>
      </c>
      <c r="C865" s="170" t="n"/>
      <c r="D865" s="312" t="n"/>
      <c r="E865" s="312" t="n"/>
      <c r="F865" s="312" t="n"/>
      <c r="G865" s="312" t="n"/>
      <c r="H865" s="312" t="n"/>
      <c r="I865" s="313" t="n"/>
      <c r="J865" s="314" t="n"/>
      <c r="K865" s="170" t="n"/>
      <c r="L865" s="170" t="n"/>
      <c r="M865" s="6" t="n"/>
      <c r="N865" s="6" t="n"/>
      <c r="O865" s="6" t="n"/>
    </row>
    <row r="866">
      <c r="B866" s="170" t="n">
        <v>853</v>
      </c>
      <c r="C866" s="170" t="n"/>
      <c r="D866" s="312" t="n"/>
      <c r="E866" s="312" t="n"/>
      <c r="F866" s="312" t="n"/>
      <c r="G866" s="312" t="n"/>
      <c r="H866" s="312" t="n"/>
      <c r="I866" s="313" t="n"/>
      <c r="J866" s="314" t="n"/>
      <c r="K866" s="170" t="n"/>
      <c r="L866" s="170" t="n"/>
      <c r="M866" s="6" t="n"/>
      <c r="N866" s="6" t="n"/>
      <c r="O866" s="6" t="n"/>
    </row>
    <row r="867">
      <c r="B867" s="170" t="n">
        <v>854</v>
      </c>
      <c r="C867" s="170" t="n"/>
      <c r="D867" s="312" t="n"/>
      <c r="E867" s="312" t="n"/>
      <c r="F867" s="312" t="n"/>
      <c r="G867" s="312" t="n"/>
      <c r="H867" s="312" t="n"/>
      <c r="I867" s="313" t="n"/>
      <c r="J867" s="314" t="n"/>
      <c r="K867" s="170" t="n"/>
      <c r="L867" s="170" t="n"/>
      <c r="M867" s="6" t="n"/>
      <c r="N867" s="6" t="n"/>
      <c r="O867" s="6" t="n"/>
    </row>
    <row r="868">
      <c r="B868" s="170" t="n">
        <v>855</v>
      </c>
      <c r="C868" s="170" t="n"/>
      <c r="D868" s="312" t="n"/>
      <c r="E868" s="312" t="n"/>
      <c r="F868" s="312" t="n"/>
      <c r="G868" s="312" t="n"/>
      <c r="H868" s="312" t="n"/>
      <c r="I868" s="313" t="n"/>
      <c r="J868" s="314" t="n"/>
      <c r="K868" s="170" t="n"/>
      <c r="L868" s="170" t="n"/>
      <c r="M868" s="6" t="n"/>
      <c r="N868" s="6" t="n"/>
      <c r="O868" s="6" t="n"/>
    </row>
    <row r="869">
      <c r="B869" s="170" t="n">
        <v>856</v>
      </c>
      <c r="C869" s="170" t="n"/>
      <c r="D869" s="312" t="n"/>
      <c r="E869" s="312" t="n"/>
      <c r="F869" s="312" t="n"/>
      <c r="G869" s="312" t="n"/>
      <c r="H869" s="312" t="n"/>
      <c r="I869" s="313" t="n"/>
      <c r="J869" s="314" t="n"/>
      <c r="K869" s="170" t="n"/>
      <c r="L869" s="170" t="n"/>
      <c r="M869" s="6" t="n"/>
      <c r="N869" s="6" t="n"/>
      <c r="O869" s="6" t="n"/>
    </row>
    <row r="870">
      <c r="B870" s="170" t="n">
        <v>857</v>
      </c>
      <c r="C870" s="170" t="n"/>
      <c r="D870" s="312" t="n"/>
      <c r="E870" s="312" t="n"/>
      <c r="F870" s="312" t="n"/>
      <c r="G870" s="312" t="n"/>
      <c r="H870" s="312" t="n"/>
      <c r="I870" s="313" t="n"/>
      <c r="J870" s="314" t="n"/>
      <c r="K870" s="170" t="n"/>
      <c r="L870" s="170" t="n"/>
      <c r="M870" s="6" t="n"/>
      <c r="N870" s="6" t="n"/>
      <c r="O870" s="6" t="n"/>
    </row>
    <row r="871">
      <c r="B871" s="170" t="n">
        <v>858</v>
      </c>
      <c r="C871" s="170" t="n"/>
      <c r="D871" s="312" t="n"/>
      <c r="E871" s="312" t="n"/>
      <c r="F871" s="312" t="n"/>
      <c r="G871" s="312" t="n"/>
      <c r="H871" s="312" t="n"/>
      <c r="I871" s="313" t="n"/>
      <c r="J871" s="314" t="n"/>
      <c r="K871" s="170" t="n"/>
      <c r="L871" s="170" t="n"/>
      <c r="M871" s="6" t="n"/>
      <c r="N871" s="6" t="n"/>
      <c r="O871" s="6" t="n"/>
    </row>
    <row r="872">
      <c r="B872" s="170" t="n">
        <v>859</v>
      </c>
      <c r="C872" s="170" t="n"/>
      <c r="D872" s="312" t="n"/>
      <c r="E872" s="312" t="n"/>
      <c r="F872" s="312" t="n"/>
      <c r="G872" s="312" t="n"/>
      <c r="H872" s="312" t="n"/>
      <c r="I872" s="313" t="n"/>
      <c r="J872" s="314" t="n"/>
      <c r="K872" s="170" t="n"/>
      <c r="L872" s="170" t="n"/>
      <c r="M872" s="6" t="n"/>
      <c r="N872" s="6" t="n"/>
      <c r="O872" s="6" t="n"/>
    </row>
    <row r="873">
      <c r="B873" s="170" t="n">
        <v>860</v>
      </c>
      <c r="C873" s="170" t="n"/>
      <c r="D873" s="312" t="n"/>
      <c r="E873" s="312" t="n"/>
      <c r="F873" s="312" t="n"/>
      <c r="G873" s="312" t="n"/>
      <c r="H873" s="312" t="n"/>
      <c r="I873" s="313" t="n"/>
      <c r="J873" s="314" t="n"/>
      <c r="K873" s="170" t="n"/>
      <c r="L873" s="170" t="n"/>
      <c r="M873" s="6" t="n"/>
      <c r="N873" s="6" t="n"/>
      <c r="O873" s="6" t="n"/>
    </row>
    <row r="874">
      <c r="B874" s="170" t="n">
        <v>861</v>
      </c>
      <c r="C874" s="170" t="n"/>
      <c r="D874" s="312" t="n"/>
      <c r="E874" s="312" t="n"/>
      <c r="F874" s="312" t="n"/>
      <c r="G874" s="312" t="n"/>
      <c r="H874" s="312" t="n"/>
      <c r="I874" s="313" t="n"/>
      <c r="J874" s="314" t="n"/>
      <c r="K874" s="170" t="n"/>
      <c r="L874" s="170" t="n"/>
      <c r="M874" s="6" t="n"/>
      <c r="N874" s="6" t="n"/>
      <c r="O874" s="6" t="n"/>
    </row>
    <row r="875">
      <c r="B875" s="170" t="n">
        <v>862</v>
      </c>
      <c r="C875" s="170" t="n"/>
      <c r="D875" s="312" t="n"/>
      <c r="E875" s="312" t="n"/>
      <c r="F875" s="312" t="n"/>
      <c r="G875" s="312" t="n"/>
      <c r="H875" s="312" t="n"/>
      <c r="I875" s="313" t="n"/>
      <c r="J875" s="314" t="n"/>
      <c r="K875" s="170" t="n"/>
      <c r="L875" s="170" t="n"/>
      <c r="M875" s="6" t="n"/>
      <c r="N875" s="6" t="n"/>
      <c r="O875" s="6" t="n"/>
    </row>
    <row r="876">
      <c r="B876" s="170" t="n">
        <v>863</v>
      </c>
      <c r="C876" s="170" t="n"/>
      <c r="D876" s="312" t="n"/>
      <c r="E876" s="312" t="n"/>
      <c r="F876" s="312" t="n"/>
      <c r="G876" s="312" t="n"/>
      <c r="H876" s="312" t="n"/>
      <c r="I876" s="313" t="n"/>
      <c r="J876" s="314" t="n"/>
      <c r="K876" s="170" t="n"/>
      <c r="L876" s="170" t="n"/>
      <c r="M876" s="6" t="n"/>
      <c r="N876" s="6" t="n"/>
      <c r="O876" s="6" t="n"/>
    </row>
    <row r="877">
      <c r="B877" s="170" t="n">
        <v>864</v>
      </c>
      <c r="C877" s="170" t="n"/>
      <c r="D877" s="312" t="n"/>
      <c r="E877" s="312" t="n"/>
      <c r="F877" s="312" t="n"/>
      <c r="G877" s="312" t="n"/>
      <c r="H877" s="312" t="n"/>
      <c r="I877" s="313" t="n"/>
      <c r="J877" s="314" t="n"/>
      <c r="K877" s="170" t="n"/>
      <c r="L877" s="170" t="n"/>
      <c r="M877" s="6" t="n"/>
      <c r="N877" s="6" t="n"/>
      <c r="O877" s="6" t="n"/>
    </row>
    <row r="878">
      <c r="B878" s="170" t="n">
        <v>865</v>
      </c>
      <c r="C878" s="170" t="n"/>
      <c r="D878" s="312" t="n"/>
      <c r="E878" s="312" t="n"/>
      <c r="F878" s="312" t="n"/>
      <c r="G878" s="312" t="n"/>
      <c r="H878" s="312" t="n"/>
      <c r="I878" s="313" t="n"/>
      <c r="J878" s="314" t="n"/>
      <c r="K878" s="170" t="n"/>
      <c r="L878" s="170" t="n"/>
      <c r="M878" s="6" t="n"/>
      <c r="N878" s="6" t="n"/>
      <c r="O878" s="6" t="n"/>
    </row>
    <row r="879">
      <c r="B879" s="170" t="n">
        <v>866</v>
      </c>
      <c r="C879" s="170" t="n"/>
      <c r="D879" s="312" t="n"/>
      <c r="E879" s="312" t="n"/>
      <c r="F879" s="312" t="n"/>
      <c r="G879" s="312" t="n"/>
      <c r="H879" s="312" t="n"/>
      <c r="I879" s="313" t="n"/>
      <c r="J879" s="314" t="n"/>
      <c r="K879" s="170" t="n"/>
      <c r="L879" s="170" t="n"/>
      <c r="M879" s="6" t="n"/>
      <c r="N879" s="6" t="n"/>
      <c r="O879" s="6" t="n"/>
    </row>
    <row r="880">
      <c r="B880" s="170" t="n">
        <v>867</v>
      </c>
      <c r="C880" s="170" t="n"/>
      <c r="D880" s="312" t="n"/>
      <c r="E880" s="312" t="n"/>
      <c r="F880" s="312" t="n"/>
      <c r="G880" s="312" t="n"/>
      <c r="H880" s="312" t="n"/>
      <c r="I880" s="313" t="n"/>
      <c r="J880" s="314" t="n"/>
      <c r="K880" s="170" t="n"/>
      <c r="L880" s="170" t="n"/>
      <c r="M880" s="6" t="n"/>
      <c r="N880" s="6" t="n"/>
      <c r="O880" s="6" t="n"/>
    </row>
    <row r="881">
      <c r="B881" s="170" t="n">
        <v>868</v>
      </c>
      <c r="C881" s="170" t="n"/>
      <c r="D881" s="312" t="n"/>
      <c r="E881" s="312" t="n"/>
      <c r="F881" s="312" t="n"/>
      <c r="G881" s="312" t="n"/>
      <c r="H881" s="312" t="n"/>
      <c r="I881" s="313" t="n"/>
      <c r="J881" s="314" t="n"/>
      <c r="K881" s="170" t="n"/>
      <c r="L881" s="170" t="n"/>
      <c r="M881" s="6" t="n"/>
      <c r="N881" s="6" t="n"/>
      <c r="O881" s="6" t="n"/>
    </row>
    <row r="882">
      <c r="B882" s="170" t="n">
        <v>869</v>
      </c>
      <c r="C882" s="170" t="n"/>
      <c r="D882" s="312" t="n"/>
      <c r="E882" s="312" t="n"/>
      <c r="F882" s="312" t="n"/>
      <c r="G882" s="312" t="n"/>
      <c r="H882" s="312" t="n"/>
      <c r="I882" s="313" t="n"/>
      <c r="J882" s="314" t="n"/>
      <c r="K882" s="170" t="n"/>
      <c r="L882" s="170" t="n"/>
      <c r="M882" s="6" t="n"/>
      <c r="N882" s="6" t="n"/>
      <c r="O882" s="6" t="n"/>
    </row>
    <row r="883">
      <c r="B883" s="170" t="n">
        <v>870</v>
      </c>
      <c r="C883" s="170" t="n"/>
      <c r="D883" s="312" t="n"/>
      <c r="E883" s="312" t="n"/>
      <c r="F883" s="312" t="n"/>
      <c r="G883" s="312" t="n"/>
      <c r="H883" s="312" t="n"/>
      <c r="I883" s="313" t="n"/>
      <c r="J883" s="314" t="n"/>
      <c r="K883" s="170" t="n"/>
      <c r="L883" s="170" t="n"/>
      <c r="M883" s="6" t="n"/>
      <c r="N883" s="6" t="n"/>
      <c r="O883" s="6" t="n"/>
    </row>
    <row r="884">
      <c r="B884" s="170" t="n">
        <v>871</v>
      </c>
      <c r="C884" s="170" t="n"/>
      <c r="D884" s="312" t="n"/>
      <c r="E884" s="312" t="n"/>
      <c r="F884" s="312" t="n"/>
      <c r="G884" s="312" t="n"/>
      <c r="H884" s="312" t="n"/>
      <c r="I884" s="313" t="n"/>
      <c r="J884" s="314" t="n"/>
      <c r="K884" s="170" t="n"/>
      <c r="L884" s="170" t="n"/>
      <c r="M884" s="6" t="n"/>
      <c r="N884" s="6" t="n"/>
      <c r="O884" s="6" t="n"/>
    </row>
    <row r="885">
      <c r="B885" s="170" t="n">
        <v>872</v>
      </c>
      <c r="C885" s="170" t="n"/>
      <c r="D885" s="312" t="n"/>
      <c r="E885" s="312" t="n"/>
      <c r="F885" s="312" t="n"/>
      <c r="G885" s="312" t="n"/>
      <c r="H885" s="312" t="n"/>
      <c r="I885" s="313" t="n"/>
      <c r="J885" s="314" t="n"/>
      <c r="K885" s="170" t="n"/>
      <c r="L885" s="170" t="n"/>
      <c r="M885" s="6" t="n"/>
      <c r="N885" s="6" t="n"/>
      <c r="O885" s="6" t="n"/>
    </row>
    <row r="886">
      <c r="B886" s="170" t="n">
        <v>873</v>
      </c>
      <c r="C886" s="170" t="n"/>
      <c r="D886" s="312" t="n"/>
      <c r="E886" s="312" t="n"/>
      <c r="F886" s="312" t="n"/>
      <c r="G886" s="312" t="n"/>
      <c r="H886" s="312" t="n"/>
      <c r="I886" s="313" t="n"/>
      <c r="J886" s="314" t="n"/>
      <c r="K886" s="170" t="n"/>
      <c r="L886" s="170" t="n"/>
      <c r="M886" s="6" t="n"/>
      <c r="N886" s="6" t="n"/>
      <c r="O886" s="6" t="n"/>
    </row>
    <row r="887">
      <c r="B887" s="170" t="n">
        <v>874</v>
      </c>
      <c r="C887" s="170" t="n"/>
      <c r="D887" s="312" t="n"/>
      <c r="E887" s="312" t="n"/>
      <c r="F887" s="312" t="n"/>
      <c r="G887" s="312" t="n"/>
      <c r="H887" s="312" t="n"/>
      <c r="I887" s="313" t="n"/>
      <c r="J887" s="314" t="n"/>
      <c r="K887" s="170" t="n"/>
      <c r="L887" s="170" t="n"/>
      <c r="M887" s="6" t="n"/>
      <c r="N887" s="6" t="n"/>
      <c r="O887" s="6" t="n"/>
    </row>
    <row r="888">
      <c r="B888" s="170" t="n">
        <v>875</v>
      </c>
      <c r="C888" s="170" t="n"/>
      <c r="D888" s="312" t="n"/>
      <c r="E888" s="312" t="n"/>
      <c r="F888" s="312" t="n"/>
      <c r="G888" s="312" t="n"/>
      <c r="H888" s="312" t="n"/>
      <c r="I888" s="313" t="n"/>
      <c r="J888" s="314" t="n"/>
      <c r="K888" s="170" t="n"/>
      <c r="L888" s="170" t="n"/>
      <c r="M888" s="6" t="n"/>
      <c r="N888" s="6" t="n"/>
      <c r="O888" s="6" t="n"/>
    </row>
    <row r="889">
      <c r="B889" s="170" t="n">
        <v>876</v>
      </c>
      <c r="C889" s="170" t="n"/>
      <c r="D889" s="312" t="n"/>
      <c r="E889" s="312" t="n"/>
      <c r="F889" s="312" t="n"/>
      <c r="G889" s="312" t="n"/>
      <c r="H889" s="312" t="n"/>
      <c r="I889" s="313" t="n"/>
      <c r="J889" s="314" t="n"/>
      <c r="K889" s="170" t="n"/>
      <c r="L889" s="170" t="n"/>
      <c r="M889" s="6" t="n"/>
      <c r="N889" s="6" t="n"/>
      <c r="O889" s="6" t="n"/>
    </row>
    <row r="890">
      <c r="B890" s="170" t="n">
        <v>877</v>
      </c>
      <c r="C890" s="170" t="n"/>
      <c r="D890" s="312" t="n"/>
      <c r="E890" s="312" t="n"/>
      <c r="F890" s="312" t="n"/>
      <c r="G890" s="312" t="n"/>
      <c r="H890" s="312" t="n"/>
      <c r="I890" s="313" t="n"/>
      <c r="J890" s="314" t="n"/>
      <c r="K890" s="170" t="n"/>
      <c r="L890" s="170" t="n"/>
      <c r="M890" s="6" t="n"/>
      <c r="N890" s="6" t="n"/>
      <c r="O890" s="6" t="n"/>
    </row>
    <row r="891">
      <c r="B891" s="170" t="n">
        <v>878</v>
      </c>
      <c r="C891" s="170" t="n"/>
      <c r="D891" s="312" t="n"/>
      <c r="E891" s="312" t="n"/>
      <c r="F891" s="312" t="n"/>
      <c r="G891" s="312" t="n"/>
      <c r="H891" s="312" t="n"/>
      <c r="I891" s="313" t="n"/>
      <c r="J891" s="314" t="n"/>
      <c r="K891" s="170" t="n"/>
      <c r="L891" s="170" t="n"/>
      <c r="M891" s="6" t="n"/>
      <c r="N891" s="6" t="n"/>
      <c r="O891" s="6" t="n"/>
    </row>
    <row r="892">
      <c r="B892" s="170" t="n">
        <v>879</v>
      </c>
      <c r="C892" s="170" t="n"/>
      <c r="D892" s="312" t="n"/>
      <c r="E892" s="312" t="n"/>
      <c r="F892" s="312" t="n"/>
      <c r="G892" s="312" t="n"/>
      <c r="H892" s="312" t="n"/>
      <c r="I892" s="313" t="n"/>
      <c r="J892" s="314" t="n"/>
      <c r="K892" s="170" t="n"/>
      <c r="L892" s="170" t="n"/>
      <c r="M892" s="6" t="n"/>
      <c r="N892" s="6" t="n"/>
      <c r="O892" s="6" t="n"/>
    </row>
    <row r="893">
      <c r="B893" s="170" t="n">
        <v>880</v>
      </c>
      <c r="C893" s="170" t="n"/>
      <c r="D893" s="312" t="n"/>
      <c r="E893" s="312" t="n"/>
      <c r="F893" s="312" t="n"/>
      <c r="G893" s="312" t="n"/>
      <c r="H893" s="312" t="n"/>
      <c r="I893" s="313" t="n"/>
      <c r="J893" s="314" t="n"/>
      <c r="K893" s="170" t="n"/>
      <c r="L893" s="170" t="n"/>
      <c r="M893" s="6" t="n"/>
      <c r="N893" s="6" t="n"/>
      <c r="O893" s="6" t="n"/>
    </row>
    <row r="894">
      <c r="B894" s="170" t="n">
        <v>881</v>
      </c>
      <c r="C894" s="170" t="n"/>
      <c r="D894" s="312" t="n"/>
      <c r="E894" s="312" t="n"/>
      <c r="F894" s="312" t="n"/>
      <c r="G894" s="312" t="n"/>
      <c r="H894" s="312" t="n"/>
      <c r="I894" s="313" t="n"/>
      <c r="J894" s="314" t="n"/>
      <c r="K894" s="170" t="n"/>
      <c r="L894" s="170" t="n"/>
      <c r="M894" s="6" t="n"/>
      <c r="N894" s="6" t="n"/>
      <c r="O894" s="6" t="n"/>
    </row>
    <row r="895">
      <c r="B895" s="170" t="n">
        <v>882</v>
      </c>
      <c r="C895" s="170" t="n"/>
      <c r="D895" s="312" t="n"/>
      <c r="E895" s="312" t="n"/>
      <c r="F895" s="312" t="n"/>
      <c r="G895" s="312" t="n"/>
      <c r="H895" s="312" t="n"/>
      <c r="I895" s="313" t="n"/>
      <c r="J895" s="314" t="n"/>
      <c r="K895" s="170" t="n"/>
      <c r="L895" s="170" t="n"/>
      <c r="M895" s="6" t="n"/>
      <c r="N895" s="6" t="n"/>
      <c r="O895" s="6" t="n"/>
    </row>
    <row r="896">
      <c r="B896" s="170" t="n">
        <v>883</v>
      </c>
      <c r="C896" s="170" t="n"/>
      <c r="D896" s="312" t="n"/>
      <c r="E896" s="312" t="n"/>
      <c r="F896" s="312" t="n"/>
      <c r="G896" s="312" t="n"/>
      <c r="H896" s="312" t="n"/>
      <c r="I896" s="313" t="n"/>
      <c r="J896" s="314" t="n"/>
      <c r="K896" s="170" t="n"/>
      <c r="L896" s="170" t="n"/>
      <c r="M896" s="6" t="n"/>
      <c r="N896" s="6" t="n"/>
      <c r="O896" s="6" t="n"/>
    </row>
    <row r="897">
      <c r="B897" s="170" t="n">
        <v>884</v>
      </c>
      <c r="C897" s="170" t="n"/>
      <c r="D897" s="312" t="n"/>
      <c r="E897" s="312" t="n"/>
      <c r="F897" s="312" t="n"/>
      <c r="G897" s="312" t="n"/>
      <c r="H897" s="312" t="n"/>
      <c r="I897" s="313" t="n"/>
      <c r="J897" s="314" t="n"/>
      <c r="K897" s="170" t="n"/>
      <c r="L897" s="170" t="n"/>
      <c r="M897" s="6" t="n"/>
      <c r="N897" s="6" t="n"/>
      <c r="O897" s="6" t="n"/>
    </row>
    <row r="898">
      <c r="B898" s="170" t="n">
        <v>885</v>
      </c>
      <c r="C898" s="170" t="n"/>
      <c r="D898" s="312" t="n"/>
      <c r="E898" s="312" t="n"/>
      <c r="F898" s="312" t="n"/>
      <c r="G898" s="312" t="n"/>
      <c r="H898" s="312" t="n"/>
      <c r="I898" s="313" t="n"/>
      <c r="J898" s="314" t="n"/>
      <c r="K898" s="170" t="n"/>
      <c r="L898" s="170" t="n"/>
      <c r="M898" s="6" t="n"/>
      <c r="N898" s="6" t="n"/>
      <c r="O898" s="6" t="n"/>
    </row>
    <row r="899">
      <c r="B899" s="170" t="n">
        <v>886</v>
      </c>
      <c r="C899" s="170" t="n"/>
      <c r="D899" s="312" t="n"/>
      <c r="E899" s="312" t="n"/>
      <c r="F899" s="312" t="n"/>
      <c r="G899" s="312" t="n"/>
      <c r="H899" s="312" t="n"/>
      <c r="I899" s="313" t="n"/>
      <c r="J899" s="314" t="n"/>
      <c r="K899" s="170" t="n"/>
      <c r="L899" s="170" t="n"/>
      <c r="M899" s="6" t="n"/>
      <c r="N899" s="6" t="n"/>
      <c r="O899" s="6" t="n"/>
    </row>
    <row r="900">
      <c r="B900" s="170" t="n">
        <v>887</v>
      </c>
      <c r="C900" s="170" t="n"/>
      <c r="D900" s="312" t="n"/>
      <c r="E900" s="312" t="n"/>
      <c r="F900" s="312" t="n"/>
      <c r="G900" s="312" t="n"/>
      <c r="H900" s="312" t="n"/>
      <c r="I900" s="313" t="n"/>
      <c r="J900" s="314" t="n"/>
      <c r="K900" s="170" t="n"/>
      <c r="L900" s="170" t="n"/>
      <c r="M900" s="6" t="n"/>
      <c r="N900" s="6" t="n"/>
      <c r="O900" s="6" t="n"/>
    </row>
    <row r="901">
      <c r="B901" s="170" t="n">
        <v>888</v>
      </c>
      <c r="C901" s="170" t="n"/>
      <c r="D901" s="312" t="n"/>
      <c r="E901" s="312" t="n"/>
      <c r="F901" s="312" t="n"/>
      <c r="G901" s="312" t="n"/>
      <c r="H901" s="312" t="n"/>
      <c r="I901" s="313" t="n"/>
      <c r="J901" s="314" t="n"/>
      <c r="K901" s="170" t="n"/>
      <c r="L901" s="170" t="n"/>
      <c r="M901" s="6" t="n"/>
      <c r="N901" s="6" t="n"/>
      <c r="O901" s="6" t="n"/>
    </row>
    <row r="902">
      <c r="B902" s="170" t="n">
        <v>889</v>
      </c>
      <c r="C902" s="170" t="n"/>
      <c r="D902" s="312" t="n"/>
      <c r="E902" s="312" t="n"/>
      <c r="F902" s="312" t="n"/>
      <c r="G902" s="312" t="n"/>
      <c r="H902" s="312" t="n"/>
      <c r="I902" s="313" t="n"/>
      <c r="J902" s="314" t="n"/>
      <c r="K902" s="170" t="n"/>
      <c r="L902" s="170" t="n"/>
      <c r="M902" s="6" t="n"/>
      <c r="N902" s="6" t="n"/>
      <c r="O902" s="6" t="n"/>
    </row>
    <row r="903">
      <c r="B903" s="170" t="n">
        <v>890</v>
      </c>
      <c r="C903" s="170" t="n"/>
      <c r="D903" s="312" t="n"/>
      <c r="E903" s="312" t="n"/>
      <c r="F903" s="312" t="n"/>
      <c r="G903" s="312" t="n"/>
      <c r="H903" s="312" t="n"/>
      <c r="I903" s="313" t="n"/>
      <c r="J903" s="314" t="n"/>
      <c r="K903" s="170" t="n"/>
      <c r="L903" s="170" t="n"/>
      <c r="M903" s="6" t="n"/>
      <c r="N903" s="6" t="n"/>
      <c r="O903" s="6" t="n"/>
    </row>
    <row r="904">
      <c r="B904" s="170" t="n">
        <v>891</v>
      </c>
      <c r="C904" s="170" t="n"/>
      <c r="D904" s="312" t="n"/>
      <c r="E904" s="312" t="n"/>
      <c r="F904" s="312" t="n"/>
      <c r="G904" s="312" t="n"/>
      <c r="H904" s="312" t="n"/>
      <c r="I904" s="313" t="n"/>
      <c r="J904" s="314" t="n"/>
      <c r="K904" s="170" t="n"/>
      <c r="L904" s="170" t="n"/>
      <c r="M904" s="6" t="n"/>
      <c r="N904" s="6" t="n"/>
      <c r="O904" s="6" t="n"/>
    </row>
    <row r="905">
      <c r="B905" s="170" t="n">
        <v>892</v>
      </c>
      <c r="C905" s="170" t="n"/>
      <c r="D905" s="312" t="n"/>
      <c r="E905" s="312" t="n"/>
      <c r="F905" s="312" t="n"/>
      <c r="G905" s="312" t="n"/>
      <c r="H905" s="312" t="n"/>
      <c r="I905" s="313" t="n"/>
      <c r="J905" s="314" t="n"/>
      <c r="K905" s="170" t="n"/>
      <c r="L905" s="170" t="n"/>
      <c r="M905" s="6" t="n"/>
      <c r="N905" s="6" t="n"/>
      <c r="O905" s="6" t="n"/>
    </row>
    <row r="906">
      <c r="B906" s="170" t="n">
        <v>893</v>
      </c>
      <c r="C906" s="170" t="n"/>
      <c r="D906" s="312" t="n"/>
      <c r="E906" s="312" t="n"/>
      <c r="F906" s="312" t="n"/>
      <c r="G906" s="312" t="n"/>
      <c r="H906" s="312" t="n"/>
      <c r="I906" s="313" t="n"/>
      <c r="J906" s="314" t="n"/>
      <c r="K906" s="170" t="n"/>
      <c r="L906" s="170" t="n"/>
      <c r="M906" s="6" t="n"/>
      <c r="N906" s="6" t="n"/>
      <c r="O906" s="6" t="n"/>
    </row>
    <row r="907">
      <c r="B907" s="170" t="n">
        <v>894</v>
      </c>
      <c r="C907" s="170" t="n"/>
      <c r="D907" s="312" t="n"/>
      <c r="E907" s="312" t="n"/>
      <c r="F907" s="312" t="n"/>
      <c r="G907" s="312" t="n"/>
      <c r="H907" s="312" t="n"/>
      <c r="I907" s="313" t="n"/>
      <c r="J907" s="314" t="n"/>
      <c r="K907" s="170" t="n"/>
      <c r="L907" s="170" t="n"/>
      <c r="M907" s="6" t="n"/>
      <c r="N907" s="6" t="n"/>
      <c r="O907" s="6" t="n"/>
    </row>
    <row r="908">
      <c r="B908" s="170" t="n">
        <v>895</v>
      </c>
      <c r="C908" s="170" t="n"/>
      <c r="D908" s="312" t="n"/>
      <c r="E908" s="312" t="n"/>
      <c r="F908" s="312" t="n"/>
      <c r="G908" s="312" t="n"/>
      <c r="H908" s="312" t="n"/>
      <c r="I908" s="313" t="n"/>
      <c r="J908" s="314" t="n"/>
      <c r="K908" s="170" t="n"/>
      <c r="L908" s="170" t="n"/>
      <c r="M908" s="6" t="n"/>
      <c r="N908" s="6" t="n"/>
      <c r="O908" s="6" t="n"/>
    </row>
    <row r="909">
      <c r="B909" s="170" t="n">
        <v>896</v>
      </c>
      <c r="C909" s="170" t="n"/>
      <c r="D909" s="312" t="n"/>
      <c r="E909" s="312" t="n"/>
      <c r="F909" s="312" t="n"/>
      <c r="G909" s="312" t="n"/>
      <c r="H909" s="312" t="n"/>
      <c r="I909" s="313" t="n"/>
      <c r="J909" s="314" t="n"/>
      <c r="K909" s="170" t="n"/>
      <c r="L909" s="170" t="n"/>
      <c r="M909" s="6" t="n"/>
      <c r="N909" s="6" t="n"/>
      <c r="O909" s="6" t="n"/>
    </row>
    <row r="910">
      <c r="B910" s="170" t="n">
        <v>897</v>
      </c>
      <c r="C910" s="170" t="n"/>
      <c r="D910" s="312" t="n"/>
      <c r="E910" s="312" t="n"/>
      <c r="F910" s="312" t="n"/>
      <c r="G910" s="312" t="n"/>
      <c r="H910" s="312" t="n"/>
      <c r="I910" s="313" t="n"/>
      <c r="J910" s="314" t="n"/>
      <c r="K910" s="170" t="n"/>
      <c r="L910" s="170" t="n"/>
      <c r="M910" s="6" t="n"/>
      <c r="N910" s="6" t="n"/>
      <c r="O910" s="6" t="n"/>
    </row>
    <row r="911">
      <c r="B911" s="170" t="n">
        <v>898</v>
      </c>
      <c r="C911" s="170" t="n"/>
      <c r="D911" s="312" t="n"/>
      <c r="E911" s="312" t="n"/>
      <c r="F911" s="312" t="n"/>
      <c r="G911" s="312" t="n"/>
      <c r="H911" s="312" t="n"/>
      <c r="I911" s="313" t="n"/>
      <c r="J911" s="314" t="n"/>
      <c r="K911" s="170" t="n"/>
      <c r="L911" s="170" t="n"/>
      <c r="M911" s="6" t="n"/>
      <c r="N911" s="6" t="n"/>
      <c r="O911" s="6" t="n"/>
    </row>
    <row r="912">
      <c r="B912" s="170" t="n">
        <v>899</v>
      </c>
      <c r="C912" s="170" t="n"/>
      <c r="D912" s="312" t="n"/>
      <c r="E912" s="312" t="n"/>
      <c r="F912" s="312" t="n"/>
      <c r="G912" s="312" t="n"/>
      <c r="H912" s="312" t="n"/>
      <c r="I912" s="313" t="n"/>
      <c r="J912" s="314" t="n"/>
      <c r="K912" s="170" t="n"/>
      <c r="L912" s="170" t="n"/>
      <c r="M912" s="6" t="n"/>
      <c r="N912" s="6" t="n"/>
      <c r="O912" s="6" t="n"/>
    </row>
    <row r="913">
      <c r="B913" s="170" t="n">
        <v>900</v>
      </c>
      <c r="C913" s="170" t="n"/>
      <c r="D913" s="312" t="n"/>
      <c r="E913" s="312" t="n"/>
      <c r="F913" s="312" t="n"/>
      <c r="G913" s="312" t="n"/>
      <c r="H913" s="312" t="n"/>
      <c r="I913" s="313" t="n"/>
      <c r="J913" s="314" t="n"/>
      <c r="K913" s="170" t="n"/>
      <c r="L913" s="170" t="n"/>
      <c r="M913" s="6" t="n"/>
      <c r="N913" s="6" t="n"/>
      <c r="O913" s="6" t="n"/>
    </row>
    <row r="914">
      <c r="B914" s="170" t="n">
        <v>901</v>
      </c>
      <c r="C914" s="170" t="n"/>
      <c r="D914" s="312" t="n"/>
      <c r="E914" s="312" t="n"/>
      <c r="F914" s="312" t="n"/>
      <c r="G914" s="312" t="n"/>
      <c r="H914" s="312" t="n"/>
      <c r="I914" s="313" t="n"/>
      <c r="J914" s="314" t="n"/>
      <c r="K914" s="170" t="n"/>
      <c r="L914" s="170" t="n"/>
      <c r="M914" s="6" t="n"/>
      <c r="N914" s="6" t="n"/>
      <c r="O914" s="6" t="n"/>
    </row>
    <row r="915">
      <c r="B915" s="170" t="n">
        <v>902</v>
      </c>
      <c r="C915" s="170" t="n"/>
      <c r="D915" s="312" t="n"/>
      <c r="E915" s="312" t="n"/>
      <c r="F915" s="312" t="n"/>
      <c r="G915" s="312" t="n"/>
      <c r="H915" s="312" t="n"/>
      <c r="I915" s="313" t="n"/>
      <c r="J915" s="314" t="n"/>
      <c r="K915" s="170" t="n"/>
      <c r="L915" s="170" t="n"/>
      <c r="M915" s="6" t="n"/>
      <c r="N915" s="6" t="n"/>
      <c r="O915" s="6" t="n"/>
    </row>
    <row r="916">
      <c r="B916" s="170" t="n">
        <v>903</v>
      </c>
      <c r="C916" s="170" t="n"/>
      <c r="D916" s="312" t="n"/>
      <c r="E916" s="312" t="n"/>
      <c r="F916" s="312" t="n"/>
      <c r="G916" s="312" t="n"/>
      <c r="H916" s="312" t="n"/>
      <c r="I916" s="313" t="n"/>
      <c r="J916" s="314" t="n"/>
      <c r="K916" s="170" t="n"/>
      <c r="L916" s="170" t="n"/>
      <c r="M916" s="6" t="n"/>
      <c r="N916" s="6" t="n"/>
      <c r="O916" s="6" t="n"/>
    </row>
    <row r="917">
      <c r="B917" s="170" t="n">
        <v>904</v>
      </c>
      <c r="C917" s="170" t="n"/>
      <c r="D917" s="312" t="n"/>
      <c r="E917" s="312" t="n"/>
      <c r="F917" s="312" t="n"/>
      <c r="G917" s="312" t="n"/>
      <c r="H917" s="312" t="n"/>
      <c r="I917" s="313" t="n"/>
      <c r="J917" s="314" t="n"/>
      <c r="K917" s="170" t="n"/>
      <c r="L917" s="170" t="n"/>
      <c r="M917" s="6" t="n"/>
      <c r="N917" s="6" t="n"/>
      <c r="O917" s="6" t="n"/>
    </row>
    <row r="918">
      <c r="B918" s="170" t="n">
        <v>905</v>
      </c>
      <c r="C918" s="170" t="n"/>
      <c r="D918" s="312" t="n"/>
      <c r="E918" s="312" t="n"/>
      <c r="F918" s="312" t="n"/>
      <c r="G918" s="312" t="n"/>
      <c r="H918" s="312" t="n"/>
      <c r="I918" s="313" t="n"/>
      <c r="J918" s="314" t="n"/>
      <c r="K918" s="170" t="n"/>
      <c r="L918" s="170" t="n"/>
      <c r="M918" s="6" t="n"/>
      <c r="N918" s="6" t="n"/>
      <c r="O918" s="6" t="n"/>
    </row>
    <row r="919">
      <c r="B919" s="170" t="n">
        <v>906</v>
      </c>
      <c r="C919" s="170" t="n"/>
      <c r="D919" s="312" t="n"/>
      <c r="E919" s="312" t="n"/>
      <c r="F919" s="312" t="n"/>
      <c r="G919" s="312" t="n"/>
      <c r="H919" s="312" t="n"/>
      <c r="I919" s="313" t="n"/>
      <c r="J919" s="314" t="n"/>
      <c r="K919" s="170" t="n"/>
      <c r="L919" s="170" t="n"/>
      <c r="M919" s="6" t="n"/>
      <c r="N919" s="6" t="n"/>
      <c r="O919" s="6" t="n"/>
    </row>
    <row r="920">
      <c r="B920" s="170" t="n">
        <v>907</v>
      </c>
      <c r="C920" s="170" t="n"/>
      <c r="D920" s="312" t="n"/>
      <c r="E920" s="312" t="n"/>
      <c r="F920" s="312" t="n"/>
      <c r="G920" s="312" t="n"/>
      <c r="H920" s="312" t="n"/>
      <c r="I920" s="313" t="n"/>
      <c r="J920" s="314" t="n"/>
      <c r="K920" s="170" t="n"/>
      <c r="L920" s="170" t="n"/>
      <c r="M920" s="6" t="n"/>
      <c r="N920" s="6" t="n"/>
      <c r="O920" s="6" t="n"/>
    </row>
    <row r="921">
      <c r="B921" s="170" t="n">
        <v>908</v>
      </c>
      <c r="C921" s="170" t="n"/>
      <c r="D921" s="312" t="n"/>
      <c r="E921" s="312" t="n"/>
      <c r="F921" s="312" t="n"/>
      <c r="G921" s="312" t="n"/>
      <c r="H921" s="312" t="n"/>
      <c r="I921" s="313" t="n"/>
      <c r="J921" s="314" t="n"/>
      <c r="K921" s="170" t="n"/>
      <c r="L921" s="170" t="n"/>
      <c r="M921" s="6" t="n"/>
      <c r="N921" s="6" t="n"/>
      <c r="O921" s="6" t="n"/>
    </row>
    <row r="922">
      <c r="B922" s="170" t="n">
        <v>909</v>
      </c>
      <c r="C922" s="170" t="n"/>
      <c r="D922" s="312" t="n"/>
      <c r="E922" s="312" t="n"/>
      <c r="F922" s="312" t="n"/>
      <c r="G922" s="312" t="n"/>
      <c r="H922" s="312" t="n"/>
      <c r="I922" s="313" t="n"/>
      <c r="J922" s="314" t="n"/>
      <c r="K922" s="170" t="n"/>
      <c r="L922" s="170" t="n"/>
      <c r="M922" s="6" t="n"/>
      <c r="N922" s="6" t="n"/>
      <c r="O922" s="6" t="n"/>
    </row>
    <row r="923">
      <c r="B923" s="170" t="n">
        <v>910</v>
      </c>
      <c r="C923" s="170" t="n"/>
      <c r="D923" s="312" t="n"/>
      <c r="E923" s="312" t="n"/>
      <c r="F923" s="312" t="n"/>
      <c r="G923" s="312" t="n"/>
      <c r="H923" s="312" t="n"/>
      <c r="I923" s="313" t="n"/>
      <c r="J923" s="314" t="n"/>
      <c r="K923" s="170" t="n"/>
      <c r="L923" s="170" t="n"/>
      <c r="M923" s="6" t="n"/>
      <c r="N923" s="6" t="n"/>
      <c r="O923" s="6" t="n"/>
    </row>
    <row r="924">
      <c r="B924" s="170" t="n">
        <v>911</v>
      </c>
      <c r="C924" s="170" t="n"/>
      <c r="D924" s="312" t="n"/>
      <c r="E924" s="312" t="n"/>
      <c r="F924" s="312" t="n"/>
      <c r="G924" s="312" t="n"/>
      <c r="H924" s="312" t="n"/>
      <c r="I924" s="313" t="n"/>
      <c r="J924" s="314" t="n"/>
      <c r="K924" s="170" t="n"/>
      <c r="L924" s="170" t="n"/>
      <c r="M924" s="6" t="n"/>
      <c r="N924" s="6" t="n"/>
      <c r="O924" s="6" t="n"/>
    </row>
    <row r="925">
      <c r="B925" s="170" t="n">
        <v>912</v>
      </c>
      <c r="C925" s="170" t="n"/>
      <c r="D925" s="312" t="n"/>
      <c r="E925" s="312" t="n"/>
      <c r="F925" s="312" t="n"/>
      <c r="G925" s="312" t="n"/>
      <c r="H925" s="312" t="n"/>
      <c r="I925" s="313" t="n"/>
      <c r="J925" s="314" t="n"/>
      <c r="K925" s="170" t="n"/>
      <c r="L925" s="170" t="n"/>
      <c r="M925" s="6" t="n"/>
      <c r="N925" s="6" t="n"/>
      <c r="O925" s="6" t="n"/>
    </row>
    <row r="926">
      <c r="B926" s="170" t="n">
        <v>913</v>
      </c>
      <c r="C926" s="170" t="n"/>
      <c r="D926" s="312" t="n"/>
      <c r="E926" s="312" t="n"/>
      <c r="F926" s="312" t="n"/>
      <c r="G926" s="312" t="n"/>
      <c r="H926" s="312" t="n"/>
      <c r="I926" s="313" t="n"/>
      <c r="J926" s="314" t="n"/>
      <c r="K926" s="170" t="n"/>
      <c r="L926" s="170" t="n"/>
      <c r="M926" s="6" t="n"/>
      <c r="N926" s="6" t="n"/>
      <c r="O926" s="6" t="n"/>
    </row>
    <row r="927">
      <c r="B927" s="170" t="n">
        <v>914</v>
      </c>
      <c r="C927" s="170" t="n"/>
      <c r="D927" s="312" t="n"/>
      <c r="E927" s="312" t="n"/>
      <c r="F927" s="312" t="n"/>
      <c r="G927" s="312" t="n"/>
      <c r="H927" s="312" t="n"/>
      <c r="I927" s="313" t="n"/>
      <c r="J927" s="314" t="n"/>
      <c r="K927" s="170" t="n"/>
      <c r="L927" s="170" t="n"/>
      <c r="M927" s="6" t="n"/>
      <c r="N927" s="6" t="n"/>
      <c r="O927" s="6" t="n"/>
    </row>
    <row r="928">
      <c r="B928" s="170" t="n">
        <v>915</v>
      </c>
      <c r="C928" s="170" t="n"/>
      <c r="D928" s="312" t="n"/>
      <c r="E928" s="312" t="n"/>
      <c r="F928" s="312" t="n"/>
      <c r="G928" s="312" t="n"/>
      <c r="H928" s="312" t="n"/>
      <c r="I928" s="313" t="n"/>
      <c r="J928" s="314" t="n"/>
      <c r="K928" s="170" t="n"/>
      <c r="L928" s="170" t="n"/>
      <c r="M928" s="6" t="n"/>
      <c r="N928" s="6" t="n"/>
      <c r="O928" s="6" t="n"/>
    </row>
    <row r="929">
      <c r="B929" s="170" t="n">
        <v>916</v>
      </c>
      <c r="C929" s="170" t="n"/>
      <c r="D929" s="312" t="n"/>
      <c r="E929" s="312" t="n"/>
      <c r="F929" s="312" t="n"/>
      <c r="G929" s="312" t="n"/>
      <c r="H929" s="312" t="n"/>
      <c r="I929" s="313" t="n"/>
      <c r="J929" s="314" t="n"/>
      <c r="K929" s="170" t="n"/>
      <c r="L929" s="170" t="n"/>
      <c r="M929" s="6" t="n"/>
      <c r="N929" s="6" t="n"/>
      <c r="O929" s="6" t="n"/>
    </row>
    <row r="930">
      <c r="B930" s="170" t="n">
        <v>917</v>
      </c>
      <c r="C930" s="170" t="n"/>
      <c r="D930" s="312" t="n"/>
      <c r="E930" s="312" t="n"/>
      <c r="F930" s="312" t="n"/>
      <c r="G930" s="312" t="n"/>
      <c r="H930" s="312" t="n"/>
      <c r="I930" s="313" t="n"/>
      <c r="J930" s="314" t="n"/>
      <c r="K930" s="170" t="n"/>
      <c r="L930" s="170" t="n"/>
      <c r="M930" s="6" t="n"/>
      <c r="N930" s="6" t="n"/>
      <c r="O930" s="6" t="n"/>
    </row>
    <row r="931">
      <c r="B931" s="170" t="n">
        <v>918</v>
      </c>
      <c r="C931" s="170" t="n"/>
      <c r="D931" s="312" t="n"/>
      <c r="E931" s="312" t="n"/>
      <c r="F931" s="312" t="n"/>
      <c r="G931" s="312" t="n"/>
      <c r="H931" s="312" t="n"/>
      <c r="I931" s="313" t="n"/>
      <c r="J931" s="314" t="n"/>
      <c r="K931" s="170" t="n"/>
      <c r="L931" s="170" t="n"/>
      <c r="M931" s="6" t="n"/>
      <c r="N931" s="6" t="n"/>
      <c r="O931" s="6" t="n"/>
    </row>
    <row r="932">
      <c r="B932" s="170" t="n">
        <v>919</v>
      </c>
      <c r="C932" s="170" t="n"/>
      <c r="D932" s="312" t="n"/>
      <c r="E932" s="312" t="n"/>
      <c r="F932" s="312" t="n"/>
      <c r="G932" s="312" t="n"/>
      <c r="H932" s="312" t="n"/>
      <c r="I932" s="313" t="n"/>
      <c r="J932" s="314" t="n"/>
      <c r="K932" s="170" t="n"/>
      <c r="L932" s="170" t="n"/>
      <c r="M932" s="6" t="n"/>
      <c r="N932" s="6" t="n"/>
      <c r="O932" s="6" t="n"/>
    </row>
    <row r="933">
      <c r="B933" s="170" t="n">
        <v>920</v>
      </c>
      <c r="C933" s="170" t="n"/>
      <c r="D933" s="312" t="n"/>
      <c r="E933" s="312" t="n"/>
      <c r="F933" s="312" t="n"/>
      <c r="G933" s="312" t="n"/>
      <c r="H933" s="312" t="n"/>
      <c r="I933" s="313" t="n"/>
      <c r="J933" s="314" t="n"/>
      <c r="K933" s="170" t="n"/>
      <c r="L933" s="170" t="n"/>
      <c r="M933" s="6" t="n"/>
      <c r="N933" s="6" t="n"/>
      <c r="O933" s="6" t="n"/>
    </row>
    <row r="934">
      <c r="B934" s="170" t="n">
        <v>921</v>
      </c>
      <c r="C934" s="170" t="n"/>
      <c r="D934" s="312" t="n"/>
      <c r="E934" s="312" t="n"/>
      <c r="F934" s="312" t="n"/>
      <c r="G934" s="312" t="n"/>
      <c r="H934" s="312" t="n"/>
      <c r="I934" s="313" t="n"/>
      <c r="J934" s="314" t="n"/>
      <c r="K934" s="170" t="n"/>
      <c r="L934" s="170" t="n"/>
      <c r="M934" s="6" t="n"/>
      <c r="N934" s="6" t="n"/>
      <c r="O934" s="6" t="n"/>
    </row>
    <row r="935">
      <c r="B935" s="170" t="n">
        <v>922</v>
      </c>
      <c r="C935" s="170" t="n"/>
      <c r="D935" s="312" t="n"/>
      <c r="E935" s="312" t="n"/>
      <c r="F935" s="312" t="n"/>
      <c r="G935" s="312" t="n"/>
      <c r="H935" s="312" t="n"/>
      <c r="I935" s="313" t="n"/>
      <c r="J935" s="314" t="n"/>
      <c r="K935" s="170" t="n"/>
      <c r="L935" s="170" t="n"/>
      <c r="M935" s="6" t="n"/>
      <c r="N935" s="6" t="n"/>
      <c r="O935" s="6" t="n"/>
    </row>
    <row r="936">
      <c r="B936" s="170" t="n">
        <v>923</v>
      </c>
      <c r="C936" s="170" t="n"/>
      <c r="D936" s="312" t="n"/>
      <c r="E936" s="312" t="n"/>
      <c r="F936" s="312" t="n"/>
      <c r="G936" s="312" t="n"/>
      <c r="H936" s="312" t="n"/>
      <c r="I936" s="313" t="n"/>
      <c r="J936" s="314" t="n"/>
      <c r="K936" s="170" t="n"/>
      <c r="L936" s="170" t="n"/>
      <c r="M936" s="6" t="n"/>
      <c r="N936" s="6" t="n"/>
      <c r="O936" s="6" t="n"/>
    </row>
    <row r="937">
      <c r="B937" s="170" t="n">
        <v>924</v>
      </c>
      <c r="C937" s="170" t="n"/>
      <c r="D937" s="312" t="n"/>
      <c r="E937" s="312" t="n"/>
      <c r="F937" s="312" t="n"/>
      <c r="G937" s="312" t="n"/>
      <c r="H937" s="312" t="n"/>
      <c r="I937" s="313" t="n"/>
      <c r="J937" s="314" t="n"/>
      <c r="K937" s="170" t="n"/>
      <c r="L937" s="170" t="n"/>
      <c r="M937" s="6" t="n"/>
      <c r="N937" s="6" t="n"/>
      <c r="O937" s="6" t="n"/>
    </row>
    <row r="938">
      <c r="B938" s="170" t="n">
        <v>925</v>
      </c>
      <c r="C938" s="170" t="n"/>
      <c r="D938" s="312" t="n"/>
      <c r="E938" s="312" t="n"/>
      <c r="F938" s="312" t="n"/>
      <c r="G938" s="312" t="n"/>
      <c r="H938" s="312" t="n"/>
      <c r="I938" s="313" t="n"/>
      <c r="J938" s="314" t="n"/>
      <c r="K938" s="170" t="n"/>
      <c r="L938" s="170" t="n"/>
      <c r="M938" s="6" t="n"/>
      <c r="N938" s="6" t="n"/>
      <c r="O938" s="6" t="n"/>
    </row>
    <row r="939">
      <c r="B939" s="170" t="n">
        <v>926</v>
      </c>
      <c r="C939" s="170" t="n"/>
      <c r="D939" s="312" t="n"/>
      <c r="E939" s="312" t="n"/>
      <c r="F939" s="312" t="n"/>
      <c r="G939" s="312" t="n"/>
      <c r="H939" s="312" t="n"/>
      <c r="I939" s="313" t="n"/>
      <c r="J939" s="314" t="n"/>
      <c r="K939" s="170" t="n"/>
      <c r="L939" s="170" t="n"/>
      <c r="M939" s="6" t="n"/>
      <c r="N939" s="6" t="n"/>
      <c r="O939" s="6" t="n"/>
    </row>
    <row r="940">
      <c r="B940" s="170" t="n">
        <v>927</v>
      </c>
      <c r="C940" s="170" t="n"/>
      <c r="D940" s="312" t="n"/>
      <c r="E940" s="312" t="n"/>
      <c r="F940" s="312" t="n"/>
      <c r="G940" s="312" t="n"/>
      <c r="H940" s="312" t="n"/>
      <c r="I940" s="313" t="n"/>
      <c r="J940" s="314" t="n"/>
      <c r="K940" s="170" t="n"/>
      <c r="L940" s="170" t="n"/>
      <c r="M940" s="6" t="n"/>
      <c r="N940" s="6" t="n"/>
      <c r="O940" s="6" t="n"/>
    </row>
    <row r="941">
      <c r="B941" s="170" t="n">
        <v>928</v>
      </c>
      <c r="C941" s="170" t="n"/>
      <c r="D941" s="312" t="n"/>
      <c r="E941" s="312" t="n"/>
      <c r="F941" s="312" t="n"/>
      <c r="G941" s="312" t="n"/>
      <c r="H941" s="312" t="n"/>
      <c r="I941" s="313" t="n"/>
      <c r="J941" s="314" t="n"/>
      <c r="K941" s="170" t="n"/>
      <c r="L941" s="170" t="n"/>
      <c r="M941" s="6" t="n"/>
      <c r="N941" s="6" t="n"/>
      <c r="O941" s="6" t="n"/>
    </row>
    <row r="942">
      <c r="B942" s="170" t="n">
        <v>929</v>
      </c>
      <c r="C942" s="170" t="n"/>
      <c r="D942" s="312" t="n"/>
      <c r="E942" s="312" t="n"/>
      <c r="F942" s="312" t="n"/>
      <c r="G942" s="312" t="n"/>
      <c r="H942" s="312" t="n"/>
      <c r="I942" s="313" t="n"/>
      <c r="J942" s="314" t="n"/>
      <c r="K942" s="170" t="n"/>
      <c r="L942" s="170" t="n"/>
      <c r="M942" s="6" t="n"/>
      <c r="N942" s="6" t="n"/>
      <c r="O942" s="6" t="n"/>
    </row>
    <row r="943">
      <c r="B943" s="170" t="n">
        <v>930</v>
      </c>
      <c r="C943" s="170" t="n"/>
      <c r="D943" s="312" t="n"/>
      <c r="E943" s="312" t="n"/>
      <c r="F943" s="312" t="n"/>
      <c r="G943" s="312" t="n"/>
      <c r="H943" s="312" t="n"/>
      <c r="I943" s="313" t="n"/>
      <c r="J943" s="314" t="n"/>
      <c r="K943" s="170" t="n"/>
      <c r="L943" s="170" t="n"/>
      <c r="M943" s="6" t="n"/>
      <c r="N943" s="6" t="n"/>
      <c r="O943" s="6" t="n"/>
    </row>
    <row r="944">
      <c r="B944" s="170" t="n">
        <v>931</v>
      </c>
      <c r="C944" s="170" t="n"/>
      <c r="D944" s="312" t="n"/>
      <c r="E944" s="312" t="n"/>
      <c r="F944" s="312" t="n"/>
      <c r="G944" s="312" t="n"/>
      <c r="H944" s="312" t="n"/>
      <c r="I944" s="313" t="n"/>
      <c r="J944" s="314" t="n"/>
      <c r="K944" s="170" t="n"/>
      <c r="L944" s="170" t="n"/>
      <c r="M944" s="6" t="n"/>
      <c r="N944" s="6" t="n"/>
      <c r="O944" s="6" t="n"/>
    </row>
    <row r="945">
      <c r="B945" s="170" t="n">
        <v>932</v>
      </c>
      <c r="C945" s="170" t="n"/>
      <c r="D945" s="312" t="n"/>
      <c r="E945" s="312" t="n"/>
      <c r="F945" s="312" t="n"/>
      <c r="G945" s="312" t="n"/>
      <c r="H945" s="312" t="n"/>
      <c r="I945" s="313" t="n"/>
      <c r="J945" s="314" t="n"/>
      <c r="K945" s="170" t="n"/>
      <c r="L945" s="170" t="n"/>
      <c r="M945" s="6" t="n"/>
      <c r="N945" s="6" t="n"/>
      <c r="O945" s="6" t="n"/>
    </row>
    <row r="946">
      <c r="B946" s="170" t="n">
        <v>933</v>
      </c>
      <c r="C946" s="170" t="n"/>
      <c r="D946" s="312" t="n"/>
      <c r="E946" s="312" t="n"/>
      <c r="F946" s="312" t="n"/>
      <c r="G946" s="312" t="n"/>
      <c r="H946" s="312" t="n"/>
      <c r="I946" s="313" t="n"/>
      <c r="J946" s="314" t="n"/>
      <c r="K946" s="170" t="n"/>
      <c r="L946" s="170" t="n"/>
      <c r="M946" s="6" t="n"/>
      <c r="N946" s="6" t="n"/>
      <c r="O946" s="6" t="n"/>
    </row>
    <row r="947">
      <c r="B947" s="170" t="n">
        <v>934</v>
      </c>
      <c r="C947" s="170" t="n"/>
      <c r="D947" s="312" t="n"/>
      <c r="E947" s="312" t="n"/>
      <c r="F947" s="312" t="n"/>
      <c r="G947" s="312" t="n"/>
      <c r="H947" s="312" t="n"/>
      <c r="I947" s="313" t="n"/>
      <c r="J947" s="314" t="n"/>
      <c r="K947" s="170" t="n"/>
      <c r="L947" s="170" t="n"/>
      <c r="M947" s="6" t="n"/>
      <c r="N947" s="6" t="n"/>
      <c r="O947" s="6" t="n"/>
    </row>
    <row r="948">
      <c r="B948" s="170" t="n">
        <v>935</v>
      </c>
      <c r="C948" s="170" t="n"/>
      <c r="D948" s="312" t="n"/>
      <c r="E948" s="312" t="n"/>
      <c r="F948" s="312" t="n"/>
      <c r="G948" s="312" t="n"/>
      <c r="H948" s="312" t="n"/>
      <c r="I948" s="313" t="n"/>
      <c r="J948" s="314" t="n"/>
      <c r="K948" s="170" t="n"/>
      <c r="L948" s="170" t="n"/>
      <c r="M948" s="6" t="n"/>
      <c r="N948" s="6" t="n"/>
      <c r="O948" s="6" t="n"/>
    </row>
    <row r="949">
      <c r="B949" s="170" t="n">
        <v>936</v>
      </c>
      <c r="C949" s="170" t="n"/>
      <c r="D949" s="312" t="n"/>
      <c r="E949" s="312" t="n"/>
      <c r="F949" s="312" t="n"/>
      <c r="G949" s="312" t="n"/>
      <c r="H949" s="312" t="n"/>
      <c r="I949" s="313" t="n"/>
      <c r="J949" s="314" t="n"/>
      <c r="K949" s="170" t="n"/>
      <c r="L949" s="170" t="n"/>
      <c r="M949" s="6" t="n"/>
      <c r="N949" s="6" t="n"/>
      <c r="O949" s="6" t="n"/>
    </row>
    <row r="950">
      <c r="B950" s="170" t="n">
        <v>937</v>
      </c>
      <c r="C950" s="170" t="n"/>
      <c r="D950" s="312" t="n"/>
      <c r="E950" s="312" t="n"/>
      <c r="F950" s="312" t="n"/>
      <c r="G950" s="312" t="n"/>
      <c r="H950" s="312" t="n"/>
      <c r="I950" s="313" t="n"/>
      <c r="J950" s="314" t="n"/>
      <c r="K950" s="170" t="n"/>
      <c r="L950" s="170" t="n"/>
      <c r="M950" s="6" t="n"/>
      <c r="N950" s="6" t="n"/>
      <c r="O950" s="6" t="n"/>
    </row>
    <row r="951">
      <c r="B951" s="170" t="n">
        <v>938</v>
      </c>
      <c r="C951" s="170" t="n"/>
      <c r="D951" s="312" t="n"/>
      <c r="E951" s="312" t="n"/>
      <c r="F951" s="312" t="n"/>
      <c r="G951" s="312" t="n"/>
      <c r="H951" s="312" t="n"/>
      <c r="I951" s="313" t="n"/>
      <c r="J951" s="314" t="n"/>
      <c r="K951" s="170" t="n"/>
      <c r="L951" s="170" t="n"/>
      <c r="M951" s="6" t="n"/>
      <c r="N951" s="6" t="n"/>
      <c r="O951" s="6" t="n"/>
    </row>
    <row r="952">
      <c r="B952" s="170" t="n">
        <v>939</v>
      </c>
      <c r="C952" s="170" t="n"/>
      <c r="D952" s="312" t="n"/>
      <c r="E952" s="312" t="n"/>
      <c r="F952" s="312" t="n"/>
      <c r="G952" s="312" t="n"/>
      <c r="H952" s="312" t="n"/>
      <c r="I952" s="313" t="n"/>
      <c r="J952" s="314" t="n"/>
      <c r="K952" s="170" t="n"/>
      <c r="L952" s="170" t="n"/>
      <c r="M952" s="6" t="n"/>
      <c r="N952" s="6" t="n"/>
      <c r="O952" s="6" t="n"/>
    </row>
    <row r="953">
      <c r="B953" s="170" t="n">
        <v>940</v>
      </c>
      <c r="C953" s="170" t="n"/>
      <c r="D953" s="312" t="n"/>
      <c r="E953" s="312" t="n"/>
      <c r="F953" s="312" t="n"/>
      <c r="G953" s="312" t="n"/>
      <c r="H953" s="312" t="n"/>
      <c r="I953" s="313" t="n"/>
      <c r="J953" s="314" t="n"/>
      <c r="K953" s="170" t="n"/>
      <c r="L953" s="170" t="n"/>
      <c r="M953" s="6" t="n"/>
      <c r="N953" s="6" t="n"/>
      <c r="O953" s="6" t="n"/>
    </row>
    <row r="954">
      <c r="B954" s="170" t="n">
        <v>941</v>
      </c>
      <c r="C954" s="170" t="n"/>
      <c r="D954" s="312" t="n"/>
      <c r="E954" s="312" t="n"/>
      <c r="F954" s="312" t="n"/>
      <c r="G954" s="312" t="n"/>
      <c r="H954" s="312" t="n"/>
      <c r="I954" s="313" t="n"/>
      <c r="J954" s="314" t="n"/>
      <c r="K954" s="170" t="n"/>
      <c r="L954" s="170" t="n"/>
      <c r="M954" s="6" t="n"/>
      <c r="N954" s="6" t="n"/>
      <c r="O954" s="6" t="n"/>
    </row>
    <row r="955">
      <c r="B955" s="170" t="n">
        <v>942</v>
      </c>
      <c r="C955" s="170" t="n"/>
      <c r="D955" s="312" t="n"/>
      <c r="E955" s="312" t="n"/>
      <c r="F955" s="312" t="n"/>
      <c r="G955" s="312" t="n"/>
      <c r="H955" s="312" t="n"/>
      <c r="I955" s="313" t="n"/>
      <c r="J955" s="314" t="n"/>
      <c r="K955" s="170" t="n"/>
      <c r="L955" s="170" t="n"/>
      <c r="M955" s="6" t="n"/>
      <c r="N955" s="6" t="n"/>
      <c r="O955" s="6" t="n"/>
    </row>
    <row r="956">
      <c r="B956" s="170" t="n">
        <v>943</v>
      </c>
      <c r="C956" s="170" t="n"/>
      <c r="D956" s="312" t="n"/>
      <c r="E956" s="312" t="n"/>
      <c r="F956" s="312" t="n"/>
      <c r="G956" s="312" t="n"/>
      <c r="H956" s="312" t="n"/>
      <c r="I956" s="313" t="n"/>
      <c r="J956" s="314" t="n"/>
      <c r="K956" s="170" t="n"/>
      <c r="L956" s="170" t="n"/>
      <c r="M956" s="6" t="n"/>
      <c r="N956" s="6" t="n"/>
      <c r="O956" s="6" t="n"/>
    </row>
    <row r="957">
      <c r="B957" s="170" t="n">
        <v>944</v>
      </c>
      <c r="C957" s="170" t="n"/>
      <c r="D957" s="312" t="n"/>
      <c r="E957" s="312" t="n"/>
      <c r="F957" s="312" t="n"/>
      <c r="G957" s="312" t="n"/>
      <c r="H957" s="312" t="n"/>
      <c r="I957" s="313" t="n"/>
      <c r="J957" s="314" t="n"/>
      <c r="K957" s="170" t="n"/>
      <c r="L957" s="170" t="n"/>
      <c r="M957" s="6" t="n"/>
      <c r="N957" s="6" t="n"/>
      <c r="O957" s="6" t="n"/>
    </row>
    <row r="958">
      <c r="B958" s="170" t="n">
        <v>945</v>
      </c>
      <c r="C958" s="170" t="n"/>
      <c r="D958" s="312" t="n"/>
      <c r="E958" s="312" t="n"/>
      <c r="F958" s="312" t="n"/>
      <c r="G958" s="312" t="n"/>
      <c r="H958" s="312" t="n"/>
      <c r="I958" s="313" t="n"/>
      <c r="J958" s="314" t="n"/>
      <c r="K958" s="170" t="n"/>
      <c r="L958" s="170" t="n"/>
      <c r="M958" s="6" t="n"/>
      <c r="N958" s="6" t="n"/>
      <c r="O958" s="6" t="n"/>
    </row>
    <row r="959">
      <c r="B959" s="170" t="n">
        <v>946</v>
      </c>
      <c r="C959" s="170" t="n"/>
      <c r="D959" s="312" t="n"/>
      <c r="E959" s="312" t="n"/>
      <c r="F959" s="312" t="n"/>
      <c r="G959" s="312" t="n"/>
      <c r="H959" s="312" t="n"/>
      <c r="I959" s="313" t="n"/>
      <c r="J959" s="314" t="n"/>
      <c r="K959" s="170" t="n"/>
      <c r="L959" s="170" t="n"/>
      <c r="M959" s="6" t="n"/>
      <c r="N959" s="6" t="n"/>
      <c r="O959" s="6" t="n"/>
    </row>
    <row r="960">
      <c r="B960" s="170" t="n">
        <v>947</v>
      </c>
      <c r="C960" s="170" t="n"/>
      <c r="D960" s="312" t="n"/>
      <c r="E960" s="312" t="n"/>
      <c r="F960" s="312" t="n"/>
      <c r="G960" s="312" t="n"/>
      <c r="H960" s="312" t="n"/>
      <c r="I960" s="313" t="n"/>
      <c r="J960" s="314" t="n"/>
      <c r="K960" s="170" t="n"/>
      <c r="L960" s="170" t="n"/>
      <c r="M960" s="6" t="n"/>
      <c r="N960" s="6" t="n"/>
      <c r="O960" s="6" t="n"/>
    </row>
    <row r="961">
      <c r="B961" s="170" t="n">
        <v>948</v>
      </c>
      <c r="C961" s="170" t="n"/>
      <c r="D961" s="312" t="n"/>
      <c r="E961" s="312" t="n"/>
      <c r="F961" s="312" t="n"/>
      <c r="G961" s="312" t="n"/>
      <c r="H961" s="312" t="n"/>
      <c r="I961" s="313" t="n"/>
      <c r="J961" s="314" t="n"/>
      <c r="K961" s="170" t="n"/>
      <c r="L961" s="170" t="n"/>
      <c r="M961" s="6" t="n"/>
      <c r="N961" s="6" t="n"/>
      <c r="O961" s="6" t="n"/>
    </row>
    <row r="962">
      <c r="B962" s="170" t="n">
        <v>949</v>
      </c>
      <c r="C962" s="170" t="n"/>
      <c r="D962" s="312" t="n"/>
      <c r="E962" s="312" t="n"/>
      <c r="F962" s="312" t="n"/>
      <c r="G962" s="312" t="n"/>
      <c r="H962" s="312" t="n"/>
      <c r="I962" s="313" t="n"/>
      <c r="J962" s="314" t="n"/>
      <c r="K962" s="170" t="n"/>
      <c r="L962" s="170" t="n"/>
      <c r="M962" s="6" t="n"/>
      <c r="N962" s="6" t="n"/>
      <c r="O962" s="6" t="n"/>
    </row>
    <row r="963">
      <c r="B963" s="170" t="n">
        <v>950</v>
      </c>
      <c r="C963" s="170" t="n"/>
      <c r="D963" s="312" t="n"/>
      <c r="E963" s="312" t="n"/>
      <c r="F963" s="312" t="n"/>
      <c r="G963" s="312" t="n"/>
      <c r="H963" s="312" t="n"/>
      <c r="I963" s="313" t="n"/>
      <c r="J963" s="314" t="n"/>
      <c r="K963" s="170" t="n"/>
      <c r="L963" s="170" t="n"/>
      <c r="M963" s="6" t="n"/>
      <c r="N963" s="6" t="n"/>
      <c r="O963" s="6" t="n"/>
    </row>
    <row r="964">
      <c r="B964" s="170" t="n">
        <v>951</v>
      </c>
      <c r="C964" s="170" t="n"/>
      <c r="D964" s="312" t="n"/>
      <c r="E964" s="312" t="n"/>
      <c r="F964" s="312" t="n"/>
      <c r="G964" s="312" t="n"/>
      <c r="H964" s="312" t="n"/>
      <c r="I964" s="313" t="n"/>
      <c r="J964" s="314" t="n"/>
      <c r="K964" s="170" t="n"/>
      <c r="L964" s="170" t="n"/>
      <c r="M964" s="6" t="n"/>
      <c r="N964" s="6" t="n"/>
      <c r="O964" s="6" t="n"/>
    </row>
    <row r="965">
      <c r="B965" s="170" t="n">
        <v>952</v>
      </c>
      <c r="C965" s="170" t="n"/>
      <c r="D965" s="312" t="n"/>
      <c r="E965" s="312" t="n"/>
      <c r="F965" s="312" t="n"/>
      <c r="G965" s="312" t="n"/>
      <c r="H965" s="312" t="n"/>
      <c r="I965" s="313" t="n"/>
      <c r="J965" s="314" t="n"/>
      <c r="K965" s="170" t="n"/>
      <c r="L965" s="170" t="n"/>
      <c r="M965" s="6" t="n"/>
      <c r="N965" s="6" t="n"/>
      <c r="O965" s="6" t="n"/>
    </row>
    <row r="966">
      <c r="B966" s="170" t="n">
        <v>953</v>
      </c>
      <c r="C966" s="170" t="n"/>
      <c r="D966" s="312" t="n"/>
      <c r="E966" s="312" t="n"/>
      <c r="F966" s="312" t="n"/>
      <c r="G966" s="312" t="n"/>
      <c r="H966" s="312" t="n"/>
      <c r="I966" s="313" t="n"/>
      <c r="J966" s="314" t="n"/>
      <c r="K966" s="170" t="n"/>
      <c r="L966" s="170" t="n"/>
      <c r="M966" s="6" t="n"/>
      <c r="N966" s="6" t="n"/>
      <c r="O966" s="6" t="n"/>
    </row>
    <row r="967">
      <c r="B967" s="170" t="n">
        <v>954</v>
      </c>
      <c r="C967" s="170" t="n"/>
      <c r="D967" s="312" t="n"/>
      <c r="E967" s="312" t="n"/>
      <c r="F967" s="312" t="n"/>
      <c r="G967" s="312" t="n"/>
      <c r="H967" s="312" t="n"/>
      <c r="I967" s="313" t="n"/>
      <c r="J967" s="314" t="n"/>
      <c r="K967" s="170" t="n"/>
      <c r="L967" s="170" t="n"/>
      <c r="M967" s="6" t="n"/>
      <c r="N967" s="6" t="n"/>
      <c r="O967" s="6" t="n"/>
    </row>
    <row r="968">
      <c r="B968" s="170" t="n">
        <v>955</v>
      </c>
      <c r="C968" s="170" t="n"/>
      <c r="D968" s="312" t="n"/>
      <c r="E968" s="312" t="n"/>
      <c r="F968" s="312" t="n"/>
      <c r="G968" s="312" t="n"/>
      <c r="H968" s="312" t="n"/>
      <c r="I968" s="313" t="n"/>
      <c r="J968" s="314" t="n"/>
      <c r="K968" s="170" t="n"/>
      <c r="L968" s="170" t="n"/>
      <c r="M968" s="6" t="n"/>
      <c r="N968" s="6" t="n"/>
      <c r="O968" s="6" t="n"/>
    </row>
    <row r="969">
      <c r="B969" s="170" t="n">
        <v>956</v>
      </c>
      <c r="C969" s="170" t="n"/>
      <c r="D969" s="312" t="n"/>
      <c r="E969" s="312" t="n"/>
      <c r="F969" s="312" t="n"/>
      <c r="G969" s="312" t="n"/>
      <c r="H969" s="312" t="n"/>
      <c r="I969" s="313" t="n"/>
      <c r="J969" s="314" t="n"/>
      <c r="K969" s="170" t="n"/>
      <c r="L969" s="170" t="n"/>
      <c r="M969" s="6" t="n"/>
      <c r="N969" s="6" t="n"/>
      <c r="O969" s="6" t="n"/>
    </row>
    <row r="970">
      <c r="B970" s="170" t="n">
        <v>957</v>
      </c>
      <c r="C970" s="170" t="n"/>
      <c r="D970" s="312" t="n"/>
      <c r="E970" s="312" t="n"/>
      <c r="F970" s="312" t="n"/>
      <c r="G970" s="312" t="n"/>
      <c r="H970" s="312" t="n"/>
      <c r="I970" s="313" t="n"/>
      <c r="J970" s="314" t="n"/>
      <c r="K970" s="170" t="n"/>
      <c r="L970" s="170" t="n"/>
      <c r="M970" s="6" t="n"/>
      <c r="N970" s="6" t="n"/>
      <c r="O970" s="6" t="n"/>
    </row>
    <row r="971">
      <c r="B971" s="170" t="n">
        <v>958</v>
      </c>
      <c r="C971" s="170" t="n"/>
      <c r="D971" s="312" t="n"/>
      <c r="E971" s="312" t="n"/>
      <c r="F971" s="312" t="n"/>
      <c r="G971" s="312" t="n"/>
      <c r="H971" s="312" t="n"/>
      <c r="I971" s="313" t="n"/>
      <c r="J971" s="314" t="n"/>
      <c r="K971" s="170" t="n"/>
      <c r="L971" s="170" t="n"/>
      <c r="M971" s="6" t="n"/>
      <c r="N971" s="6" t="n"/>
      <c r="O971" s="6" t="n"/>
    </row>
    <row r="972">
      <c r="B972" s="170" t="n">
        <v>959</v>
      </c>
      <c r="C972" s="170" t="n"/>
      <c r="D972" s="312" t="n"/>
      <c r="E972" s="312" t="n"/>
      <c r="F972" s="312" t="n"/>
      <c r="G972" s="312" t="n"/>
      <c r="H972" s="312" t="n"/>
      <c r="I972" s="313" t="n"/>
      <c r="J972" s="314" t="n"/>
      <c r="K972" s="170" t="n"/>
      <c r="L972" s="170" t="n"/>
      <c r="M972" s="6" t="n"/>
      <c r="N972" s="6" t="n"/>
      <c r="O972" s="6" t="n"/>
    </row>
    <row r="973">
      <c r="B973" s="170" t="n">
        <v>960</v>
      </c>
      <c r="C973" s="170" t="n"/>
      <c r="D973" s="312" t="n"/>
      <c r="E973" s="312" t="n"/>
      <c r="F973" s="312" t="n"/>
      <c r="G973" s="312" t="n"/>
      <c r="H973" s="312" t="n"/>
      <c r="I973" s="313" t="n"/>
      <c r="J973" s="314" t="n"/>
      <c r="K973" s="170" t="n"/>
      <c r="L973" s="170" t="n"/>
      <c r="M973" s="6" t="n"/>
      <c r="N973" s="6" t="n"/>
      <c r="O973" s="6" t="n"/>
    </row>
    <row r="974">
      <c r="B974" s="170" t="n">
        <v>961</v>
      </c>
      <c r="C974" s="170" t="n"/>
      <c r="D974" s="312" t="n"/>
      <c r="E974" s="312" t="n"/>
      <c r="F974" s="312" t="n"/>
      <c r="G974" s="312" t="n"/>
      <c r="H974" s="312" t="n"/>
      <c r="I974" s="313" t="n"/>
      <c r="J974" s="314" t="n"/>
      <c r="K974" s="170" t="n"/>
      <c r="L974" s="170" t="n"/>
      <c r="M974" s="6" t="n"/>
      <c r="N974" s="6" t="n"/>
      <c r="O974" s="6" t="n"/>
    </row>
    <row r="975">
      <c r="B975" s="170" t="n">
        <v>962</v>
      </c>
      <c r="C975" s="170" t="n"/>
      <c r="D975" s="312" t="n"/>
      <c r="E975" s="312" t="n"/>
      <c r="F975" s="312" t="n"/>
      <c r="G975" s="312" t="n"/>
      <c r="H975" s="312" t="n"/>
      <c r="I975" s="313" t="n"/>
      <c r="J975" s="314" t="n"/>
      <c r="K975" s="170" t="n"/>
      <c r="L975" s="170" t="n"/>
      <c r="M975" s="6" t="n"/>
      <c r="N975" s="6" t="n"/>
      <c r="O975" s="6" t="n"/>
    </row>
    <row r="976">
      <c r="B976" s="170" t="n">
        <v>963</v>
      </c>
      <c r="C976" s="170" t="n"/>
      <c r="D976" s="312" t="n"/>
      <c r="E976" s="312" t="n"/>
      <c r="F976" s="312" t="n"/>
      <c r="G976" s="312" t="n"/>
      <c r="H976" s="312" t="n"/>
      <c r="I976" s="313" t="n"/>
      <c r="J976" s="314" t="n"/>
      <c r="K976" s="170" t="n"/>
      <c r="L976" s="170" t="n"/>
      <c r="M976" s="6" t="n"/>
      <c r="N976" s="6" t="n"/>
      <c r="O976" s="6" t="n"/>
    </row>
    <row r="977">
      <c r="B977" s="170" t="n">
        <v>964</v>
      </c>
      <c r="C977" s="170" t="n"/>
      <c r="D977" s="312" t="n"/>
      <c r="E977" s="312" t="n"/>
      <c r="F977" s="312" t="n"/>
      <c r="G977" s="312" t="n"/>
      <c r="H977" s="312" t="n"/>
      <c r="I977" s="313" t="n"/>
      <c r="J977" s="314" t="n"/>
      <c r="K977" s="170" t="n"/>
      <c r="L977" s="170" t="n"/>
      <c r="M977" s="6" t="n"/>
      <c r="N977" s="6" t="n"/>
      <c r="O977" s="6" t="n"/>
    </row>
    <row r="978">
      <c r="B978" s="170" t="n">
        <v>965</v>
      </c>
      <c r="C978" s="170" t="n"/>
      <c r="D978" s="312" t="n"/>
      <c r="E978" s="312" t="n"/>
      <c r="F978" s="312" t="n"/>
      <c r="G978" s="312" t="n"/>
      <c r="H978" s="312" t="n"/>
      <c r="I978" s="313" t="n"/>
      <c r="J978" s="314" t="n"/>
      <c r="K978" s="170" t="n"/>
      <c r="L978" s="170" t="n"/>
      <c r="M978" s="6" t="n"/>
      <c r="N978" s="6" t="n"/>
      <c r="O978" s="6" t="n"/>
    </row>
    <row r="979">
      <c r="B979" s="170" t="n">
        <v>966</v>
      </c>
      <c r="C979" s="170" t="n"/>
      <c r="D979" s="312" t="n"/>
      <c r="E979" s="312" t="n"/>
      <c r="F979" s="312" t="n"/>
      <c r="G979" s="312" t="n"/>
      <c r="H979" s="312" t="n"/>
      <c r="I979" s="313" t="n"/>
      <c r="J979" s="314" t="n"/>
      <c r="K979" s="170" t="n"/>
      <c r="L979" s="170" t="n"/>
      <c r="M979" s="6" t="n"/>
      <c r="N979" s="6" t="n"/>
      <c r="O979" s="6" t="n"/>
    </row>
    <row r="980">
      <c r="B980" s="170" t="n">
        <v>967</v>
      </c>
      <c r="C980" s="170" t="n"/>
      <c r="D980" s="312" t="n"/>
      <c r="E980" s="312" t="n"/>
      <c r="F980" s="312" t="n"/>
      <c r="G980" s="312" t="n"/>
      <c r="H980" s="312" t="n"/>
      <c r="I980" s="313" t="n"/>
      <c r="J980" s="314" t="n"/>
      <c r="K980" s="170" t="n"/>
      <c r="L980" s="170" t="n"/>
      <c r="M980" s="6" t="n"/>
      <c r="N980" s="6" t="n"/>
      <c r="O980" s="6" t="n"/>
    </row>
    <row r="981">
      <c r="B981" s="170" t="n">
        <v>968</v>
      </c>
      <c r="C981" s="170" t="n"/>
      <c r="D981" s="312" t="n"/>
      <c r="E981" s="312" t="n"/>
      <c r="F981" s="312" t="n"/>
      <c r="G981" s="312" t="n"/>
      <c r="H981" s="312" t="n"/>
      <c r="I981" s="313" t="n"/>
      <c r="J981" s="314" t="n"/>
      <c r="K981" s="170" t="n"/>
      <c r="L981" s="170" t="n"/>
      <c r="M981" s="6" t="n"/>
      <c r="N981" s="6" t="n"/>
      <c r="O981" s="6" t="n"/>
    </row>
    <row r="982">
      <c r="B982" s="170" t="n">
        <v>969</v>
      </c>
      <c r="C982" s="170" t="n"/>
      <c r="D982" s="312" t="n"/>
      <c r="E982" s="312" t="n"/>
      <c r="F982" s="312" t="n"/>
      <c r="G982" s="312" t="n"/>
      <c r="H982" s="312" t="n"/>
      <c r="I982" s="313" t="n"/>
      <c r="J982" s="314" t="n"/>
      <c r="K982" s="170" t="n"/>
      <c r="L982" s="170" t="n"/>
      <c r="M982" s="6" t="n"/>
      <c r="N982" s="6" t="n"/>
      <c r="O982" s="6" t="n"/>
    </row>
    <row r="983">
      <c r="B983" s="170" t="n">
        <v>970</v>
      </c>
      <c r="C983" s="170" t="n"/>
      <c r="D983" s="312" t="n"/>
      <c r="E983" s="312" t="n"/>
      <c r="F983" s="312" t="n"/>
      <c r="G983" s="312" t="n"/>
      <c r="H983" s="312" t="n"/>
      <c r="I983" s="313" t="n"/>
      <c r="J983" s="314" t="n"/>
      <c r="K983" s="170" t="n"/>
      <c r="L983" s="170" t="n"/>
      <c r="M983" s="6" t="n"/>
      <c r="N983" s="6" t="n"/>
      <c r="O983" s="6" t="n"/>
    </row>
    <row r="984">
      <c r="B984" s="170" t="n">
        <v>971</v>
      </c>
      <c r="C984" s="170" t="n"/>
      <c r="D984" s="312" t="n"/>
      <c r="E984" s="312" t="n"/>
      <c r="F984" s="312" t="n"/>
      <c r="G984" s="312" t="n"/>
      <c r="H984" s="312" t="n"/>
      <c r="I984" s="313" t="n"/>
      <c r="J984" s="314" t="n"/>
      <c r="K984" s="170" t="n"/>
      <c r="L984" s="170" t="n"/>
      <c r="M984" s="6" t="n"/>
      <c r="N984" s="6" t="n"/>
      <c r="O984" s="6" t="n"/>
    </row>
    <row r="985">
      <c r="B985" s="170" t="n">
        <v>972</v>
      </c>
      <c r="C985" s="170" t="n"/>
      <c r="D985" s="312" t="n"/>
      <c r="E985" s="312" t="n"/>
      <c r="F985" s="312" t="n"/>
      <c r="G985" s="312" t="n"/>
      <c r="H985" s="312" t="n"/>
      <c r="I985" s="313" t="n"/>
      <c r="J985" s="314" t="n"/>
      <c r="K985" s="170" t="n"/>
      <c r="L985" s="170" t="n"/>
      <c r="M985" s="6" t="n"/>
      <c r="N985" s="6" t="n"/>
      <c r="O985" s="6" t="n"/>
    </row>
    <row r="986">
      <c r="B986" s="170" t="n">
        <v>973</v>
      </c>
      <c r="C986" s="170" t="n"/>
      <c r="D986" s="312" t="n"/>
      <c r="E986" s="312" t="n"/>
      <c r="F986" s="312" t="n"/>
      <c r="G986" s="312" t="n"/>
      <c r="H986" s="312" t="n"/>
      <c r="I986" s="313" t="n"/>
      <c r="J986" s="314" t="n"/>
      <c r="K986" s="170" t="n"/>
      <c r="L986" s="170" t="n"/>
      <c r="M986" s="6" t="n"/>
      <c r="N986" s="6" t="n"/>
      <c r="O986" s="6" t="n"/>
    </row>
    <row r="987">
      <c r="B987" s="170" t="n">
        <v>974</v>
      </c>
      <c r="C987" s="170" t="n"/>
      <c r="D987" s="312" t="n"/>
      <c r="E987" s="312" t="n"/>
      <c r="F987" s="312" t="n"/>
      <c r="G987" s="312" t="n"/>
      <c r="H987" s="312" t="n"/>
      <c r="I987" s="313" t="n"/>
      <c r="J987" s="314" t="n"/>
      <c r="K987" s="170" t="n"/>
      <c r="L987" s="170" t="n"/>
      <c r="M987" s="6" t="n"/>
      <c r="N987" s="6" t="n"/>
      <c r="O987" s="6" t="n"/>
    </row>
    <row r="988">
      <c r="B988" s="170" t="n">
        <v>975</v>
      </c>
      <c r="C988" s="170" t="n"/>
      <c r="D988" s="312" t="n"/>
      <c r="E988" s="312" t="n"/>
      <c r="F988" s="312" t="n"/>
      <c r="G988" s="312" t="n"/>
      <c r="H988" s="312" t="n"/>
      <c r="I988" s="313" t="n"/>
      <c r="J988" s="314" t="n"/>
      <c r="K988" s="170" t="n"/>
      <c r="L988" s="170" t="n"/>
      <c r="M988" s="6" t="n"/>
      <c r="N988" s="6" t="n"/>
      <c r="O988" s="6" t="n"/>
    </row>
    <row r="989">
      <c r="B989" s="170" t="n">
        <v>976</v>
      </c>
      <c r="C989" s="170" t="n"/>
      <c r="D989" s="312" t="n"/>
      <c r="E989" s="312" t="n"/>
      <c r="F989" s="312" t="n"/>
      <c r="G989" s="312" t="n"/>
      <c r="H989" s="312" t="n"/>
      <c r="I989" s="313" t="n"/>
      <c r="J989" s="314" t="n"/>
      <c r="K989" s="170" t="n"/>
      <c r="L989" s="170" t="n"/>
      <c r="M989" s="6" t="n"/>
      <c r="N989" s="6" t="n"/>
      <c r="O989" s="6" t="n"/>
    </row>
    <row r="990">
      <c r="B990" s="170" t="n">
        <v>977</v>
      </c>
      <c r="C990" s="170" t="n"/>
      <c r="D990" s="312" t="n"/>
      <c r="E990" s="312" t="n"/>
      <c r="F990" s="312" t="n"/>
      <c r="G990" s="312" t="n"/>
      <c r="H990" s="312" t="n"/>
      <c r="I990" s="313" t="n"/>
      <c r="J990" s="314" t="n"/>
      <c r="K990" s="170" t="n"/>
      <c r="L990" s="170" t="n"/>
      <c r="M990" s="6" t="n"/>
      <c r="N990" s="6" t="n"/>
      <c r="O990" s="6" t="n"/>
    </row>
    <row r="991">
      <c r="B991" s="170" t="n">
        <v>978</v>
      </c>
      <c r="C991" s="170" t="n"/>
      <c r="D991" s="312" t="n"/>
      <c r="E991" s="312" t="n"/>
      <c r="F991" s="312" t="n"/>
      <c r="G991" s="312" t="n"/>
      <c r="H991" s="312" t="n"/>
      <c r="I991" s="313" t="n"/>
      <c r="J991" s="314" t="n"/>
      <c r="K991" s="170" t="n"/>
      <c r="L991" s="170" t="n"/>
      <c r="M991" s="6" t="n"/>
      <c r="N991" s="6" t="n"/>
      <c r="O991" s="6" t="n"/>
    </row>
    <row r="992">
      <c r="B992" s="170" t="n">
        <v>979</v>
      </c>
      <c r="C992" s="170" t="n"/>
      <c r="D992" s="312" t="n"/>
      <c r="E992" s="312" t="n"/>
      <c r="F992" s="312" t="n"/>
      <c r="G992" s="312" t="n"/>
      <c r="H992" s="312" t="n"/>
      <c r="I992" s="313" t="n"/>
      <c r="J992" s="314" t="n"/>
      <c r="K992" s="170" t="n"/>
      <c r="L992" s="170" t="n"/>
      <c r="M992" s="6" t="n"/>
      <c r="N992" s="6" t="n"/>
      <c r="O992" s="6" t="n"/>
    </row>
    <row r="993">
      <c r="B993" s="170" t="n">
        <v>980</v>
      </c>
      <c r="C993" s="170" t="n"/>
      <c r="D993" s="312" t="n"/>
      <c r="E993" s="312" t="n"/>
      <c r="F993" s="312" t="n"/>
      <c r="G993" s="312" t="n"/>
      <c r="H993" s="312" t="n"/>
      <c r="I993" s="313" t="n"/>
      <c r="J993" s="314" t="n"/>
      <c r="K993" s="170" t="n"/>
      <c r="L993" s="170" t="n"/>
      <c r="M993" s="6" t="n"/>
      <c r="N993" s="6" t="n"/>
      <c r="O993" s="6" t="n"/>
    </row>
    <row r="994">
      <c r="B994" s="170" t="n">
        <v>981</v>
      </c>
      <c r="C994" s="170" t="n"/>
      <c r="D994" s="312" t="n"/>
      <c r="E994" s="312" t="n"/>
      <c r="F994" s="312" t="n"/>
      <c r="G994" s="312" t="n"/>
      <c r="H994" s="312" t="n"/>
      <c r="I994" s="313" t="n"/>
      <c r="J994" s="314" t="n"/>
      <c r="K994" s="170" t="n"/>
      <c r="L994" s="170" t="n"/>
      <c r="M994" s="6" t="n"/>
      <c r="N994" s="6" t="n"/>
      <c r="O994" s="6" t="n"/>
    </row>
    <row r="995">
      <c r="B995" s="170" t="n">
        <v>982</v>
      </c>
      <c r="C995" s="170" t="n"/>
      <c r="D995" s="312" t="n"/>
      <c r="E995" s="312" t="n"/>
      <c r="F995" s="312" t="n"/>
      <c r="G995" s="312" t="n"/>
      <c r="H995" s="312" t="n"/>
      <c r="I995" s="313" t="n"/>
      <c r="J995" s="314" t="n"/>
      <c r="K995" s="170" t="n"/>
      <c r="L995" s="170" t="n"/>
      <c r="M995" s="6" t="n"/>
      <c r="N995" s="6" t="n"/>
      <c r="O995" s="6" t="n"/>
    </row>
    <row r="996">
      <c r="B996" s="170" t="n">
        <v>983</v>
      </c>
      <c r="C996" s="170" t="n"/>
      <c r="D996" s="312" t="n"/>
      <c r="E996" s="312" t="n"/>
      <c r="F996" s="312" t="n"/>
      <c r="G996" s="312" t="n"/>
      <c r="H996" s="312" t="n"/>
      <c r="I996" s="313" t="n"/>
      <c r="J996" s="314" t="n"/>
      <c r="K996" s="170" t="n"/>
      <c r="L996" s="170" t="n"/>
      <c r="M996" s="6" t="n"/>
      <c r="N996" s="6" t="n"/>
      <c r="O996" s="6" t="n"/>
    </row>
    <row r="997">
      <c r="B997" s="170" t="n">
        <v>984</v>
      </c>
      <c r="C997" s="170" t="n"/>
      <c r="D997" s="312" t="n"/>
      <c r="E997" s="312" t="n"/>
      <c r="F997" s="312" t="n"/>
      <c r="G997" s="312" t="n"/>
      <c r="H997" s="312" t="n"/>
      <c r="I997" s="313" t="n"/>
      <c r="J997" s="314" t="n"/>
      <c r="K997" s="170" t="n"/>
      <c r="L997" s="170" t="n"/>
      <c r="M997" s="6" t="n"/>
      <c r="N997" s="6" t="n"/>
      <c r="O997" s="6" t="n"/>
    </row>
    <row r="998">
      <c r="B998" s="170" t="n">
        <v>985</v>
      </c>
      <c r="C998" s="170" t="n"/>
      <c r="D998" s="312" t="n"/>
      <c r="E998" s="312" t="n"/>
      <c r="F998" s="312" t="n"/>
      <c r="G998" s="312" t="n"/>
      <c r="H998" s="312" t="n"/>
      <c r="I998" s="313" t="n"/>
      <c r="J998" s="314" t="n"/>
      <c r="K998" s="170" t="n"/>
      <c r="L998" s="170" t="n"/>
      <c r="M998" s="6" t="n"/>
      <c r="N998" s="6" t="n"/>
      <c r="O998" s="6" t="n"/>
    </row>
    <row r="999">
      <c r="B999" s="170" t="n">
        <v>986</v>
      </c>
      <c r="C999" s="170" t="n"/>
      <c r="D999" s="312" t="n"/>
      <c r="E999" s="312" t="n"/>
      <c r="F999" s="312" t="n"/>
      <c r="G999" s="312" t="n"/>
      <c r="H999" s="312" t="n"/>
      <c r="I999" s="313" t="n"/>
      <c r="J999" s="314" t="n"/>
      <c r="K999" s="170" t="n"/>
      <c r="L999" s="170" t="n"/>
      <c r="M999" s="6" t="n"/>
      <c r="N999" s="6" t="n"/>
      <c r="O999" s="6" t="n"/>
    </row>
    <row r="1000">
      <c r="B1000" s="170" t="n">
        <v>987</v>
      </c>
      <c r="C1000" s="170" t="n"/>
      <c r="D1000" s="312" t="n"/>
      <c r="E1000" s="312" t="n"/>
      <c r="F1000" s="312" t="n"/>
      <c r="G1000" s="312" t="n"/>
      <c r="H1000" s="312" t="n"/>
      <c r="I1000" s="313" t="n"/>
      <c r="J1000" s="314" t="n"/>
      <c r="K1000" s="170" t="n"/>
      <c r="L1000" s="170" t="n"/>
      <c r="M1000" s="6" t="n"/>
      <c r="N1000" s="6" t="n"/>
      <c r="O1000" s="6" t="n"/>
    </row>
    <row r="1001">
      <c r="B1001" s="170" t="n">
        <v>988</v>
      </c>
      <c r="C1001" s="170" t="n"/>
      <c r="D1001" s="312" t="n"/>
      <c r="E1001" s="312" t="n"/>
      <c r="F1001" s="312" t="n"/>
      <c r="G1001" s="312" t="n"/>
      <c r="H1001" s="312" t="n"/>
      <c r="I1001" s="313" t="n"/>
      <c r="J1001" s="314" t="n"/>
      <c r="K1001" s="170" t="n"/>
      <c r="L1001" s="170" t="n"/>
      <c r="M1001" s="6" t="n"/>
      <c r="N1001" s="6" t="n"/>
      <c r="O1001" s="6" t="n"/>
    </row>
    <row r="1002">
      <c r="B1002" s="170" t="n">
        <v>989</v>
      </c>
      <c r="C1002" s="170" t="n"/>
      <c r="D1002" s="312" t="n"/>
      <c r="E1002" s="312" t="n"/>
      <c r="F1002" s="312" t="n"/>
      <c r="G1002" s="312" t="n"/>
      <c r="H1002" s="312" t="n"/>
      <c r="I1002" s="313" t="n"/>
      <c r="J1002" s="314" t="n"/>
      <c r="K1002" s="170" t="n"/>
      <c r="L1002" s="170" t="n"/>
      <c r="M1002" s="6" t="n"/>
      <c r="N1002" s="6" t="n"/>
      <c r="O1002" s="6" t="n"/>
    </row>
    <row r="1003">
      <c r="B1003" s="170" t="n">
        <v>990</v>
      </c>
      <c r="C1003" s="170" t="n"/>
      <c r="D1003" s="312" t="n"/>
      <c r="E1003" s="312" t="n"/>
      <c r="F1003" s="312" t="n"/>
      <c r="G1003" s="312" t="n"/>
      <c r="H1003" s="312" t="n"/>
      <c r="I1003" s="313" t="n"/>
      <c r="J1003" s="314" t="n"/>
      <c r="K1003" s="170" t="n"/>
      <c r="L1003" s="170" t="n"/>
      <c r="M1003" s="6" t="n"/>
      <c r="N1003" s="6" t="n"/>
      <c r="O1003" s="6" t="n"/>
    </row>
    <row r="1004">
      <c r="B1004" s="170" t="n">
        <v>991</v>
      </c>
      <c r="C1004" s="170" t="n"/>
      <c r="D1004" s="312" t="n"/>
      <c r="E1004" s="312" t="n"/>
      <c r="F1004" s="312" t="n"/>
      <c r="G1004" s="312" t="n"/>
      <c r="H1004" s="312" t="n"/>
      <c r="I1004" s="313" t="n"/>
      <c r="J1004" s="314" t="n"/>
      <c r="K1004" s="170" t="n"/>
      <c r="L1004" s="170" t="n"/>
      <c r="M1004" s="6" t="n"/>
      <c r="N1004" s="6" t="n"/>
      <c r="O1004" s="6" t="n"/>
    </row>
    <row r="1005">
      <c r="B1005" s="170" t="n">
        <v>992</v>
      </c>
      <c r="C1005" s="170" t="n"/>
      <c r="D1005" s="312" t="n"/>
      <c r="E1005" s="312" t="n"/>
      <c r="F1005" s="312" t="n"/>
      <c r="G1005" s="312" t="n"/>
      <c r="H1005" s="312" t="n"/>
      <c r="I1005" s="313" t="n"/>
      <c r="J1005" s="314" t="n"/>
      <c r="K1005" s="170" t="n"/>
      <c r="L1005" s="170" t="n"/>
      <c r="M1005" s="6" t="n"/>
      <c r="N1005" s="6" t="n"/>
      <c r="O1005" s="6" t="n"/>
    </row>
    <row r="1006">
      <c r="B1006" s="170" t="n">
        <v>993</v>
      </c>
      <c r="C1006" s="170" t="n"/>
      <c r="D1006" s="312" t="n"/>
      <c r="E1006" s="312" t="n"/>
      <c r="F1006" s="312" t="n"/>
      <c r="G1006" s="312" t="n"/>
      <c r="H1006" s="312" t="n"/>
      <c r="I1006" s="313" t="n"/>
      <c r="J1006" s="314" t="n"/>
      <c r="K1006" s="170" t="n"/>
      <c r="L1006" s="170" t="n"/>
      <c r="M1006" s="6" t="n"/>
      <c r="N1006" s="6" t="n"/>
      <c r="O1006" s="6" t="n"/>
    </row>
    <row r="1007">
      <c r="B1007" s="170" t="n">
        <v>994</v>
      </c>
      <c r="C1007" s="170" t="n"/>
      <c r="D1007" s="312" t="n"/>
      <c r="E1007" s="312" t="n"/>
      <c r="F1007" s="312" t="n"/>
      <c r="G1007" s="312" t="n"/>
      <c r="H1007" s="312" t="n"/>
      <c r="I1007" s="313" t="n"/>
      <c r="J1007" s="314" t="n"/>
      <c r="K1007" s="170" t="n"/>
      <c r="L1007" s="170" t="n"/>
      <c r="M1007" s="6" t="n"/>
      <c r="N1007" s="6" t="n"/>
      <c r="O1007" s="6" t="n"/>
    </row>
    <row r="1008">
      <c r="B1008" s="170" t="n">
        <v>995</v>
      </c>
      <c r="C1008" s="170" t="n"/>
      <c r="D1008" s="312" t="n"/>
      <c r="E1008" s="312" t="n"/>
      <c r="F1008" s="312" t="n"/>
      <c r="G1008" s="312" t="n"/>
      <c r="H1008" s="312" t="n"/>
      <c r="I1008" s="313" t="n"/>
      <c r="J1008" s="314" t="n"/>
      <c r="K1008" s="170" t="n"/>
      <c r="L1008" s="170" t="n"/>
      <c r="M1008" s="6" t="n"/>
      <c r="N1008" s="6" t="n"/>
      <c r="O1008" s="6" t="n"/>
    </row>
    <row r="1009">
      <c r="B1009" s="170" t="n">
        <v>996</v>
      </c>
      <c r="C1009" s="170" t="n"/>
      <c r="D1009" s="312" t="n"/>
      <c r="E1009" s="312" t="n"/>
      <c r="F1009" s="312" t="n"/>
      <c r="G1009" s="312" t="n"/>
      <c r="H1009" s="312" t="n"/>
      <c r="I1009" s="313" t="n"/>
      <c r="J1009" s="314" t="n"/>
      <c r="K1009" s="170" t="n"/>
      <c r="L1009" s="170" t="n"/>
      <c r="M1009" s="6" t="n"/>
      <c r="N1009" s="6" t="n"/>
      <c r="O1009" s="6" t="n"/>
    </row>
    <row r="1010">
      <c r="B1010" s="170" t="n">
        <v>997</v>
      </c>
      <c r="C1010" s="170" t="n"/>
      <c r="D1010" s="312" t="n"/>
      <c r="E1010" s="312" t="n"/>
      <c r="F1010" s="312" t="n"/>
      <c r="G1010" s="312" t="n"/>
      <c r="H1010" s="312" t="n"/>
      <c r="I1010" s="313" t="n"/>
      <c r="J1010" s="314" t="n"/>
      <c r="K1010" s="170" t="n"/>
      <c r="L1010" s="170" t="n"/>
      <c r="M1010" s="6" t="n"/>
      <c r="N1010" s="6" t="n"/>
      <c r="O1010" s="6" t="n"/>
    </row>
    <row r="1011">
      <c r="B1011" s="170" t="n">
        <v>998</v>
      </c>
      <c r="C1011" s="170" t="n"/>
      <c r="D1011" s="312" t="n"/>
      <c r="E1011" s="312" t="n"/>
      <c r="F1011" s="312" t="n"/>
      <c r="G1011" s="312" t="n"/>
      <c r="H1011" s="312" t="n"/>
      <c r="I1011" s="313" t="n"/>
      <c r="J1011" s="314" t="n"/>
      <c r="K1011" s="170" t="n"/>
      <c r="L1011" s="170" t="n"/>
      <c r="M1011" s="6" t="n"/>
      <c r="N1011" s="6" t="n"/>
      <c r="O1011" s="6" t="n"/>
    </row>
    <row r="1012">
      <c r="B1012" s="171" t="n"/>
      <c r="C1012" s="171" t="n"/>
      <c r="J1012" s="171" t="n"/>
      <c r="K1012" s="171" t="n"/>
      <c r="L1012" s="171" t="n"/>
    </row>
  </sheetData>
  <mergeCells count="1012">
    <mergeCell ref="C852:I852"/>
    <mergeCell ref="C262:I262"/>
    <mergeCell ref="C700:I700"/>
    <mergeCell ref="C529:I529"/>
    <mergeCell ref="C827:I827"/>
    <mergeCell ref="C802:I802"/>
    <mergeCell ref="C765:I765"/>
    <mergeCell ref="C998:I998"/>
    <mergeCell ref="C237:I237"/>
    <mergeCell ref="C547:I547"/>
    <mergeCell ref="C53:I53"/>
    <mergeCell ref="C28:I28"/>
    <mergeCell ref="B23:B24"/>
    <mergeCell ref="C351:I351"/>
    <mergeCell ref="B12:L12"/>
    <mergeCell ref="C326:I326"/>
    <mergeCell ref="C593:I593"/>
    <mergeCell ref="C783:I783"/>
    <mergeCell ref="C829:I829"/>
    <mergeCell ref="C1000:I1000"/>
    <mergeCell ref="C239:I239"/>
    <mergeCell ref="C310:I310"/>
    <mergeCell ref="C847:I847"/>
    <mergeCell ref="C92:I92"/>
    <mergeCell ref="C608:I608"/>
    <mergeCell ref="C30:I30"/>
    <mergeCell ref="C524:I524"/>
    <mergeCell ref="C695:I695"/>
    <mergeCell ref="C595:I595"/>
    <mergeCell ref="C766:I766"/>
    <mergeCell ref="C893:I893"/>
    <mergeCell ref="C97:I97"/>
    <mergeCell ref="C290:I290"/>
    <mergeCell ref="C384:I384"/>
    <mergeCell ref="C624:I624"/>
    <mergeCell ref="C918:I918"/>
    <mergeCell ref="C321:I321"/>
    <mergeCell ref="C255:I255"/>
    <mergeCell ref="C242:I242"/>
    <mergeCell ref="C413:I413"/>
    <mergeCell ref="C684:I684"/>
    <mergeCell ref="C982:I982"/>
    <mergeCell ref="C478:I478"/>
    <mergeCell ref="C842:I842"/>
    <mergeCell ref="C776:I776"/>
    <mergeCell ref="C21:I21"/>
    <mergeCell ref="C192:I192"/>
    <mergeCell ref="C252:I252"/>
    <mergeCell ref="C969:I969"/>
    <mergeCell ref="C379:I379"/>
    <mergeCell ref="C550:I550"/>
    <mergeCell ref="C621:I621"/>
    <mergeCell ref="C615:I615"/>
    <mergeCell ref="C415:I415"/>
    <mergeCell ref="C244:I244"/>
    <mergeCell ref="C857:I857"/>
    <mergeCell ref="C664:I664"/>
    <mergeCell ref="C713:I713"/>
    <mergeCell ref="C542:I542"/>
    <mergeCell ref="C840:I840"/>
    <mergeCell ref="C123:I123"/>
    <mergeCell ref="J10:J11"/>
    <mergeCell ref="C23:I23"/>
    <mergeCell ref="C194:I194"/>
    <mergeCell ref="C316:I316"/>
    <mergeCell ref="C492:I492"/>
    <mergeCell ref="C110:I110"/>
    <mergeCell ref="C552:I552"/>
    <mergeCell ref="C181:I181"/>
    <mergeCell ref="C408:I408"/>
    <mergeCell ref="C623:I623"/>
    <mergeCell ref="C479:I479"/>
    <mergeCell ref="C650:I650"/>
    <mergeCell ref="C679:I679"/>
    <mergeCell ref="C473:I473"/>
    <mergeCell ref="C606:I606"/>
    <mergeCell ref="C544:I544"/>
    <mergeCell ref="C715:I715"/>
    <mergeCell ref="C777:I777"/>
    <mergeCell ref="C850:I850"/>
    <mergeCell ref="C908:I908"/>
    <mergeCell ref="C921:I921"/>
    <mergeCell ref="C423:I423"/>
    <mergeCell ref="C10:I11"/>
    <mergeCell ref="C174:I174"/>
    <mergeCell ref="C616:I616"/>
    <mergeCell ref="C410:I410"/>
    <mergeCell ref="C481:I481"/>
    <mergeCell ref="C779:I779"/>
    <mergeCell ref="C950:I950"/>
    <mergeCell ref="C18:I18"/>
    <mergeCell ref="C456:I456"/>
    <mergeCell ref="C189:I189"/>
    <mergeCell ref="C34:I34"/>
    <mergeCell ref="C397:I397"/>
    <mergeCell ref="C568:I568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29:I29"/>
    <mergeCell ref="C855:I855"/>
    <mergeCell ref="C100:I100"/>
    <mergeCell ref="C205:I205"/>
    <mergeCell ref="C94:I94"/>
    <mergeCell ref="C65:I65"/>
    <mergeCell ref="C265:I265"/>
    <mergeCell ref="C336:I336"/>
    <mergeCell ref="C563:I563"/>
    <mergeCell ref="C634:I634"/>
    <mergeCell ref="C830:I830"/>
    <mergeCell ref="C901:I901"/>
    <mergeCell ref="C44:I44"/>
    <mergeCell ref="C311:I311"/>
    <mergeCell ref="C428:I428"/>
    <mergeCell ref="C167:I167"/>
    <mergeCell ref="C142:I142"/>
    <mergeCell ref="C609:I609"/>
    <mergeCell ref="C80:I80"/>
    <mergeCell ref="C403:I403"/>
    <mergeCell ref="C129:I129"/>
    <mergeCell ref="C645:I645"/>
    <mergeCell ref="C701:I701"/>
    <mergeCell ref="C365:I365"/>
    <mergeCell ref="C832:I832"/>
    <mergeCell ref="C1003:I1003"/>
    <mergeCell ref="C924:I924"/>
    <mergeCell ref="C169:I169"/>
    <mergeCell ref="C611:I611"/>
    <mergeCell ref="C467:I467"/>
    <mergeCell ref="C598:I598"/>
    <mergeCell ref="C703:I703"/>
    <mergeCell ref="C896:I896"/>
    <mergeCell ref="C665:I665"/>
    <mergeCell ref="C233:I233"/>
    <mergeCell ref="C469:I469"/>
    <mergeCell ref="C640:I640"/>
    <mergeCell ref="C710:I710"/>
    <mergeCell ref="C848:I848"/>
    <mergeCell ref="C131:I131"/>
    <mergeCell ref="C258:I258"/>
    <mergeCell ref="C500:I500"/>
    <mergeCell ref="C556:I556"/>
    <mergeCell ref="C494:I494"/>
    <mergeCell ref="C245:I245"/>
    <mergeCell ref="C49:I49"/>
    <mergeCell ref="C858:I858"/>
    <mergeCell ref="C543:I543"/>
    <mergeCell ref="C714:I714"/>
    <mergeCell ref="C614:I614"/>
    <mergeCell ref="C785:I785"/>
    <mergeCell ref="C24:I24"/>
    <mergeCell ref="C195:I195"/>
    <mergeCell ref="C266:I266"/>
    <mergeCell ref="C322:I322"/>
    <mergeCell ref="C493:I493"/>
    <mergeCell ref="C260:I260"/>
    <mergeCell ref="C431:I431"/>
    <mergeCell ref="C116:I116"/>
    <mergeCell ref="C558:I558"/>
    <mergeCell ref="C800:I800"/>
    <mergeCell ref="C922:I922"/>
    <mergeCell ref="C545:I545"/>
    <mergeCell ref="C716:I716"/>
    <mergeCell ref="C787:I787"/>
    <mergeCell ref="C843:I843"/>
    <mergeCell ref="C88:I88"/>
    <mergeCell ref="C126:I126"/>
    <mergeCell ref="C26:I26"/>
    <mergeCell ref="C197:I197"/>
    <mergeCell ref="C259:I259"/>
    <mergeCell ref="C324:I324"/>
    <mergeCell ref="C495:I495"/>
    <mergeCell ref="C914:I914"/>
    <mergeCell ref="C482:I482"/>
    <mergeCell ref="C416:I416"/>
    <mergeCell ref="C780:I780"/>
    <mergeCell ref="C845:I845"/>
    <mergeCell ref="C261:I261"/>
    <mergeCell ref="C432:I432"/>
    <mergeCell ref="C117:I117"/>
    <mergeCell ref="K10:K11"/>
    <mergeCell ref="C55:I55"/>
    <mergeCell ref="C795:I795"/>
    <mergeCell ref="C546:I546"/>
    <mergeCell ref="C782:I782"/>
    <mergeCell ref="C447:I447"/>
    <mergeCell ref="C115:I115"/>
    <mergeCell ref="C213:I213"/>
    <mergeCell ref="C273:I273"/>
    <mergeCell ref="C400:I400"/>
    <mergeCell ref="C571:I571"/>
    <mergeCell ref="C698:I698"/>
    <mergeCell ref="C869:I869"/>
    <mergeCell ref="C940:I940"/>
    <mergeCell ref="C52:I52"/>
    <mergeCell ref="C734:I734"/>
    <mergeCell ref="C150:I150"/>
    <mergeCell ref="C927:I927"/>
    <mergeCell ref="C39:I39"/>
    <mergeCell ref="C144:I144"/>
    <mergeCell ref="C337:I337"/>
    <mergeCell ref="C442:I442"/>
    <mergeCell ref="C513:I513"/>
    <mergeCell ref="C635:I635"/>
    <mergeCell ref="C573:I573"/>
    <mergeCell ref="C877:I877"/>
    <mergeCell ref="C429:I429"/>
    <mergeCell ref="C871:I871"/>
    <mergeCell ref="C671:I671"/>
    <mergeCell ref="C727:I727"/>
    <mergeCell ref="C942:I942"/>
    <mergeCell ref="C414:I414"/>
    <mergeCell ref="C81:I81"/>
    <mergeCell ref="C352:I352"/>
    <mergeCell ref="C548:I548"/>
    <mergeCell ref="C37:I37"/>
    <mergeCell ref="C208:I208"/>
    <mergeCell ref="C798:I798"/>
    <mergeCell ref="C932:I932"/>
    <mergeCell ref="C339:I339"/>
    <mergeCell ref="C917:I917"/>
    <mergeCell ref="C637:I637"/>
    <mergeCell ref="C437:I437"/>
    <mergeCell ref="C686:I686"/>
    <mergeCell ref="C935:I935"/>
    <mergeCell ref="C735:I735"/>
    <mergeCell ref="C419:I419"/>
    <mergeCell ref="C729:I729"/>
    <mergeCell ref="C145:I145"/>
    <mergeCell ref="C971:I971"/>
    <mergeCell ref="C406:I406"/>
    <mergeCell ref="C210:I210"/>
    <mergeCell ref="C381:I381"/>
    <mergeCell ref="C946:I946"/>
    <mergeCell ref="C185:I185"/>
    <mergeCell ref="C937:I937"/>
    <mergeCell ref="C949:I949"/>
    <mergeCell ref="C564:I564"/>
    <mergeCell ref="C63:I63"/>
    <mergeCell ref="C330:I330"/>
    <mergeCell ref="C134:I134"/>
    <mergeCell ref="C305:I305"/>
    <mergeCell ref="C50:I50"/>
    <mergeCell ref="C566:I566"/>
    <mergeCell ref="C864:I864"/>
    <mergeCell ref="C286:I286"/>
    <mergeCell ref="C553:I553"/>
    <mergeCell ref="C584:I584"/>
    <mergeCell ref="C851:I851"/>
    <mergeCell ref="C826:I826"/>
    <mergeCell ref="C90:I90"/>
    <mergeCell ref="C332:I332"/>
    <mergeCell ref="C388:I388"/>
    <mergeCell ref="C503:I503"/>
    <mergeCell ref="C163:I163"/>
    <mergeCell ref="C630:I630"/>
    <mergeCell ref="C801:I801"/>
    <mergeCell ref="C861:I861"/>
    <mergeCell ref="C866:I866"/>
    <mergeCell ref="C350:I350"/>
    <mergeCell ref="C617:I617"/>
    <mergeCell ref="C138:I138"/>
    <mergeCell ref="C915:I915"/>
    <mergeCell ref="C76:I76"/>
    <mergeCell ref="C853:I853"/>
    <mergeCell ref="C27:I27"/>
    <mergeCell ref="C132:I132"/>
    <mergeCell ref="C567:I567"/>
    <mergeCell ref="C119:I119"/>
    <mergeCell ref="C561:I561"/>
    <mergeCell ref="C361:I361"/>
    <mergeCell ref="C632:I632"/>
    <mergeCell ref="C732:I732"/>
    <mergeCell ref="C803:I803"/>
    <mergeCell ref="C865:I865"/>
    <mergeCell ref="C930:I930"/>
    <mergeCell ref="C790:I790"/>
    <mergeCell ref="C327:I327"/>
    <mergeCell ref="C498:I498"/>
    <mergeCell ref="C425:I425"/>
    <mergeCell ref="C723:I723"/>
    <mergeCell ref="C661:I661"/>
    <mergeCell ref="C264:I264"/>
    <mergeCell ref="C279:I279"/>
    <mergeCell ref="C450:I450"/>
    <mergeCell ref="C643:I643"/>
    <mergeCell ref="C748:I748"/>
    <mergeCell ref="C819:I819"/>
    <mergeCell ref="C879:I879"/>
    <mergeCell ref="C45:I45"/>
    <mergeCell ref="C216:I216"/>
    <mergeCell ref="C387:I387"/>
    <mergeCell ref="C343:I343"/>
    <mergeCell ref="C514:I514"/>
    <mergeCell ref="C281:I281"/>
    <mergeCell ref="C452:I452"/>
    <mergeCell ref="C685:I685"/>
    <mergeCell ref="C750:I750"/>
    <mergeCell ref="C501:I501"/>
    <mergeCell ref="C756:I756"/>
    <mergeCell ref="C943:I943"/>
    <mergeCell ref="C353:I353"/>
    <mergeCell ref="C737:I737"/>
    <mergeCell ref="C109:I109"/>
    <mergeCell ref="C147:I147"/>
    <mergeCell ref="C47:I47"/>
    <mergeCell ref="C218:I218"/>
    <mergeCell ref="C280:I280"/>
    <mergeCell ref="C274:I274"/>
    <mergeCell ref="C345:I345"/>
    <mergeCell ref="C445:I445"/>
    <mergeCell ref="C451:I451"/>
    <mergeCell ref="C516:I516"/>
    <mergeCell ref="C687:I687"/>
    <mergeCell ref="C814:I814"/>
    <mergeCell ref="C1010:I1010"/>
    <mergeCell ref="C985:I985"/>
    <mergeCell ref="C972:I972"/>
    <mergeCell ref="C958:I958"/>
    <mergeCell ref="C40:I40"/>
    <mergeCell ref="C211:I211"/>
    <mergeCell ref="C282:I282"/>
    <mergeCell ref="C453:I453"/>
    <mergeCell ref="C580:I580"/>
    <mergeCell ref="C751:I751"/>
    <mergeCell ref="C1012:I1012"/>
    <mergeCell ref="C987:I987"/>
    <mergeCell ref="C974:I974"/>
    <mergeCell ref="C71:I71"/>
    <mergeCell ref="C778:I778"/>
    <mergeCell ref="C592:I592"/>
    <mergeCell ref="C890:I890"/>
    <mergeCell ref="C371:I371"/>
    <mergeCell ref="C165:I165"/>
    <mergeCell ref="C358:I358"/>
    <mergeCell ref="C656:I656"/>
    <mergeCell ref="C66:I66"/>
    <mergeCell ref="C892:I892"/>
    <mergeCell ref="C308:I308"/>
    <mergeCell ref="C631:I631"/>
    <mergeCell ref="C990:I990"/>
    <mergeCell ref="C102:I102"/>
    <mergeCell ref="C569:I569"/>
    <mergeCell ref="C229:I229"/>
    <mergeCell ref="C867:I867"/>
    <mergeCell ref="C965:I965"/>
    <mergeCell ref="C77:I77"/>
    <mergeCell ref="C658:I658"/>
    <mergeCell ref="C375:I375"/>
    <mergeCell ref="C179:I179"/>
    <mergeCell ref="C446:I446"/>
    <mergeCell ref="C68:I68"/>
    <mergeCell ref="C956:I956"/>
    <mergeCell ref="C166:I166"/>
    <mergeCell ref="C633:I633"/>
    <mergeCell ref="C489:I489"/>
    <mergeCell ref="C160:I160"/>
    <mergeCell ref="C427:I427"/>
    <mergeCell ref="C402:I402"/>
    <mergeCell ref="C464:I464"/>
    <mergeCell ref="C682:I682"/>
    <mergeCell ref="C141:I141"/>
    <mergeCell ref="C725:I725"/>
    <mergeCell ref="C967:I967"/>
    <mergeCell ref="C206:I206"/>
    <mergeCell ref="C377:I377"/>
    <mergeCell ref="C662:I662"/>
    <mergeCell ref="C933:I933"/>
    <mergeCell ref="C143:I143"/>
    <mergeCell ref="C270:I270"/>
    <mergeCell ref="C441:I441"/>
    <mergeCell ref="C506:I506"/>
    <mergeCell ref="C870:I870"/>
    <mergeCell ref="C522:I522"/>
    <mergeCell ref="C59:I59"/>
    <mergeCell ref="C295:I295"/>
    <mergeCell ref="C46:I46"/>
    <mergeCell ref="C380:I380"/>
    <mergeCell ref="C822:I822"/>
    <mergeCell ref="C882:I882"/>
    <mergeCell ref="C61:I61"/>
    <mergeCell ref="C359:I359"/>
    <mergeCell ref="C159:I159"/>
    <mergeCell ref="C48:I48"/>
    <mergeCell ref="C153:I153"/>
    <mergeCell ref="C219:I219"/>
    <mergeCell ref="C346:I346"/>
    <mergeCell ref="C395:I395"/>
    <mergeCell ref="C517:I517"/>
    <mergeCell ref="C588:I588"/>
    <mergeCell ref="C688:I688"/>
    <mergeCell ref="C582:I582"/>
    <mergeCell ref="C753:I753"/>
    <mergeCell ref="C653:I653"/>
    <mergeCell ref="C759:I759"/>
    <mergeCell ref="C125:I125"/>
    <mergeCell ref="C296:I296"/>
    <mergeCell ref="C680:I680"/>
    <mergeCell ref="C740:I740"/>
    <mergeCell ref="C824:I824"/>
    <mergeCell ref="C995:I995"/>
    <mergeCell ref="C161:I161"/>
    <mergeCell ref="C217:I217"/>
    <mergeCell ref="C283:I283"/>
    <mergeCell ref="C348:I348"/>
    <mergeCell ref="C519:I519"/>
    <mergeCell ref="C690:I690"/>
    <mergeCell ref="C646:I646"/>
    <mergeCell ref="C817:I817"/>
    <mergeCell ref="C988:I988"/>
    <mergeCell ref="C298:I298"/>
    <mergeCell ref="C154:I154"/>
    <mergeCell ref="C980:I980"/>
    <mergeCell ref="C285:I285"/>
    <mergeCell ref="C390:I390"/>
    <mergeCell ref="C583:I583"/>
    <mergeCell ref="C754:I754"/>
    <mergeCell ref="C648:I648"/>
    <mergeCell ref="C677:I677"/>
    <mergeCell ref="C906:I906"/>
    <mergeCell ref="C156:I156"/>
    <mergeCell ref="C769:I769"/>
    <mergeCell ref="C74:I74"/>
    <mergeCell ref="C250:I250"/>
    <mergeCell ref="C372:I372"/>
    <mergeCell ref="C875:I875"/>
    <mergeCell ref="C535:I535"/>
    <mergeCell ref="C706:I706"/>
    <mergeCell ref="C16:I16"/>
    <mergeCell ref="C964:I964"/>
    <mergeCell ref="C374:I374"/>
    <mergeCell ref="C230:I230"/>
    <mergeCell ref="C401:I401"/>
    <mergeCell ref="C168:I168"/>
    <mergeCell ref="C301:I301"/>
    <mergeCell ref="C472:I472"/>
    <mergeCell ref="C466:I466"/>
    <mergeCell ref="C672:I672"/>
    <mergeCell ref="C537:I537"/>
    <mergeCell ref="C659:I659"/>
    <mergeCell ref="C180:I180"/>
    <mergeCell ref="C708:I708"/>
    <mergeCell ref="C118:I118"/>
    <mergeCell ref="C764:I764"/>
    <mergeCell ref="C895:I895"/>
    <mergeCell ref="C1006:I1006"/>
    <mergeCell ref="C993:I993"/>
    <mergeCell ref="C238:I238"/>
    <mergeCell ref="C232:I232"/>
    <mergeCell ref="C674:I674"/>
    <mergeCell ref="C303:I303"/>
    <mergeCell ref="C474:I474"/>
    <mergeCell ref="C530:I530"/>
    <mergeCell ref="C601:I601"/>
    <mergeCell ref="C772:I772"/>
    <mergeCell ref="C207:I207"/>
    <mergeCell ref="C182:I182"/>
    <mergeCell ref="C959:I959"/>
    <mergeCell ref="C1008:I1008"/>
    <mergeCell ref="C747:I747"/>
    <mergeCell ref="C983:I983"/>
    <mergeCell ref="C532:I532"/>
    <mergeCell ref="C799:I799"/>
    <mergeCell ref="C970:I970"/>
    <mergeCell ref="C911:I911"/>
    <mergeCell ref="C69:I69"/>
    <mergeCell ref="C96:I96"/>
    <mergeCell ref="C87:I87"/>
    <mergeCell ref="C354:I354"/>
    <mergeCell ref="C652:I652"/>
    <mergeCell ref="C627:I627"/>
    <mergeCell ref="C590:I590"/>
    <mergeCell ref="C761:I761"/>
    <mergeCell ref="C62:I62"/>
    <mergeCell ref="C421:I421"/>
    <mergeCell ref="C823:I823"/>
    <mergeCell ref="C894:I894"/>
    <mergeCell ref="C888:I888"/>
    <mergeCell ref="C986:I986"/>
    <mergeCell ref="C98:I98"/>
    <mergeCell ref="C369:I369"/>
    <mergeCell ref="C396:I396"/>
    <mergeCell ref="C667:I667"/>
    <mergeCell ref="C89:I89"/>
    <mergeCell ref="C527:I527"/>
    <mergeCell ref="C825:I825"/>
    <mergeCell ref="C996:I996"/>
    <mergeCell ref="C187:I187"/>
    <mergeCell ref="C629:I629"/>
    <mergeCell ref="C654:I654"/>
    <mergeCell ref="C485:I485"/>
    <mergeCell ref="C64:I64"/>
    <mergeCell ref="C368:I368"/>
    <mergeCell ref="C306:I306"/>
    <mergeCell ref="C619:I619"/>
    <mergeCell ref="C162:I162"/>
    <mergeCell ref="C681:I681"/>
    <mergeCell ref="C752:I752"/>
    <mergeCell ref="C460:I460"/>
    <mergeCell ref="C349:I349"/>
    <mergeCell ref="C398:I398"/>
    <mergeCell ref="C591:I591"/>
    <mergeCell ref="C696:I696"/>
    <mergeCell ref="C889:I889"/>
    <mergeCell ref="C177:I177"/>
    <mergeCell ref="C683:I683"/>
    <mergeCell ref="C954:I954"/>
    <mergeCell ref="C981:I981"/>
    <mergeCell ref="C93:I93"/>
    <mergeCell ref="C226:I226"/>
    <mergeCell ref="C164:I164"/>
    <mergeCell ref="C335:I335"/>
    <mergeCell ref="C364:I364"/>
    <mergeCell ref="C462:I462"/>
    <mergeCell ref="C760:I760"/>
    <mergeCell ref="C891:I891"/>
    <mergeCell ref="C222:I222"/>
    <mergeCell ref="C251:I251"/>
    <mergeCell ref="C487:I487"/>
    <mergeCell ref="C920:I920"/>
    <mergeCell ref="C916:I916"/>
    <mergeCell ref="C17:I17"/>
    <mergeCell ref="C903:I903"/>
    <mergeCell ref="C82:I82"/>
    <mergeCell ref="C253:I253"/>
    <mergeCell ref="C551:I551"/>
    <mergeCell ref="C622:I622"/>
    <mergeCell ref="C240:I240"/>
    <mergeCell ref="C411:I411"/>
    <mergeCell ref="C538:I538"/>
    <mergeCell ref="C709:I709"/>
    <mergeCell ref="C1007:I1007"/>
    <mergeCell ref="C774:I774"/>
    <mergeCell ref="C19:I19"/>
    <mergeCell ref="C945:I945"/>
    <mergeCell ref="C190:I190"/>
    <mergeCell ref="C317:I317"/>
    <mergeCell ref="C111:I111"/>
    <mergeCell ref="C304:I304"/>
    <mergeCell ref="C480:I480"/>
    <mergeCell ref="C602:I602"/>
    <mergeCell ref="C540:I540"/>
    <mergeCell ref="C711:I711"/>
    <mergeCell ref="C773:I773"/>
    <mergeCell ref="C838:I838"/>
    <mergeCell ref="C83:I83"/>
    <mergeCell ref="C254:I254"/>
    <mergeCell ref="C1009:I1009"/>
    <mergeCell ref="C248:I248"/>
    <mergeCell ref="C515:I515"/>
    <mergeCell ref="C319:I319"/>
    <mergeCell ref="C490:I490"/>
    <mergeCell ref="C175:I175"/>
    <mergeCell ref="C804:I804"/>
    <mergeCell ref="C235:I235"/>
    <mergeCell ref="C477:I477"/>
    <mergeCell ref="C604:I604"/>
    <mergeCell ref="C775:I775"/>
    <mergeCell ref="C902:I902"/>
    <mergeCell ref="C14:I14"/>
    <mergeCell ref="C579:I579"/>
    <mergeCell ref="C815:I815"/>
    <mergeCell ref="C475:I475"/>
    <mergeCell ref="C393:I393"/>
    <mergeCell ref="C137:I137"/>
    <mergeCell ref="B2:D9"/>
    <mergeCell ref="C702:I702"/>
    <mergeCell ref="C124:I124"/>
    <mergeCell ref="C422:I422"/>
    <mergeCell ref="C693:I693"/>
    <mergeCell ref="C925:I925"/>
    <mergeCell ref="C201:I201"/>
    <mergeCell ref="C668:I668"/>
    <mergeCell ref="C139:I139"/>
    <mergeCell ref="C704:I704"/>
    <mergeCell ref="C188:I188"/>
    <mergeCell ref="C1002:I1002"/>
    <mergeCell ref="C424:I424"/>
    <mergeCell ref="C722:I722"/>
    <mergeCell ref="C793:I793"/>
    <mergeCell ref="C228:I228"/>
    <mergeCell ref="C203:I203"/>
    <mergeCell ref="C399:I399"/>
    <mergeCell ref="C470:I470"/>
    <mergeCell ref="C526:I526"/>
    <mergeCell ref="C768:I768"/>
    <mergeCell ref="C939:I939"/>
    <mergeCell ref="C762:I762"/>
    <mergeCell ref="C488:I488"/>
    <mergeCell ref="C1004:I1004"/>
    <mergeCell ref="C724:I724"/>
    <mergeCell ref="C607:I607"/>
    <mergeCell ref="C991:I991"/>
    <mergeCell ref="C292:I292"/>
    <mergeCell ref="C528:I528"/>
    <mergeCell ref="C699:I699"/>
    <mergeCell ref="C941:I941"/>
    <mergeCell ref="C788:I788"/>
    <mergeCell ref="C465:I465"/>
    <mergeCell ref="C636:I636"/>
    <mergeCell ref="C907:I907"/>
    <mergeCell ref="C828:I828"/>
    <mergeCell ref="C559:I559"/>
    <mergeCell ref="C108:I108"/>
    <mergeCell ref="C844:I844"/>
    <mergeCell ref="C909:I909"/>
    <mergeCell ref="C325:I325"/>
    <mergeCell ref="C417:I417"/>
    <mergeCell ref="C859:I859"/>
    <mergeCell ref="C20:I20"/>
    <mergeCell ref="C846:I846"/>
    <mergeCell ref="C318:I318"/>
    <mergeCell ref="C973:I973"/>
    <mergeCell ref="C196:I196"/>
    <mergeCell ref="C85:I85"/>
    <mergeCell ref="C256:I256"/>
    <mergeCell ref="C112:I112"/>
    <mergeCell ref="C389:I389"/>
    <mergeCell ref="C183:I183"/>
    <mergeCell ref="C383:I383"/>
    <mergeCell ref="C554:I554"/>
    <mergeCell ref="C923:I923"/>
    <mergeCell ref="C560:I560"/>
    <mergeCell ref="C625:I625"/>
    <mergeCell ref="C541:I541"/>
    <mergeCell ref="C839:I839"/>
    <mergeCell ref="C612:I612"/>
    <mergeCell ref="C910:I910"/>
    <mergeCell ref="C717:I717"/>
    <mergeCell ref="C84:I84"/>
    <mergeCell ref="C133:I133"/>
    <mergeCell ref="C22:I22"/>
    <mergeCell ref="C127:I127"/>
    <mergeCell ref="C193:I193"/>
    <mergeCell ref="C320:I320"/>
    <mergeCell ref="C198:I198"/>
    <mergeCell ref="C176:I176"/>
    <mergeCell ref="C491:I491"/>
    <mergeCell ref="C114:I114"/>
    <mergeCell ref="C247:I247"/>
    <mergeCell ref="C356:I356"/>
    <mergeCell ref="C412:I412"/>
    <mergeCell ref="C418:I418"/>
    <mergeCell ref="C483:I483"/>
    <mergeCell ref="C605:I605"/>
    <mergeCell ref="C854:I854"/>
    <mergeCell ref="C781:I781"/>
    <mergeCell ref="C719:I719"/>
    <mergeCell ref="C257:I257"/>
    <mergeCell ref="C841:I841"/>
    <mergeCell ref="C912:I912"/>
    <mergeCell ref="C51:I51"/>
    <mergeCell ref="C178:I178"/>
    <mergeCell ref="C620:I620"/>
    <mergeCell ref="C791:I791"/>
    <mergeCell ref="C1011:I1011"/>
    <mergeCell ref="C272:I272"/>
    <mergeCell ref="C443:I443"/>
    <mergeCell ref="C872:I872"/>
    <mergeCell ref="C38:I38"/>
    <mergeCell ref="C209:I209"/>
    <mergeCell ref="C743:I743"/>
    <mergeCell ref="C936:I936"/>
    <mergeCell ref="C730:I730"/>
    <mergeCell ref="C140:I140"/>
    <mergeCell ref="C267:I267"/>
    <mergeCell ref="C438:I438"/>
    <mergeCell ref="C338:I338"/>
    <mergeCell ref="C509:I509"/>
    <mergeCell ref="C496:I496"/>
    <mergeCell ref="C938:I938"/>
    <mergeCell ref="C994:I994"/>
    <mergeCell ref="C794:I794"/>
    <mergeCell ref="C33:I33"/>
    <mergeCell ref="C204:I204"/>
    <mergeCell ref="C104:I104"/>
    <mergeCell ref="C275:I275"/>
    <mergeCell ref="C269:I269"/>
    <mergeCell ref="C440:I440"/>
    <mergeCell ref="C340:I340"/>
    <mergeCell ref="C511:I511"/>
    <mergeCell ref="C707:I707"/>
    <mergeCell ref="C738:I738"/>
    <mergeCell ref="C809:I809"/>
    <mergeCell ref="C1005:I1005"/>
    <mergeCell ref="C796:I796"/>
    <mergeCell ref="C231:I231"/>
    <mergeCell ref="C35:I35"/>
    <mergeCell ref="C333:I333"/>
    <mergeCell ref="C504:I504"/>
    <mergeCell ref="C771:I771"/>
    <mergeCell ref="C99:I99"/>
    <mergeCell ref="C835:I835"/>
    <mergeCell ref="C885:I885"/>
    <mergeCell ref="C130:I130"/>
    <mergeCell ref="C562:I562"/>
    <mergeCell ref="C689:I689"/>
    <mergeCell ref="C860:I860"/>
    <mergeCell ref="C931:I931"/>
    <mergeCell ref="C409:I409"/>
    <mergeCell ref="C651:I651"/>
    <mergeCell ref="C135:I135"/>
    <mergeCell ref="C328:I328"/>
    <mergeCell ref="C433:I433"/>
    <mergeCell ref="C626:I626"/>
    <mergeCell ref="C122:I122"/>
    <mergeCell ref="C430:I430"/>
    <mergeCell ref="C420:I420"/>
    <mergeCell ref="C224:I224"/>
    <mergeCell ref="C862:I862"/>
    <mergeCell ref="C718:I718"/>
    <mergeCell ref="C989:I989"/>
    <mergeCell ref="C789:I789"/>
    <mergeCell ref="C72:I72"/>
    <mergeCell ref="C849:I849"/>
    <mergeCell ref="C960:I960"/>
    <mergeCell ref="C199:I199"/>
    <mergeCell ref="C497:I497"/>
    <mergeCell ref="C435:I435"/>
    <mergeCell ref="C186:I186"/>
    <mergeCell ref="C557:I557"/>
    <mergeCell ref="C628:I628"/>
    <mergeCell ref="C484:I484"/>
    <mergeCell ref="C655:I655"/>
    <mergeCell ref="C926:I926"/>
    <mergeCell ref="C720:I720"/>
    <mergeCell ref="C136:I136"/>
    <mergeCell ref="C913:I913"/>
    <mergeCell ref="C962:I962"/>
    <mergeCell ref="C263:I263"/>
    <mergeCell ref="C434:I434"/>
    <mergeCell ref="C323:I323"/>
    <mergeCell ref="C499:I499"/>
    <mergeCell ref="C863:I863"/>
    <mergeCell ref="C486:I486"/>
    <mergeCell ref="C657:I657"/>
    <mergeCell ref="C928:I928"/>
    <mergeCell ref="C784:I784"/>
    <mergeCell ref="C955:I955"/>
    <mergeCell ref="L10:L11"/>
    <mergeCell ref="N10:N11"/>
    <mergeCell ref="C952:I952"/>
    <mergeCell ref="C786:I786"/>
    <mergeCell ref="C957:I957"/>
    <mergeCell ref="C54:I54"/>
    <mergeCell ref="C41:I41"/>
    <mergeCell ref="C146:I146"/>
    <mergeCell ref="C212:I212"/>
    <mergeCell ref="C510:I510"/>
    <mergeCell ref="O10:O11"/>
    <mergeCell ref="C277:I277"/>
    <mergeCell ref="C448:I448"/>
    <mergeCell ref="C581:I581"/>
    <mergeCell ref="C404:I404"/>
    <mergeCell ref="C575:I575"/>
    <mergeCell ref="C746:I746"/>
    <mergeCell ref="C873:I873"/>
    <mergeCell ref="C944:I944"/>
    <mergeCell ref="C56:I56"/>
    <mergeCell ref="C733:I733"/>
    <mergeCell ref="C105:I105"/>
    <mergeCell ref="C276:I276"/>
    <mergeCell ref="C43:I43"/>
    <mergeCell ref="C214:I214"/>
    <mergeCell ref="C341:I341"/>
    <mergeCell ref="C512:I512"/>
    <mergeCell ref="C639:I639"/>
    <mergeCell ref="C439:I439"/>
    <mergeCell ref="C577:I577"/>
    <mergeCell ref="C810:I810"/>
    <mergeCell ref="C120:I120"/>
    <mergeCell ref="C675:I675"/>
    <mergeCell ref="C731:I731"/>
    <mergeCell ref="C797:I797"/>
    <mergeCell ref="C36:I36"/>
    <mergeCell ref="C278:I278"/>
    <mergeCell ref="C405:I405"/>
    <mergeCell ref="C576:I576"/>
    <mergeCell ref="C370:I370"/>
    <mergeCell ref="C641:I641"/>
    <mergeCell ref="C812:I812"/>
    <mergeCell ref="C837:I837"/>
    <mergeCell ref="C149:I149"/>
    <mergeCell ref="C385:I385"/>
    <mergeCell ref="C67:I67"/>
    <mergeCell ref="C670:I670"/>
    <mergeCell ref="C367:I367"/>
    <mergeCell ref="C603:I603"/>
    <mergeCell ref="C288:I288"/>
    <mergeCell ref="C459:I459"/>
    <mergeCell ref="C726:I726"/>
    <mergeCell ref="C505:I505"/>
    <mergeCell ref="C225:I225"/>
    <mergeCell ref="C741:I741"/>
    <mergeCell ref="C461:I461"/>
    <mergeCell ref="C728:I728"/>
    <mergeCell ref="C200:I200"/>
    <mergeCell ref="C271:I271"/>
    <mergeCell ref="C1001:I1001"/>
    <mergeCell ref="C436:I436"/>
    <mergeCell ref="C507:I507"/>
    <mergeCell ref="C805:I805"/>
    <mergeCell ref="C227:I227"/>
    <mergeCell ref="C721:I721"/>
    <mergeCell ref="C525:I525"/>
    <mergeCell ref="C792:I792"/>
    <mergeCell ref="C31:I31"/>
    <mergeCell ref="C202:I202"/>
    <mergeCell ref="C373:I373"/>
    <mergeCell ref="C329:I329"/>
    <mergeCell ref="C444:I444"/>
    <mergeCell ref="C904:I904"/>
    <mergeCell ref="C565:I565"/>
    <mergeCell ref="C736:I736"/>
    <mergeCell ref="C291:I291"/>
    <mergeCell ref="C807:I807"/>
    <mergeCell ref="C589:I589"/>
    <mergeCell ref="C856:I856"/>
    <mergeCell ref="C95:I95"/>
    <mergeCell ref="C60:I60"/>
    <mergeCell ref="C331:I331"/>
    <mergeCell ref="C502:I502"/>
    <mergeCell ref="C673:I673"/>
    <mergeCell ref="C347:I347"/>
    <mergeCell ref="C268:I268"/>
    <mergeCell ref="C881:I881"/>
    <mergeCell ref="C360:I360"/>
    <mergeCell ref="C91:I91"/>
    <mergeCell ref="C362:I362"/>
    <mergeCell ref="C868:I868"/>
    <mergeCell ref="C454:I454"/>
    <mergeCell ref="C647:I647"/>
    <mergeCell ref="C818:I818"/>
    <mergeCell ref="C57:I57"/>
    <mergeCell ref="M10:M11"/>
    <mergeCell ref="C883:I883"/>
    <mergeCell ref="C355:I355"/>
    <mergeCell ref="C155:I155"/>
    <mergeCell ref="C293:I293"/>
    <mergeCell ref="C739:I739"/>
    <mergeCell ref="C975:I975"/>
    <mergeCell ref="C220:I220"/>
    <mergeCell ref="C342:I342"/>
    <mergeCell ref="C391:I391"/>
    <mergeCell ref="C518:I518"/>
    <mergeCell ref="C578:I578"/>
    <mergeCell ref="C749:I749"/>
    <mergeCell ref="C649:I649"/>
    <mergeCell ref="C820:I820"/>
    <mergeCell ref="C676:I676"/>
    <mergeCell ref="C876:I876"/>
    <mergeCell ref="C947:I947"/>
    <mergeCell ref="C86:I86"/>
    <mergeCell ref="C357:I357"/>
    <mergeCell ref="C157:I157"/>
    <mergeCell ref="C42:I42"/>
    <mergeCell ref="C151:I151"/>
    <mergeCell ref="C284:I284"/>
    <mergeCell ref="C344:I344"/>
    <mergeCell ref="C455:I455"/>
    <mergeCell ref="C449:I449"/>
    <mergeCell ref="C520:I520"/>
    <mergeCell ref="C58:I58"/>
    <mergeCell ref="C586:I586"/>
    <mergeCell ref="C642:I642"/>
    <mergeCell ref="C691:I691"/>
    <mergeCell ref="C813:I813"/>
    <mergeCell ref="C294:I294"/>
    <mergeCell ref="C678:I678"/>
    <mergeCell ref="C878:I878"/>
    <mergeCell ref="C884:I884"/>
    <mergeCell ref="C976:I976"/>
    <mergeCell ref="C215:I215"/>
    <mergeCell ref="C386:I386"/>
    <mergeCell ref="C951:I951"/>
    <mergeCell ref="C644:I644"/>
    <mergeCell ref="C152:I152"/>
    <mergeCell ref="C978:I978"/>
    <mergeCell ref="C75:I75"/>
    <mergeCell ref="C953:I953"/>
    <mergeCell ref="C531:I531"/>
    <mergeCell ref="C596:I596"/>
    <mergeCell ref="C767:I767"/>
    <mergeCell ref="C297:I297"/>
    <mergeCell ref="C533:I533"/>
    <mergeCell ref="C660:I660"/>
    <mergeCell ref="C831:I831"/>
    <mergeCell ref="C70:I70"/>
    <mergeCell ref="C241:I241"/>
    <mergeCell ref="C312:I312"/>
    <mergeCell ref="C508:I508"/>
    <mergeCell ref="C806:I806"/>
    <mergeCell ref="C610:I610"/>
    <mergeCell ref="C106:I106"/>
    <mergeCell ref="C744:I744"/>
    <mergeCell ref="C299:I299"/>
    <mergeCell ref="C597:I597"/>
    <mergeCell ref="C32:I32"/>
    <mergeCell ref="C833:I833"/>
    <mergeCell ref="C572:I572"/>
    <mergeCell ref="C243:I243"/>
    <mergeCell ref="C366:I366"/>
    <mergeCell ref="C170:I170"/>
    <mergeCell ref="C808:I808"/>
    <mergeCell ref="C468:I468"/>
    <mergeCell ref="C307:I307"/>
    <mergeCell ref="C574:I574"/>
    <mergeCell ref="C745:I745"/>
    <mergeCell ref="C101:I101"/>
    <mergeCell ref="C666:I666"/>
    <mergeCell ref="C966:I966"/>
    <mergeCell ref="C697:I697"/>
    <mergeCell ref="E2:O9"/>
    <mergeCell ref="C246:I246"/>
    <mergeCell ref="C221:I221"/>
    <mergeCell ref="C25:I25"/>
    <mergeCell ref="C392:I392"/>
    <mergeCell ref="C463:I463"/>
    <mergeCell ref="C457:I457"/>
    <mergeCell ref="C755:I755"/>
    <mergeCell ref="C948:I948"/>
    <mergeCell ref="C997:I997"/>
    <mergeCell ref="C886:I886"/>
    <mergeCell ref="C236:I236"/>
    <mergeCell ref="C742:I742"/>
    <mergeCell ref="C984:I984"/>
    <mergeCell ref="C594:I594"/>
    <mergeCell ref="C223:I223"/>
    <mergeCell ref="C394:I394"/>
    <mergeCell ref="C521:I521"/>
    <mergeCell ref="C692:I692"/>
    <mergeCell ref="C763:I763"/>
    <mergeCell ref="C963:I963"/>
    <mergeCell ref="C757:I757"/>
    <mergeCell ref="C999:I999"/>
    <mergeCell ref="C300:I300"/>
    <mergeCell ref="C977:I977"/>
    <mergeCell ref="C287:I287"/>
    <mergeCell ref="C458:I458"/>
    <mergeCell ref="C585:I585"/>
    <mergeCell ref="C523:I523"/>
    <mergeCell ref="C694:I694"/>
    <mergeCell ref="C887:I887"/>
    <mergeCell ref="C821:I821"/>
    <mergeCell ref="C992:I992"/>
    <mergeCell ref="C979:I979"/>
    <mergeCell ref="C158:I158"/>
    <mergeCell ref="C289:I289"/>
    <mergeCell ref="C587:I587"/>
    <mergeCell ref="C758:I758"/>
    <mergeCell ref="C929:I929"/>
    <mergeCell ref="C919:I919"/>
    <mergeCell ref="C13:I13"/>
    <mergeCell ref="C78:I78"/>
    <mergeCell ref="C249:I249"/>
    <mergeCell ref="C376:I376"/>
    <mergeCell ref="C314:I314"/>
    <mergeCell ref="C618:I618"/>
    <mergeCell ref="C363:I363"/>
    <mergeCell ref="C534:I534"/>
    <mergeCell ref="C539:I539"/>
    <mergeCell ref="C599:I599"/>
    <mergeCell ref="B10:B11"/>
    <mergeCell ref="C15:I15"/>
    <mergeCell ref="C770:I770"/>
    <mergeCell ref="C191:I191"/>
    <mergeCell ref="C313:I313"/>
    <mergeCell ref="C897:I897"/>
    <mergeCell ref="C968:I968"/>
    <mergeCell ref="C107:I107"/>
    <mergeCell ref="C378:I378"/>
    <mergeCell ref="C549:I549"/>
    <mergeCell ref="C234:I234"/>
    <mergeCell ref="C816:I816"/>
    <mergeCell ref="C172:I172"/>
    <mergeCell ref="C476:I476"/>
    <mergeCell ref="C536:I536"/>
    <mergeCell ref="C663:I663"/>
    <mergeCell ref="C79:I79"/>
    <mergeCell ref="C184:I184"/>
    <mergeCell ref="C961:I961"/>
    <mergeCell ref="C712:I712"/>
    <mergeCell ref="C899:I899"/>
    <mergeCell ref="C73:I73"/>
    <mergeCell ref="C834:I834"/>
    <mergeCell ref="C315:I315"/>
    <mergeCell ref="C905:I905"/>
    <mergeCell ref="C171:I171"/>
    <mergeCell ref="C613:I613"/>
    <mergeCell ref="C638:I638"/>
    <mergeCell ref="C880:I880"/>
    <mergeCell ref="C302:I302"/>
    <mergeCell ref="C407:I407"/>
    <mergeCell ref="C874:I874"/>
    <mergeCell ref="C600:I600"/>
    <mergeCell ref="C705:I705"/>
    <mergeCell ref="C121:I121"/>
    <mergeCell ref="C898:I898"/>
    <mergeCell ref="C836:I836"/>
    <mergeCell ref="C382:I382"/>
    <mergeCell ref="C934:I934"/>
    <mergeCell ref="C173:I173"/>
    <mergeCell ref="C811:I811"/>
    <mergeCell ref="C471:I471"/>
    <mergeCell ref="C148:I148"/>
    <mergeCell ref="C900:I900"/>
    <mergeCell ref="C669:I669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1028"/>
  <sheetViews>
    <sheetView topLeftCell="A272" zoomScale="85" zoomScaleNormal="85" workbookViewId="0">
      <selection activeCell="N299" sqref="N299"/>
    </sheetView>
  </sheetViews>
  <sheetFormatPr baseColWidth="10" defaultColWidth="11.44140625" defaultRowHeight="14.4"/>
  <cols>
    <col width="4" bestFit="1" customWidth="1" style="207" min="1" max="1"/>
    <col width="12.44140625" customWidth="1" style="207" min="2" max="2"/>
    <col width="11.44140625" customWidth="1" style="207" min="3" max="4"/>
    <col width="14.44140625" customWidth="1" style="207" min="5" max="5"/>
    <col width="14.88671875" customWidth="1" style="207" min="6" max="8"/>
    <col width="15" customWidth="1" style="207" min="9" max="9"/>
    <col width="14.88671875" bestFit="1" customWidth="1" style="207" min="10" max="10"/>
    <col width="11.44140625" customWidth="1" style="207" min="11" max="11"/>
    <col width="12.88671875" customWidth="1" style="207" min="12" max="12"/>
    <col width="11.44140625" customWidth="1" style="207" min="13" max="13"/>
    <col width="30.44140625" bestFit="1" customWidth="1" style="207" min="14" max="14"/>
    <col width="26" bestFit="1" customWidth="1" style="207" min="15" max="15"/>
    <col width="3.88671875" customWidth="1" style="207" min="16" max="16"/>
    <col width="3.44140625" customWidth="1" style="207" min="17" max="17"/>
    <col width="11.44140625" customWidth="1" style="207" min="18" max="16384"/>
  </cols>
  <sheetData>
    <row r="1" ht="15" customHeight="1" thickBot="1"/>
    <row r="2" ht="15" customHeight="1">
      <c r="B2" s="318" t="n"/>
      <c r="C2" s="296" t="n"/>
      <c r="D2" s="296" t="n"/>
      <c r="E2" s="297" t="inlineStr">
        <is>
          <t>SEGUIMIENTO A COTIZACIONES</t>
        </is>
      </c>
      <c r="F2" s="296" t="n"/>
      <c r="G2" s="296" t="n"/>
      <c r="H2" s="296" t="n"/>
      <c r="I2" s="296" t="n"/>
      <c r="J2" s="296" t="n"/>
      <c r="K2" s="296" t="n"/>
      <c r="L2" s="296" t="n"/>
      <c r="M2" s="296" t="n"/>
      <c r="N2" s="296" t="n"/>
      <c r="O2" s="298" t="n"/>
    </row>
    <row r="3" ht="15" customHeight="1">
      <c r="B3" s="299" t="n"/>
      <c r="E3" s="299" t="n"/>
      <c r="O3" s="300" t="n"/>
    </row>
    <row r="4" ht="15" customHeight="1">
      <c r="B4" s="299" t="n"/>
      <c r="E4" s="299" t="n"/>
      <c r="O4" s="300" t="n"/>
      <c r="Q4" s="9" t="n"/>
      <c r="R4" s="207" t="inlineStr">
        <is>
          <t>Consecutivo repetido</t>
        </is>
      </c>
    </row>
    <row r="5" ht="15" customHeight="1">
      <c r="B5" s="299" t="n"/>
      <c r="E5" s="299" t="n"/>
      <c r="O5" s="300" t="n"/>
      <c r="Q5" s="26" t="n"/>
      <c r="R5" s="207" t="inlineStr">
        <is>
          <t>No encontre informacion</t>
        </is>
      </c>
    </row>
    <row r="6" ht="15" customHeight="1">
      <c r="B6" s="299" t="n"/>
      <c r="E6" s="299" t="n"/>
      <c r="O6" s="300" t="n"/>
    </row>
    <row r="7" ht="15" customHeight="1">
      <c r="B7" s="299" t="n"/>
      <c r="E7" s="299" t="n"/>
      <c r="O7" s="300" t="n"/>
    </row>
    <row r="8" ht="15" customHeight="1">
      <c r="B8" s="299" t="n"/>
      <c r="E8" s="299" t="n"/>
      <c r="O8" s="300" t="n"/>
    </row>
    <row r="9" ht="15.75" customHeight="1" thickBot="1">
      <c r="B9" s="301" t="n"/>
      <c r="C9" s="302" t="n"/>
      <c r="D9" s="302" t="n"/>
      <c r="E9" s="301" t="n"/>
      <c r="F9" s="302" t="n"/>
      <c r="G9" s="302" t="n"/>
      <c r="H9" s="302" t="n"/>
      <c r="I9" s="302" t="n"/>
      <c r="J9" s="302" t="n"/>
      <c r="K9" s="302" t="n"/>
      <c r="L9" s="302" t="n"/>
      <c r="M9" s="302" t="n"/>
      <c r="N9" s="302" t="n"/>
      <c r="O9" s="303" t="n"/>
    </row>
    <row r="10" ht="15" customHeight="1">
      <c r="B10" s="210" t="inlineStr">
        <is>
          <t>Número de cotización</t>
        </is>
      </c>
      <c r="C10" s="212" t="inlineStr">
        <is>
          <t>Descripción de la cotización</t>
        </is>
      </c>
      <c r="D10" s="296" t="n"/>
      <c r="E10" s="296" t="n"/>
      <c r="F10" s="296" t="n"/>
      <c r="G10" s="296" t="n"/>
      <c r="H10" s="296" t="n"/>
      <c r="I10" s="304" t="n"/>
      <c r="J10" s="222" t="inlineStr">
        <is>
          <t>Valor sin IVA</t>
        </is>
      </c>
      <c r="K10" s="224" t="inlineStr">
        <is>
          <t>Fecha de cotización</t>
        </is>
      </c>
      <c r="L10" s="224" t="inlineStr">
        <is>
          <t>Fecha de aprobación</t>
        </is>
      </c>
      <c r="M10" s="306" t="inlineStr">
        <is>
          <t>Telefono</t>
        </is>
      </c>
      <c r="N10" s="306" t="inlineStr">
        <is>
          <t>Persona Encargada</t>
        </is>
      </c>
      <c r="O10" s="306" t="inlineStr">
        <is>
          <t>Correo</t>
        </is>
      </c>
    </row>
    <row r="11" ht="15" customHeight="1" thickBot="1">
      <c r="B11" s="307" t="n"/>
      <c r="C11" s="307" t="n"/>
      <c r="D11" s="308" t="n"/>
      <c r="E11" s="308" t="n"/>
      <c r="F11" s="308" t="n"/>
      <c r="G11" s="308" t="n"/>
      <c r="H11" s="308" t="n"/>
      <c r="I11" s="309" t="n"/>
      <c r="J11" s="308" t="n"/>
      <c r="K11" s="310" t="n"/>
      <c r="L11" s="310" t="n"/>
      <c r="M11" s="311" t="n"/>
      <c r="N11" s="311" t="n"/>
      <c r="O11" s="311" t="n"/>
    </row>
    <row r="12" ht="9" customHeight="1">
      <c r="B12" s="203" t="n"/>
      <c r="C12" s="296" t="n"/>
      <c r="D12" s="296" t="n"/>
      <c r="E12" s="296" t="n"/>
      <c r="F12" s="296" t="n"/>
      <c r="G12" s="296" t="n"/>
      <c r="H12" s="296" t="n"/>
      <c r="I12" s="296" t="n"/>
      <c r="J12" s="296" t="n"/>
      <c r="K12" s="296" t="n"/>
      <c r="L12" s="296" t="n"/>
    </row>
    <row r="13">
      <c r="B13" s="226" t="n">
        <v>1</v>
      </c>
      <c r="C13" s="199" t="inlineStr">
        <is>
          <t>Cotización de la actualización de planos record y rediseño de los sistemas de extinción de incendio para la Terminal de Servicios Aeroportuarios Aeropuerto El Caño Quibdo</t>
        </is>
      </c>
      <c r="D13" s="312" t="n"/>
      <c r="E13" s="312" t="n"/>
      <c r="F13" s="312" t="n"/>
      <c r="G13" s="312" t="n"/>
      <c r="H13" s="312" t="n"/>
      <c r="I13" s="313" t="n"/>
      <c r="J13" s="319" t="n">
        <v>33000000</v>
      </c>
      <c r="K13" s="12" t="n">
        <v>43468</v>
      </c>
      <c r="L13" s="199" t="n"/>
      <c r="M13" s="235" t="n"/>
      <c r="N13" s="207" t="inlineStr">
        <is>
          <t>Juan Camilo Quintero</t>
        </is>
      </c>
      <c r="O13" s="235" t="n"/>
    </row>
    <row r="14">
      <c r="B14" s="226" t="n">
        <v>2</v>
      </c>
      <c r="C14" s="199" t="inlineStr">
        <is>
          <t>COTIZACION DEL REDISEÑO DE DETECCIÓN DE INCENDIOS PARA EL PROYECTO METROCABLE PICACHO</t>
        </is>
      </c>
      <c r="D14" s="312" t="n"/>
      <c r="E14" s="312" t="n"/>
      <c r="F14" s="312" t="n"/>
      <c r="G14" s="312" t="n"/>
      <c r="H14" s="312" t="n"/>
      <c r="I14" s="313" t="n"/>
      <c r="J14" s="319" t="n">
        <v>4450000</v>
      </c>
      <c r="K14" s="12" t="n">
        <v>43468</v>
      </c>
      <c r="L14" s="199" t="n"/>
      <c r="M14" s="235" t="n"/>
      <c r="N14" s="235" t="inlineStr">
        <is>
          <t>Bayron Eliecer Puerta</t>
        </is>
      </c>
      <c r="O14" s="235" t="n"/>
    </row>
    <row r="15">
      <c r="B15" s="226" t="n">
        <v>3</v>
      </c>
      <c r="C15" s="199" t="inlineStr">
        <is>
          <t>COTIZACION DEL DISEÑO DE EXTINCIÓN DE INCENDIOS PARA EL PROYECTO MAM MUSEO DE ARTE MODERNO</t>
        </is>
      </c>
      <c r="D15" s="312" t="n"/>
      <c r="E15" s="312" t="n"/>
      <c r="F15" s="312" t="n"/>
      <c r="G15" s="312" t="n"/>
      <c r="H15" s="312" t="n"/>
      <c r="I15" s="313" t="n"/>
      <c r="J15" s="319" t="n">
        <v>20480000</v>
      </c>
      <c r="K15" s="12" t="n">
        <v>43469</v>
      </c>
      <c r="L15" s="199" t="n"/>
      <c r="M15" s="235" t="n"/>
      <c r="N15" s="235" t="inlineStr">
        <is>
          <t>Julián Suárez Estrada</t>
        </is>
      </c>
      <c r="O15" s="235" t="n"/>
    </row>
    <row r="16">
      <c r="B16" s="226" t="n">
        <v>4</v>
      </c>
      <c r="C16" s="199" t="inlineStr">
        <is>
          <t>COTIZACION DE REVISIÓN DEL SISTEMAS DE EXTINCIÓN DE INCENDIOS PARA LOS LOCALES DEL CENTRO COMERCIAL PALMA GRANDE</t>
        </is>
      </c>
      <c r="D16" s="312" t="n"/>
      <c r="E16" s="312" t="n"/>
      <c r="F16" s="312" t="n"/>
      <c r="G16" s="312" t="n"/>
      <c r="H16" s="312" t="n"/>
      <c r="I16" s="313" t="n"/>
      <c r="J16" s="319" t="n">
        <v>3295000</v>
      </c>
      <c r="K16" s="12" t="n">
        <v>43474</v>
      </c>
      <c r="L16" s="199" t="n"/>
      <c r="M16" s="235" t="n"/>
      <c r="N16" s="235" t="inlineStr">
        <is>
          <t>David Lopera</t>
        </is>
      </c>
      <c r="O16" s="235" t="n"/>
    </row>
    <row r="17">
      <c r="B17" s="226" t="n">
        <v>5</v>
      </c>
      <c r="C17" s="199" t="inlineStr">
        <is>
          <t>COTIZACION DE LOS DISEÑOS DE PROTECCIÓN CONTRA  INCENDIOS - CASA RONALD MCDONALD</t>
        </is>
      </c>
      <c r="D17" s="312" t="n"/>
      <c r="E17" s="312" t="n"/>
      <c r="F17" s="312" t="n"/>
      <c r="G17" s="312" t="n"/>
      <c r="H17" s="312" t="n"/>
      <c r="I17" s="313" t="n"/>
      <c r="J17" s="319" t="n">
        <v>3442</v>
      </c>
      <c r="K17" s="12" t="n">
        <v>43474</v>
      </c>
      <c r="L17" s="199" t="n"/>
      <c r="M17" s="235" t="n"/>
      <c r="N17" s="235" t="inlineStr">
        <is>
          <t>Julio Alejandro Llamas</t>
        </is>
      </c>
      <c r="O17" s="235" t="n"/>
    </row>
    <row r="18">
      <c r="B18" s="13" t="n">
        <v>6</v>
      </c>
      <c r="C18" s="199" t="inlineStr">
        <is>
          <t>COTIZACION DE LOS DISEÑOS DE PROTECCIÓN CONTRA INCENDIOS Y SEGURIDAD HUMANA PARA EL PROYECTO EDIFICIO MARIALUCI</t>
        </is>
      </c>
      <c r="D18" s="312" t="n"/>
      <c r="E18" s="312" t="n"/>
      <c r="F18" s="312" t="n"/>
      <c r="G18" s="312" t="n"/>
      <c r="H18" s="312" t="n"/>
      <c r="I18" s="313" t="n"/>
      <c r="J18" s="319" t="n">
        <v>4990000</v>
      </c>
      <c r="K18" s="12" t="n">
        <v>43476</v>
      </c>
      <c r="L18" s="199" t="n"/>
      <c r="M18" s="235" t="n"/>
      <c r="N18" s="278" t="inlineStr">
        <is>
          <t>Jhon Rodriguez</t>
        </is>
      </c>
      <c r="O18" s="235" t="n"/>
    </row>
    <row r="19">
      <c r="B19" s="13" t="n">
        <v>6</v>
      </c>
      <c r="C19" s="199" t="inlineStr">
        <is>
          <t>COTIZACION DE LOS DISEÑOS DE PROTECCIÓN CONTRA INCENDIOS Y SEGURIDAD HUMANA PARA EL PROYECTO EDIFICIO MARIALUCI</t>
        </is>
      </c>
      <c r="D19" s="312" t="n"/>
      <c r="E19" s="312" t="n"/>
      <c r="F19" s="312" t="n"/>
      <c r="G19" s="312" t="n"/>
      <c r="H19" s="312" t="n"/>
      <c r="I19" s="313" t="n"/>
      <c r="J19" s="319" t="n">
        <v>4990000</v>
      </c>
      <c r="K19" s="12" t="n">
        <v>43476</v>
      </c>
      <c r="L19" s="199" t="n"/>
      <c r="M19" s="235" t="n"/>
      <c r="N19" s="278" t="inlineStr">
        <is>
          <t>Johrladiz Úsuga</t>
        </is>
      </c>
      <c r="O19" s="235" t="n"/>
    </row>
    <row r="20">
      <c r="B20" s="226" t="n">
        <v>7</v>
      </c>
      <c r="C20" s="199" t="inlineStr">
        <is>
          <t>COTIZACION DE LOS DISEÑOS DE SEGURIDAD HUMANA Y DETECCIÓN DE INCENDIOS - CANTAZARO</t>
        </is>
      </c>
      <c r="D20" s="312" t="n"/>
      <c r="E20" s="312" t="n"/>
      <c r="F20" s="312" t="n"/>
      <c r="G20" s="312" t="n"/>
      <c r="H20" s="312" t="n"/>
      <c r="I20" s="313" t="n"/>
      <c r="J20" s="319" t="n">
        <v>6000000</v>
      </c>
      <c r="K20" s="12" t="n">
        <v>43479</v>
      </c>
      <c r="L20" s="199" t="n"/>
      <c r="M20" s="235" t="n"/>
      <c r="N20" s="235" t="inlineStr">
        <is>
          <t>José Ignacio Aristizabal</t>
        </is>
      </c>
      <c r="O20" s="235" t="n"/>
    </row>
    <row r="21">
      <c r="B21" s="226" t="n">
        <v>8</v>
      </c>
      <c r="C21" s="199" t="inlineStr">
        <is>
          <t>COTIZACION DE LOS DISEÑOS DE PROTECCIÓN CONTRA INCENDIOS PARA EL PROYECTO COLEGIO UCO CIMARRONAS</t>
        </is>
      </c>
      <c r="D21" s="312" t="n"/>
      <c r="E21" s="312" t="n"/>
      <c r="F21" s="312" t="n"/>
      <c r="G21" s="312" t="n"/>
      <c r="H21" s="312" t="n"/>
      <c r="I21" s="313" t="n"/>
      <c r="J21" s="319" t="n">
        <v>3930000</v>
      </c>
      <c r="K21" s="12" t="n">
        <v>43479</v>
      </c>
      <c r="L21" s="199" t="n"/>
      <c r="M21" s="235" t="n"/>
      <c r="N21" s="235" t="inlineStr">
        <is>
          <t>Estevan Castaño</t>
        </is>
      </c>
      <c r="O21" s="235" t="n"/>
    </row>
    <row r="22">
      <c r="B22" s="226" t="n">
        <v>9</v>
      </c>
      <c r="C22" s="199" t="inlineStr">
        <is>
          <t>COTIZACION DE LOS DISEÑOS DE PROTECCIÓN CONTRA INCENDIOS PARA EL PROYECTO BRISAS DEL SOL 3</t>
        </is>
      </c>
      <c r="D22" s="312" t="n"/>
      <c r="E22" s="312" t="n"/>
      <c r="F22" s="312" t="n"/>
      <c r="G22" s="312" t="n"/>
      <c r="H22" s="312" t="n"/>
      <c r="I22" s="313" t="n"/>
      <c r="J22" s="319" t="n">
        <v>16800000</v>
      </c>
      <c r="K22" s="12" t="n">
        <v>43479</v>
      </c>
      <c r="L22" s="199" t="n"/>
      <c r="M22" s="235" t="n"/>
      <c r="N22" s="235" t="inlineStr">
        <is>
          <t>Estevan Castaño</t>
        </is>
      </c>
      <c r="O22" s="235" t="inlineStr">
        <is>
          <t>estevancastano@gmail.com</t>
        </is>
      </c>
    </row>
    <row r="23">
      <c r="B23" s="226" t="n">
        <v>10</v>
      </c>
      <c r="C23" s="199" t="inlineStr">
        <is>
          <t>COTIZACION DE LOS DISEÑOS DE PROTECCIÓN CONTRA  INCENDIOS - PTAR PAPELSA</t>
        </is>
      </c>
      <c r="D23" s="312" t="n"/>
      <c r="E23" s="312" t="n"/>
      <c r="F23" s="312" t="n"/>
      <c r="G23" s="312" t="n"/>
      <c r="H23" s="312" t="n"/>
      <c r="I23" s="313" t="n"/>
      <c r="J23" s="319" t="n">
        <v>11270000</v>
      </c>
      <c r="K23" s="12" t="n">
        <v>43480</v>
      </c>
      <c r="L23" s="199" t="n"/>
      <c r="M23" s="235" t="n"/>
      <c r="N23" s="235" t="inlineStr">
        <is>
          <t>Diana Carolina Jaramillo</t>
        </is>
      </c>
      <c r="O23" s="235" t="n"/>
    </row>
    <row r="24">
      <c r="B24" s="226" t="n">
        <v>11</v>
      </c>
      <c r="C24" s="199" t="inlineStr">
        <is>
          <t>COTIZACION DEL DISEÑO DE LA RED DE EXTINCIÓN DE INCENDIOS - TROPIGAS SANTO TOMAS</t>
        </is>
      </c>
      <c r="D24" s="312" t="n"/>
      <c r="E24" s="312" t="n"/>
      <c r="F24" s="312" t="n"/>
      <c r="G24" s="312" t="n"/>
      <c r="H24" s="312" t="n"/>
      <c r="I24" s="313" t="n"/>
      <c r="J24" s="319" t="n">
        <v>16016</v>
      </c>
      <c r="K24" s="12" t="n">
        <v>43481</v>
      </c>
      <c r="L24" s="199" t="n"/>
      <c r="M24" s="235" t="n"/>
      <c r="N24" s="235" t="inlineStr">
        <is>
          <t>Julio Alejandro Llamas</t>
        </is>
      </c>
      <c r="O24" s="235" t="n"/>
    </row>
    <row r="25">
      <c r="B25" s="226" t="n">
        <v>12</v>
      </c>
      <c r="C25" s="199" t="inlineStr">
        <is>
          <t>COTIZACION ESTIMADA DE LOS DISEÑOS DE PROTECCIÓN CONTRA INCENDIOS Y SEGURIDAD HUMANA PARA PROYECTOS DE CONSTRUCIÓN Y REMODELACIÓN</t>
        </is>
      </c>
      <c r="D25" s="312" t="n"/>
      <c r="E25" s="312" t="n"/>
      <c r="F25" s="312" t="n"/>
      <c r="G25" s="312" t="n"/>
      <c r="H25" s="312" t="n"/>
      <c r="I25" s="313" t="n"/>
      <c r="J25" s="319" t="inlineStr">
        <is>
          <t>Variable</t>
        </is>
      </c>
      <c r="K25" s="12" t="n">
        <v>43486</v>
      </c>
      <c r="L25" s="12" t="n"/>
      <c r="M25" s="235" t="n"/>
      <c r="N25" s="235" t="inlineStr">
        <is>
          <t>Catalina Prieto</t>
        </is>
      </c>
      <c r="O25" s="235" t="n"/>
    </row>
    <row r="26">
      <c r="B26" s="226" t="n">
        <v>13</v>
      </c>
      <c r="C26" s="199" t="inlineStr">
        <is>
          <t>COTIZACION DEL DISEÑO DE EXTINCIÓN DE INCENDIOS PARA EL PROYECTO ALIMENTOS NUOVO PLANTA LA ESTRELLA</t>
        </is>
      </c>
      <c r="D26" s="312" t="n"/>
      <c r="E26" s="312" t="n"/>
      <c r="F26" s="312" t="n"/>
      <c r="G26" s="312" t="n"/>
      <c r="H26" s="312" t="n"/>
      <c r="I26" s="313" t="n"/>
      <c r="J26" s="319" t="n">
        <v>6130000</v>
      </c>
      <c r="K26" s="12" t="n">
        <v>43486</v>
      </c>
      <c r="L26" s="12" t="n"/>
      <c r="M26" s="235" t="n"/>
      <c r="N26" s="235" t="inlineStr">
        <is>
          <t>Carlos Esteban Longas Vélez</t>
        </is>
      </c>
      <c r="O26" s="235" t="n"/>
    </row>
    <row r="27">
      <c r="B27" s="226" t="n">
        <v>14</v>
      </c>
      <c r="C27" s="199" t="inlineStr">
        <is>
          <t>COTIZACION DE LOS DISEÑOS DE PROTECCIÓN CONTRA INCENDIOS PARA EL PROYECTO EVERFIT LA 65</t>
        </is>
      </c>
      <c r="D27" s="312" t="n"/>
      <c r="E27" s="312" t="n"/>
      <c r="F27" s="312" t="n"/>
      <c r="G27" s="312" t="n"/>
      <c r="H27" s="312" t="n"/>
      <c r="I27" s="313" t="n"/>
      <c r="J27" s="319" t="n">
        <v>3775000</v>
      </c>
      <c r="K27" s="12" t="n">
        <v>43121</v>
      </c>
      <c r="L27" s="12" t="n"/>
      <c r="M27" s="235" t="n"/>
      <c r="N27" s="235" t="inlineStr">
        <is>
          <t>Adriana Jiménez</t>
        </is>
      </c>
      <c r="O27" s="235" t="n"/>
    </row>
    <row r="28">
      <c r="B28" s="226" t="n">
        <v>15</v>
      </c>
      <c r="C28" s="199" t="inlineStr">
        <is>
          <t>COTIZACION DEL DISEÑO DE EXTINCIÓN DE INCENDIOS PARA EL PROYECTO ALIMENTOS NUOVO PLANTA LA ESTRELLA</t>
        </is>
      </c>
      <c r="D28" s="312" t="n"/>
      <c r="E28" s="312" t="n"/>
      <c r="F28" s="312" t="n"/>
      <c r="G28" s="312" t="n"/>
      <c r="H28" s="312" t="n"/>
      <c r="I28" s="313" t="n"/>
      <c r="J28" s="319" t="n">
        <v>4590000</v>
      </c>
      <c r="K28" s="12" t="n">
        <v>43488</v>
      </c>
      <c r="L28" s="12" t="n"/>
      <c r="M28" s="235" t="n"/>
      <c r="N28" s="235" t="inlineStr">
        <is>
          <t>Juan Pablo Grajales</t>
        </is>
      </c>
      <c r="O28" s="235" t="n"/>
    </row>
    <row r="29">
      <c r="B29" s="226" t="n">
        <v>16</v>
      </c>
      <c r="C29" s="199" t="inlineStr">
        <is>
          <t>COTIZACION DEL DISEÑO DE EXTINCIÓN DE INCENDIOS - DATACENTER</t>
        </is>
      </c>
      <c r="D29" s="312" t="n"/>
      <c r="E29" s="312" t="n"/>
      <c r="F29" s="312" t="n"/>
      <c r="G29" s="312" t="n"/>
      <c r="H29" s="312" t="n"/>
      <c r="I29" s="313" t="n"/>
      <c r="J29" s="319" t="n">
        <v>6590000</v>
      </c>
      <c r="K29" s="12" t="n">
        <v>43487</v>
      </c>
      <c r="L29" s="199" t="n"/>
      <c r="M29" s="235" t="n"/>
      <c r="N29" s="235" t="inlineStr">
        <is>
          <t>Daniel Felipe Díaz Beltrán M.Eng.</t>
        </is>
      </c>
      <c r="O29" s="235" t="n"/>
    </row>
    <row r="30">
      <c r="B30" s="226" t="n">
        <v>17</v>
      </c>
      <c r="C30" s="199" t="inlineStr">
        <is>
          <t>COTIZACION DE LOS DISEÑOS DE PROTECCIÓN CONTRA INCENDIOS PARA EL PROYECTO COLEGIO MONSEÑOR ALFONSO URIBE JARAMILLO</t>
        </is>
      </c>
      <c r="D30" s="312" t="n"/>
      <c r="E30" s="312" t="n"/>
      <c r="F30" s="312" t="n"/>
      <c r="G30" s="312" t="n"/>
      <c r="H30" s="312" t="n"/>
      <c r="I30" s="313" t="n"/>
      <c r="J30" s="319" t="n">
        <v>4470000</v>
      </c>
      <c r="K30" s="12" t="n">
        <v>43489</v>
      </c>
      <c r="L30" s="12" t="n"/>
      <c r="M30" s="235" t="n"/>
      <c r="N30" s="235" t="inlineStr">
        <is>
          <t>Edinson Franco</t>
        </is>
      </c>
      <c r="O30" s="235" t="n"/>
    </row>
    <row r="31">
      <c r="B31" s="226" t="n">
        <v>18</v>
      </c>
      <c r="C31" s="199" t="inlineStr">
        <is>
          <t>COTIZACION DE LOS DISEÑOS DE PROTECCIÓN CONTRA  INCENDIOS - LOCAL DECORCERÁMICA LLANOGRANDE</t>
        </is>
      </c>
      <c r="D31" s="312" t="n"/>
      <c r="E31" s="312" t="n"/>
      <c r="F31" s="312" t="n"/>
      <c r="G31" s="312" t="n"/>
      <c r="H31" s="312" t="n"/>
      <c r="I31" s="313" t="n"/>
      <c r="J31" s="319" t="n">
        <v>2600000</v>
      </c>
      <c r="K31" s="12" t="n">
        <v>43490</v>
      </c>
      <c r="L31" s="12" t="n"/>
      <c r="M31" s="235" t="n"/>
      <c r="N31" s="235" t="inlineStr">
        <is>
          <t>Jairo Andrés Moncada C.</t>
        </is>
      </c>
      <c r="O31" s="235" t="n"/>
    </row>
    <row r="32">
      <c r="B32" s="13" t="n">
        <v>19</v>
      </c>
      <c r="C32" s="199" t="inlineStr">
        <is>
          <t>COTIZACION DE LOS DISEÑOS DE SEGURIDAD HUMANA Y PROTECCIÓN CONTRA  INCENDIOS - LOS MELGUIZO</t>
        </is>
      </c>
      <c r="D32" s="312" t="n"/>
      <c r="E32" s="312" t="n"/>
      <c r="F32" s="312" t="n"/>
      <c r="G32" s="312" t="n"/>
      <c r="H32" s="312" t="n"/>
      <c r="I32" s="313" t="n"/>
      <c r="J32" s="319" t="n">
        <v>31790000</v>
      </c>
      <c r="K32" s="12" t="n">
        <v>43490</v>
      </c>
      <c r="L32" s="199" t="n"/>
      <c r="M32" s="235" t="n"/>
      <c r="N32" s="235" t="inlineStr">
        <is>
          <t>Jhon Anderson Rodriguez</t>
        </is>
      </c>
      <c r="O32" s="235" t="n"/>
    </row>
    <row r="33">
      <c r="B33" s="13" t="n">
        <v>19</v>
      </c>
      <c r="C33" s="235" t="inlineStr">
        <is>
          <t>COTIZACIÓN DE ACTUALIZACIÓN DE PLANOS RECORD Y REDISEÑO DE EXTINCIÓN DE INCENDIOS PARA EL AEROPUERTO EL CAÑO QUIBDÓ</t>
        </is>
      </c>
      <c r="D33" s="312" t="n"/>
      <c r="E33" s="312" t="n"/>
      <c r="F33" s="312" t="n"/>
      <c r="G33" s="312" t="n"/>
      <c r="H33" s="312" t="n"/>
      <c r="I33" s="313" t="n"/>
      <c r="J33" s="319" t="n">
        <v>33000000</v>
      </c>
      <c r="K33" s="12" t="n">
        <v>43468</v>
      </c>
      <c r="L33" s="199" t="n"/>
      <c r="M33" s="235" t="n"/>
      <c r="N33" s="207" t="inlineStr">
        <is>
          <t>Juan Camilo Quintero</t>
        </is>
      </c>
      <c r="O33" s="235" t="n"/>
    </row>
    <row r="34">
      <c r="B34" s="226" t="n">
        <v>20</v>
      </c>
      <c r="C34" s="199" t="inlineStr">
        <is>
          <t>COTIZACION DE LOS DISEÑOS DE PROTECCIÓN CONTRA INCENDIOS PARA EL PROYECTO MALL CIMARRONAS</t>
        </is>
      </c>
      <c r="D34" s="312" t="n"/>
      <c r="E34" s="312" t="n"/>
      <c r="F34" s="312" t="n"/>
      <c r="G34" s="312" t="n"/>
      <c r="H34" s="312" t="n"/>
      <c r="I34" s="313" t="n"/>
      <c r="J34" s="319" t="n">
        <v>9480000</v>
      </c>
      <c r="K34" s="12" t="n">
        <v>43490</v>
      </c>
      <c r="L34" s="199" t="n"/>
      <c r="M34" s="235" t="n"/>
      <c r="N34" s="235" t="inlineStr">
        <is>
          <t>Oscar Salazar</t>
        </is>
      </c>
      <c r="O34" s="235" t="n"/>
    </row>
    <row r="35">
      <c r="B35" s="226" t="n">
        <v>21</v>
      </c>
      <c r="C35" s="199" t="inlineStr">
        <is>
          <t>COTIZACION DEL ANÁLISIS DE SEGURIDAD HUMANA Y PROTECCIÓN CONTRA INCENDIOS - DAVITA</t>
        </is>
      </c>
      <c r="D35" s="312" t="n"/>
      <c r="E35" s="312" t="n"/>
      <c r="F35" s="312" t="n"/>
      <c r="G35" s="312" t="n"/>
      <c r="H35" s="312" t="n"/>
      <c r="I35" s="313" t="n"/>
      <c r="J35" s="319" t="n">
        <v>1950000</v>
      </c>
      <c r="K35" s="12" t="n">
        <v>43493</v>
      </c>
      <c r="L35" s="199" t="n"/>
      <c r="M35" s="235" t="n"/>
      <c r="N35" s="235" t="inlineStr">
        <is>
          <t>Otalvaro Osorio Correa</t>
        </is>
      </c>
      <c r="O35" s="235" t="n"/>
    </row>
    <row r="36">
      <c r="B36" s="226" t="n">
        <v>22</v>
      </c>
      <c r="C36" s="199" t="inlineStr">
        <is>
          <t>COTIZACION DE LOS DISEÑOS DE DE EXTINCIÓN Y DETECCIÓN  INCENDIOS - COMFAMA</t>
        </is>
      </c>
      <c r="D36" s="312" t="n"/>
      <c r="E36" s="312" t="n"/>
      <c r="F36" s="312" t="n"/>
      <c r="G36" s="312" t="n"/>
      <c r="H36" s="312" t="n"/>
      <c r="I36" s="313" t="n"/>
      <c r="J36" s="319" t="inlineStr">
        <is>
          <t>Variable</t>
        </is>
      </c>
      <c r="K36" s="12" t="n">
        <v>43494</v>
      </c>
      <c r="L36" s="199" t="n"/>
      <c r="M36" s="235" t="n"/>
      <c r="N36" s="235" t="inlineStr">
        <is>
          <t>Ariel Gómez Ruíz</t>
        </is>
      </c>
      <c r="O36" s="235" t="n"/>
    </row>
    <row r="37">
      <c r="B37" s="226" t="n">
        <v>23</v>
      </c>
      <c r="C37" s="199" t="inlineStr">
        <is>
          <t>COTIZACION DEL DISEÑO DE EXTINCIÓN DE INCENDIOS - FEDEX AEROPUERTO RIONEGRO</t>
        </is>
      </c>
      <c r="D37" s="312" t="n"/>
      <c r="E37" s="312" t="n"/>
      <c r="F37" s="312" t="n"/>
      <c r="G37" s="312" t="n"/>
      <c r="H37" s="312" t="n"/>
      <c r="I37" s="313" t="n"/>
      <c r="J37" s="319" t="n">
        <v>8153000</v>
      </c>
      <c r="K37" s="12" t="n">
        <v>43494</v>
      </c>
      <c r="L37" s="199" t="n"/>
      <c r="M37" s="235" t="n"/>
      <c r="N37" s="235" t="inlineStr">
        <is>
          <t>Juan Camilo Quintero Bedoya</t>
        </is>
      </c>
      <c r="O37" s="235" t="n"/>
    </row>
    <row r="38">
      <c r="B38" s="226" t="n">
        <v>24</v>
      </c>
      <c r="C38" s="199" t="inlineStr">
        <is>
          <t>COTIZACION DE LOS DISEÑOS DE PROTECCIÓN CONTRA  INCENDIOS - EDIFICIO INTERES SOCIAL LA ESTRELLA</t>
        </is>
      </c>
      <c r="D38" s="312" t="n"/>
      <c r="E38" s="312" t="n"/>
      <c r="F38" s="312" t="n"/>
      <c r="G38" s="312" t="n"/>
      <c r="H38" s="312" t="n"/>
      <c r="I38" s="313" t="n"/>
      <c r="J38" s="319" t="n">
        <v>10865000</v>
      </c>
      <c r="K38" s="12" t="n">
        <v>43494</v>
      </c>
      <c r="L38" s="199" t="n"/>
      <c r="M38" s="235" t="n"/>
      <c r="N38" s="235" t="inlineStr">
        <is>
          <t>Jorge Ruiz E.</t>
        </is>
      </c>
      <c r="O38" s="235" t="n"/>
    </row>
    <row r="39">
      <c r="B39" s="226" t="n">
        <v>25</v>
      </c>
      <c r="C39" s="199" t="inlineStr">
        <is>
          <t>COTIZACION DE LOS DISEÑOS DE SEGURIDAD HUMANA Y PROTECCIÓN CONTRA  INCENDIOS - AKI</t>
        </is>
      </c>
      <c r="D39" s="312" t="n"/>
      <c r="E39" s="312" t="n"/>
      <c r="F39" s="312" t="n"/>
      <c r="G39" s="312" t="n"/>
      <c r="H39" s="312" t="n"/>
      <c r="I39" s="313" t="n"/>
      <c r="J39" s="319" t="n">
        <v>32190000</v>
      </c>
      <c r="K39" s="12" t="n">
        <v>43494</v>
      </c>
      <c r="L39" s="199" t="n"/>
      <c r="M39" s="235" t="n"/>
      <c r="N39" s="235" t="inlineStr">
        <is>
          <t>Maribel Osorio</t>
        </is>
      </c>
      <c r="O39" s="235" t="n"/>
    </row>
    <row r="40">
      <c r="B40" s="226" t="n">
        <v>26</v>
      </c>
      <c r="C40" s="199" t="inlineStr">
        <is>
          <t>COTIZACION DE LOS DISEÑOS DE SEGURIDAD HUMANA Y PROTECCIÓN CONTRA  INCENDIOS - CASA CASTELLANA</t>
        </is>
      </c>
      <c r="D40" s="312" t="n"/>
      <c r="E40" s="312" t="n"/>
      <c r="F40" s="312" t="n"/>
      <c r="G40" s="312" t="n"/>
      <c r="H40" s="312" t="n"/>
      <c r="I40" s="313" t="n"/>
      <c r="J40" s="319" t="n">
        <v>17491000</v>
      </c>
      <c r="K40" s="12" t="n">
        <v>43494</v>
      </c>
      <c r="L40" s="199" t="n"/>
      <c r="M40" s="235" t="n"/>
      <c r="N40" s="235" t="inlineStr">
        <is>
          <t>Fernando Saldarriaga</t>
        </is>
      </c>
      <c r="O40" s="235" t="n"/>
    </row>
    <row r="41">
      <c r="B41" s="226" t="n">
        <v>27</v>
      </c>
      <c r="C41" s="199" t="inlineStr">
        <is>
          <t>COTIZACION DE LOS DISEÑOS DE SEGURIDAD HUMANA Y PROTECCIÓN CONTRA  INCENDIOS - VOLARÉ</t>
        </is>
      </c>
      <c r="D41" s="312" t="n"/>
      <c r="E41" s="312" t="n"/>
      <c r="F41" s="312" t="n"/>
      <c r="G41" s="312" t="n"/>
      <c r="H41" s="312" t="n"/>
      <c r="I41" s="313" t="n"/>
      <c r="J41" s="319" t="n">
        <v>20584000</v>
      </c>
      <c r="K41" s="12" t="n">
        <v>43494</v>
      </c>
      <c r="L41" s="199" t="n"/>
      <c r="M41" s="235" t="n"/>
      <c r="N41" s="235" t="inlineStr">
        <is>
          <t>Fernando Saldarriaga</t>
        </is>
      </c>
      <c r="O41" s="235" t="n"/>
    </row>
    <row r="42">
      <c r="B42" s="198" t="n">
        <v>28</v>
      </c>
      <c r="C42" s="198" t="inlineStr">
        <is>
          <t>COTIZACION DE LOS DISEÑOS DE SEGURIDAD HUMANA Y PROTECCIÓN CONTRA  INCENDIOS - VOLARÉ</t>
        </is>
      </c>
      <c r="D42" s="312" t="n"/>
      <c r="E42" s="312" t="n"/>
      <c r="F42" s="312" t="n"/>
      <c r="G42" s="312" t="n"/>
      <c r="H42" s="312" t="n"/>
      <c r="I42" s="313" t="n"/>
      <c r="J42" s="320" t="n">
        <v>20584000</v>
      </c>
      <c r="K42" s="28" t="n">
        <v>43495</v>
      </c>
      <c r="L42" s="198" t="n"/>
      <c r="M42" s="25" t="n"/>
      <c r="N42" s="25" t="n"/>
      <c r="O42" s="25" t="n"/>
    </row>
    <row r="43">
      <c r="A43" s="207" t="inlineStr">
        <is>
          <t>ok</t>
        </is>
      </c>
      <c r="B43" s="13" t="n">
        <v>29</v>
      </c>
      <c r="C43" s="199" t="inlineStr">
        <is>
          <t>COTIZACION DEL DISEÑO DE DETECCIÓN DE INCENDIOS PARA EL COLEGIO THE NEW SCHOOL</t>
        </is>
      </c>
      <c r="D43" s="312" t="n"/>
      <c r="E43" s="312" t="n"/>
      <c r="F43" s="312" t="n"/>
      <c r="G43" s="312" t="n"/>
      <c r="H43" s="312" t="n"/>
      <c r="I43" s="313" t="n"/>
      <c r="J43" s="319" t="n">
        <v>2980000</v>
      </c>
      <c r="K43" s="12" t="n">
        <v>43496</v>
      </c>
      <c r="L43" s="12" t="n"/>
      <c r="M43" s="235" t="n"/>
      <c r="N43" s="235" t="inlineStr">
        <is>
          <t>Jorge García</t>
        </is>
      </c>
      <c r="O43" s="235" t="n"/>
    </row>
    <row r="44">
      <c r="A44" s="207" t="inlineStr">
        <is>
          <t>ok</t>
        </is>
      </c>
      <c r="B44" s="13" t="n">
        <v>29</v>
      </c>
      <c r="C44" s="199" t="inlineStr">
        <is>
          <t>COTIZACION DE LOS DISEÑOS DE SEGURIDAD HUMANA Y PROTECCIÓN CONTRA  INCENDIOS - VOLARÉ</t>
        </is>
      </c>
      <c r="D44" s="312" t="n"/>
      <c r="E44" s="312" t="n"/>
      <c r="F44" s="312" t="n"/>
      <c r="G44" s="312" t="n"/>
      <c r="H44" s="312" t="n"/>
      <c r="I44" s="313" t="n"/>
      <c r="J44" s="319" t="inlineStr">
        <is>
          <t>Variable</t>
        </is>
      </c>
      <c r="K44" s="12" t="n">
        <v>43495</v>
      </c>
      <c r="L44" s="12" t="n"/>
      <c r="M44" s="235" t="n"/>
      <c r="N44" s="235" t="inlineStr">
        <is>
          <t>Estevan Castaño</t>
        </is>
      </c>
      <c r="O44" s="235" t="inlineStr">
        <is>
          <t>estevancastano@gmail.com</t>
        </is>
      </c>
    </row>
    <row r="45">
      <c r="B45" s="226" t="n">
        <v>30</v>
      </c>
      <c r="C45" s="199" t="inlineStr">
        <is>
          <t>COTIZACION DEL DISEÑO DE EXTINCIÓN DE INCENDIOS PARA EL PROYECTO LOCAL 114 DE JARDINES DE LLANOGRANDE</t>
        </is>
      </c>
      <c r="D45" s="312" t="n"/>
      <c r="E45" s="312" t="n"/>
      <c r="F45" s="312" t="n"/>
      <c r="G45" s="312" t="n"/>
      <c r="H45" s="312" t="n"/>
      <c r="I45" s="313" t="n"/>
      <c r="J45" s="319" t="n">
        <v>320000</v>
      </c>
      <c r="K45" s="12" t="n">
        <v>43496</v>
      </c>
      <c r="L45" s="199" t="n"/>
      <c r="M45" s="235" t="n"/>
      <c r="N45" s="235" t="inlineStr">
        <is>
          <t>David Lopera</t>
        </is>
      </c>
      <c r="O45" s="235" t="n"/>
    </row>
    <row r="46">
      <c r="B46" s="226" t="n">
        <v>31</v>
      </c>
      <c r="C46" s="199" t="inlineStr">
        <is>
          <t>COTIZACION DE LOS DISEÑOS DE PROTECCIÓN CONTRA INCENDIOS PARA EL PROYECTO SUMIMEDICAL</t>
        </is>
      </c>
      <c r="D46" s="312" t="n"/>
      <c r="E46" s="312" t="n"/>
      <c r="F46" s="312" t="n"/>
      <c r="G46" s="312" t="n"/>
      <c r="H46" s="312" t="n"/>
      <c r="I46" s="313" t="n"/>
      <c r="J46" s="319" t="n">
        <v>10835000</v>
      </c>
      <c r="K46" s="12" t="n">
        <v>43131</v>
      </c>
      <c r="L46" s="199" t="n"/>
      <c r="M46" s="235" t="n"/>
      <c r="N46" s="235" t="inlineStr">
        <is>
          <t>Cristiam Mondragón</t>
        </is>
      </c>
      <c r="O46" s="235" t="n"/>
    </row>
    <row r="47">
      <c r="B47" s="226" t="n">
        <v>32</v>
      </c>
      <c r="C47" s="199" t="inlineStr">
        <is>
          <t>COTIZACION DEL DISEÑO DE EXTINCIÓN DE INCENDIOS PARA EL PROYECTO LOCAL 113 DE JARDINES DE LLANOGRANDE</t>
        </is>
      </c>
      <c r="D47" s="312" t="n"/>
      <c r="E47" s="312" t="n"/>
      <c r="F47" s="312" t="n"/>
      <c r="G47" s="312" t="n"/>
      <c r="H47" s="312" t="n"/>
      <c r="I47" s="313" t="n"/>
      <c r="J47" s="319" t="n">
        <v>320000</v>
      </c>
      <c r="K47" s="12" t="n">
        <v>43500</v>
      </c>
      <c r="L47" s="199" t="n"/>
      <c r="M47" s="235" t="n"/>
      <c r="N47" s="235" t="inlineStr">
        <is>
          <t>David Lopera</t>
        </is>
      </c>
      <c r="O47" s="235" t="n"/>
    </row>
    <row r="48">
      <c r="B48" s="226" t="n">
        <v>33</v>
      </c>
      <c r="C48" s="199" t="inlineStr">
        <is>
          <t>COTIZACION DEL DISEÑO DE EXTINCIÓN DE INCENDIOS PARA EL PROYECTO LOCAL 129 DE JARDINES DE LLANOGRANDE</t>
        </is>
      </c>
      <c r="D48" s="312" t="n"/>
      <c r="E48" s="312" t="n"/>
      <c r="F48" s="312" t="n"/>
      <c r="G48" s="312" t="n"/>
      <c r="H48" s="312" t="n"/>
      <c r="I48" s="313" t="n"/>
      <c r="J48" s="319" t="n">
        <v>320000</v>
      </c>
      <c r="K48" s="12" t="n">
        <v>43500</v>
      </c>
      <c r="L48" s="199" t="n"/>
      <c r="M48" s="235" t="n"/>
      <c r="N48" s="235" t="inlineStr">
        <is>
          <t>David Lopera</t>
        </is>
      </c>
      <c r="O48" s="235" t="n"/>
    </row>
    <row r="49">
      <c r="B49" s="226" t="n">
        <v>34</v>
      </c>
      <c r="C49" s="199" t="inlineStr">
        <is>
          <t>COTIZACION DEL DISEÑO DE DETECCIÓN DE INCENDIOS - AIANA VERDE</t>
        </is>
      </c>
      <c r="D49" s="312" t="n"/>
      <c r="E49" s="312" t="n"/>
      <c r="F49" s="312" t="n"/>
      <c r="G49" s="312" t="n"/>
      <c r="H49" s="312" t="n"/>
      <c r="I49" s="313" t="n"/>
      <c r="J49" s="319" t="n">
        <v>5482000</v>
      </c>
      <c r="K49" s="12" t="n">
        <v>43501</v>
      </c>
      <c r="L49" s="199" t="n"/>
      <c r="M49" s="235" t="n"/>
      <c r="N49" s="235" t="inlineStr">
        <is>
          <t>Giovanni Zapata Isaza</t>
        </is>
      </c>
      <c r="O49" s="235" t="n"/>
    </row>
    <row r="50">
      <c r="B50" s="226" t="n">
        <v>35</v>
      </c>
      <c r="C50" s="199" t="inlineStr">
        <is>
          <t>COTIZACION DEL DISEÑO DE DETECCIÓN DE INCENDIOS - EDIFICIO TORRE CENTAL</t>
        </is>
      </c>
      <c r="D50" s="312" t="n"/>
      <c r="E50" s="312" t="n"/>
      <c r="F50" s="312" t="n"/>
      <c r="G50" s="312" t="n"/>
      <c r="H50" s="312" t="n"/>
      <c r="I50" s="313" t="n"/>
      <c r="J50" s="319" t="n">
        <v>2960000</v>
      </c>
      <c r="K50" s="12" t="n">
        <v>43501</v>
      </c>
      <c r="L50" s="199" t="n"/>
      <c r="M50" s="235" t="n"/>
      <c r="N50" s="235" t="inlineStr">
        <is>
          <t>Giovanni Zapata Isaza</t>
        </is>
      </c>
      <c r="O50" s="235" t="n"/>
    </row>
    <row r="51">
      <c r="B51" s="226" t="n">
        <v>36</v>
      </c>
      <c r="C51" s="199" t="inlineStr">
        <is>
          <t>COTIZACION DEL DISEÑO DE DETECCIÓN DE INCENDIOS - CENTRO COMERCIAL SAVANNA</t>
        </is>
      </c>
      <c r="D51" s="312" t="n"/>
      <c r="E51" s="312" t="n"/>
      <c r="F51" s="312" t="n"/>
      <c r="G51" s="312" t="n"/>
      <c r="H51" s="312" t="n"/>
      <c r="I51" s="313" t="n"/>
      <c r="J51" s="319" t="n">
        <v>3250000</v>
      </c>
      <c r="K51" s="12" t="n">
        <v>43501</v>
      </c>
      <c r="L51" s="199" t="n"/>
      <c r="M51" s="235" t="n"/>
      <c r="N51" s="235" t="inlineStr">
        <is>
          <t>Giovanni Zapata Isaza</t>
        </is>
      </c>
      <c r="O51" s="235" t="n"/>
    </row>
    <row r="52">
      <c r="B52" s="226" t="n">
        <v>37</v>
      </c>
      <c r="C52" s="199" t="inlineStr">
        <is>
          <t>COTIZACION DE LOS DISEÑOS DE SEGURIDAD HUMANA Y PROTECCIÓN CONTRA  INCENDIOS - ALEJANDRIA</t>
        </is>
      </c>
      <c r="D52" s="312" t="n"/>
      <c r="E52" s="312" t="n"/>
      <c r="F52" s="312" t="n"/>
      <c r="G52" s="312" t="n"/>
      <c r="H52" s="312" t="n"/>
      <c r="I52" s="313" t="n"/>
      <c r="J52" s="319" t="n">
        <v>8655000</v>
      </c>
      <c r="K52" s="12" t="n">
        <v>43501</v>
      </c>
      <c r="L52" s="199" t="n"/>
      <c r="M52" s="235" t="n"/>
      <c r="N52" s="235" t="inlineStr">
        <is>
          <t>Gabriel Paniagua</t>
        </is>
      </c>
      <c r="O52" s="235" t="n"/>
    </row>
    <row r="53">
      <c r="B53" s="226" t="n">
        <v>38</v>
      </c>
      <c r="C53" s="199" t="inlineStr">
        <is>
          <t>COTIZACION DEL DISEÑO CONEXIÓN TANQUE DE EQUILIBRIO VILLA VERDE</t>
        </is>
      </c>
      <c r="D53" s="312" t="n"/>
      <c r="E53" s="312" t="n"/>
      <c r="F53" s="312" t="n"/>
      <c r="G53" s="312" t="n"/>
      <c r="H53" s="312" t="n"/>
      <c r="I53" s="313" t="n"/>
      <c r="J53" s="319" t="n">
        <v>1317000</v>
      </c>
      <c r="K53" s="12" t="n">
        <v>43501</v>
      </c>
      <c r="L53" s="12" t="n"/>
      <c r="M53" s="235" t="n"/>
      <c r="N53" s="235" t="inlineStr">
        <is>
          <t>Mauricio Sepúlveda Rivillas</t>
        </is>
      </c>
      <c r="O53" s="235" t="n"/>
    </row>
    <row r="54">
      <c r="B54" s="226" t="n">
        <v>39</v>
      </c>
      <c r="C54" s="199" t="inlineStr">
        <is>
          <t>COTIZACION DE VISITAS DE INTERVENTORIA A LAS OBRAS DE SISTEMAS EN PROTECCIÓN CONTRA INCENDIOS S.A.S.</t>
        </is>
      </c>
      <c r="D54" s="312" t="n"/>
      <c r="E54" s="312" t="n"/>
      <c r="F54" s="312" t="n"/>
      <c r="G54" s="312" t="n"/>
      <c r="H54" s="312" t="n"/>
      <c r="I54" s="313" t="n"/>
      <c r="J54" s="319" t="n">
        <v>450000</v>
      </c>
      <c r="K54" s="12" t="n">
        <v>43502</v>
      </c>
      <c r="L54" s="199" t="n"/>
      <c r="M54" s="235" t="n"/>
      <c r="N54" s="235" t="inlineStr">
        <is>
          <t>Juan Pablo Grajales</t>
        </is>
      </c>
      <c r="O54" s="235" t="n"/>
    </row>
    <row r="55">
      <c r="B55" s="226" t="n">
        <v>40</v>
      </c>
      <c r="C55" s="199" t="inlineStr">
        <is>
          <t>COTIZACION DEL DISEÑO DE EXTINCIÓN DE INCENDIOS PARA EL PROYECTO LOCAL 111 DE JARDINES DE LLANOGRANDE</t>
        </is>
      </c>
      <c r="D55" s="312" t="n"/>
      <c r="E55" s="312" t="n"/>
      <c r="F55" s="312" t="n"/>
      <c r="G55" s="312" t="n"/>
      <c r="H55" s="312" t="n"/>
      <c r="I55" s="313" t="n"/>
      <c r="J55" s="319" t="n">
        <v>320000</v>
      </c>
      <c r="K55" s="15" t="n">
        <v>43503</v>
      </c>
      <c r="L55" s="199" t="n"/>
      <c r="M55" s="235" t="n"/>
      <c r="N55" s="235" t="inlineStr">
        <is>
          <t>David Lopera</t>
        </is>
      </c>
      <c r="O55" s="235" t="n"/>
    </row>
    <row r="56">
      <c r="B56" s="198" t="n">
        <v>41</v>
      </c>
      <c r="C56" s="198" t="inlineStr">
        <is>
          <t>COTIZACION DEL DISEÑO DE EXTINCIÓN DE INCENDIOS PARA EL PROYECTO TALLER MAZDA MAYORCA</t>
        </is>
      </c>
      <c r="D56" s="312" t="n"/>
      <c r="E56" s="312" t="n"/>
      <c r="F56" s="312" t="n"/>
      <c r="G56" s="312" t="n"/>
      <c r="H56" s="312" t="n"/>
      <c r="I56" s="313" t="n"/>
      <c r="J56" s="320" t="n">
        <v>1882000</v>
      </c>
      <c r="K56" s="29" t="n">
        <v>43503</v>
      </c>
      <c r="L56" s="198" t="n"/>
      <c r="M56" s="25" t="n"/>
      <c r="N56" s="25" t="n"/>
      <c r="O56" s="25" t="n"/>
    </row>
    <row r="57">
      <c r="B57" s="226" t="n">
        <v>42</v>
      </c>
      <c r="C57" s="199" t="inlineStr">
        <is>
          <t>COTIZACION DEL DISEÑO DE DETECCIÓN DE INCENDIOS PARA EL PROYECTO OFICINA COMDATA</t>
        </is>
      </c>
      <c r="D57" s="312" t="n"/>
      <c r="E57" s="312" t="n"/>
      <c r="F57" s="312" t="n"/>
      <c r="G57" s="312" t="n"/>
      <c r="H57" s="312" t="n"/>
      <c r="I57" s="313" t="n"/>
      <c r="J57" s="319" t="n">
        <v>1225000</v>
      </c>
      <c r="K57" s="12" t="n">
        <v>43505</v>
      </c>
      <c r="L57" s="199" t="n"/>
      <c r="M57" s="235" t="n"/>
      <c r="N57" s="235" t="inlineStr">
        <is>
          <t>Liseth Molina</t>
        </is>
      </c>
      <c r="O57" s="235" t="n"/>
    </row>
    <row r="58">
      <c r="A58" s="207" t="inlineStr">
        <is>
          <t>ok</t>
        </is>
      </c>
      <c r="B58" s="13" t="n">
        <v>43</v>
      </c>
      <c r="C58" s="199" t="inlineStr">
        <is>
          <t>COTIZACION DE LOS DISEÑOS DE PROTECCIÓN CONTRA INCENDIOS Y SEGURIDAD HUMANA PARA EL PROYECTO NOGALES</t>
        </is>
      </c>
      <c r="D58" s="312" t="n"/>
      <c r="E58" s="312" t="n"/>
      <c r="F58" s="312" t="n"/>
      <c r="G58" s="312" t="n"/>
      <c r="H58" s="312" t="n"/>
      <c r="I58" s="313" t="n"/>
      <c r="J58" s="319" t="n">
        <v>18560000</v>
      </c>
      <c r="K58" s="12" t="n">
        <v>43507</v>
      </c>
      <c r="L58" s="12" t="n"/>
      <c r="M58" s="235" t="n"/>
      <c r="N58" s="235" t="inlineStr">
        <is>
          <t>Jaime Laverde</t>
        </is>
      </c>
      <c r="O58" s="235" t="n"/>
    </row>
    <row r="59">
      <c r="A59" s="207" t="inlineStr">
        <is>
          <t>ok</t>
        </is>
      </c>
      <c r="B59" s="13" t="n">
        <v>43</v>
      </c>
      <c r="C59" s="199" t="inlineStr">
        <is>
          <t>COTIZACION DE LOS DISEÑOS DE PROTECCIÓN CONTRA INCENDIOS Y SEGURIDAD HUMANA PARA EL PROYECTO EDIFICIO EN LA 33</t>
        </is>
      </c>
      <c r="D59" s="312" t="n"/>
      <c r="E59" s="312" t="n"/>
      <c r="F59" s="312" t="n"/>
      <c r="G59" s="312" t="n"/>
      <c r="H59" s="312" t="n"/>
      <c r="I59" s="313" t="n"/>
      <c r="J59" s="319" t="n">
        <v>7790000</v>
      </c>
      <c r="K59" s="12" t="n">
        <v>43505</v>
      </c>
      <c r="L59" s="12" t="n"/>
      <c r="M59" s="235" t="n"/>
      <c r="N59" s="235" t="inlineStr">
        <is>
          <t>Juan David Botero</t>
        </is>
      </c>
      <c r="O59" s="235" t="n"/>
    </row>
    <row r="60">
      <c r="B60" s="226" t="n">
        <v>44</v>
      </c>
      <c r="C60" s="199" t="inlineStr">
        <is>
          <t>COTIZACION DE LOS DISEÑOS DE PROTECCIÓN CONTRA  INCENDIOS - EDIFICIO DOCENCIA CES</t>
        </is>
      </c>
      <c r="D60" s="312" t="n"/>
      <c r="E60" s="312" t="n"/>
      <c r="F60" s="312" t="n"/>
      <c r="G60" s="312" t="n"/>
      <c r="H60" s="312" t="n"/>
      <c r="I60" s="313" t="n"/>
      <c r="J60" s="319" t="inlineStr">
        <is>
          <t>VARIABLE</t>
        </is>
      </c>
      <c r="K60" s="12" t="n">
        <v>43508</v>
      </c>
      <c r="L60" s="12" t="n"/>
      <c r="M60" s="235" t="n"/>
      <c r="N60" s="235" t="inlineStr">
        <is>
          <t>Jhoam Andres Giraldo</t>
        </is>
      </c>
      <c r="O60" s="235" t="n"/>
    </row>
    <row r="61">
      <c r="B61" s="226" t="n">
        <v>45</v>
      </c>
      <c r="C61" s="199" t="inlineStr">
        <is>
          <t>COTIZACION DEL ANÁLISIS DE SEGURIDAD HUMANA - EDIFICIO DOCENCIA CES</t>
        </is>
      </c>
      <c r="D61" s="312" t="n"/>
      <c r="E61" s="312" t="n"/>
      <c r="F61" s="312" t="n"/>
      <c r="G61" s="312" t="n"/>
      <c r="H61" s="312" t="n"/>
      <c r="I61" s="313" t="n"/>
      <c r="J61" s="319" t="n">
        <v>3135000</v>
      </c>
      <c r="K61" s="12" t="n">
        <v>43143</v>
      </c>
      <c r="L61" s="12" t="n"/>
      <c r="M61" s="235" t="n"/>
      <c r="N61" s="235" t="inlineStr">
        <is>
          <t>Jhoam Andres Giraldo</t>
        </is>
      </c>
      <c r="O61" s="235" t="n"/>
    </row>
    <row r="62">
      <c r="B62" s="226" t="n">
        <v>46</v>
      </c>
      <c r="C62" s="199" t="inlineStr">
        <is>
          <t>COTIZACION DE LOS DISEÑOS DE PROTECCIÓN CONTRA INCENDIOS Y SEGURIDAD HUMANA PARA EL PROYECTO EDIFICIO EN ENVIGADO</t>
        </is>
      </c>
      <c r="D62" s="312" t="n"/>
      <c r="E62" s="312" t="n"/>
      <c r="F62" s="312" t="n"/>
      <c r="G62" s="312" t="n"/>
      <c r="H62" s="312" t="n"/>
      <c r="I62" s="313" t="n"/>
      <c r="J62" s="319" t="n">
        <v>5630000</v>
      </c>
      <c r="K62" s="12" t="n">
        <v>43507</v>
      </c>
      <c r="L62" s="199" t="n"/>
      <c r="M62" s="235" t="n"/>
      <c r="N62" s="235" t="inlineStr">
        <is>
          <t>Carlos Andrés Muñoz</t>
        </is>
      </c>
      <c r="O62" s="235" t="n"/>
    </row>
    <row r="63">
      <c r="A63" s="207" t="inlineStr">
        <is>
          <t>si</t>
        </is>
      </c>
      <c r="B63" s="13" t="n">
        <v>48</v>
      </c>
      <c r="C63" s="199" t="inlineStr">
        <is>
          <t>COTIZACION DE LOS DISEÑOS DE PROTECCIÓN CONTRA INCENDIOS Y SEGURIDAD HUMANA PARA EL PROYECTO CÁMARA DE COMECIO RIONEGRO</t>
        </is>
      </c>
      <c r="D63" s="312" t="n"/>
      <c r="E63" s="312" t="n"/>
      <c r="F63" s="312" t="n"/>
      <c r="G63" s="312" t="n"/>
      <c r="H63" s="312" t="n"/>
      <c r="I63" s="313" t="n"/>
      <c r="J63" s="319" t="n">
        <v>12535000</v>
      </c>
      <c r="K63" s="12" t="n">
        <v>43507</v>
      </c>
      <c r="L63" s="12" t="n"/>
      <c r="M63" s="235" t="n"/>
      <c r="N63" s="235" t="inlineStr">
        <is>
          <t>Estevan Castaño</t>
        </is>
      </c>
      <c r="O63" s="235" t="n"/>
    </row>
    <row r="64">
      <c r="A64" s="207" t="inlineStr">
        <is>
          <t>si</t>
        </is>
      </c>
      <c r="B64" s="13" t="n">
        <v>48</v>
      </c>
      <c r="C64" s="199" t="inlineStr">
        <is>
          <t>COTIZACION DEL DISEÑO DE DETECCIÓN DE INCENDIOS - SUBESTACIÓN LA CUMBRE</t>
        </is>
      </c>
      <c r="D64" s="312" t="n"/>
      <c r="E64" s="312" t="n"/>
      <c r="F64" s="312" t="n"/>
      <c r="G64" s="312" t="n"/>
      <c r="H64" s="312" t="n"/>
      <c r="I64" s="313" t="n"/>
      <c r="J64" s="319" t="n">
        <v>4610000</v>
      </c>
      <c r="K64" s="12" t="n">
        <v>43508</v>
      </c>
      <c r="L64" s="12" t="n"/>
      <c r="M64" s="235" t="n"/>
      <c r="N64" s="235" t="inlineStr">
        <is>
          <t>David Lopera</t>
        </is>
      </c>
      <c r="O64" s="235" t="n"/>
    </row>
    <row r="65">
      <c r="B65" s="226" t="n">
        <v>49</v>
      </c>
      <c r="C65" s="226" t="inlineStr">
        <is>
          <t>COTIZACION DE LOS DISEÑOS DE PROTECCIÓN CONTRA  INCENDIOS - EDIFICIO DOCENCIA CES (PARA CIVILSA)</t>
        </is>
      </c>
      <c r="D65" s="312" t="n"/>
      <c r="E65" s="312" t="n"/>
      <c r="F65" s="312" t="n"/>
      <c r="G65" s="312" t="n"/>
      <c r="H65" s="312" t="n"/>
      <c r="I65" s="313" t="n"/>
      <c r="J65" s="319" t="n">
        <v>13800000</v>
      </c>
      <c r="K65" s="12" t="n">
        <v>43508</v>
      </c>
      <c r="L65" s="12" t="n"/>
      <c r="M65" s="235" t="n"/>
      <c r="N65" s="235" t="inlineStr">
        <is>
          <t>Julio Alzate</t>
        </is>
      </c>
      <c r="O65" s="235" t="n"/>
    </row>
    <row r="66">
      <c r="B66" s="226" t="n">
        <v>50</v>
      </c>
      <c r="C66" s="226" t="inlineStr">
        <is>
          <t>COTIZACION DEL DISEÑO DE EXTINCIÓN DE INCENDIOS PARA EL PROYECTO LOCAL 237 – COLCHONES PARAISO JARDINES DE LLANOGRANDE</t>
        </is>
      </c>
      <c r="D66" s="312" t="n"/>
      <c r="E66" s="312" t="n"/>
      <c r="F66" s="312" t="n"/>
      <c r="G66" s="312" t="n"/>
      <c r="H66" s="312" t="n"/>
      <c r="I66" s="313" t="n"/>
      <c r="J66" s="319" t="n">
        <v>2640000</v>
      </c>
      <c r="K66" s="12" t="n">
        <v>43515</v>
      </c>
      <c r="L66" s="199" t="n"/>
      <c r="M66" s="235" t="n"/>
      <c r="N66" s="235" t="inlineStr">
        <is>
          <t>David Lopera</t>
        </is>
      </c>
      <c r="O66" s="235" t="n"/>
    </row>
    <row r="67">
      <c r="B67" s="226" t="n">
        <v>51</v>
      </c>
      <c r="C67" s="226" t="inlineStr">
        <is>
          <t>COTIZACION DE LOS DISEÑOS DE SEGURIDAD HUMANA Y PROTECCIÓN CONTRA  INCENDIOS - ALCARAVANES MARINILLA</t>
        </is>
      </c>
      <c r="D67" s="312" t="n"/>
      <c r="E67" s="312" t="n"/>
      <c r="F67" s="312" t="n"/>
      <c r="G67" s="312" t="n"/>
      <c r="H67" s="312" t="n"/>
      <c r="I67" s="313" t="n"/>
      <c r="J67" s="319" t="n">
        <v>9979000</v>
      </c>
      <c r="K67" s="12" t="n">
        <v>43516</v>
      </c>
      <c r="L67" s="199" t="n"/>
      <c r="M67" s="235" t="n"/>
      <c r="N67" s="25" t="n"/>
      <c r="O67" s="235" t="n"/>
    </row>
    <row r="68">
      <c r="B68" s="226" t="n">
        <v>52</v>
      </c>
      <c r="C68" s="226" t="inlineStr">
        <is>
          <t>COTIZACION DE LOS DISEÑOS DE EXTINCIÓN DE INCENDIOS Y SEGURIDAD HUMANA PARA EL PROYECTO HOTEL HILTON EL SALVADOR</t>
        </is>
      </c>
      <c r="D68" s="312" t="n"/>
      <c r="E68" s="312" t="n"/>
      <c r="F68" s="312" t="n"/>
      <c r="G68" s="312" t="n"/>
      <c r="H68" s="312" t="n"/>
      <c r="I68" s="313" t="n"/>
      <c r="J68" s="319" t="n">
        <v>4450</v>
      </c>
      <c r="K68" s="12" t="n">
        <v>43518</v>
      </c>
      <c r="L68" s="199" t="n"/>
      <c r="M68" s="235" t="n"/>
      <c r="N68" s="235" t="inlineStr">
        <is>
          <t>Julio Alejandro Llamas</t>
        </is>
      </c>
      <c r="O68" s="235" t="n"/>
    </row>
    <row r="69">
      <c r="B69" s="226" t="n">
        <v>53</v>
      </c>
      <c r="C69" s="226" t="inlineStr">
        <is>
          <t>COTIZACION DE LOS DISEÑOS DE PROTECCIÓN CONTRA INCENDIOS Y SEGURIDAD HUMANA PARA EL PROYECTO JARDINES DEL SUR</t>
        </is>
      </c>
      <c r="D69" s="312" t="n"/>
      <c r="E69" s="312" t="n"/>
      <c r="F69" s="312" t="n"/>
      <c r="G69" s="312" t="n"/>
      <c r="H69" s="312" t="n"/>
      <c r="I69" s="313" t="n"/>
      <c r="J69" s="319" t="n">
        <v>18000000</v>
      </c>
      <c r="K69" s="12" t="n">
        <v>43518</v>
      </c>
      <c r="L69" s="199" t="n"/>
      <c r="M69" s="235" t="n"/>
      <c r="N69" s="25" t="n"/>
      <c r="O69" s="235" t="n"/>
    </row>
    <row r="70">
      <c r="B70" s="226" t="n">
        <v>54</v>
      </c>
      <c r="C70" s="226" t="inlineStr">
        <is>
          <t>COTIZACION DE LOS DISEÑOS DE SEGURIDAD HUMANA Y PROTECCIÓN CONTRA  INCENDIOS - CÁMARA DE COMERCIO RIONEGRO</t>
        </is>
      </c>
      <c r="D70" s="312" t="n"/>
      <c r="E70" s="312" t="n"/>
      <c r="F70" s="312" t="n"/>
      <c r="G70" s="312" t="n"/>
      <c r="H70" s="312" t="n"/>
      <c r="I70" s="313" t="n"/>
      <c r="J70" s="319" t="n">
        <v>12535000</v>
      </c>
      <c r="K70" s="12" t="n">
        <v>43522</v>
      </c>
      <c r="L70" s="199" t="n"/>
      <c r="M70" s="235" t="n"/>
      <c r="N70" s="235" t="inlineStr">
        <is>
          <t>Cristian Rendón</t>
        </is>
      </c>
      <c r="O70" s="235" t="n"/>
    </row>
    <row r="71">
      <c r="B71" s="226" t="n">
        <v>55</v>
      </c>
      <c r="C71" s="226" t="inlineStr">
        <is>
          <t>COTIZACION DEL ANÁLISIS DE SEGURIDAD HUMANA - TURIN</t>
        </is>
      </c>
      <c r="D71" s="312" t="n"/>
      <c r="E71" s="312" t="n"/>
      <c r="F71" s="312" t="n"/>
      <c r="G71" s="312" t="n"/>
      <c r="H71" s="312" t="n"/>
      <c r="I71" s="313" t="n"/>
      <c r="J71" s="319" t="n">
        <v>2430000</v>
      </c>
      <c r="K71" s="12" t="n">
        <v>43523</v>
      </c>
      <c r="L71" s="199" t="n"/>
      <c r="M71" s="235" t="n"/>
      <c r="N71" s="235" t="inlineStr">
        <is>
          <t>Saray David Barrientos</t>
        </is>
      </c>
      <c r="O71" s="235" t="n"/>
    </row>
    <row r="72">
      <c r="B72" s="226" t="n">
        <v>56</v>
      </c>
      <c r="C72" s="226" t="inlineStr">
        <is>
          <t>COTIZACION DE LOS DISEÑOS DE SEGURIDAD HUMANA Y PROTECCIÓN CONTRA  INCENDIOS - EDIFICIO BEDOUT VICTOR</t>
        </is>
      </c>
      <c r="D72" s="312" t="n"/>
      <c r="E72" s="312" t="n"/>
      <c r="F72" s="312" t="n"/>
      <c r="G72" s="312" t="n"/>
      <c r="H72" s="312" t="n"/>
      <c r="I72" s="313" t="n"/>
      <c r="J72" s="319" t="n">
        <v>7985000</v>
      </c>
      <c r="K72" s="12" t="n">
        <v>43523</v>
      </c>
      <c r="L72" s="199" t="n"/>
      <c r="M72" s="235" t="n"/>
      <c r="N72" s="235" t="inlineStr">
        <is>
          <t>Robinson A. Morales García</t>
        </is>
      </c>
      <c r="O72" s="235" t="n"/>
    </row>
    <row r="73">
      <c r="B73" s="226" t="n">
        <v>57</v>
      </c>
      <c r="C73" s="226" t="inlineStr">
        <is>
          <t>COTIZACION DE LOS DISEÑOS DE PROTECCIÓN CONTRA  INCENDIOS - ENTRE CEJAS Y PESTAÑAS</t>
        </is>
      </c>
      <c r="D73" s="312" t="n"/>
      <c r="E73" s="312" t="n"/>
      <c r="F73" s="312" t="n"/>
      <c r="G73" s="312" t="n"/>
      <c r="H73" s="312" t="n"/>
      <c r="I73" s="313" t="n"/>
      <c r="J73" s="319" t="n">
        <v>590000</v>
      </c>
      <c r="K73" s="12" t="n">
        <v>43524</v>
      </c>
      <c r="L73" s="199" t="n"/>
      <c r="M73" s="235" t="n"/>
      <c r="N73" s="235" t="inlineStr">
        <is>
          <t>Jhonny Castro</t>
        </is>
      </c>
      <c r="O73" s="235" t="n"/>
    </row>
    <row r="74">
      <c r="B74" s="226" t="n">
        <v>58</v>
      </c>
      <c r="C74" s="226" t="inlineStr">
        <is>
          <t>COTIZACION DEL DISEÑO DE EXTINCIÓN DE INCENDIOS - QUIRÓFANOS MAYORCA</t>
        </is>
      </c>
      <c r="D74" s="312" t="n"/>
      <c r="E74" s="312" t="n"/>
      <c r="F74" s="312" t="n"/>
      <c r="G74" s="312" t="n"/>
      <c r="H74" s="312" t="n"/>
      <c r="I74" s="313" t="n"/>
      <c r="J74" s="319" t="n">
        <v>3293000</v>
      </c>
      <c r="K74" s="12" t="n">
        <v>43525</v>
      </c>
      <c r="L74" s="199" t="n"/>
      <c r="M74" s="235" t="n"/>
      <c r="N74" s="235" t="inlineStr">
        <is>
          <t>Nora Luz Berrio Arango</t>
        </is>
      </c>
      <c r="O74" s="235" t="n"/>
    </row>
    <row r="75">
      <c r="B75" s="226" t="n">
        <v>59</v>
      </c>
      <c r="C75" s="226" t="inlineStr">
        <is>
          <t>COTIZACION DEL DISEÑO DE EXTINCIÓN DE INCENDIOS PARA EL PROYECTO LOCAL TAKOUT SANTAFE</t>
        </is>
      </c>
      <c r="D75" s="312" t="n"/>
      <c r="E75" s="312" t="n"/>
      <c r="F75" s="312" t="n"/>
      <c r="G75" s="312" t="n"/>
      <c r="H75" s="312" t="n"/>
      <c r="I75" s="313" t="n"/>
      <c r="J75" s="319" t="n">
        <v>330000</v>
      </c>
      <c r="K75" s="12" t="n">
        <v>43525</v>
      </c>
      <c r="L75" s="12" t="n"/>
      <c r="M75" s="235" t="n"/>
      <c r="N75" s="235" t="inlineStr">
        <is>
          <t>David Lopera</t>
        </is>
      </c>
      <c r="O75" s="235" t="n"/>
    </row>
    <row r="76">
      <c r="B76" s="226" t="n">
        <v>60</v>
      </c>
      <c r="C76" s="226" t="inlineStr">
        <is>
          <t>COTIZACION DE LOS DISEÑOS DE PROTECCIÓN CONTRA INCENDIOS PARA EL PROYECTO LOCAL NOISE VIVA ENVIGADO</t>
        </is>
      </c>
      <c r="D76" s="312" t="n"/>
      <c r="E76" s="312" t="n"/>
      <c r="F76" s="312" t="n"/>
      <c r="G76" s="312" t="n"/>
      <c r="H76" s="312" t="n"/>
      <c r="I76" s="313" t="n"/>
      <c r="J76" s="319" t="n">
        <v>990000</v>
      </c>
      <c r="K76" s="12" t="n">
        <v>43528</v>
      </c>
      <c r="L76" s="199" t="n"/>
      <c r="M76" s="235" t="n"/>
      <c r="N76" s="235" t="inlineStr">
        <is>
          <t>Camilo López</t>
        </is>
      </c>
      <c r="O76" s="235" t="n"/>
    </row>
    <row r="77">
      <c r="B77" s="226" t="n">
        <v>61</v>
      </c>
      <c r="C77" s="226" t="inlineStr">
        <is>
          <t>COTIZACION DE LOS DISEÑOS DE PROTECCIÓN CONTRA  INCENDIOS - CANTAGIRONE SETTE</t>
        </is>
      </c>
      <c r="D77" s="312" t="n"/>
      <c r="E77" s="312" t="n"/>
      <c r="F77" s="312" t="n"/>
      <c r="G77" s="312" t="n"/>
      <c r="H77" s="312" t="n"/>
      <c r="I77" s="313" t="n"/>
      <c r="J77" s="319" t="n">
        <v>14926000</v>
      </c>
      <c r="K77" s="12" t="n">
        <v>43529</v>
      </c>
      <c r="L77" s="12" t="n"/>
      <c r="M77" s="235" t="n"/>
      <c r="N77" s="235" t="inlineStr">
        <is>
          <t>Laura Osorio</t>
        </is>
      </c>
      <c r="O77" s="235" t="n"/>
    </row>
    <row r="78">
      <c r="B78" s="226" t="n">
        <v>62</v>
      </c>
      <c r="C78" s="226" t="inlineStr">
        <is>
          <t>COTIZACION DEL DISEÑO DE EXTINCIÓN DE INCENDIOS PARA EL PROYECTO LOCAL 162 DE PALMAGRANDE</t>
        </is>
      </c>
      <c r="D78" s="312" t="n"/>
      <c r="E78" s="312" t="n"/>
      <c r="F78" s="312" t="n"/>
      <c r="G78" s="312" t="n"/>
      <c r="H78" s="312" t="n"/>
      <c r="I78" s="313" t="n"/>
      <c r="J78" s="319" t="n">
        <v>320000</v>
      </c>
      <c r="K78" s="12" t="n">
        <v>43529</v>
      </c>
      <c r="L78" s="199" t="n"/>
      <c r="M78" s="235" t="n"/>
      <c r="N78" s="235" t="inlineStr">
        <is>
          <t>David Lopera</t>
        </is>
      </c>
      <c r="O78" s="235" t="n"/>
    </row>
    <row r="79">
      <c r="B79" s="13" t="n">
        <v>63</v>
      </c>
      <c r="C79" s="199" t="inlineStr">
        <is>
          <t>COTIZACION DEL DISEÑO DE DETECCIÓN DE INCENDIOS - CASA CULTURAL LA ESTRELLLA</t>
        </is>
      </c>
      <c r="D79" s="312" t="n"/>
      <c r="E79" s="312" t="n"/>
      <c r="F79" s="312" t="n"/>
      <c r="G79" s="312" t="n"/>
      <c r="H79" s="312" t="n"/>
      <c r="I79" s="313" t="n"/>
      <c r="J79" s="319" t="n">
        <v>650000</v>
      </c>
      <c r="K79" s="12" t="n">
        <v>43529</v>
      </c>
      <c r="L79" s="12" t="n"/>
      <c r="M79" s="235" t="n"/>
      <c r="N79" s="235" t="inlineStr">
        <is>
          <t>Laura Osorio</t>
        </is>
      </c>
      <c r="O79" s="235" t="n"/>
    </row>
    <row r="80">
      <c r="B80" s="13" t="n">
        <v>63</v>
      </c>
      <c r="C80" s="199" t="inlineStr">
        <is>
          <t>COTIZACION DEL DISEÑO DE DETECCIÓN DE INCENDIOS PARA EL PROYECTO PALACIO MUNICIPAL CONCORDIA</t>
        </is>
      </c>
      <c r="D80" s="312" t="n"/>
      <c r="E80" s="312" t="n"/>
      <c r="F80" s="312" t="n"/>
      <c r="G80" s="312" t="n"/>
      <c r="H80" s="312" t="n"/>
      <c r="I80" s="313" t="n"/>
      <c r="J80" s="319" t="n">
        <v>1620000</v>
      </c>
      <c r="K80" s="12" t="n">
        <v>43535</v>
      </c>
      <c r="L80" s="12" t="n"/>
      <c r="M80" s="235" t="n"/>
      <c r="N80" s="235" t="inlineStr">
        <is>
          <t>Laura Osorio</t>
        </is>
      </c>
      <c r="O80" s="235" t="n"/>
    </row>
    <row r="81">
      <c r="B81" s="226" t="n">
        <v>64</v>
      </c>
      <c r="C81" s="199" t="inlineStr">
        <is>
          <t>COTIZACION DE LOS DISEÑOS DE PROTECCIÓN CONTRA  INCENDIOS - PROYECTO OFICINAS GUATEMALA</t>
        </is>
      </c>
      <c r="D81" s="312" t="n"/>
      <c r="E81" s="312" t="n"/>
      <c r="F81" s="312" t="n"/>
      <c r="G81" s="312" t="n"/>
      <c r="H81" s="312" t="n"/>
      <c r="I81" s="313" t="n"/>
      <c r="J81" s="319" t="n">
        <v>1016</v>
      </c>
      <c r="K81" s="12" t="n">
        <v>43529</v>
      </c>
      <c r="L81" s="12" t="n"/>
      <c r="M81" s="235" t="n"/>
      <c r="N81" s="235" t="inlineStr">
        <is>
          <t>Julio Alejandro Llamas</t>
        </is>
      </c>
      <c r="O81" s="235" t="n"/>
    </row>
    <row r="82">
      <c r="B82" s="226" t="n">
        <v>65</v>
      </c>
      <c r="C82" s="199" t="inlineStr">
        <is>
          <t>COTIZACION DEL DISEÑO DE EXTINCIÓN DE INCENDIOS PARA EL PROYECTO BODEGA FORMAS ÍNTIMAS</t>
        </is>
      </c>
      <c r="D82" s="312" t="n"/>
      <c r="E82" s="312" t="n"/>
      <c r="F82" s="312" t="n"/>
      <c r="G82" s="312" t="n"/>
      <c r="H82" s="312" t="n"/>
      <c r="I82" s="313" t="n"/>
      <c r="J82" s="319" t="n">
        <v>2740000</v>
      </c>
      <c r="K82" s="12" t="n">
        <v>43529</v>
      </c>
      <c r="L82" s="12" t="n"/>
      <c r="M82" s="235" t="n"/>
      <c r="N82" s="235" t="inlineStr">
        <is>
          <t>Liber Restrepo</t>
        </is>
      </c>
      <c r="O82" s="235" t="n"/>
    </row>
    <row r="83">
      <c r="B83" s="198" t="n">
        <v>66</v>
      </c>
      <c r="C83" s="198" t="inlineStr">
        <is>
          <t>COTIZACION DE LOS DISEÑOS DE PROTECCIÓN CONTRA INCENDIOS PARA EL PROYECTO OFICINA 0225 SAN FRANCISCO</t>
        </is>
      </c>
      <c r="D83" s="312" t="n"/>
      <c r="E83" s="312" t="n"/>
      <c r="F83" s="312" t="n"/>
      <c r="G83" s="312" t="n"/>
      <c r="H83" s="312" t="n"/>
      <c r="I83" s="313" t="n"/>
      <c r="J83" s="320" t="n">
        <v>550000</v>
      </c>
      <c r="K83" s="28" t="n">
        <v>43529</v>
      </c>
      <c r="L83" s="198" t="n"/>
      <c r="M83" s="25" t="n"/>
      <c r="N83" s="25" t="n"/>
      <c r="O83" s="25" t="n"/>
    </row>
    <row r="84">
      <c r="B84" s="226" t="n">
        <v>67</v>
      </c>
      <c r="C84" s="199" t="inlineStr">
        <is>
          <t>COTIZACION DE LOS DISEÑOS DE SEGURIDAD HUMANA Y PROTECCIÓN CONTRA  INCENDIOS - EDIFICIO DOCENCIA CES</t>
        </is>
      </c>
      <c r="D84" s="312" t="n"/>
      <c r="E84" s="312" t="n"/>
      <c r="F84" s="312" t="n"/>
      <c r="G84" s="312" t="n"/>
      <c r="H84" s="312" t="n"/>
      <c r="I84" s="313" t="n"/>
      <c r="J84" s="319" t="n">
        <v>19995000</v>
      </c>
      <c r="K84" s="12" t="n">
        <v>43531</v>
      </c>
      <c r="L84" s="12" t="n"/>
      <c r="M84" s="235" t="n"/>
      <c r="N84" s="235" t="inlineStr">
        <is>
          <t>Jhoam Andres Giraldo</t>
        </is>
      </c>
      <c r="O84" s="235" t="n"/>
    </row>
    <row r="85">
      <c r="B85" s="226" t="n">
        <v>68</v>
      </c>
      <c r="C85" s="199" t="inlineStr">
        <is>
          <t>COTIZACION DEL DISEÑO DE EXTINCIÓN DE INCENDIOS - PARQUE EMPRESARIAL RIONEGRO</t>
        </is>
      </c>
      <c r="D85" s="312" t="n"/>
      <c r="E85" s="312" t="n"/>
      <c r="F85" s="312" t="n"/>
      <c r="G85" s="312" t="n"/>
      <c r="H85" s="312" t="n"/>
      <c r="I85" s="313" t="n"/>
      <c r="J85" s="319" t="inlineStr">
        <is>
          <t>Variable</t>
        </is>
      </c>
      <c r="K85" s="12" t="n">
        <v>43531</v>
      </c>
      <c r="L85" s="199" t="n"/>
      <c r="M85" s="235" t="n"/>
      <c r="N85" s="235" t="inlineStr">
        <is>
          <t>Rafael Sánchez</t>
        </is>
      </c>
      <c r="O85" s="235" t="n"/>
    </row>
    <row r="86">
      <c r="B86" s="226" t="n">
        <v>69</v>
      </c>
      <c r="C86" s="199" t="inlineStr">
        <is>
          <t>COTIZACION DE LOS DISEÑOS DE SEGURIDAD HUMANA Y EXTINCIÓN DE INCENDIOS - MAKRO BARRANQUILLA VERSIÓN 1</t>
        </is>
      </c>
      <c r="D86" s="312" t="n"/>
      <c r="E86" s="312" t="n"/>
      <c r="F86" s="312" t="n"/>
      <c r="G86" s="312" t="n"/>
      <c r="H86" s="312" t="n"/>
      <c r="I86" s="313" t="n"/>
      <c r="J86" s="319" t="n">
        <v>14586000</v>
      </c>
      <c r="K86" s="12" t="n">
        <v>43531</v>
      </c>
      <c r="L86" s="199" t="n"/>
      <c r="M86" s="235" t="n"/>
      <c r="N86" s="235" t="inlineStr">
        <is>
          <t>Andrés Peláez Ospina</t>
        </is>
      </c>
      <c r="O86" s="235" t="n"/>
    </row>
    <row r="87">
      <c r="B87" s="226" t="n">
        <v>70</v>
      </c>
      <c r="C87" s="199" t="inlineStr">
        <is>
          <t>COTIZACION DE LOS DISEÑOS DE SEGURIDAD HUMANA Y PROTECCIÓN CONTRA  INCENDIOS - BODEGA PARTEQUIPOS GUARNE</t>
        </is>
      </c>
      <c r="D87" s="312" t="n"/>
      <c r="E87" s="312" t="n"/>
      <c r="F87" s="312" t="n"/>
      <c r="G87" s="312" t="n"/>
      <c r="H87" s="312" t="n"/>
      <c r="I87" s="313" t="n"/>
      <c r="J87" s="319" t="n">
        <v>18440000</v>
      </c>
      <c r="K87" s="12" t="n">
        <v>43531</v>
      </c>
      <c r="L87" s="199" t="n"/>
      <c r="M87" s="235" t="n"/>
      <c r="N87" s="278" t="inlineStr">
        <is>
          <t>Adriana Alarcón</t>
        </is>
      </c>
      <c r="O87" s="235" t="n"/>
    </row>
    <row r="88">
      <c r="B88" s="226" t="n">
        <v>71</v>
      </c>
      <c r="C88" s="199" t="inlineStr">
        <is>
          <t>COTIZACION DE LOS DISEÑOS DE PROTECCIÓN CONTRA INCENDIOS Y SEGURIDAD HUMANA PARA EL PROYECTO MONTPELLIER</t>
        </is>
      </c>
      <c r="D88" s="312" t="n"/>
      <c r="E88" s="312" t="n"/>
      <c r="F88" s="312" t="n"/>
      <c r="G88" s="312" t="n"/>
      <c r="H88" s="312" t="n"/>
      <c r="I88" s="313" t="n"/>
      <c r="J88" s="319" t="n">
        <v>14900000</v>
      </c>
      <c r="K88" s="12" t="n">
        <v>43532</v>
      </c>
      <c r="L88" s="199" t="n"/>
      <c r="M88" s="235" t="n"/>
      <c r="N88" s="235" t="inlineStr">
        <is>
          <t>Giovanni Andrés Usme Osorio</t>
        </is>
      </c>
      <c r="O88" s="235" t="n"/>
    </row>
    <row r="89">
      <c r="B89" s="226" t="n">
        <v>72</v>
      </c>
      <c r="C89" s="199" t="inlineStr">
        <is>
          <t>COTIZACION DE LOS DISEÑOS DE PROTECCIÓN CONTRA  INCENDIOS - CLÍNICA META</t>
        </is>
      </c>
      <c r="D89" s="312" t="n"/>
      <c r="E89" s="312" t="n"/>
      <c r="F89" s="312" t="n"/>
      <c r="G89" s="312" t="n"/>
      <c r="H89" s="312" t="n"/>
      <c r="I89" s="313" t="n"/>
      <c r="J89" s="319" t="n">
        <v>11763000</v>
      </c>
      <c r="K89" s="12" t="n">
        <v>43532</v>
      </c>
      <c r="L89" s="199" t="n"/>
      <c r="M89" s="235" t="n"/>
      <c r="N89" s="235" t="inlineStr">
        <is>
          <t>Albeiro Ríos</t>
        </is>
      </c>
      <c r="O89" s="235" t="n"/>
    </row>
    <row r="90">
      <c r="B90" s="226" t="n">
        <v>73</v>
      </c>
      <c r="C90" s="199" t="inlineStr">
        <is>
          <t>COTIZACION DE LOS DISEÑOS DE PROTECCIÓN CONTRA INCENDIOS Y SEGURIDAD HUMANA PARA EL PROYECTO ELITE 2</t>
        </is>
      </c>
      <c r="D90" s="312" t="n"/>
      <c r="E90" s="312" t="n"/>
      <c r="F90" s="312" t="n"/>
      <c r="G90" s="312" t="n"/>
      <c r="H90" s="312" t="n"/>
      <c r="I90" s="313" t="n"/>
      <c r="J90" s="319" t="n">
        <v>11250000</v>
      </c>
      <c r="K90" s="12" t="n">
        <v>43532</v>
      </c>
      <c r="L90" s="199" t="n"/>
      <c r="M90" s="235" t="n"/>
      <c r="N90" s="235" t="inlineStr">
        <is>
          <t>Ana María Tamayo Correa</t>
        </is>
      </c>
      <c r="O90" s="235" t="n"/>
    </row>
    <row r="91">
      <c r="B91" s="198" t="n">
        <v>74</v>
      </c>
      <c r="C91" s="198" t="inlineStr">
        <is>
          <t>COTIZACION DEL DISEÑO DE DETECCIÓN DE INCENDIOS - PALACIO MUNICIPAL CONCORDIA</t>
        </is>
      </c>
      <c r="D91" s="312" t="n"/>
      <c r="E91" s="312" t="n"/>
      <c r="F91" s="312" t="n"/>
      <c r="G91" s="312" t="n"/>
      <c r="H91" s="312" t="n"/>
      <c r="I91" s="313" t="n"/>
      <c r="J91" s="320" t="n">
        <v>1620000</v>
      </c>
      <c r="K91" s="28" t="n">
        <v>43535</v>
      </c>
      <c r="L91" s="198" t="n"/>
      <c r="M91" s="25" t="n"/>
      <c r="N91" s="25" t="n"/>
      <c r="O91" s="25" t="n"/>
    </row>
    <row r="92">
      <c r="B92" s="226" t="n">
        <v>75</v>
      </c>
      <c r="C92" s="226" t="inlineStr">
        <is>
          <t>COTIZACION DE LOS DISEÑOS DE PROTECCIÓN CONTRA INCENDIOS Y SEGURIDAD HUMANA PARA EL PROYECTO PLANTA DE PROCESOS ANTILLANA</t>
        </is>
      </c>
      <c r="D92" s="312" t="n"/>
      <c r="E92" s="312" t="n"/>
      <c r="F92" s="312" t="n"/>
      <c r="G92" s="312" t="n"/>
      <c r="H92" s="312" t="n"/>
      <c r="I92" s="313" t="n"/>
      <c r="J92" s="319" t="n">
        <v>13755000</v>
      </c>
      <c r="K92" s="12" t="n">
        <v>43536</v>
      </c>
      <c r="L92" s="199" t="n"/>
      <c r="M92" s="235" t="n"/>
      <c r="N92" s="235" t="inlineStr">
        <is>
          <t>Juan Pablo Grajales</t>
        </is>
      </c>
      <c r="O92" s="235" t="n"/>
    </row>
    <row r="93">
      <c r="B93" s="226" t="n">
        <v>76</v>
      </c>
      <c r="C93" s="226" t="inlineStr">
        <is>
          <t>COTIZACION DEL DISEÑO DE EXTINCIÓN DE INCENDIOS PARA EL PROYECTO CUARTOS DE 30 m2 CON INERGEN</t>
        </is>
      </c>
      <c r="D93" s="312" t="n"/>
      <c r="E93" s="312" t="n"/>
      <c r="F93" s="312" t="n"/>
      <c r="G93" s="312" t="n"/>
      <c r="H93" s="312" t="n"/>
      <c r="I93" s="313" t="n"/>
      <c r="J93" s="319" t="n">
        <v>2100000</v>
      </c>
      <c r="K93" s="12" t="n">
        <v>43536</v>
      </c>
      <c r="L93" s="199" t="n"/>
      <c r="M93" s="235" t="n"/>
      <c r="N93" s="235" t="inlineStr">
        <is>
          <t>Francisco José Unda Arango</t>
        </is>
      </c>
      <c r="O93" s="235" t="n"/>
    </row>
    <row r="94">
      <c r="B94" s="226" t="n">
        <v>77</v>
      </c>
      <c r="C94" s="226" t="inlineStr">
        <is>
          <t>COTIZACION DEL DISEÑO DE EXTINCIÓN DE INCENDIOS - METRONORTE</t>
        </is>
      </c>
      <c r="D94" s="312" t="n"/>
      <c r="E94" s="312" t="n"/>
      <c r="F94" s="312" t="n"/>
      <c r="G94" s="312" t="n"/>
      <c r="H94" s="312" t="n"/>
      <c r="I94" s="313" t="n"/>
      <c r="J94" s="319" t="n">
        <v>9588</v>
      </c>
      <c r="K94" s="12" t="n">
        <v>43537</v>
      </c>
      <c r="L94" s="199" t="n"/>
      <c r="M94" s="235" t="n"/>
      <c r="N94" s="235" t="inlineStr">
        <is>
          <t>Julio Alejandro Llamas</t>
        </is>
      </c>
      <c r="O94" s="235" t="n"/>
    </row>
    <row r="95">
      <c r="B95" s="226" t="n">
        <v>78</v>
      </c>
      <c r="C95" s="226" t="inlineStr">
        <is>
          <t>COTIZACION DE LOS DISEÑOS DE PROTECCIÓN CONTRA INCENDIOS Y SEGURIDAD HUMANA PARA EL PROYECTO COLEGIO NORMAL SUPERIOR</t>
        </is>
      </c>
      <c r="D95" s="312" t="n"/>
      <c r="E95" s="312" t="n"/>
      <c r="F95" s="312" t="n"/>
      <c r="G95" s="312" t="n"/>
      <c r="H95" s="312" t="n"/>
      <c r="I95" s="313" t="n"/>
      <c r="J95" s="319" t="n">
        <v>16165000</v>
      </c>
      <c r="K95" s="12" t="n">
        <v>43538</v>
      </c>
      <c r="L95" s="199" t="n"/>
      <c r="M95" s="235" t="n"/>
      <c r="N95" s="235" t="inlineStr">
        <is>
          <t>Walther Molina</t>
        </is>
      </c>
      <c r="O95" s="235" t="n"/>
    </row>
    <row r="96">
      <c r="B96" s="226" t="n">
        <v>79</v>
      </c>
      <c r="C96" s="226" t="inlineStr">
        <is>
          <t>COTIZACION DE LOS DISEÑOS DE PROTECCIÓN CONTRA INCENDIOS Y SEGURIDAD HUMANA PARA EL PROYECTO COLEGIO JOSÉ MIGUEL DE LA CALLE</t>
        </is>
      </c>
      <c r="D96" s="312" t="n"/>
      <c r="E96" s="312" t="n"/>
      <c r="F96" s="312" t="n"/>
      <c r="G96" s="312" t="n"/>
      <c r="H96" s="312" t="n"/>
      <c r="I96" s="313" t="n"/>
      <c r="J96" s="319" t="n">
        <v>10720000</v>
      </c>
      <c r="K96" s="12" t="n">
        <v>43538</v>
      </c>
      <c r="L96" s="199" t="n"/>
      <c r="M96" s="235" t="n"/>
      <c r="N96" s="235" t="inlineStr">
        <is>
          <t>Walther Molina</t>
        </is>
      </c>
      <c r="O96" s="235" t="n"/>
    </row>
    <row r="97">
      <c r="B97" s="226" t="n">
        <v>80</v>
      </c>
      <c r="C97" s="226" t="inlineStr">
        <is>
          <t>COTIZACION DE LOS DISEÑOS DE PROTECCIÓN CONTRA INCENDIOS PARA EL PROYECTO MAZDA MAYORCA</t>
        </is>
      </c>
      <c r="D97" s="312" t="n"/>
      <c r="E97" s="312" t="n"/>
      <c r="F97" s="312" t="n"/>
      <c r="G97" s="312" t="n"/>
      <c r="H97" s="312" t="n"/>
      <c r="I97" s="313" t="n"/>
      <c r="J97" s="319" t="n">
        <v>2820000</v>
      </c>
      <c r="K97" s="12" t="n">
        <v>43539</v>
      </c>
      <c r="L97" s="199" t="n"/>
      <c r="M97" s="235" t="n"/>
      <c r="N97" s="235" t="inlineStr">
        <is>
          <t>David Lopera</t>
        </is>
      </c>
      <c r="O97" s="235" t="n"/>
    </row>
    <row r="98">
      <c r="B98" s="226" t="n">
        <v>81</v>
      </c>
      <c r="C98" s="226" t="inlineStr">
        <is>
          <t>COTIZACION DISEÑOS DE EXTINCIÓN Y DETECCIÓN DE INCENDIOS – OFICINAS CITI.</t>
        </is>
      </c>
      <c r="D98" s="312" t="n"/>
      <c r="E98" s="312" t="n"/>
      <c r="F98" s="312" t="n"/>
      <c r="G98" s="312" t="n"/>
      <c r="H98" s="312" t="n"/>
      <c r="I98" s="313" t="n"/>
      <c r="J98" s="319" t="inlineStr">
        <is>
          <t>Variable</t>
        </is>
      </c>
      <c r="K98" s="12" t="n">
        <v>43539</v>
      </c>
      <c r="L98" s="199" t="n"/>
      <c r="M98" s="235" t="n"/>
      <c r="N98" s="235" t="inlineStr">
        <is>
          <t>Andrea Sanchez</t>
        </is>
      </c>
      <c r="O98" s="235" t="n"/>
    </row>
    <row r="99">
      <c r="B99" s="226" t="n">
        <v>82</v>
      </c>
      <c r="C99" s="226" t="inlineStr">
        <is>
          <t>COTIZACION DEL DISEÑO DE EXTINCIÓN DE INCENDIOS PARA EL PROYECTO MENTHA APARTAMENTOS</t>
        </is>
      </c>
      <c r="D99" s="312" t="n"/>
      <c r="E99" s="312" t="n"/>
      <c r="F99" s="312" t="n"/>
      <c r="G99" s="312" t="n"/>
      <c r="H99" s="312" t="n"/>
      <c r="I99" s="313" t="n"/>
      <c r="J99" s="319" t="n">
        <v>8955000</v>
      </c>
      <c r="K99" s="12" t="n">
        <v>43539</v>
      </c>
      <c r="L99" s="199" t="n"/>
      <c r="M99" s="235" t="n"/>
      <c r="N99" s="235" t="inlineStr">
        <is>
          <t>Camilo López</t>
        </is>
      </c>
      <c r="O99" s="235" t="n"/>
    </row>
    <row r="100">
      <c r="B100" s="226" t="n">
        <v>83</v>
      </c>
      <c r="C100" s="226" t="inlineStr">
        <is>
          <t>COTIZACION ASESORÍA DE SEGURIDAD HUMANA Y PROTECCIÓN CONTRA INCENDIOS - COLEGIO VILLAS DE ARANJUEZ</t>
        </is>
      </c>
      <c r="D100" s="312" t="n"/>
      <c r="E100" s="312" t="n"/>
      <c r="F100" s="312" t="n"/>
      <c r="G100" s="312" t="n"/>
      <c r="H100" s="312" t="n"/>
      <c r="I100" s="313" t="n"/>
      <c r="J100" s="319" t="n">
        <v>1317000</v>
      </c>
      <c r="K100" s="12" t="n">
        <v>43542</v>
      </c>
      <c r="L100" s="199" t="n"/>
      <c r="M100" s="235" t="n"/>
      <c r="N100" s="25" t="n"/>
      <c r="O100" s="235" t="n"/>
      <c r="P100" s="321" t="n"/>
    </row>
    <row r="101">
      <c r="B101" s="226" t="n">
        <v>84</v>
      </c>
      <c r="C101" s="226" t="inlineStr">
        <is>
          <t>COTIZACION DEL DISEÑO DE DETECCIÓN DE INCENDIOS - PLANTA GEM</t>
        </is>
      </c>
      <c r="D101" s="312" t="n"/>
      <c r="E101" s="312" t="n"/>
      <c r="F101" s="312" t="n"/>
      <c r="G101" s="312" t="n"/>
      <c r="H101" s="312" t="n"/>
      <c r="I101" s="313" t="n"/>
      <c r="J101" s="319" t="n">
        <v>5990000</v>
      </c>
      <c r="K101" s="12" t="n">
        <v>43542</v>
      </c>
      <c r="L101" s="199" t="n"/>
      <c r="M101" s="235" t="n"/>
      <c r="N101" s="235" t="inlineStr">
        <is>
          <t>Carolina Castaño Velásquez</t>
        </is>
      </c>
      <c r="O101" s="235" t="n"/>
      <c r="P101" s="321" t="n"/>
    </row>
    <row r="102">
      <c r="B102" s="226" t="n">
        <v>85</v>
      </c>
      <c r="C102" s="226" t="inlineStr">
        <is>
          <t>COTIZACION DE LOS DISEÑOS DE SEGURIDAD HUMANA Y PROTECCIÓN CONTRA  INCENDIOS - FUNDACIÓN UNIVERSITARIA NAVARRA</t>
        </is>
      </c>
      <c r="D102" s="312" t="n"/>
      <c r="E102" s="312" t="n"/>
      <c r="F102" s="312" t="n"/>
      <c r="G102" s="312" t="n"/>
      <c r="H102" s="312" t="n"/>
      <c r="I102" s="313" t="n"/>
      <c r="J102" s="319" t="n">
        <v>9970000</v>
      </c>
      <c r="K102" s="12" t="n">
        <v>43543</v>
      </c>
      <c r="L102" s="199" t="n"/>
      <c r="M102" s="235" t="n"/>
      <c r="N102" s="235" t="inlineStr">
        <is>
          <t>William Navarro</t>
        </is>
      </c>
      <c r="O102" s="235" t="n"/>
    </row>
    <row r="103">
      <c r="B103" s="226" t="n">
        <v>86</v>
      </c>
      <c r="C103" s="226" t="inlineStr">
        <is>
          <t>COTIZACION DEL DISEÑO DE EXTINCIÓN DE INCENDIOS PARA EL PROYECTO ALMENDROS DE LA CALERA</t>
        </is>
      </c>
      <c r="D103" s="312" t="n"/>
      <c r="E103" s="312" t="n"/>
      <c r="F103" s="312" t="n"/>
      <c r="G103" s="312" t="n"/>
      <c r="H103" s="312" t="n"/>
      <c r="I103" s="313" t="n"/>
      <c r="J103" s="319" t="n">
        <v>12800000</v>
      </c>
      <c r="K103" s="12" t="n">
        <v>43543</v>
      </c>
      <c r="L103" s="199" t="n"/>
      <c r="M103" s="235" t="n"/>
      <c r="N103" s="235" t="inlineStr">
        <is>
          <t>Juan Pablo Grajales</t>
        </is>
      </c>
      <c r="O103" s="235" t="n"/>
    </row>
    <row r="104">
      <c r="B104" s="226" t="n">
        <v>87</v>
      </c>
      <c r="C104" s="226" t="inlineStr">
        <is>
          <t>COTIZACION DEL DISEÑO DE EXTINCIÓN DE INCENDIOS - COOPSANA POBLADO</t>
        </is>
      </c>
      <c r="D104" s="312" t="n"/>
      <c r="E104" s="312" t="n"/>
      <c r="F104" s="312" t="n"/>
      <c r="G104" s="312" t="n"/>
      <c r="H104" s="312" t="n"/>
      <c r="I104" s="313" t="n"/>
      <c r="J104" s="319" t="n">
        <v>4450000</v>
      </c>
      <c r="K104" s="12" t="n">
        <v>43545</v>
      </c>
      <c r="L104" s="199" t="n"/>
      <c r="M104" s="235" t="n"/>
      <c r="N104" s="235" t="inlineStr">
        <is>
          <t>Zully Taborda Sepúlveda</t>
        </is>
      </c>
      <c r="O104" s="235" t="n"/>
    </row>
    <row r="105">
      <c r="B105" s="226" t="n">
        <v>88</v>
      </c>
      <c r="C105" s="226" t="inlineStr">
        <is>
          <t>COTIZACION DEL MODELO EN REVIT DE PROTECCIÓN CONTRA  INCENDIOS - W21</t>
        </is>
      </c>
      <c r="D105" s="312" t="n"/>
      <c r="E105" s="312" t="n"/>
      <c r="F105" s="312" t="n"/>
      <c r="G105" s="312" t="n"/>
      <c r="H105" s="312" t="n"/>
      <c r="I105" s="313" t="n"/>
      <c r="J105" s="319" t="n">
        <v>7250000</v>
      </c>
      <c r="K105" s="12" t="n">
        <v>43546</v>
      </c>
      <c r="L105" s="199" t="n"/>
      <c r="M105" s="235" t="n"/>
      <c r="N105" s="235" t="inlineStr">
        <is>
          <t>HUMBERTO ACEVEDO GUTIERREZ</t>
        </is>
      </c>
      <c r="O105" s="235" t="n"/>
    </row>
    <row r="106">
      <c r="B106" s="226" t="n">
        <v>89</v>
      </c>
      <c r="C106" s="226" t="inlineStr">
        <is>
          <t>COTIZACION DE LOS DISEÑOS DE PROTECCIÓN CONTRA  INCENDIOS - COLEGIO AVANZAR</t>
        </is>
      </c>
      <c r="D106" s="312" t="n"/>
      <c r="E106" s="312" t="n"/>
      <c r="F106" s="312" t="n"/>
      <c r="G106" s="312" t="n"/>
      <c r="H106" s="312" t="n"/>
      <c r="I106" s="313" t="n"/>
      <c r="J106" s="319" t="n">
        <v>1590000</v>
      </c>
      <c r="K106" s="12" t="n">
        <v>43546</v>
      </c>
      <c r="L106" s="199" t="n"/>
      <c r="M106" s="235" t="n"/>
      <c r="N106" s="235" t="inlineStr">
        <is>
          <t>Camilo Restrepo Acevedo</t>
        </is>
      </c>
      <c r="O106" s="235" t="n"/>
    </row>
    <row r="107">
      <c r="B107" s="226" t="n">
        <v>90</v>
      </c>
      <c r="C107" s="226" t="inlineStr">
        <is>
          <t>COTIZACION DE LOS DISEÑOS DE SEGURIDAD HUMANA Y PROTECCIÓN CONTRA  INCENDIOS - BODEGA LOTE LOS PERICOS MONTERÍA</t>
        </is>
      </c>
      <c r="D107" s="312" t="n"/>
      <c r="E107" s="312" t="n"/>
      <c r="F107" s="312" t="n"/>
      <c r="G107" s="312" t="n"/>
      <c r="H107" s="312" t="n"/>
      <c r="I107" s="313" t="n"/>
      <c r="J107" s="319" t="n">
        <v>15935000</v>
      </c>
      <c r="K107" s="12" t="n">
        <v>43550</v>
      </c>
      <c r="L107" s="199" t="n"/>
      <c r="M107" s="235" t="n"/>
      <c r="N107" s="235" t="inlineStr">
        <is>
          <t>María Cecilia Revueltas</t>
        </is>
      </c>
      <c r="O107" s="235" t="n"/>
    </row>
    <row r="108">
      <c r="B108" s="226" t="n">
        <v>91</v>
      </c>
      <c r="C108" s="226" t="inlineStr">
        <is>
          <t>COTIZACION DE LOS DISEÑOS DE PROTECCIÓN CONTRA  INCENDIOS - JARDINES SIERRA</t>
        </is>
      </c>
      <c r="D108" s="312" t="n"/>
      <c r="E108" s="312" t="n"/>
      <c r="F108" s="312" t="n"/>
      <c r="G108" s="312" t="n"/>
      <c r="H108" s="312" t="n"/>
      <c r="I108" s="313" t="n"/>
      <c r="J108" s="319" t="n">
        <v>1980000</v>
      </c>
      <c r="K108" s="12" t="n">
        <v>43550</v>
      </c>
      <c r="L108" s="199" t="n"/>
      <c r="M108" s="235" t="n"/>
      <c r="N108" s="235" t="inlineStr">
        <is>
          <t>Oscar Alberto Velandia</t>
        </is>
      </c>
      <c r="O108" s="235" t="n"/>
    </row>
    <row r="109">
      <c r="B109" s="226" t="n">
        <v>92</v>
      </c>
      <c r="C109" s="226" t="inlineStr">
        <is>
          <t>COTIZACION DEL DISEÑO DE EXTINCIÓN DE INCENDIOS - BODEGA GALAPA</t>
        </is>
      </c>
      <c r="D109" s="312" t="n"/>
      <c r="E109" s="312" t="n"/>
      <c r="F109" s="312" t="n"/>
      <c r="G109" s="312" t="n"/>
      <c r="H109" s="312" t="n"/>
      <c r="I109" s="313" t="n"/>
      <c r="J109" s="319" t="n">
        <v>6585000</v>
      </c>
      <c r="K109" s="12" t="n">
        <v>43551</v>
      </c>
      <c r="L109" s="199" t="n"/>
      <c r="M109" s="235" t="n"/>
      <c r="N109" s="235" t="inlineStr">
        <is>
          <t>Juan Pablo Grajales</t>
        </is>
      </c>
      <c r="O109" s="235" t="n"/>
    </row>
    <row r="110">
      <c r="B110" s="226" t="n">
        <v>93</v>
      </c>
      <c r="C110" s="226" t="inlineStr">
        <is>
          <t>COTIZACION DEL DISEÑO DE EXTINCIÓN DE INCENDIOS - PRESCOLAR COLEGIO SAGRADO CORAZÓN MONTEMAYOR</t>
        </is>
      </c>
      <c r="D110" s="312" t="n"/>
      <c r="E110" s="312" t="n"/>
      <c r="F110" s="312" t="n"/>
      <c r="G110" s="312" t="n"/>
      <c r="H110" s="312" t="n"/>
      <c r="I110" s="313" t="n"/>
      <c r="J110" s="319" t="n">
        <v>8895000</v>
      </c>
      <c r="K110" s="12" t="n">
        <v>43551</v>
      </c>
      <c r="L110" s="199" t="n"/>
      <c r="M110" s="235" t="n"/>
      <c r="N110" s="235" t="inlineStr">
        <is>
          <t>Carolina Volkmar</t>
        </is>
      </c>
      <c r="O110" s="235" t="n"/>
    </row>
    <row r="111">
      <c r="B111" s="226" t="n">
        <v>94</v>
      </c>
      <c r="C111" s="226" t="inlineStr">
        <is>
          <t>COTIZACION DE LOS DISEÑOS DE SEGURIDAD HUMANA Y EXTINCIÓN DE INCENDIOS - EDIFICIO BRICK</t>
        </is>
      </c>
      <c r="D111" s="312" t="n"/>
      <c r="E111" s="312" t="n"/>
      <c r="F111" s="312" t="n"/>
      <c r="G111" s="312" t="n"/>
      <c r="H111" s="312" t="n"/>
      <c r="I111" s="313" t="n"/>
      <c r="J111" s="319" t="n">
        <v>7990000</v>
      </c>
      <c r="K111" s="12" t="n">
        <v>43552</v>
      </c>
      <c r="L111" s="199" t="n"/>
      <c r="M111" s="235" t="n"/>
      <c r="N111" s="235" t="inlineStr">
        <is>
          <t>Alejandro Gómez</t>
        </is>
      </c>
      <c r="O111" s="235" t="n"/>
    </row>
    <row r="112">
      <c r="B112" s="226" t="n">
        <v>95</v>
      </c>
      <c r="C112" s="226" t="inlineStr">
        <is>
          <t>COTIZACION DEL DISEÑO DE DETECCIÓN DE INCENDIOS - EDIFICIO ALEMANIA</t>
        </is>
      </c>
      <c r="D112" s="312" t="n"/>
      <c r="E112" s="312" t="n"/>
      <c r="F112" s="312" t="n"/>
      <c r="G112" s="312" t="n"/>
      <c r="H112" s="312" t="n"/>
      <c r="I112" s="313" t="n"/>
      <c r="J112" s="319" t="n">
        <v>1650000</v>
      </c>
      <c r="K112" s="12" t="n">
        <v>43556</v>
      </c>
      <c r="L112" s="199" t="n"/>
      <c r="M112" s="235" t="n"/>
      <c r="N112" s="235" t="inlineStr">
        <is>
          <t>Jose Maria Estrada M</t>
        </is>
      </c>
      <c r="O112" s="235" t="n"/>
    </row>
    <row r="113">
      <c r="B113" s="198" t="n">
        <v>96</v>
      </c>
      <c r="C113" s="198" t="inlineStr">
        <is>
          <t>COTIZACION DEL DISEÑO DE EXTINCIÓN DE INCENDIOS - LOCAL PIRKASTONE</t>
        </is>
      </c>
      <c r="D113" s="312" t="n"/>
      <c r="E113" s="312" t="n"/>
      <c r="F113" s="312" t="n"/>
      <c r="G113" s="312" t="n"/>
      <c r="H113" s="312" t="n"/>
      <c r="I113" s="313" t="n"/>
      <c r="J113" s="320" t="n">
        <v>320000</v>
      </c>
      <c r="K113" s="28" t="n">
        <v>43556</v>
      </c>
      <c r="L113" s="198" t="n"/>
      <c r="M113" s="25" t="n"/>
      <c r="N113" s="25" t="n"/>
      <c r="O113" s="25" t="n"/>
    </row>
    <row r="114">
      <c r="B114" s="226" t="n">
        <v>97</v>
      </c>
      <c r="C114" s="199" t="inlineStr">
        <is>
          <t>COTIZACION DEL ANÁLISIS DE SEGURIDAD HUMANA PARA EL PROYECTO IROTAMA TORRE C</t>
        </is>
      </c>
      <c r="D114" s="312" t="n"/>
      <c r="E114" s="312" t="n"/>
      <c r="F114" s="312" t="n"/>
      <c r="G114" s="312" t="n"/>
      <c r="H114" s="312" t="n"/>
      <c r="I114" s="313" t="n"/>
      <c r="J114" s="319" t="n">
        <v>2950000</v>
      </c>
      <c r="K114" s="12" t="n">
        <v>43557</v>
      </c>
      <c r="L114" s="199" t="n"/>
      <c r="M114" s="235" t="n"/>
      <c r="N114" s="235" t="inlineStr">
        <is>
          <t>Juan Pablo Grajales</t>
        </is>
      </c>
      <c r="O114" s="235" t="n"/>
    </row>
    <row r="115">
      <c r="B115" s="226" t="n">
        <v>98</v>
      </c>
      <c r="C115" s="199" t="inlineStr">
        <is>
          <t>COTIZACION DEL DISEÑO DE EXTINCIÓN DE INCENDIOS - LOCAL 064 UNICENTRO</t>
        </is>
      </c>
      <c r="D115" s="312" t="n"/>
      <c r="E115" s="312" t="n"/>
      <c r="F115" s="312" t="n"/>
      <c r="G115" s="312" t="n"/>
      <c r="H115" s="312" t="n"/>
      <c r="I115" s="313" t="n"/>
      <c r="J115" s="319" t="n">
        <v>560000</v>
      </c>
      <c r="K115" s="12" t="n">
        <v>43558</v>
      </c>
      <c r="L115" s="199" t="n"/>
      <c r="M115" s="235" t="n"/>
      <c r="N115" s="235" t="inlineStr">
        <is>
          <t>David Lopera</t>
        </is>
      </c>
      <c r="O115" s="235" t="n"/>
    </row>
    <row r="116">
      <c r="B116" s="226" t="n">
        <v>99</v>
      </c>
      <c r="C116" s="199" t="inlineStr">
        <is>
          <t>COTIZACION DEL DISEÑO DE EXTINCIÓN DE INCENDIOS - LOCAL 9701 LA CENTRAL</t>
        </is>
      </c>
      <c r="D116" s="312" t="n"/>
      <c r="E116" s="312" t="n"/>
      <c r="F116" s="312" t="n"/>
      <c r="G116" s="312" t="n"/>
      <c r="H116" s="312" t="n"/>
      <c r="I116" s="313" t="n"/>
      <c r="J116" s="319" t="n">
        <v>1500000</v>
      </c>
      <c r="K116" s="12" t="n">
        <v>43558</v>
      </c>
      <c r="L116" s="199" t="n"/>
      <c r="M116" s="235" t="n"/>
      <c r="N116" s="235" t="inlineStr">
        <is>
          <t>David Lopera</t>
        </is>
      </c>
      <c r="O116" s="235" t="n"/>
    </row>
    <row r="117">
      <c r="B117" s="226" t="n">
        <v>100</v>
      </c>
      <c r="C117" s="199" t="inlineStr">
        <is>
          <t>COTIZACION DEL DISEÑO DE EXTINCIÓN DE INCENDIOS - LIZTEX</t>
        </is>
      </c>
      <c r="D117" s="312" t="n"/>
      <c r="E117" s="312" t="n"/>
      <c r="F117" s="312" t="n"/>
      <c r="G117" s="312" t="n"/>
      <c r="H117" s="312" t="n"/>
      <c r="I117" s="313" t="n"/>
      <c r="J117" s="319" t="n">
        <v>32906</v>
      </c>
      <c r="K117" s="12" t="n">
        <v>43559</v>
      </c>
      <c r="L117" s="199" t="n"/>
      <c r="M117" s="235" t="n"/>
      <c r="N117" s="235" t="inlineStr">
        <is>
          <t>Julio Alejandro Llamas</t>
        </is>
      </c>
      <c r="O117" s="235" t="n"/>
    </row>
    <row r="118">
      <c r="B118" s="226" t="n">
        <v>101</v>
      </c>
      <c r="C118" s="199" t="inlineStr">
        <is>
          <t>COTIZACION DEL DISEÑO DE EXTINCIÓN DE INCENDIOS PARA EL PROYECTO MENTHA APARTAMENTOS</t>
        </is>
      </c>
      <c r="D118" s="312" t="n"/>
      <c r="E118" s="312" t="n"/>
      <c r="F118" s="312" t="n"/>
      <c r="G118" s="312" t="n"/>
      <c r="H118" s="312" t="n"/>
      <c r="I118" s="313" t="n"/>
      <c r="J118" s="319" t="n">
        <v>8955000</v>
      </c>
      <c r="K118" s="12" t="n">
        <v>43559</v>
      </c>
      <c r="L118" s="199" t="n"/>
      <c r="M118" s="235" t="n"/>
      <c r="N118" s="235" t="inlineStr">
        <is>
          <t>Mauricio Gutiérrez</t>
        </is>
      </c>
      <c r="O118" s="235" t="n"/>
    </row>
    <row r="119">
      <c r="B119" s="226" t="n">
        <v>102</v>
      </c>
      <c r="C119" s="199" t="inlineStr">
        <is>
          <t>COTIZACION DE LOS DISEÑOS DE PROTECCIÓN CONTRA INCENDIOS Y SEGURIDAD HUMANA PARA EL PROYECTO FIORENZA</t>
        </is>
      </c>
      <c r="D119" s="312" t="n"/>
      <c r="E119" s="312" t="n"/>
      <c r="F119" s="312" t="n"/>
      <c r="G119" s="312" t="n"/>
      <c r="H119" s="312" t="n"/>
      <c r="I119" s="313" t="n"/>
      <c r="J119" s="319" t="n">
        <v>17780000</v>
      </c>
      <c r="K119" s="12" t="n">
        <v>43565</v>
      </c>
      <c r="L119" s="199" t="n"/>
      <c r="M119" s="235" t="n"/>
      <c r="N119" s="235" t="inlineStr">
        <is>
          <t>Juan Pablo Grajales</t>
        </is>
      </c>
      <c r="O119" s="235" t="n"/>
    </row>
    <row r="120">
      <c r="B120" s="198" t="n">
        <v>103</v>
      </c>
      <c r="C120" s="198" t="inlineStr">
        <is>
          <t>COTIZACION DE LOS DISEÑOS DE PROTECCIÓN CONTRA INCENDIOS Y SEGURIDAD HUMANA PARA EL PROYECTO FIORENZA ETAPA 1</t>
        </is>
      </c>
      <c r="D120" s="312" t="n"/>
      <c r="E120" s="312" t="n"/>
      <c r="F120" s="312" t="n"/>
      <c r="G120" s="312" t="n"/>
      <c r="H120" s="312" t="n"/>
      <c r="I120" s="313" t="n"/>
      <c r="J120" s="320" t="n">
        <v>14835000</v>
      </c>
      <c r="K120" s="28" t="n">
        <v>43565</v>
      </c>
      <c r="L120" s="198" t="n"/>
      <c r="M120" s="25" t="n"/>
      <c r="N120" s="25" t="n"/>
      <c r="O120" s="25" t="n"/>
    </row>
    <row r="121">
      <c r="B121" s="198" t="n">
        <v>104</v>
      </c>
      <c r="C121" s="198" t="inlineStr">
        <is>
          <t>COTIZACION DE LOS DISEÑOS DE PROTECCIÓN CONTRA INCENDIOS Y SEGURIDAD HUMANA PARA EL PROYECTO FIORENZA ETAPAS 2 Y 3</t>
        </is>
      </c>
      <c r="D121" s="312" t="n"/>
      <c r="E121" s="312" t="n"/>
      <c r="F121" s="312" t="n"/>
      <c r="G121" s="312" t="n"/>
      <c r="H121" s="312" t="n"/>
      <c r="I121" s="313" t="n"/>
      <c r="J121" s="320" t="n">
        <v>13050000</v>
      </c>
      <c r="K121" s="28" t="n">
        <v>43565</v>
      </c>
      <c r="L121" s="198" t="n"/>
      <c r="M121" s="25" t="n"/>
      <c r="N121" s="25" t="n"/>
      <c r="O121" s="25" t="n"/>
    </row>
    <row r="122">
      <c r="B122" s="226" t="n">
        <v>105</v>
      </c>
      <c r="C122" s="199" t="inlineStr">
        <is>
          <t>COTIZACION DE LOS DISEÑOS DE PROTECCIÓN CONTRA INCENDIOS Y SEGURIDAD HUMANA PARA EL PROYECTO EL PARAÍSO LA CEJA</t>
        </is>
      </c>
      <c r="D122" s="312" t="n"/>
      <c r="E122" s="312" t="n"/>
      <c r="F122" s="312" t="n"/>
      <c r="G122" s="312" t="n"/>
      <c r="H122" s="312" t="n"/>
      <c r="I122" s="313" t="n"/>
      <c r="J122" s="319" t="n">
        <v>5950000</v>
      </c>
      <c r="K122" s="12" t="n">
        <v>43565</v>
      </c>
      <c r="L122" s="199" t="n"/>
      <c r="M122" s="235" t="n"/>
      <c r="N122" s="235" t="inlineStr">
        <is>
          <t>Santiago Quintero</t>
        </is>
      </c>
      <c r="O122" s="235" t="n"/>
    </row>
    <row r="123">
      <c r="A123" s="207" t="inlineStr">
        <is>
          <t>si</t>
        </is>
      </c>
      <c r="B123" s="13" t="n">
        <v>106</v>
      </c>
      <c r="C123" s="226" t="inlineStr">
        <is>
          <t>COTIZACION DEL DISEÑO DE EXTINCIÓN DE INCENDIOS - CUARTO DE TAJETAS METRO</t>
        </is>
      </c>
      <c r="D123" s="312" t="n"/>
      <c r="E123" s="312" t="n"/>
      <c r="F123" s="312" t="n"/>
      <c r="G123" s="312" t="n"/>
      <c r="H123" s="312" t="n"/>
      <c r="I123" s="313" t="n"/>
      <c r="J123" s="322" t="n">
        <v>2100000</v>
      </c>
      <c r="K123" s="22" t="n">
        <v>43565</v>
      </c>
      <c r="L123" s="226" t="n"/>
      <c r="M123" s="230" t="n"/>
      <c r="N123" s="230" t="inlineStr">
        <is>
          <t>Francisco José Unda Arango</t>
        </is>
      </c>
      <c r="O123" s="235" t="n"/>
    </row>
    <row r="124">
      <c r="A124" s="207" t="inlineStr">
        <is>
          <t>si</t>
        </is>
      </c>
      <c r="B124" s="13" t="n">
        <v>106</v>
      </c>
      <c r="C124" s="226" t="inlineStr">
        <is>
          <t>REVISIÓN Y PRUEBAS DE LOS SISTEMAS DE PROTECCIÓN CONTRA INCENDIOS INSTALADOS Y LA SEGURIDAD HUMANA PARA EL PROYECTO LA RIVIERE PRIMERA ETAPA</t>
        </is>
      </c>
      <c r="D124" s="312" t="n"/>
      <c r="E124" s="312" t="n"/>
      <c r="F124" s="312" t="n"/>
      <c r="G124" s="312" t="n"/>
      <c r="H124" s="312" t="n"/>
      <c r="I124" s="313" t="n"/>
      <c r="J124" s="322" t="inlineStr">
        <is>
          <t>Variable</t>
        </is>
      </c>
      <c r="K124" s="22" t="n">
        <v>43571</v>
      </c>
      <c r="L124" s="226" t="n"/>
      <c r="M124" s="230" t="n"/>
      <c r="N124" s="235" t="inlineStr">
        <is>
          <t>Natalia Cardona</t>
        </is>
      </c>
      <c r="O124" s="235" t="n"/>
    </row>
    <row r="125">
      <c r="B125" s="226" t="n">
        <v>107</v>
      </c>
      <c r="C125" s="226" t="inlineStr">
        <is>
          <t>COTIZACION DE LOS DISEÑOS DE PROTECCIÓN CONTRA  INCENDIOS - SEDE BANCARIA REGIONAL CALI</t>
        </is>
      </c>
      <c r="D125" s="312" t="n"/>
      <c r="E125" s="312" t="n"/>
      <c r="F125" s="312" t="n"/>
      <c r="G125" s="312" t="n"/>
      <c r="H125" s="312" t="n"/>
      <c r="I125" s="313" t="n"/>
      <c r="J125" s="319" t="inlineStr">
        <is>
          <t>Variable</t>
        </is>
      </c>
      <c r="K125" s="12" t="n">
        <v>43566</v>
      </c>
      <c r="L125" s="199" t="n"/>
      <c r="M125" s="235" t="n"/>
      <c r="N125" s="235" t="inlineStr">
        <is>
          <t>Carolina Volkmar</t>
        </is>
      </c>
      <c r="O125" s="235" t="n"/>
    </row>
    <row r="126">
      <c r="B126" s="226" t="n">
        <v>108</v>
      </c>
      <c r="C126" s="226" t="inlineStr">
        <is>
          <t>COTIZACION DE LOS DISEÑOS DE PROTECCIÓN CONTRA  INCENDIOS - SEDE BANCARIA REGIONAL CALI</t>
        </is>
      </c>
      <c r="D126" s="312" t="n"/>
      <c r="E126" s="312" t="n"/>
      <c r="F126" s="312" t="n"/>
      <c r="G126" s="312" t="n"/>
      <c r="H126" s="312" t="n"/>
      <c r="I126" s="313" t="n"/>
      <c r="J126" s="319" t="n">
        <v>31200000</v>
      </c>
      <c r="K126" s="12" t="n">
        <v>43571</v>
      </c>
      <c r="L126" s="199" t="n"/>
      <c r="M126" s="235" t="n"/>
      <c r="N126" s="235" t="inlineStr">
        <is>
          <t>Mike Incapie</t>
        </is>
      </c>
      <c r="O126" s="235" t="n"/>
    </row>
    <row r="127">
      <c r="B127" s="226" t="n">
        <v>109</v>
      </c>
      <c r="C127" s="226" t="inlineStr">
        <is>
          <t>COTIZACION DE LOS DISEÑOS DE PROTECCIÓN CONTRA  INCENDIOS - SEDE COTECH</t>
        </is>
      </c>
      <c r="D127" s="312" t="n"/>
      <c r="E127" s="312" t="n"/>
      <c r="F127" s="312" t="n"/>
      <c r="G127" s="312" t="n"/>
      <c r="H127" s="312" t="n"/>
      <c r="I127" s="313" t="n"/>
      <c r="J127" s="319" t="n">
        <v>2990000</v>
      </c>
      <c r="K127" s="12" t="n">
        <v>43577</v>
      </c>
      <c r="L127" s="199" t="n"/>
      <c r="M127" s="235" t="n"/>
      <c r="N127" s="235" t="inlineStr">
        <is>
          <t>Mario Núñez Hernández</t>
        </is>
      </c>
      <c r="O127" s="235" t="n"/>
    </row>
    <row r="128">
      <c r="B128" s="226" t="n">
        <v>110</v>
      </c>
      <c r="C128" s="226" t="inlineStr">
        <is>
          <t>COTIZACION DE LOS DISEÑOS DE PROTECCIÓN CONTRA INCENDIOS PARA EL PROYECTO LA PALMA</t>
        </is>
      </c>
      <c r="D128" s="312" t="n"/>
      <c r="E128" s="312" t="n"/>
      <c r="F128" s="312" t="n"/>
      <c r="G128" s="312" t="n"/>
      <c r="H128" s="312" t="n"/>
      <c r="I128" s="313" t="n"/>
      <c r="J128" s="319" t="n">
        <v>3770000</v>
      </c>
      <c r="K128" s="12" t="n">
        <v>43577</v>
      </c>
      <c r="L128" s="199" t="n"/>
      <c r="M128" s="235" t="n"/>
      <c r="N128" s="235" t="inlineStr">
        <is>
          <t>Edwuard Alpujarra</t>
        </is>
      </c>
      <c r="O128" s="235" t="n"/>
    </row>
    <row r="129">
      <c r="B129" s="198" t="n">
        <v>111</v>
      </c>
      <c r="C129" s="198" t="inlineStr">
        <is>
          <t>COTIZACION DE LOS DISEÑOS DE PROTECCIÓN CONTRA INCENDIOS PARA EL PROYECTO ACINOX S.A SEDE GUAYABAL</t>
        </is>
      </c>
      <c r="D129" s="312" t="n"/>
      <c r="E129" s="312" t="n"/>
      <c r="F129" s="312" t="n"/>
      <c r="G129" s="312" t="n"/>
      <c r="H129" s="312" t="n"/>
      <c r="I129" s="313" t="n"/>
      <c r="J129" s="320" t="n">
        <v>4690000</v>
      </c>
      <c r="K129" s="28" t="n">
        <v>43577</v>
      </c>
      <c r="L129" s="198" t="n"/>
      <c r="M129" s="25" t="n"/>
      <c r="N129" s="25" t="n"/>
      <c r="O129" s="25" t="n"/>
    </row>
    <row r="130">
      <c r="B130" s="226" t="n">
        <v>112</v>
      </c>
      <c r="C130" s="199" t="inlineStr">
        <is>
          <t>COTIZACION DE LOS DISEÑOS DE PROTECCIÓN CONTRA  INCENDIOS -TIENAS D1 - BOMBONÁ, LA UNIÓN, PLACITA, PORVENIR, PREMIUM PLAZA, SAN NICOLÁS</t>
        </is>
      </c>
      <c r="D130" s="312" t="n"/>
      <c r="E130" s="312" t="n"/>
      <c r="F130" s="312" t="n"/>
      <c r="G130" s="312" t="n"/>
      <c r="H130" s="312" t="n"/>
      <c r="I130" s="313" t="n"/>
      <c r="J130" s="319" t="n">
        <v>10800000</v>
      </c>
      <c r="K130" s="12" t="n">
        <v>43585</v>
      </c>
      <c r="L130" s="199" t="n"/>
      <c r="M130" s="235" t="n"/>
      <c r="N130" s="235" t="inlineStr">
        <is>
          <t>David Lopera</t>
        </is>
      </c>
      <c r="O130" s="235" t="n"/>
    </row>
    <row r="131">
      <c r="B131" s="226" t="n">
        <v>113</v>
      </c>
      <c r="C131" s="199" t="inlineStr">
        <is>
          <t>COTIZACION DE LOS DISEÑOS DE SEGURIDAD HUMANA Y PROTECCIÓN CONTRA  INCENDIOS - TORRE K ETAPA 1</t>
        </is>
      </c>
      <c r="D131" s="312" t="n"/>
      <c r="E131" s="312" t="n"/>
      <c r="F131" s="312" t="n"/>
      <c r="G131" s="312" t="n"/>
      <c r="H131" s="312" t="n"/>
      <c r="I131" s="313" t="n"/>
      <c r="J131" s="319" t="n">
        <v>15680000</v>
      </c>
      <c r="K131" s="12" t="n">
        <v>43585</v>
      </c>
      <c r="L131" s="199" t="n"/>
      <c r="M131" s="235" t="n"/>
      <c r="N131" s="23" t="inlineStr">
        <is>
          <t>Carlos Alberto Gil</t>
        </is>
      </c>
      <c r="O131" s="235" t="n"/>
    </row>
    <row r="132">
      <c r="B132" s="226" t="n">
        <v>114</v>
      </c>
      <c r="C132" s="199" t="inlineStr">
        <is>
          <t>COTIZACION DE PRUEBA HIDRÁULICA - PRUEBA PABILOPEZ S.A.S.</t>
        </is>
      </c>
      <c r="D132" s="312" t="n"/>
      <c r="E132" s="312" t="n"/>
      <c r="F132" s="312" t="n"/>
      <c r="G132" s="312" t="n"/>
      <c r="H132" s="312" t="n"/>
      <c r="I132" s="313" t="n"/>
      <c r="J132" s="319" t="n">
        <v>1710000</v>
      </c>
      <c r="K132" s="12" t="n">
        <v>43587</v>
      </c>
      <c r="L132" s="199" t="n"/>
      <c r="M132" s="235" t="n"/>
      <c r="N132" s="235" t="inlineStr">
        <is>
          <t>Cristina Gallón</t>
        </is>
      </c>
      <c r="O132" s="235" t="n"/>
    </row>
    <row r="133">
      <c r="B133" s="226" t="n">
        <v>115</v>
      </c>
      <c r="C133" s="199" t="inlineStr">
        <is>
          <t>COTIZACION DEL DISEÑO PARA LA AMPLIACIÓN DEL SISTEMA DE EXTINCIÓN DE INCENDIOS DEL PROYECTO POLICARPA</t>
        </is>
      </c>
      <c r="D133" s="312" t="n"/>
      <c r="E133" s="312" t="n"/>
      <c r="F133" s="312" t="n"/>
      <c r="G133" s="312" t="n"/>
      <c r="H133" s="312" t="n"/>
      <c r="I133" s="313" t="n"/>
      <c r="J133" s="319" t="n">
        <v>7200000</v>
      </c>
      <c r="K133" s="12" t="n">
        <v>43588</v>
      </c>
      <c r="L133" s="199" t="n"/>
      <c r="M133" s="235" t="n"/>
      <c r="N133" s="235" t="inlineStr">
        <is>
          <t>Carlos Henao</t>
        </is>
      </c>
      <c r="O133" s="235" t="n"/>
    </row>
    <row r="134">
      <c r="B134" s="226" t="n">
        <v>116</v>
      </c>
      <c r="C134" s="199" t="inlineStr">
        <is>
          <t>COTIZACION DEL REDISEÑOS DE PROTECCIÓN CONTRA  INCENDIOS - CARACOL RADIO</t>
        </is>
      </c>
      <c r="D134" s="312" t="n"/>
      <c r="E134" s="312" t="n"/>
      <c r="F134" s="312" t="n"/>
      <c r="G134" s="312" t="n"/>
      <c r="H134" s="312" t="n"/>
      <c r="I134" s="313" t="n"/>
      <c r="J134" s="323" t="n">
        <v>1985000</v>
      </c>
      <c r="K134" s="12" t="n">
        <v>43591</v>
      </c>
      <c r="L134" s="199" t="n"/>
      <c r="M134" s="235" t="n"/>
      <c r="N134" s="235" t="inlineStr">
        <is>
          <t>Jorge Escobar</t>
        </is>
      </c>
      <c r="O134" s="235" t="n"/>
    </row>
    <row r="135">
      <c r="B135" s="226" t="n">
        <v>117</v>
      </c>
      <c r="C135" s="199" t="inlineStr">
        <is>
          <t>COTIZACION DEL DISEÑO DE EXTINCIÓN DE INCENDIOS - ALKOMPRAR CARTAGO</t>
        </is>
      </c>
      <c r="D135" s="312" t="n"/>
      <c r="E135" s="312" t="n"/>
      <c r="F135" s="312" t="n"/>
      <c r="G135" s="312" t="n"/>
      <c r="H135" s="312" t="n"/>
      <c r="I135" s="313" t="n"/>
      <c r="J135" s="323" t="n">
        <v>3100000</v>
      </c>
      <c r="K135" s="12" t="n">
        <v>43591</v>
      </c>
      <c r="L135" s="199" t="n"/>
      <c r="M135" s="235" t="n"/>
      <c r="N135" s="235" t="inlineStr">
        <is>
          <t>David Lopera</t>
        </is>
      </c>
      <c r="O135" s="235" t="n"/>
    </row>
    <row r="136">
      <c r="B136" s="226" t="n">
        <v>118</v>
      </c>
      <c r="C136" s="199" t="inlineStr">
        <is>
          <t>COTIZACION DEL DISEÑO DE EXTINCIÓN DE INCENDIOS - CONTINUUM MEDELLÍN</t>
        </is>
      </c>
      <c r="D136" s="312" t="n"/>
      <c r="E136" s="312" t="n"/>
      <c r="F136" s="312" t="n"/>
      <c r="G136" s="312" t="n"/>
      <c r="H136" s="312" t="n"/>
      <c r="I136" s="313" t="n"/>
      <c r="J136" s="319" t="n">
        <v>13800000</v>
      </c>
      <c r="K136" s="12" t="n">
        <v>43591</v>
      </c>
      <c r="L136" s="199" t="n"/>
      <c r="M136" s="235" t="n"/>
      <c r="N136" s="235" t="inlineStr">
        <is>
          <t>Carolina Volkmar</t>
        </is>
      </c>
      <c r="O136" s="235" t="n"/>
    </row>
    <row r="137">
      <c r="B137" s="226" t="n">
        <v>119</v>
      </c>
      <c r="C137" s="199" t="inlineStr">
        <is>
          <t>COTIZACION DE LOS DISEÑOS DE SEGURIDAD HUMANA Y PROTECCIÓN CONTRA  INCENDIOS - PLEX 16</t>
        </is>
      </c>
      <c r="D137" s="312" t="n"/>
      <c r="E137" s="312" t="n"/>
      <c r="F137" s="312" t="n"/>
      <c r="G137" s="312" t="n"/>
      <c r="H137" s="312" t="n"/>
      <c r="I137" s="313" t="n"/>
      <c r="J137" s="319" t="inlineStr">
        <is>
          <t>Variable</t>
        </is>
      </c>
      <c r="K137" s="12" t="n">
        <v>43592</v>
      </c>
      <c r="L137" s="199" t="n"/>
      <c r="M137" s="235" t="n"/>
      <c r="N137" s="235" t="inlineStr">
        <is>
          <t>Carlos Mauricio Valencia Granda</t>
        </is>
      </c>
      <c r="O137" s="235" t="n"/>
    </row>
    <row r="138">
      <c r="B138" s="226" t="n">
        <v>120</v>
      </c>
      <c r="C138" s="199" t="inlineStr">
        <is>
          <t>COTIZACION DE LOS DISEÑOS DE SEGURIDAD HUMANA Y PROTECCIÓN CONTRA  INCENDIOS - +D MALL DISTRITO</t>
        </is>
      </c>
      <c r="D138" s="312" t="n"/>
      <c r="E138" s="312" t="n"/>
      <c r="F138" s="312" t="n"/>
      <c r="G138" s="312" t="n"/>
      <c r="H138" s="312" t="n"/>
      <c r="I138" s="313" t="n"/>
      <c r="J138" s="319" t="n">
        <v>12990000</v>
      </c>
      <c r="K138" s="12" t="n">
        <v>43592</v>
      </c>
      <c r="L138" s="199" t="n"/>
      <c r="M138" s="235" t="n"/>
      <c r="N138" s="235" t="inlineStr">
        <is>
          <t>Carlos Mauricio Valencia Granda</t>
        </is>
      </c>
      <c r="O138" s="235" t="n"/>
    </row>
    <row r="139">
      <c r="B139" s="226" t="n">
        <v>121</v>
      </c>
      <c r="C139" s="199" t="inlineStr">
        <is>
          <t>COTIZACION DE LOS DISEÑOS DE SEGURIDAD HUMANA Y PROTECCIÓN CONTRA  INCENDIOS - KENWORTH COPACABANA</t>
        </is>
      </c>
      <c r="D139" s="312" t="n"/>
      <c r="E139" s="312" t="n"/>
      <c r="F139" s="312" t="n"/>
      <c r="G139" s="312" t="n"/>
      <c r="H139" s="312" t="n"/>
      <c r="I139" s="313" t="n"/>
      <c r="J139" s="319" t="inlineStr">
        <is>
          <t>variable</t>
        </is>
      </c>
      <c r="K139" s="12" t="n">
        <v>43592</v>
      </c>
      <c r="L139" s="199" t="n"/>
      <c r="M139" s="235" t="n"/>
      <c r="N139" s="235" t="inlineStr">
        <is>
          <t>Carlos Mauricio Valencia Granda</t>
        </is>
      </c>
      <c r="O139" s="235" t="n"/>
    </row>
    <row r="140">
      <c r="B140" s="198" t="n">
        <v>122</v>
      </c>
      <c r="C140" s="198" t="inlineStr">
        <is>
          <t>COTIZACION DE LOS DISEÑOS DE SEGURIDAD HUMANA Y PROTECCIÓN CONTRA  INCENDIOS - PROYECTO ASTORGA</t>
        </is>
      </c>
      <c r="D140" s="312" t="n"/>
      <c r="E140" s="312" t="n"/>
      <c r="F140" s="312" t="n"/>
      <c r="G140" s="312" t="n"/>
      <c r="H140" s="312" t="n"/>
      <c r="I140" s="313" t="n"/>
      <c r="J140" s="320" t="n">
        <v>15875000</v>
      </c>
      <c r="K140" s="28" t="n">
        <v>43592</v>
      </c>
      <c r="L140" s="198" t="n"/>
      <c r="M140" s="25" t="n"/>
      <c r="N140" s="25" t="n"/>
      <c r="O140" s="25" t="n"/>
    </row>
    <row r="141">
      <c r="A141" s="207" t="inlineStr">
        <is>
          <t>ok</t>
        </is>
      </c>
      <c r="B141" s="13" t="n">
        <v>123</v>
      </c>
      <c r="C141" s="199" t="inlineStr">
        <is>
          <t>COTIZACION DEL DISEÑO DE EXTINCIÓN DE INCENDIOS - OFICINA 171</t>
        </is>
      </c>
      <c r="D141" s="312" t="n"/>
      <c r="E141" s="312" t="n"/>
      <c r="F141" s="312" t="n"/>
      <c r="G141" s="312" t="n"/>
      <c r="H141" s="312" t="n"/>
      <c r="I141" s="313" t="n"/>
      <c r="J141" s="319" t="n">
        <v>570000</v>
      </c>
      <c r="K141" s="12" t="n">
        <v>43606</v>
      </c>
      <c r="L141" s="199" t="n"/>
      <c r="M141" s="235" t="n"/>
      <c r="N141" s="235" t="inlineStr">
        <is>
          <t>Luisa Fernanda Gallego</t>
        </is>
      </c>
      <c r="O141" s="235" t="n"/>
    </row>
    <row r="142">
      <c r="A142" s="207" t="inlineStr">
        <is>
          <t>ok</t>
        </is>
      </c>
      <c r="B142" s="13" t="n">
        <v>123</v>
      </c>
      <c r="C142" s="199" t="inlineStr">
        <is>
          <t>COTIZACION DE LOS DISEÑOS DE PROTECCIÓN CONTRA INCENDIOS Y SEGURIDAD HUMANA PARA EL PROYECTO ASTORGA</t>
        </is>
      </c>
      <c r="D142" s="312" t="n"/>
      <c r="E142" s="312" t="n"/>
      <c r="F142" s="312" t="n"/>
      <c r="G142" s="312" t="n"/>
      <c r="H142" s="312" t="n"/>
      <c r="I142" s="313" t="n"/>
      <c r="J142" s="319" t="n">
        <v>15875000</v>
      </c>
      <c r="K142" s="12" t="n">
        <v>43958</v>
      </c>
      <c r="L142" s="199" t="n"/>
      <c r="M142" s="235" t="n"/>
      <c r="N142" s="235" t="inlineStr">
        <is>
          <t>David Hernández</t>
        </is>
      </c>
      <c r="O142" s="235" t="n"/>
    </row>
    <row r="143">
      <c r="B143" s="226" t="n">
        <v>124</v>
      </c>
      <c r="C143" s="199" t="inlineStr">
        <is>
          <t>COTIZACION DE LOS DISEÑOS DE PROTECCIÓN CONTRA  INCENDIOS - HUB DIGITAL DE INNOVACIÓN</t>
        </is>
      </c>
      <c r="D143" s="312" t="n"/>
      <c r="E143" s="312" t="n"/>
      <c r="F143" s="312" t="n"/>
      <c r="G143" s="312" t="n"/>
      <c r="H143" s="312" t="n"/>
      <c r="I143" s="313" t="n"/>
      <c r="J143" s="319" t="n">
        <v>2850000</v>
      </c>
      <c r="K143" s="12" t="n">
        <v>43593</v>
      </c>
      <c r="L143" s="199" t="n"/>
      <c r="M143" s="235" t="n"/>
      <c r="N143" s="235" t="inlineStr">
        <is>
          <t>David Lopera</t>
        </is>
      </c>
      <c r="O143" s="235" t="n"/>
    </row>
    <row r="144">
      <c r="B144" s="226" t="n">
        <v>125</v>
      </c>
      <c r="C144" s="199" t="inlineStr">
        <is>
          <t>COTIZACION DE LOS DISEÑOS DE PROTECCIÓN CONTRA  INCENDIOS - HUB DIGITAL DE INNOVACIÓN</t>
        </is>
      </c>
      <c r="D144" s="312" t="n"/>
      <c r="E144" s="312" t="n"/>
      <c r="F144" s="312" t="n"/>
      <c r="G144" s="312" t="n"/>
      <c r="H144" s="312" t="n"/>
      <c r="I144" s="313" t="n"/>
      <c r="J144" s="319" t="n">
        <v>2850000</v>
      </c>
      <c r="K144" s="12" t="n">
        <v>43593</v>
      </c>
      <c r="L144" s="199" t="n"/>
      <c r="M144" s="235" t="n"/>
      <c r="N144" s="235" t="inlineStr">
        <is>
          <t>Juan Pablo Grajales</t>
        </is>
      </c>
      <c r="O144" s="235" t="n"/>
    </row>
    <row r="145">
      <c r="A145" s="207" t="inlineStr">
        <is>
          <t>si</t>
        </is>
      </c>
      <c r="B145" s="13" t="n">
        <v>126</v>
      </c>
      <c r="C145" s="199" t="inlineStr">
        <is>
          <t>COTIZACIÓN DEL DISEÑO DEL SISTEMA DE DETECCIÓN - BODEGAS QUALITY</t>
        </is>
      </c>
      <c r="D145" s="312" t="n"/>
      <c r="E145" s="312" t="n"/>
      <c r="F145" s="312" t="n"/>
      <c r="G145" s="312" t="n"/>
      <c r="H145" s="312" t="n"/>
      <c r="I145" s="313" t="n"/>
      <c r="J145" s="319" t="n">
        <v>3100000</v>
      </c>
      <c r="K145" s="12" t="n">
        <v>43598</v>
      </c>
      <c r="L145" s="199" t="n"/>
      <c r="M145" s="235" t="n"/>
      <c r="N145" s="235" t="inlineStr">
        <is>
          <t>Jose Maria Estrada M</t>
        </is>
      </c>
      <c r="O145" s="235" t="n"/>
    </row>
    <row r="146">
      <c r="A146" s="207" t="inlineStr">
        <is>
          <t>si</t>
        </is>
      </c>
      <c r="B146" s="13" t="n">
        <v>126</v>
      </c>
      <c r="C146" s="199" t="inlineStr">
        <is>
          <t>COTIZACION DEL DISEÑO DEL RUTEO DE LA RED GENERAL Y UBICACIÓN DE GABIENTES DEL SISTEMA DE EXTINCIÓN DE INCENDIOS PARA EL PROYECTO MICROPLAST</t>
        </is>
      </c>
      <c r="D146" s="312" t="n"/>
      <c r="E146" s="312" t="n"/>
      <c r="F146" s="312" t="n"/>
      <c r="G146" s="312" t="n"/>
      <c r="H146" s="312" t="n"/>
      <c r="I146" s="313" t="n"/>
      <c r="J146" s="319" t="n">
        <v>3762000</v>
      </c>
      <c r="K146" s="12" t="n">
        <v>43593</v>
      </c>
      <c r="L146" s="199" t="n"/>
      <c r="M146" s="235" t="n"/>
      <c r="N146" s="235" t="inlineStr">
        <is>
          <t>Francisco Unda</t>
        </is>
      </c>
      <c r="O146" s="235" t="n"/>
    </row>
    <row r="147">
      <c r="B147" s="226" t="n">
        <v>127</v>
      </c>
      <c r="C147" s="199" t="inlineStr">
        <is>
          <t>COTIZACION DE LOS DISEÑOS DE PROTECCIÓN CONTRA  INCENDIOS - PLANTA ARTEXTIL</t>
        </is>
      </c>
      <c r="D147" s="312" t="n"/>
      <c r="E147" s="312" t="n"/>
      <c r="F147" s="312" t="n"/>
      <c r="G147" s="312" t="n"/>
      <c r="H147" s="312" t="n"/>
      <c r="I147" s="313" t="n"/>
      <c r="J147" s="319" t="n">
        <v>30920000</v>
      </c>
      <c r="K147" s="12" t="n">
        <v>43599</v>
      </c>
      <c r="L147" s="199" t="n"/>
      <c r="M147" s="235" t="n"/>
      <c r="N147" s="235" t="inlineStr">
        <is>
          <t>Catalina Zea</t>
        </is>
      </c>
      <c r="O147" s="235" t="n"/>
    </row>
    <row r="148">
      <c r="B148" s="226" t="n">
        <v>128</v>
      </c>
      <c r="C148" s="199" t="inlineStr">
        <is>
          <t>COTIZACION DE LOS DISEÑOS DE SEGURIDAD HUMANA Y PROTECCIÓN CONTRA  INCENDIOS - ALEJANDRÍA DE CONQUISTADORES</t>
        </is>
      </c>
      <c r="D148" s="312" t="n"/>
      <c r="E148" s="312" t="n"/>
      <c r="F148" s="312" t="n"/>
      <c r="G148" s="312" t="n"/>
      <c r="H148" s="312" t="n"/>
      <c r="I148" s="313" t="n"/>
      <c r="J148" s="319" t="n">
        <v>6998000</v>
      </c>
      <c r="K148" s="12" t="n">
        <v>43599</v>
      </c>
      <c r="L148" s="199" t="n"/>
      <c r="M148" s="235" t="n"/>
      <c r="N148" s="235" t="inlineStr">
        <is>
          <t>Santiago Raca</t>
        </is>
      </c>
      <c r="O148" s="235" t="n"/>
    </row>
    <row r="149">
      <c r="B149" s="226" t="n">
        <v>129</v>
      </c>
      <c r="C149" s="199" t="inlineStr">
        <is>
          <t>COTIZACION DEL DISEÑO DEL CUARTO DE BOMBAS Y LA RED GENERAL DE ABASTECIMIENTO PARA LOS GABINETES CONTRA INCENDIOSDE INCENDIOS PARA EL PROYECTO VIVA FONTIBÓN</t>
        </is>
      </c>
      <c r="D149" s="312" t="n"/>
      <c r="E149" s="312" t="n"/>
      <c r="F149" s="312" t="n"/>
      <c r="G149" s="312" t="n"/>
      <c r="H149" s="312" t="n"/>
      <c r="I149" s="313" t="n"/>
      <c r="J149" s="319" t="n">
        <v>4890000</v>
      </c>
      <c r="K149" s="12" t="n">
        <v>43599</v>
      </c>
      <c r="L149" s="199" t="n"/>
      <c r="M149" s="235" t="n"/>
      <c r="N149" s="235" t="inlineStr">
        <is>
          <t>Juan Pablo Grajales</t>
        </is>
      </c>
      <c r="O149" s="235" t="n"/>
    </row>
    <row r="150">
      <c r="B150" s="198" t="n">
        <v>130</v>
      </c>
      <c r="C150" s="198" t="inlineStr">
        <is>
          <t>COTIZACION DE LOS DISEÑOS DE PROTECCIÓN CONTRA  INCENDIOS - EDIFICIO UNICENTRO (HOTEL)</t>
        </is>
      </c>
      <c r="D150" s="312" t="n"/>
      <c r="E150" s="312" t="n"/>
      <c r="F150" s="312" t="n"/>
      <c r="G150" s="312" t="n"/>
      <c r="H150" s="312" t="n"/>
      <c r="I150" s="313" t="n"/>
      <c r="J150" s="320" t="n">
        <v>5915000</v>
      </c>
      <c r="K150" s="28" t="n">
        <v>43599</v>
      </c>
      <c r="L150" s="198" t="n"/>
      <c r="M150" s="25" t="n"/>
      <c r="N150" s="25" t="n"/>
      <c r="O150" s="25" t="n"/>
    </row>
    <row r="151">
      <c r="B151" s="226" t="n">
        <v>131</v>
      </c>
      <c r="C151" s="199" t="inlineStr">
        <is>
          <t>COTIZACION DE LOS DISEÑOS DE PROTECCIÓN CONTRA  INCENDIOS - EDIFICIO UNICENTRO (APARTAMENTOS)</t>
        </is>
      </c>
      <c r="D151" s="312" t="n"/>
      <c r="E151" s="312" t="n"/>
      <c r="F151" s="312" t="n"/>
      <c r="G151" s="312" t="n"/>
      <c r="H151" s="312" t="n"/>
      <c r="I151" s="313" t="n"/>
      <c r="J151" s="319" t="n">
        <v>3290000</v>
      </c>
      <c r="K151" s="12" t="n">
        <v>43599</v>
      </c>
      <c r="L151" s="199" t="n"/>
      <c r="M151" s="235" t="n"/>
      <c r="N151" s="235" t="inlineStr">
        <is>
          <t>Manuela Correa Echavarría</t>
        </is>
      </c>
      <c r="O151" s="235" t="n"/>
    </row>
    <row r="152">
      <c r="B152" s="226" t="n">
        <v>132</v>
      </c>
      <c r="C152" s="199" t="inlineStr">
        <is>
          <t>COTIZACION DEL DISEÑO DE EXTINCIÓN DE INCENDIOS - ENVASADO G.L.P. NORGAS - GIRÓN</t>
        </is>
      </c>
      <c r="D152" s="312" t="n"/>
      <c r="E152" s="312" t="n"/>
      <c r="F152" s="312" t="n"/>
      <c r="G152" s="312" t="n"/>
      <c r="H152" s="312" t="n"/>
      <c r="I152" s="313" t="n"/>
      <c r="J152" s="319" t="n">
        <v>25250000</v>
      </c>
      <c r="K152" s="12" t="n">
        <v>43599</v>
      </c>
      <c r="L152" s="199" t="n"/>
      <c r="M152" s="235" t="n"/>
      <c r="N152" s="235" t="inlineStr">
        <is>
          <t>Juan Santiago Londoño Quiceno</t>
        </is>
      </c>
      <c r="O152" s="235" t="n"/>
    </row>
    <row r="153">
      <c r="B153" s="226" t="n">
        <v>133</v>
      </c>
      <c r="C153" s="199" t="inlineStr">
        <is>
          <t>COTIZACION DEL DISEÑO DE EXTINCIÓN DE INCENDIOS - CÁLCULOS HIDRÁULICOS AURORA</t>
        </is>
      </c>
      <c r="D153" s="312" t="n"/>
      <c r="E153" s="312" t="n"/>
      <c r="F153" s="312" t="n"/>
      <c r="G153" s="312" t="n"/>
      <c r="H153" s="312" t="n"/>
      <c r="I153" s="313" t="n"/>
      <c r="J153" s="319" t="n">
        <v>2000</v>
      </c>
      <c r="K153" s="12" t="n">
        <v>43600</v>
      </c>
      <c r="L153" s="199" t="n"/>
      <c r="M153" s="235" t="n"/>
      <c r="N153" s="235" t="inlineStr">
        <is>
          <t>Julio Alejandro Llamas</t>
        </is>
      </c>
      <c r="O153" s="235" t="n"/>
    </row>
    <row r="154">
      <c r="B154" s="226" t="n">
        <v>134</v>
      </c>
      <c r="C154" s="199" t="inlineStr">
        <is>
          <t>COTIZACION DE LA REVISIÓN DE LOS DISEÑOS DE PROTECCIÓN CONTRA INCENDIOS Y SEGURIDAD HUMANA PARA EL PROYECTO LA RIVIERE TORRE 3</t>
        </is>
      </c>
      <c r="D154" s="312" t="n"/>
      <c r="E154" s="312" t="n"/>
      <c r="F154" s="312" t="n"/>
      <c r="G154" s="312" t="n"/>
      <c r="H154" s="312" t="n"/>
      <c r="I154" s="313" t="n"/>
      <c r="J154" s="319" t="n">
        <v>6400000</v>
      </c>
      <c r="K154" s="12" t="n">
        <v>43601</v>
      </c>
      <c r="L154" s="199" t="n"/>
      <c r="M154" s="235" t="n"/>
      <c r="N154" s="235" t="inlineStr">
        <is>
          <t>Gloria Elena Gutiérrez Calle</t>
        </is>
      </c>
      <c r="O154" s="235" t="n"/>
    </row>
    <row r="155">
      <c r="A155" s="207" t="inlineStr">
        <is>
          <t>si</t>
        </is>
      </c>
      <c r="B155" s="13" t="n">
        <v>135</v>
      </c>
      <c r="C155" s="199" t="inlineStr">
        <is>
          <t>COTIZACION DE LOS DISEÑOS DE PROTECCIÓN CONTRA INCENDIOS PARA EL PROYECTO PARQUE EMPRESARIAL RIONEGRO</t>
        </is>
      </c>
      <c r="D155" s="312" t="n"/>
      <c r="E155" s="312" t="n"/>
      <c r="F155" s="312" t="n"/>
      <c r="G155" s="312" t="n"/>
      <c r="H155" s="312" t="n"/>
      <c r="I155" s="313" t="n"/>
      <c r="J155" s="319" t="inlineStr">
        <is>
          <t>Variable</t>
        </is>
      </c>
      <c r="K155" s="12" t="n">
        <v>43606</v>
      </c>
      <c r="L155" s="199" t="n"/>
      <c r="M155" s="235" t="n"/>
      <c r="N155" s="235" t="inlineStr">
        <is>
          <t>Diego Alejandro Correa</t>
        </is>
      </c>
      <c r="O155" s="235" t="n"/>
    </row>
    <row r="156">
      <c r="A156" s="207" t="inlineStr">
        <is>
          <t>si</t>
        </is>
      </c>
      <c r="B156" s="13" t="n">
        <v>135</v>
      </c>
      <c r="C156" s="199" t="inlineStr">
        <is>
          <t>ANÁLISIS DE SEGURIDAD HUMANA PARA EL PROYECTO COLEGIO LOS CEREZOS</t>
        </is>
      </c>
      <c r="D156" s="312" t="n"/>
      <c r="E156" s="312" t="n"/>
      <c r="F156" s="312" t="n"/>
      <c r="G156" s="312" t="n"/>
      <c r="H156" s="312" t="n"/>
      <c r="I156" s="313" t="n"/>
      <c r="J156" s="319" t="inlineStr">
        <is>
          <t>Variable</t>
        </is>
      </c>
      <c r="K156" s="12" t="n">
        <v>43601</v>
      </c>
      <c r="L156" s="199" t="n"/>
      <c r="M156" s="235" t="n"/>
      <c r="N156" s="235" t="inlineStr">
        <is>
          <t>Juan Esteban Zapata</t>
        </is>
      </c>
      <c r="O156" s="235" t="n"/>
    </row>
    <row r="157">
      <c r="B157" s="13" t="n">
        <v>136</v>
      </c>
      <c r="C157" s="199" t="inlineStr">
        <is>
          <t>COTICOTIZACION DE LOS DISEÑOS DE PROTECCIÓN CONTRA INCENDIOS PARA EL PROYECTO CROSS</t>
        </is>
      </c>
      <c r="D157" s="312" t="n"/>
      <c r="E157" s="312" t="n"/>
      <c r="F157" s="312" t="n"/>
      <c r="G157" s="312" t="n"/>
      <c r="H157" s="312" t="n"/>
      <c r="I157" s="313" t="n"/>
      <c r="J157" s="319" t="n">
        <v>1000000</v>
      </c>
      <c r="K157" s="12" t="n">
        <v>43606</v>
      </c>
      <c r="L157" s="199" t="n"/>
      <c r="M157" s="235" t="n"/>
      <c r="N157" s="235" t="inlineStr">
        <is>
          <t>Julián Toro</t>
        </is>
      </c>
      <c r="O157" s="235" t="n"/>
    </row>
    <row r="158">
      <c r="B158" s="13" t="n">
        <v>136</v>
      </c>
      <c r="C158" s="199" t="inlineStr">
        <is>
          <t>COTIZACION DE LA REVICIÓN DE LOS DISEÑOS DE DETECCIÓN DE INCENDIOS Y CONCEPTO DE SEGURIDAD HUMANA PARA EL PROYECTO NEUROMÉDICA</t>
        </is>
      </c>
      <c r="D158" s="312" t="n"/>
      <c r="E158" s="312" t="n"/>
      <c r="F158" s="312" t="n"/>
      <c r="G158" s="312" t="n"/>
      <c r="H158" s="312" t="n"/>
      <c r="I158" s="313" t="n"/>
      <c r="J158" s="319" t="n">
        <v>1000000</v>
      </c>
      <c r="K158" s="12" t="n">
        <v>43606</v>
      </c>
      <c r="L158" s="199" t="n"/>
      <c r="M158" s="235" t="n"/>
      <c r="N158" s="235" t="inlineStr">
        <is>
          <t>Juan Pablo Grajales</t>
        </is>
      </c>
      <c r="O158" s="235" t="n"/>
    </row>
    <row r="159">
      <c r="B159" s="226" t="n">
        <v>137</v>
      </c>
      <c r="C159" s="226" t="inlineStr">
        <is>
          <t>COTIZACION DE LOS DISEÑOS DE PROTECCIÓN CONTRA INCENDIOS Y SEGURIDAD HUMANA PARA EL PROYECTO MARROCO</t>
        </is>
      </c>
      <c r="D159" s="312" t="n"/>
      <c r="E159" s="312" t="n"/>
      <c r="F159" s="312" t="n"/>
      <c r="G159" s="312" t="n"/>
      <c r="H159" s="312" t="n"/>
      <c r="I159" s="313" t="n"/>
      <c r="J159" s="322" t="n">
        <v>18580000</v>
      </c>
      <c r="K159" s="22" t="n">
        <v>43607</v>
      </c>
      <c r="L159" s="226" t="n"/>
      <c r="M159" s="230" t="n"/>
      <c r="N159" s="230" t="inlineStr">
        <is>
          <t>Laura Sierra Carrillo</t>
        </is>
      </c>
      <c r="O159" s="235" t="n"/>
    </row>
    <row r="160">
      <c r="B160" s="226" t="n">
        <v>138</v>
      </c>
      <c r="C160" s="226" t="inlineStr">
        <is>
          <t>COTIZACION DEL DISEÑO DE DETECCIÓN DE INCENDIOS PARA EL PROYECTO TRES CANTOS</t>
        </is>
      </c>
      <c r="D160" s="312" t="n"/>
      <c r="E160" s="312" t="n"/>
      <c r="F160" s="312" t="n"/>
      <c r="G160" s="312" t="n"/>
      <c r="H160" s="312" t="n"/>
      <c r="I160" s="313" t="n"/>
      <c r="J160" s="322" t="n">
        <v>4300000</v>
      </c>
      <c r="K160" s="22" t="n">
        <v>43612</v>
      </c>
      <c r="L160" s="226" t="n"/>
      <c r="M160" s="230" t="n"/>
      <c r="N160" s="230" t="inlineStr">
        <is>
          <t>Proyecto Tres Cantos</t>
        </is>
      </c>
      <c r="O160" s="235" t="n"/>
    </row>
    <row r="161">
      <c r="B161" s="226" t="n">
        <v>139</v>
      </c>
      <c r="C161" s="226" t="inlineStr">
        <is>
          <t>COTIZACION DE LOS DISEÑOS DE PROTECCIÓN CONTRA  INCENDIOS - BANDA TRANSPORTADORA LLANTAS PROGREFA</t>
        </is>
      </c>
      <c r="D161" s="312" t="n"/>
      <c r="E161" s="312" t="n"/>
      <c r="F161" s="312" t="n"/>
      <c r="G161" s="312" t="n"/>
      <c r="H161" s="312" t="n"/>
      <c r="I161" s="313" t="n"/>
      <c r="J161" s="322" t="n">
        <v>6200</v>
      </c>
      <c r="K161" s="22" t="n">
        <v>43612</v>
      </c>
      <c r="L161" s="226" t="n"/>
      <c r="M161" s="230" t="n"/>
      <c r="N161" s="230" t="inlineStr">
        <is>
          <t>Julio Alejandro Llamas</t>
        </is>
      </c>
      <c r="O161" s="235" t="n"/>
    </row>
    <row r="162">
      <c r="B162" s="226" t="n">
        <v>140</v>
      </c>
      <c r="C162" s="226" t="inlineStr">
        <is>
          <t xml:space="preserve">COTIZACION DEL DISEÑO DE EXTINCIÓN DE INCENDIOS PARA UNA ZONA DESPROTEGIDA DE VIVA VILLAVICENCIO </t>
        </is>
      </c>
      <c r="D162" s="312" t="n"/>
      <c r="E162" s="312" t="n"/>
      <c r="F162" s="312" t="n"/>
      <c r="G162" s="312" t="n"/>
      <c r="H162" s="312" t="n"/>
      <c r="I162" s="313" t="n"/>
      <c r="J162" s="322" t="n">
        <v>4245000</v>
      </c>
      <c r="K162" s="22" t="n">
        <v>43613</v>
      </c>
      <c r="L162" s="226" t="n"/>
      <c r="M162" s="230" t="n"/>
      <c r="N162" s="230" t="inlineStr">
        <is>
          <t>Camilo Quintero</t>
        </is>
      </c>
      <c r="O162" s="235" t="n"/>
    </row>
    <row r="163">
      <c r="B163" s="226" t="n">
        <v>141</v>
      </c>
      <c r="C163" s="226" t="inlineStr">
        <is>
          <t>COTIZACION DE LOS DISEÑOS DE PROTECCIÓN CONTRA  INCENDIOS - EDIFICIO NAZARET</t>
        </is>
      </c>
      <c r="D163" s="312" t="n"/>
      <c r="E163" s="312" t="n"/>
      <c r="F163" s="312" t="n"/>
      <c r="G163" s="312" t="n"/>
      <c r="H163" s="312" t="n"/>
      <c r="I163" s="313" t="n"/>
      <c r="J163" s="322" t="n">
        <v>3761</v>
      </c>
      <c r="K163" s="22" t="n">
        <v>43613</v>
      </c>
      <c r="L163" s="226" t="n"/>
      <c r="M163" s="230" t="n"/>
      <c r="N163" s="230" t="inlineStr">
        <is>
          <t>Julio Alejandro Llamas</t>
        </is>
      </c>
      <c r="O163" s="235" t="n"/>
    </row>
    <row r="164">
      <c r="B164" s="226" t="n">
        <v>142</v>
      </c>
      <c r="C164" s="226" t="inlineStr">
        <is>
          <t>COTIZACION DE LOS DISEÑOS DE SEGURIDAD HUMANA Y PROTECCIÓN CONTRA  INCENDIOS - SIERRA GRANDE C2</t>
        </is>
      </c>
      <c r="D164" s="312" t="n"/>
      <c r="E164" s="312" t="n"/>
      <c r="F164" s="312" t="n"/>
      <c r="G164" s="312" t="n"/>
      <c r="H164" s="312" t="n"/>
      <c r="I164" s="313" t="n"/>
      <c r="J164" s="322" t="n">
        <v>6970000</v>
      </c>
      <c r="K164" s="22" t="n">
        <v>43615</v>
      </c>
      <c r="L164" s="226" t="n"/>
      <c r="M164" s="230" t="n"/>
      <c r="N164" s="230" t="inlineStr">
        <is>
          <t>Jorge Luis Betancur Cadavid</t>
        </is>
      </c>
      <c r="O164" s="235" t="n"/>
    </row>
    <row r="165">
      <c r="B165" s="226" t="n">
        <v>143</v>
      </c>
      <c r="C165" s="226" t="inlineStr">
        <is>
          <t>COTIZACION DEL DISEÑO DE EXTINCIÓN DE INCENDIOS PARA EL PROYECTO AMPLIACIÓN ÁREA DE PRODUCCIÓN H.B. FULLER RIONEGRO</t>
        </is>
      </c>
      <c r="D165" s="312" t="n"/>
      <c r="E165" s="312" t="n"/>
      <c r="F165" s="312" t="n"/>
      <c r="G165" s="312" t="n"/>
      <c r="H165" s="312" t="n"/>
      <c r="I165" s="313" t="n"/>
      <c r="J165" s="322" t="inlineStr">
        <is>
          <t>Variable</t>
        </is>
      </c>
      <c r="K165" s="22" t="n">
        <v>43615</v>
      </c>
      <c r="L165" s="226" t="n"/>
      <c r="M165" s="230" t="n"/>
      <c r="N165" s="230" t="inlineStr">
        <is>
          <t>Carlos Mario Bolivar</t>
        </is>
      </c>
      <c r="O165" s="235" t="n"/>
    </row>
    <row r="166">
      <c r="B166" s="226" t="n">
        <v>144</v>
      </c>
      <c r="C166" s="226" t="inlineStr">
        <is>
          <t>COTIZACION DEL DISEÑO DE DETECCIÓN DE INCENDIOS - CUARTO DE BOMBAS LÓGICA PARQUE INDUSTRIAL</t>
        </is>
      </c>
      <c r="D166" s="312" t="n"/>
      <c r="E166" s="312" t="n"/>
      <c r="F166" s="312" t="n"/>
      <c r="G166" s="312" t="n"/>
      <c r="H166" s="312" t="n"/>
      <c r="I166" s="313" t="n"/>
      <c r="J166" s="322" t="n">
        <v>950000</v>
      </c>
      <c r="K166" s="22" t="n">
        <v>43615</v>
      </c>
      <c r="L166" s="226" t="n"/>
      <c r="M166" s="230" t="n"/>
      <c r="N166" s="230" t="inlineStr">
        <is>
          <t>Juan Pablo Grajales</t>
        </is>
      </c>
      <c r="O166" s="235" t="n"/>
    </row>
    <row r="167">
      <c r="B167" s="198" t="n">
        <v>145</v>
      </c>
      <c r="C167" s="198" t="inlineStr">
        <is>
          <t>FERNANDO SALDARRIAGA</t>
        </is>
      </c>
      <c r="D167" s="312" t="n"/>
      <c r="E167" s="312" t="n"/>
      <c r="F167" s="312" t="n"/>
      <c r="G167" s="312" t="n"/>
      <c r="H167" s="312" t="n"/>
      <c r="I167" s="313" t="n"/>
      <c r="J167" s="320" t="n"/>
      <c r="K167" s="28" t="n">
        <v>43615</v>
      </c>
      <c r="L167" s="198" t="n"/>
      <c r="M167" s="25" t="n"/>
      <c r="N167" s="25" t="n"/>
      <c r="O167" s="25" t="n"/>
    </row>
    <row r="168">
      <c r="B168" s="226" t="n">
        <v>146</v>
      </c>
      <c r="C168" s="226" t="inlineStr">
        <is>
          <t>COTIZACION DE LOS DISEÑOS DE SEGURIDAD HUMANA Y PROTECCIÓN CONTRA  INCENDIOS - OFICINAS TALLERES METRO DE MEDELLIN</t>
        </is>
      </c>
      <c r="D168" s="312" t="n"/>
      <c r="E168" s="312" t="n"/>
      <c r="F168" s="312" t="n"/>
      <c r="G168" s="312" t="n"/>
      <c r="H168" s="312" t="n"/>
      <c r="I168" s="313" t="n"/>
      <c r="J168" s="319" t="n">
        <v>5814000</v>
      </c>
      <c r="K168" s="12" t="n">
        <v>43620</v>
      </c>
      <c r="L168" s="199" t="n"/>
      <c r="M168" s="235" t="n"/>
      <c r="N168" s="235" t="inlineStr">
        <is>
          <t>Paola A. López Cadavid</t>
        </is>
      </c>
      <c r="O168" s="235" t="n"/>
    </row>
    <row r="169">
      <c r="B169" s="226" t="n">
        <v>147</v>
      </c>
      <c r="C169" s="226" t="inlineStr">
        <is>
          <t>COTIZACION DEL DISEÑO DE EXTINCIÓN DE INCENDIOS - GARMIN SANTAFE</t>
        </is>
      </c>
      <c r="D169" s="312" t="n"/>
      <c r="E169" s="312" t="n"/>
      <c r="F169" s="312" t="n"/>
      <c r="G169" s="312" t="n"/>
      <c r="H169" s="312" t="n"/>
      <c r="I169" s="313" t="n"/>
      <c r="J169" s="319" t="n">
        <v>320000</v>
      </c>
      <c r="K169" s="12" t="n">
        <v>43620</v>
      </c>
      <c r="L169" s="199" t="n"/>
      <c r="M169" s="235" t="n"/>
      <c r="N169" s="235" t="inlineStr">
        <is>
          <t>Luisa Fernanda Gallego</t>
        </is>
      </c>
      <c r="O169" s="235" t="n"/>
    </row>
    <row r="170">
      <c r="B170" s="226" t="n">
        <v>148</v>
      </c>
      <c r="C170" s="226" t="inlineStr">
        <is>
          <t>COTIZACION DE LOS DISEÑOS DE PROTECCIÓN CONTRA INCENDIOS Y SEGURIDAD HUMANA PARA EL PROYECTO MIXY MALL LOS COLORES</t>
        </is>
      </c>
      <c r="D170" s="312" t="n"/>
      <c r="E170" s="312" t="n"/>
      <c r="F170" s="312" t="n"/>
      <c r="G170" s="312" t="n"/>
      <c r="H170" s="312" t="n"/>
      <c r="I170" s="313" t="n"/>
      <c r="J170" s="319" t="n">
        <v>14865000</v>
      </c>
      <c r="K170" s="12" t="n">
        <v>43621</v>
      </c>
      <c r="L170" s="199" t="n"/>
      <c r="M170" s="235" t="n"/>
      <c r="N170" s="235" t="inlineStr">
        <is>
          <t>Cristiam Mondragón</t>
        </is>
      </c>
      <c r="O170" s="235" t="n"/>
    </row>
    <row r="171">
      <c r="B171" s="226" t="n">
        <v>149</v>
      </c>
      <c r="C171" s="226" t="inlineStr">
        <is>
          <t>COTIZACION DE LOS DISEÑOS DE SEGURIDAD HUMANA Y PROTECCIÓN CONTRA  INCENDIOS - LAS BRUJAS</t>
        </is>
      </c>
      <c r="D171" s="312" t="n"/>
      <c r="E171" s="312" t="n"/>
      <c r="F171" s="312" t="n"/>
      <c r="G171" s="312" t="n"/>
      <c r="H171" s="312" t="n"/>
      <c r="I171" s="313" t="n"/>
      <c r="J171" s="319" t="n">
        <v>17365000</v>
      </c>
      <c r="K171" s="12" t="n">
        <v>43622</v>
      </c>
      <c r="L171" s="199" t="n"/>
      <c r="M171" s="235" t="n"/>
      <c r="N171" s="235" t="inlineStr">
        <is>
          <t>Adriana Alarcón</t>
        </is>
      </c>
      <c r="O171" s="235" t="n"/>
    </row>
    <row r="172">
      <c r="B172" s="226" t="n">
        <v>150</v>
      </c>
      <c r="C172" s="226" t="inlineStr">
        <is>
          <t>COTIZACIÓN DEL DISEÑO DE DETECCIÓN DE INCENDIOS - ACINOX S.A</t>
        </is>
      </c>
      <c r="D172" s="312" t="n"/>
      <c r="E172" s="312" t="n"/>
      <c r="F172" s="312" t="n"/>
      <c r="G172" s="312" t="n"/>
      <c r="H172" s="312" t="n"/>
      <c r="I172" s="313" t="n"/>
      <c r="J172" s="319" t="n">
        <v>2165000</v>
      </c>
      <c r="K172" s="12" t="n">
        <v>43622</v>
      </c>
      <c r="L172" s="199" t="n"/>
      <c r="M172" s="235" t="n"/>
      <c r="N172" s="235" t="inlineStr">
        <is>
          <t>Juan Diego Herrera Henao</t>
        </is>
      </c>
      <c r="O172" s="235" t="n"/>
    </row>
    <row r="173">
      <c r="B173" s="226" t="n">
        <v>151</v>
      </c>
      <c r="C173" s="226" t="inlineStr">
        <is>
          <t>COTIZACION DE LOS DISEÑOS DE SEGURIDAD HUMANA Y PROTECCIÓN CONTRA  INCENDIOS - GUAYACANES DE PRADO</t>
        </is>
      </c>
      <c r="D173" s="312" t="n"/>
      <c r="E173" s="312" t="n"/>
      <c r="F173" s="312" t="n"/>
      <c r="G173" s="312" t="n"/>
      <c r="H173" s="312" t="n"/>
      <c r="I173" s="313" t="n"/>
      <c r="J173" s="319" t="n">
        <v>5955000</v>
      </c>
      <c r="K173" s="12" t="n">
        <v>43626</v>
      </c>
      <c r="L173" s="199" t="n"/>
      <c r="M173" s="235" t="n"/>
      <c r="N173" s="235" t="inlineStr">
        <is>
          <t>Zully Milena López</t>
        </is>
      </c>
      <c r="O173" s="235" t="n"/>
    </row>
    <row r="174">
      <c r="B174" s="226" t="n">
        <v>152</v>
      </c>
      <c r="C174" s="226" t="inlineStr">
        <is>
          <t>COTIZACION DE LOS DISEÑOS DE SEGURIDAD HUMANA Y PROTECCIÓN CONTRA  INCENDIOS - HOTEL GUATAPÉ</t>
        </is>
      </c>
      <c r="D174" s="312" t="n"/>
      <c r="E174" s="312" t="n"/>
      <c r="F174" s="312" t="n"/>
      <c r="G174" s="312" t="n"/>
      <c r="H174" s="312" t="n"/>
      <c r="I174" s="313" t="n"/>
      <c r="J174" s="319" t="n">
        <v>16305900</v>
      </c>
      <c r="K174" s="12" t="n">
        <v>43627</v>
      </c>
      <c r="L174" s="199" t="n"/>
      <c r="M174" s="235" t="n"/>
      <c r="N174" s="235" t="inlineStr">
        <is>
          <t>Fernando Saldarriaga</t>
        </is>
      </c>
      <c r="O174" s="235" t="n"/>
    </row>
    <row r="175">
      <c r="B175" s="226" t="n">
        <v>153</v>
      </c>
      <c r="C175" s="230" t="inlineStr">
        <is>
          <t>COTIZACION DEL DISEÑO DE EXTINCIÓN DE INCENDIOS PARA EL PROYECTO BODEGA CALDAS</t>
        </is>
      </c>
      <c r="D175" s="312" t="n"/>
      <c r="E175" s="312" t="n"/>
      <c r="F175" s="312" t="n"/>
      <c r="G175" s="312" t="n"/>
      <c r="H175" s="312" t="n"/>
      <c r="I175" s="313" t="n"/>
      <c r="J175" s="319" t="n">
        <v>9945000</v>
      </c>
      <c r="K175" s="12" t="n">
        <v>43628</v>
      </c>
      <c r="L175" s="199" t="n"/>
      <c r="M175" s="235" t="n"/>
      <c r="N175" s="278" t="inlineStr">
        <is>
          <t>José Alberto Osorio</t>
        </is>
      </c>
      <c r="O175" s="235" t="n"/>
    </row>
    <row r="176">
      <c r="B176" s="13" t="n">
        <v>154</v>
      </c>
      <c r="C176" s="199" t="inlineStr">
        <is>
          <t>COTIZACION DE LOS DISEÑOS DE PROTECCIÓN CONTRA INCENDIOS Y SEGURIDAD HUMANA PARA EL PROYECTO POBLADO DE SAN DIEGO</t>
        </is>
      </c>
      <c r="D176" s="312" t="n"/>
      <c r="E176" s="312" t="n"/>
      <c r="F176" s="312" t="n"/>
      <c r="G176" s="312" t="n"/>
      <c r="H176" s="312" t="n"/>
      <c r="I176" s="313" t="n"/>
      <c r="J176" s="319" t="n">
        <v>9905000</v>
      </c>
      <c r="K176" s="12" t="n">
        <v>43629</v>
      </c>
      <c r="L176" s="199" t="n"/>
      <c r="M176" s="235" t="n"/>
      <c r="N176" s="235" t="inlineStr">
        <is>
          <t>Jhonny Castro</t>
        </is>
      </c>
      <c r="O176" s="235" t="n"/>
    </row>
    <row r="177">
      <c r="B177" s="13" t="n">
        <v>154</v>
      </c>
      <c r="C177" s="199" t="inlineStr">
        <is>
          <t>COTIZACION DEL DISEÑO DE EXTINCIÓN DE INCENDIOS PARA EL PROYECTO BODEGA 14 INDEXZONA</t>
        </is>
      </c>
      <c r="D177" s="312" t="n"/>
      <c r="E177" s="312" t="n"/>
      <c r="F177" s="312" t="n"/>
      <c r="G177" s="312" t="n"/>
      <c r="H177" s="312" t="n"/>
      <c r="I177" s="313" t="n"/>
      <c r="J177" s="319" t="n">
        <v>19915000</v>
      </c>
      <c r="K177" s="12" t="n">
        <v>47281</v>
      </c>
      <c r="L177" s="199" t="n"/>
      <c r="M177" s="235" t="n"/>
      <c r="N177" s="235" t="inlineStr">
        <is>
          <t>Juan Pablo Grajales</t>
        </is>
      </c>
      <c r="O177" s="235" t="n"/>
    </row>
    <row r="178">
      <c r="B178" s="198" t="n">
        <v>155</v>
      </c>
      <c r="C178" s="198" t="inlineStr">
        <is>
          <t>COTIZACION DE LOS DISEÑOS DE SEGURIDAD HUMANA Y PROTECCIÓN CONTRA  INCENDIOS - POBLADO DE SAN DIEGO</t>
        </is>
      </c>
      <c r="D178" s="312" t="n"/>
      <c r="E178" s="312" t="n"/>
      <c r="F178" s="312" t="n"/>
      <c r="G178" s="312" t="n"/>
      <c r="H178" s="312" t="n"/>
      <c r="I178" s="313" t="n"/>
      <c r="J178" s="320" t="n">
        <v>9905000</v>
      </c>
      <c r="K178" s="28" t="n">
        <v>43629</v>
      </c>
      <c r="L178" s="198" t="n"/>
      <c r="M178" s="25" t="n"/>
      <c r="N178" s="25" t="n"/>
      <c r="O178" s="25" t="n"/>
    </row>
    <row r="179">
      <c r="B179" s="226" t="n">
        <v>156</v>
      </c>
      <c r="C179" s="226" t="inlineStr">
        <is>
          <t>COTIZACION DEL DISEÑO DE EXTINCIÓN DE INCENDIOS - NATURALNESS</t>
        </is>
      </c>
      <c r="D179" s="312" t="n"/>
      <c r="E179" s="312" t="n"/>
      <c r="F179" s="312" t="n"/>
      <c r="G179" s="312" t="n"/>
      <c r="H179" s="312" t="n"/>
      <c r="I179" s="313" t="n"/>
      <c r="J179" s="319" t="n">
        <v>950000</v>
      </c>
      <c r="K179" s="12" t="n">
        <v>43690</v>
      </c>
      <c r="L179" s="199" t="n"/>
      <c r="M179" s="235" t="n"/>
      <c r="N179" s="235" t="inlineStr">
        <is>
          <t>Santiago Arango Restrepo</t>
        </is>
      </c>
      <c r="O179" s="235" t="n"/>
    </row>
    <row r="180">
      <c r="B180" s="226" t="n">
        <v>157</v>
      </c>
      <c r="C180" s="226" t="inlineStr">
        <is>
          <t>COTIZACION DE LOS DISEÑOS DE SEGURIDAD HUMANA Y PROTECCIÓN CONTRA  INCENDIOS - BOGOTÁ Y SABANA BANCOLOMBIA</t>
        </is>
      </c>
      <c r="D180" s="312" t="n"/>
      <c r="E180" s="312" t="n"/>
      <c r="F180" s="312" t="n"/>
      <c r="G180" s="312" t="n"/>
      <c r="H180" s="312" t="n"/>
      <c r="I180" s="313" t="n"/>
      <c r="J180" s="319" t="n">
        <v>27600000</v>
      </c>
      <c r="K180" s="12" t="n">
        <v>43633</v>
      </c>
      <c r="L180" s="199" t="n"/>
      <c r="M180" s="235" t="n"/>
      <c r="N180" s="207" t="inlineStr">
        <is>
          <t>Andrea Sánchez</t>
        </is>
      </c>
      <c r="O180" s="235" t="n"/>
    </row>
    <row r="181">
      <c r="B181" s="226" t="n">
        <v>158</v>
      </c>
      <c r="C181" s="226" t="inlineStr">
        <is>
          <t>COTIZACION DE LOS DISEÑOS DE SEGURIDAD HUMANA Y PROTECCIÓN CONTRA  INCENDIOS - OFICINAS E5</t>
        </is>
      </c>
      <c r="D181" s="312" t="n"/>
      <c r="E181" s="312" t="n"/>
      <c r="F181" s="312" t="n"/>
      <c r="G181" s="312" t="n"/>
      <c r="H181" s="312" t="n"/>
      <c r="I181" s="313" t="n"/>
      <c r="J181" s="319" t="n">
        <v>5980000</v>
      </c>
      <c r="K181" s="12" t="n">
        <v>43634</v>
      </c>
      <c r="L181" s="199" t="n"/>
      <c r="M181" s="235" t="n"/>
      <c r="N181" s="235" t="inlineStr">
        <is>
          <t>Mateo Cardona</t>
        </is>
      </c>
      <c r="O181" s="235" t="n"/>
    </row>
    <row r="182">
      <c r="B182" s="226" t="n">
        <v>159</v>
      </c>
      <c r="C182" s="226" t="inlineStr">
        <is>
          <t>COTIZACION DEL ANÁLISIS DE SEGURIDAD HUMANA PARA EL PROYECTO EDIFICIO DE OFICINAS ZONA AMÉRICA</t>
        </is>
      </c>
      <c r="D182" s="312" t="n"/>
      <c r="E182" s="312" t="n"/>
      <c r="F182" s="312" t="n"/>
      <c r="G182" s="312" t="n"/>
      <c r="H182" s="312" t="n"/>
      <c r="I182" s="313" t="n"/>
      <c r="J182" s="319" t="n">
        <v>2690000</v>
      </c>
      <c r="K182" s="12" t="n">
        <v>43634</v>
      </c>
      <c r="L182" s="199" t="n"/>
      <c r="M182" s="235" t="n"/>
      <c r="N182" s="25" t="n"/>
      <c r="O182" s="235" t="n"/>
    </row>
    <row r="183">
      <c r="B183" s="226" t="n">
        <v>160</v>
      </c>
      <c r="C183" s="226" t="inlineStr">
        <is>
          <t>COTIZACION DE LOS DISEÑOS DE PROTECCIÓN CONTRA INCENDIOS PARA EL PROYECTO LUDOTECA PESCITO</t>
        </is>
      </c>
      <c r="D183" s="312" t="n"/>
      <c r="E183" s="312" t="n"/>
      <c r="F183" s="312" t="n"/>
      <c r="G183" s="312" t="n"/>
      <c r="H183" s="312" t="n"/>
      <c r="I183" s="313" t="n"/>
      <c r="J183" s="319" t="n">
        <v>1580000</v>
      </c>
      <c r="K183" s="12" t="n">
        <v>43635</v>
      </c>
      <c r="L183" s="199" t="n"/>
      <c r="M183" s="235" t="n"/>
      <c r="N183" s="235" t="inlineStr">
        <is>
          <t>Liliana Arenas</t>
        </is>
      </c>
      <c r="O183" s="235" t="n"/>
    </row>
    <row r="184">
      <c r="B184" s="226" t="n">
        <v>161</v>
      </c>
      <c r="C184" s="226" t="inlineStr">
        <is>
          <t>COTIZACION DEL DISEÑO DE EXTINCIÓN DE INCENDIOS PARA EL PROYECTO PIRKASTONE MAYORCA</t>
        </is>
      </c>
      <c r="D184" s="312" t="n"/>
      <c r="E184" s="312" t="n"/>
      <c r="F184" s="312" t="n"/>
      <c r="G184" s="312" t="n"/>
      <c r="H184" s="312" t="n"/>
      <c r="I184" s="313" t="n"/>
      <c r="J184" s="319" t="n">
        <v>320000</v>
      </c>
      <c r="K184" s="12" t="n">
        <v>43635</v>
      </c>
      <c r="L184" s="199" t="n"/>
      <c r="M184" s="235" t="n"/>
      <c r="N184" s="235" t="inlineStr">
        <is>
          <t>Luisa Fernanda Gallego</t>
        </is>
      </c>
      <c r="O184" s="235" t="n"/>
    </row>
    <row r="185">
      <c r="B185" s="226" t="n">
        <v>162</v>
      </c>
      <c r="C185" s="226" t="inlineStr">
        <is>
          <t>COTIZACION DE LOS DISEÑOS DE SEGURIDAD HUMANA Y PROTECCIÓN CONTRA  INCENDIOS - HOUR</t>
        </is>
      </c>
      <c r="D185" s="312" t="n"/>
      <c r="E185" s="312" t="n"/>
      <c r="F185" s="312" t="n"/>
      <c r="G185" s="312" t="n"/>
      <c r="H185" s="312" t="n"/>
      <c r="I185" s="313" t="n"/>
      <c r="J185" s="319" t="n">
        <v>26342000</v>
      </c>
      <c r="K185" s="12" t="n">
        <v>43636</v>
      </c>
      <c r="L185" s="199" t="n"/>
      <c r="M185" s="235" t="n"/>
      <c r="N185" s="235" t="inlineStr">
        <is>
          <t>Verónica Lopera Aguirre</t>
        </is>
      </c>
      <c r="O185" s="235" t="n"/>
    </row>
    <row r="186">
      <c r="B186" s="226" t="n">
        <v>163</v>
      </c>
      <c r="C186" s="226" t="inlineStr">
        <is>
          <t>COTIZACION DE LOS DISEÑOS DE PROTECCIÓN CONTRA INCENDIOS LOCALES JUSTO Y BUENO</t>
        </is>
      </c>
      <c r="D186" s="312" t="n"/>
      <c r="E186" s="312" t="n"/>
      <c r="F186" s="312" t="n"/>
      <c r="G186" s="312" t="n"/>
      <c r="H186" s="312" t="n"/>
      <c r="I186" s="313" t="n"/>
      <c r="J186" s="319" t="inlineStr">
        <is>
          <t>Variable</t>
        </is>
      </c>
      <c r="K186" s="12" t="n">
        <v>43637</v>
      </c>
      <c r="L186" s="199" t="n"/>
      <c r="M186" s="235" t="n"/>
      <c r="N186" s="235" t="inlineStr">
        <is>
          <t>Lady Johanna Peñaranda Mazo</t>
        </is>
      </c>
      <c r="O186" s="235" t="n"/>
    </row>
    <row r="187">
      <c r="B187" s="226" t="n">
        <v>164</v>
      </c>
      <c r="C187" s="226" t="inlineStr">
        <is>
          <t xml:space="preserve">COTIZACION DEL DISEÑO DE EXTINTORES PORTÁTILES CONTRA INCENDIOS Y LA RPUEBA DE LOS BEAM DETECTOR DE LA BODEGA, PARA LA EMPRESA ASHE SA.S. </t>
        </is>
      </c>
      <c r="D187" s="312" t="n"/>
      <c r="E187" s="312" t="n"/>
      <c r="F187" s="312" t="n"/>
      <c r="G187" s="312" t="n"/>
      <c r="H187" s="312" t="n"/>
      <c r="I187" s="313" t="n"/>
      <c r="J187" s="319" t="n">
        <v>1775000</v>
      </c>
      <c r="K187" s="12" t="n">
        <v>43640</v>
      </c>
      <c r="L187" s="199" t="n"/>
      <c r="M187" s="235" t="n"/>
      <c r="N187" s="235" t="inlineStr">
        <is>
          <t>Sandra Patricia Rios</t>
        </is>
      </c>
      <c r="O187" s="235" t="n"/>
    </row>
    <row r="188">
      <c r="B188" s="226" t="n">
        <v>165</v>
      </c>
      <c r="C188" s="226" t="inlineStr">
        <is>
          <t>COTIZACION DE LOS DISEÑOS DE SEGURIDAD HUMANA Y DETECCIÓN DE INCENDIOS - CAMINO REAL</t>
        </is>
      </c>
      <c r="D188" s="312" t="n"/>
      <c r="E188" s="312" t="n"/>
      <c r="F188" s="312" t="n"/>
      <c r="G188" s="312" t="n"/>
      <c r="H188" s="312" t="n"/>
      <c r="I188" s="313" t="n"/>
      <c r="J188" s="319" t="n">
        <v>8655000</v>
      </c>
      <c r="K188" s="12" t="n">
        <v>43641</v>
      </c>
      <c r="L188" s="199" t="n"/>
      <c r="M188" s="235" t="n"/>
      <c r="N188" s="235" t="inlineStr">
        <is>
          <t>John Pimienta Tabera</t>
        </is>
      </c>
      <c r="O188" s="235" t="n"/>
    </row>
    <row r="189">
      <c r="B189" s="226" t="n">
        <v>166</v>
      </c>
      <c r="C189" s="226" t="inlineStr">
        <is>
          <t>COTIZACION DE LOS DISEÑOS DE SEGURIDAD HUMANA Y PROTECCIÓN CONTRA  INCENDIOS - HOBBIE HOMES</t>
        </is>
      </c>
      <c r="D189" s="312" t="n"/>
      <c r="E189" s="312" t="n"/>
      <c r="F189" s="312" t="n"/>
      <c r="G189" s="312" t="n"/>
      <c r="H189" s="312" t="n"/>
      <c r="I189" s="313" t="n"/>
      <c r="J189" s="319" t="inlineStr">
        <is>
          <t>Variable</t>
        </is>
      </c>
      <c r="K189" s="12" t="n">
        <v>43641</v>
      </c>
      <c r="L189" s="199" t="n"/>
      <c r="M189" s="235" t="n"/>
      <c r="N189" s="235" t="inlineStr">
        <is>
          <t>Natalia Roldán Álvarez</t>
        </is>
      </c>
      <c r="O189" s="235" t="n"/>
    </row>
    <row r="190">
      <c r="B190" s="226" t="n">
        <v>167</v>
      </c>
      <c r="C190" s="226" t="inlineStr">
        <is>
          <t>COTIZACION DE LOS DISEÑOS DE SEGURIDAD HUMANA Y PROTECCIÓN CONTRA  INCENDIOS - MOOD</t>
        </is>
      </c>
      <c r="D190" s="312" t="n"/>
      <c r="E190" s="312" t="n"/>
      <c r="F190" s="312" t="n"/>
      <c r="G190" s="312" t="n"/>
      <c r="H190" s="312" t="n"/>
      <c r="I190" s="313" t="n"/>
      <c r="J190" s="319" t="inlineStr">
        <is>
          <t>Variable</t>
        </is>
      </c>
      <c r="K190" s="12" t="n">
        <v>43641</v>
      </c>
      <c r="L190" s="199" t="n"/>
      <c r="M190" s="235" t="n"/>
      <c r="N190" s="235" t="inlineStr">
        <is>
          <t>Natalia Roldán Álvarez</t>
        </is>
      </c>
      <c r="O190" s="235" t="n"/>
    </row>
    <row r="191">
      <c r="B191" s="226" t="n">
        <v>168</v>
      </c>
      <c r="C191" s="226" t="inlineStr">
        <is>
          <t>COTIZACION DEL DISEÑO DE DETECCIÓN DE INCENDIOS - NORGAS</t>
        </is>
      </c>
      <c r="D191" s="312" t="n"/>
      <c r="E191" s="312" t="n"/>
      <c r="F191" s="312" t="n"/>
      <c r="G191" s="312" t="n"/>
      <c r="H191" s="312" t="n"/>
      <c r="I191" s="313" t="n"/>
      <c r="J191" s="319" t="n">
        <v>16600000</v>
      </c>
      <c r="K191" s="12" t="n">
        <v>43641</v>
      </c>
      <c r="L191" s="199" t="n"/>
      <c r="M191" s="235" t="n"/>
      <c r="N191" s="235" t="inlineStr">
        <is>
          <t>Juan Santiago Londoño Quiceno</t>
        </is>
      </c>
      <c r="O191" s="235" t="n"/>
    </row>
    <row r="192">
      <c r="B192" s="226" t="n">
        <v>169</v>
      </c>
      <c r="C192" s="226" t="inlineStr">
        <is>
          <t>COTIZACION DEL DISEÑO DE EXTINCIÓN DE INCENDIOS PARA EL PROYECTO LOCAL PLAY TIME ARKADIA</t>
        </is>
      </c>
      <c r="D192" s="312" t="n"/>
      <c r="E192" s="312" t="n"/>
      <c r="F192" s="312" t="n"/>
      <c r="G192" s="312" t="n"/>
      <c r="H192" s="312" t="n"/>
      <c r="I192" s="313" t="n"/>
      <c r="J192" s="319" t="n">
        <v>1920000</v>
      </c>
      <c r="K192" s="12" t="n">
        <v>43643</v>
      </c>
      <c r="L192" s="199" t="n"/>
      <c r="M192" s="235" t="n"/>
      <c r="N192" s="235" t="inlineStr">
        <is>
          <t>Mauricio Gutiérrez</t>
        </is>
      </c>
      <c r="O192" s="235" t="n"/>
    </row>
    <row r="193">
      <c r="B193" s="226" t="n">
        <v>170</v>
      </c>
      <c r="C193" s="226" t="inlineStr">
        <is>
          <t xml:space="preserve">COTIZACION DE LOS DISEÑOS DE PROTECCIÓN CONTRA INCENDIOS PARA EL PROYECTO CLÍNICA RENAL </t>
        </is>
      </c>
      <c r="D193" s="312" t="n"/>
      <c r="E193" s="312" t="n"/>
      <c r="F193" s="312" t="n"/>
      <c r="G193" s="312" t="n"/>
      <c r="H193" s="312" t="n"/>
      <c r="I193" s="313" t="n"/>
      <c r="J193" s="319" t="n">
        <v>6525000</v>
      </c>
      <c r="K193" s="12" t="n">
        <v>43643</v>
      </c>
      <c r="L193" s="199" t="n"/>
      <c r="M193" s="235" t="n"/>
      <c r="N193" s="235" t="inlineStr">
        <is>
          <t>José Alberto Osorio</t>
        </is>
      </c>
      <c r="O193" s="235" t="n"/>
    </row>
    <row r="194">
      <c r="B194" s="226" t="n">
        <v>171</v>
      </c>
      <c r="C194" s="226" t="inlineStr">
        <is>
          <t>COTIZACION DE LOS DISEÑOS DE SEGURIDAD HUMANA Y PROTECCIÓN CONTRA  INCENDIOS - PALMANOVA</t>
        </is>
      </c>
      <c r="D194" s="312" t="n"/>
      <c r="E194" s="312" t="n"/>
      <c r="F194" s="312" t="n"/>
      <c r="G194" s="312" t="n"/>
      <c r="H194" s="312" t="n"/>
      <c r="I194" s="313" t="n"/>
      <c r="J194" s="319" t="n">
        <v>8475000</v>
      </c>
      <c r="K194" s="12" t="n">
        <v>43648</v>
      </c>
      <c r="L194" s="199" t="n"/>
      <c r="M194" s="235" t="n"/>
      <c r="N194" s="23" t="inlineStr">
        <is>
          <t>Adriana Alarcón Vasco</t>
        </is>
      </c>
      <c r="O194" s="235" t="n"/>
    </row>
    <row r="195">
      <c r="A195" s="24" t="n"/>
      <c r="B195" s="198" t="n">
        <v>172</v>
      </c>
      <c r="C195" s="198" t="inlineStr">
        <is>
          <t>PLANOS Y VALIDACIONES HIDRÁULICAS AS-BUILT PARA EL SISTEMA DE EXTINCIÓN DE INCENDIOS DE STANZA MAYORCA</t>
        </is>
      </c>
      <c r="D195" s="312" t="n"/>
      <c r="E195" s="312" t="n"/>
      <c r="F195" s="312" t="n"/>
      <c r="G195" s="312" t="n"/>
      <c r="H195" s="312" t="n"/>
      <c r="I195" s="313" t="n"/>
      <c r="J195" s="320" t="n">
        <v>320000</v>
      </c>
      <c r="K195" s="28" t="n">
        <v>43649</v>
      </c>
      <c r="L195" s="198" t="n"/>
      <c r="M195" s="25" t="n"/>
      <c r="N195" s="25" t="n"/>
      <c r="O195" s="25" t="n"/>
    </row>
    <row r="196">
      <c r="B196" s="226" t="n">
        <v>173</v>
      </c>
      <c r="C196" s="199" t="inlineStr">
        <is>
          <t>COTIZACION DEL DISEÑO DE EXTINCIÓN DE INCENDIOS PARA EL PROYECTO LOCAL PIRKASTONE LLANOGRANDE</t>
        </is>
      </c>
      <c r="D196" s="312" t="n"/>
      <c r="E196" s="312" t="n"/>
      <c r="F196" s="312" t="n"/>
      <c r="G196" s="312" t="n"/>
      <c r="H196" s="312" t="n"/>
      <c r="I196" s="313" t="n"/>
      <c r="J196" s="319" t="n">
        <v>320000</v>
      </c>
      <c r="K196" s="12" t="n">
        <v>43650</v>
      </c>
      <c r="L196" s="199" t="n"/>
      <c r="M196" s="235" t="n"/>
      <c r="N196" s="235" t="inlineStr">
        <is>
          <t>David Lopera</t>
        </is>
      </c>
      <c r="O196" s="235" t="n"/>
    </row>
    <row r="197">
      <c r="B197" s="226" t="n">
        <v>174</v>
      </c>
      <c r="C197" s="199" t="inlineStr">
        <is>
          <t>COTIZACION DE LOS DISEÑOS DE PROTECCIÓN CONTRA INCENDIOS Y SEGURIDAD HUMANA PARA EL PROYECTO VENTURA</t>
        </is>
      </c>
      <c r="D197" s="312" t="n"/>
      <c r="E197" s="312" t="n"/>
      <c r="F197" s="312" t="n"/>
      <c r="G197" s="312" t="n"/>
      <c r="H197" s="312" t="n"/>
      <c r="I197" s="313" t="n"/>
      <c r="J197" s="319" t="n">
        <v>15995000</v>
      </c>
      <c r="K197" s="12" t="n">
        <v>43650</v>
      </c>
      <c r="L197" s="199" t="n"/>
      <c r="M197" s="235" t="n"/>
      <c r="N197" s="235" t="inlineStr">
        <is>
          <t>José Alberto Osorio</t>
        </is>
      </c>
      <c r="O197" s="235" t="n"/>
    </row>
    <row r="198">
      <c r="B198" s="226" t="n">
        <v>175</v>
      </c>
      <c r="C198" s="199" t="inlineStr">
        <is>
          <t>COTIZACION DE LOS DISEÑOS DE SEGURIDAD HUMANA Y PROTECCIÓN CONTRA  INCENDIOS - SUPIA</t>
        </is>
      </c>
      <c r="D198" s="312" t="n"/>
      <c r="E198" s="312" t="n"/>
      <c r="F198" s="312" t="n"/>
      <c r="G198" s="312" t="n"/>
      <c r="H198" s="312" t="n"/>
      <c r="I198" s="313" t="n"/>
      <c r="J198" s="319" t="n">
        <v>4925000</v>
      </c>
      <c r="K198" s="12" t="n">
        <v>43651</v>
      </c>
      <c r="L198" s="199" t="n"/>
      <c r="M198" s="235" t="n"/>
      <c r="N198" s="235" t="inlineStr">
        <is>
          <t>Estevan Castaño</t>
        </is>
      </c>
      <c r="O198" s="235" t="n"/>
    </row>
    <row r="199">
      <c r="B199" s="226" t="n">
        <v>176</v>
      </c>
      <c r="C199" s="199" t="inlineStr">
        <is>
          <t>COTIZACION DE LOS DISEÑOS DE PROTECCIÓN CONTRA  INCENDIOS - UNIVERIDAD SAN AGUSTÓN VILLA DE LEYVA</t>
        </is>
      </c>
      <c r="D199" s="312" t="n"/>
      <c r="E199" s="312" t="n"/>
      <c r="F199" s="312" t="n"/>
      <c r="G199" s="312" t="n"/>
      <c r="H199" s="312" t="n"/>
      <c r="I199" s="313" t="n"/>
      <c r="J199" s="319" t="n">
        <v>13830000</v>
      </c>
      <c r="K199" s="12" t="n">
        <v>43654</v>
      </c>
      <c r="L199" s="199" t="n"/>
      <c r="M199" s="235" t="n"/>
      <c r="N199" s="23" t="inlineStr">
        <is>
          <t>Jhon Anderson Rodriguez</t>
        </is>
      </c>
      <c r="O199" s="235" t="n"/>
    </row>
    <row r="200">
      <c r="B200" s="226" t="n">
        <v>177</v>
      </c>
      <c r="C200" s="199" t="inlineStr">
        <is>
          <t>COTIZACION DE LOS DISEÑOS DE SEGURIDAD HUMANA Y PROTECCIÓN CONTRA  INCENDIOS - CENTRO INFANTIL PALMITAS</t>
        </is>
      </c>
      <c r="D200" s="312" t="n"/>
      <c r="E200" s="312" t="n"/>
      <c r="F200" s="312" t="n"/>
      <c r="G200" s="312" t="n"/>
      <c r="H200" s="312" t="n"/>
      <c r="I200" s="313" t="n"/>
      <c r="J200" s="319" t="n">
        <v>6595000</v>
      </c>
      <c r="K200" s="12" t="n">
        <v>43654</v>
      </c>
      <c r="L200" s="199" t="n"/>
      <c r="M200" s="235" t="n"/>
      <c r="N200" s="235" t="inlineStr">
        <is>
          <t>Camilo Pineda</t>
        </is>
      </c>
      <c r="O200" s="235" t="n"/>
    </row>
    <row r="201">
      <c r="B201" s="226" t="n">
        <v>178</v>
      </c>
      <c r="C201" s="199" t="inlineStr">
        <is>
          <t>COTIZACION DEL ANÁLISIS DE SEGURIDAD HUMANA PARA EL PROYECTO VIERZO LIVING</t>
        </is>
      </c>
      <c r="D201" s="312" t="n"/>
      <c r="E201" s="312" t="n"/>
      <c r="F201" s="312" t="n"/>
      <c r="G201" s="312" t="n"/>
      <c r="H201" s="312" t="n"/>
      <c r="I201" s="313" t="n"/>
      <c r="J201" s="319" t="n">
        <v>1000000</v>
      </c>
      <c r="K201" s="12" t="n">
        <v>43654</v>
      </c>
      <c r="L201" s="199" t="n"/>
      <c r="M201" s="235" t="n"/>
      <c r="N201" s="235" t="inlineStr">
        <is>
          <t>Marcela Cardona</t>
        </is>
      </c>
      <c r="O201" s="235" t="n"/>
    </row>
    <row r="202">
      <c r="A202" s="207" t="inlineStr">
        <is>
          <t>si</t>
        </is>
      </c>
      <c r="B202" s="13" t="n">
        <v>179</v>
      </c>
      <c r="C202" s="199" t="inlineStr">
        <is>
          <t>COTIZACION DEL DISEÑO DE DETECCIÓN DE INCENDIOS - COLEGIO THEODORO HERTZL</t>
        </is>
      </c>
      <c r="D202" s="312" t="n"/>
      <c r="E202" s="312" t="n"/>
      <c r="F202" s="312" t="n"/>
      <c r="G202" s="312" t="n"/>
      <c r="H202" s="312" t="n"/>
      <c r="I202" s="313" t="n"/>
      <c r="J202" s="319" t="n">
        <v>1550000</v>
      </c>
      <c r="K202" s="12" t="n">
        <v>43655</v>
      </c>
      <c r="L202" s="199" t="n"/>
      <c r="M202" s="235" t="n"/>
      <c r="N202" s="235" t="inlineStr">
        <is>
          <t>Gustavo Jaramillo</t>
        </is>
      </c>
      <c r="O202" s="235" t="n"/>
    </row>
    <row r="203">
      <c r="A203" s="207" t="inlineStr">
        <is>
          <t>rep</t>
        </is>
      </c>
      <c r="B203" s="13" t="n">
        <v>179</v>
      </c>
      <c r="C203" s="199" t="inlineStr">
        <is>
          <t>REVISIÓN Y PRUEBAS DE LOS SISTEMAS DE PROTECCIÓN CONTRA INCENDIOS INSTALADOS Y LA SEGURIDAD HUMANA PARA EL PROYECTO STANZA</t>
        </is>
      </c>
      <c r="D203" s="312" t="n"/>
      <c r="E203" s="312" t="n"/>
      <c r="F203" s="312" t="n"/>
      <c r="G203" s="312" t="n"/>
      <c r="H203" s="312" t="n"/>
      <c r="I203" s="313" t="n"/>
      <c r="J203" s="319" t="inlineStr">
        <is>
          <t>Variable</t>
        </is>
      </c>
      <c r="K203" s="12" t="n">
        <v>43654</v>
      </c>
      <c r="L203" s="199" t="n"/>
      <c r="M203" s="235" t="n"/>
      <c r="N203" s="235" t="inlineStr">
        <is>
          <t>Gloria Patricia Vélez</t>
        </is>
      </c>
      <c r="O203" s="235" t="inlineStr">
        <is>
          <t>coninsa</t>
        </is>
      </c>
    </row>
    <row r="204">
      <c r="B204" s="226" t="n">
        <v>180</v>
      </c>
      <c r="C204" s="226" t="inlineStr">
        <is>
          <t>COTIZACION DE LOS DISEÑOS DE PROTECCIÓN CONTRA  INCENDIOS - LOCAL 122 SQUARE</t>
        </is>
      </c>
      <c r="D204" s="312" t="n"/>
      <c r="E204" s="312" t="n"/>
      <c r="F204" s="312" t="n"/>
      <c r="G204" s="312" t="n"/>
      <c r="H204" s="312" t="n"/>
      <c r="I204" s="313" t="n"/>
      <c r="J204" s="319" t="n">
        <v>940000</v>
      </c>
      <c r="K204" s="12" t="n">
        <v>43656</v>
      </c>
      <c r="L204" s="199" t="n"/>
      <c r="M204" s="235" t="n"/>
      <c r="N204" s="235" t="inlineStr">
        <is>
          <t>Juan Santiago Londoño Quiceno</t>
        </is>
      </c>
      <c r="O204" s="235" t="n"/>
    </row>
    <row r="205">
      <c r="B205" s="226" t="n">
        <v>181</v>
      </c>
      <c r="C205" s="226" t="inlineStr">
        <is>
          <t xml:space="preserve">COTIZACION DEL DISEÑO DE EXTINTORES PORTÁTILES CONTRA INCENDIOS PARA LAS SEDES DE HYR DISTRIBUIDORES </t>
        </is>
      </c>
      <c r="D205" s="312" t="n"/>
      <c r="E205" s="312" t="n"/>
      <c r="F205" s="312" t="n"/>
      <c r="G205" s="312" t="n"/>
      <c r="H205" s="312" t="n"/>
      <c r="I205" s="313" t="n"/>
      <c r="J205" s="319" t="n">
        <v>3830000</v>
      </c>
      <c r="K205" s="12" t="n">
        <v>43656</v>
      </c>
      <c r="L205" s="199" t="n"/>
      <c r="M205" s="235" t="n"/>
      <c r="N205" s="235" t="inlineStr">
        <is>
          <t>Liliana Patricia Ramirez</t>
        </is>
      </c>
      <c r="O205" s="235" t="n"/>
    </row>
    <row r="206">
      <c r="B206" s="226" t="n">
        <v>182</v>
      </c>
      <c r="C206" s="226" t="inlineStr">
        <is>
          <t>COTIZACION DEL DISEÑO DE EXTINCIÓN DE INCENDIOS PARA EL PROYECTO OPTICA AFF ARKADIA S.A.S.</t>
        </is>
      </c>
      <c r="D206" s="312" t="n"/>
      <c r="E206" s="312" t="n"/>
      <c r="F206" s="312" t="n"/>
      <c r="G206" s="312" t="n"/>
      <c r="H206" s="312" t="n"/>
      <c r="I206" s="313" t="n"/>
      <c r="J206" s="319" t="n">
        <v>1250000</v>
      </c>
      <c r="K206" s="12" t="n">
        <v>43658</v>
      </c>
      <c r="L206" s="199" t="n"/>
      <c r="M206" s="235" t="n"/>
      <c r="N206" s="235" t="inlineStr">
        <is>
          <t>Carlos J. Diaz S.</t>
        </is>
      </c>
      <c r="O206" s="235" t="n"/>
    </row>
    <row r="207">
      <c r="B207" s="226" t="n">
        <v>183</v>
      </c>
      <c r="C207" s="226" t="inlineStr">
        <is>
          <t>COTIZACION DEL ANÁLISIS DE SEGURIDAD HUMANA - BANCOLOMBIA REGIONAL CALI</t>
        </is>
      </c>
      <c r="D207" s="312" t="n"/>
      <c r="E207" s="312" t="n"/>
      <c r="F207" s="312" t="n"/>
      <c r="G207" s="312" t="n"/>
      <c r="H207" s="312" t="n"/>
      <c r="I207" s="313" t="n"/>
      <c r="J207" s="319" t="n">
        <v>3985000</v>
      </c>
      <c r="K207" s="12" t="n">
        <v>43658</v>
      </c>
      <c r="L207" s="199" t="n"/>
      <c r="M207" s="235" t="n"/>
      <c r="N207" s="235" t="inlineStr">
        <is>
          <t>Mike Incapie</t>
        </is>
      </c>
      <c r="O207" s="235" t="n"/>
    </row>
    <row r="208">
      <c r="B208" s="226" t="n">
        <v>184</v>
      </c>
      <c r="C208" s="226" t="inlineStr">
        <is>
          <t>COTIZACION DE LOS DISEÑOS DE PROTECCIÓN CONTRA INCENDIOS PARA EL PROYECTO LEÓN GIRARDOTA</t>
        </is>
      </c>
      <c r="D208" s="312" t="n"/>
      <c r="E208" s="312" t="n"/>
      <c r="F208" s="312" t="n"/>
      <c r="G208" s="312" t="n"/>
      <c r="H208" s="312" t="n"/>
      <c r="I208" s="313" t="n"/>
      <c r="J208" s="319" t="n">
        <v>4420000</v>
      </c>
      <c r="K208" s="12" t="n">
        <v>43658</v>
      </c>
      <c r="L208" s="199" t="n"/>
      <c r="M208" s="235" t="n"/>
      <c r="N208" s="235" t="inlineStr">
        <is>
          <t>José Alberto Osorio</t>
        </is>
      </c>
      <c r="O208" s="235" t="n"/>
    </row>
    <row r="209">
      <c r="B209" s="226" t="n">
        <v>185</v>
      </c>
      <c r="C209" s="226" t="inlineStr">
        <is>
          <t>COTIZACION DE LOS DISEÑOS DE SEGURIDAD HUMANA Y PROTECCIÓN CONTRA  INCENDIOS - OFICINAS 9000 M2</t>
        </is>
      </c>
      <c r="D209" s="312" t="n"/>
      <c r="E209" s="312" t="n"/>
      <c r="F209" s="312" t="n"/>
      <c r="G209" s="312" t="n"/>
      <c r="H209" s="312" t="n"/>
      <c r="I209" s="313" t="n"/>
      <c r="J209" s="319" t="n">
        <v>23460000</v>
      </c>
      <c r="K209" s="12" t="n">
        <v>43658</v>
      </c>
      <c r="L209" s="199" t="n"/>
      <c r="M209" s="235" t="n"/>
      <c r="N209" s="25" t="n"/>
      <c r="O209" s="235" t="n"/>
    </row>
    <row r="210">
      <c r="B210" s="226" t="n">
        <v>186</v>
      </c>
      <c r="C210" s="226" t="inlineStr">
        <is>
          <t>COTIZACION DE LOS DISEÑOS DE SEGURIDAD HUMANA Y PROTECCIÓN CONTRA  INCENDIOS - OFICINAS 2400 M2</t>
        </is>
      </c>
      <c r="D210" s="312" t="n"/>
      <c r="E210" s="312" t="n"/>
      <c r="F210" s="312" t="n"/>
      <c r="G210" s="312" t="n"/>
      <c r="H210" s="312" t="n"/>
      <c r="I210" s="313" t="n"/>
      <c r="J210" s="319" t="n">
        <v>35225000</v>
      </c>
      <c r="K210" s="12" t="n">
        <v>43658</v>
      </c>
      <c r="L210" s="199" t="n"/>
      <c r="M210" s="235" t="n"/>
      <c r="N210" s="235" t="inlineStr">
        <is>
          <t>Nakari García Romero</t>
        </is>
      </c>
      <c r="O210" s="235" t="n"/>
    </row>
    <row r="211">
      <c r="B211" s="226" t="n">
        <v>187</v>
      </c>
      <c r="C211" s="226" t="inlineStr">
        <is>
          <t>COTIZACION DEL DISEÑO DE EXTINCIÓN DE INCENDIOS - LOCAL 101 LAURET</t>
        </is>
      </c>
      <c r="D211" s="312" t="n"/>
      <c r="E211" s="312" t="n"/>
      <c r="F211" s="312" t="n"/>
      <c r="G211" s="312" t="n"/>
      <c r="H211" s="312" t="n"/>
      <c r="I211" s="313" t="n"/>
      <c r="J211" s="319" t="n">
        <v>585000</v>
      </c>
      <c r="K211" s="12" t="n">
        <v>43659</v>
      </c>
      <c r="L211" s="199" t="n"/>
      <c r="M211" s="235" t="n"/>
      <c r="N211" s="235" t="inlineStr">
        <is>
          <t>Carlos Mario Rios</t>
        </is>
      </c>
      <c r="O211" s="235" t="n"/>
    </row>
    <row r="212">
      <c r="B212" s="226" t="n">
        <v>188</v>
      </c>
      <c r="C212" s="226" t="inlineStr">
        <is>
          <t>COTIZACION DEL DISEÑO DE DETECCIÓN DE INCENDIOS - BODEGA MUISCA</t>
        </is>
      </c>
      <c r="D212" s="312" t="n"/>
      <c r="E212" s="312" t="n"/>
      <c r="F212" s="312" t="n"/>
      <c r="G212" s="312" t="n"/>
      <c r="H212" s="312" t="n"/>
      <c r="I212" s="313" t="n"/>
      <c r="J212" s="319" t="n">
        <v>5815000</v>
      </c>
      <c r="K212" s="12" t="n">
        <v>43661</v>
      </c>
      <c r="L212" s="199" t="n"/>
      <c r="M212" s="235" t="n"/>
      <c r="N212" s="235" t="inlineStr">
        <is>
          <t>Cristiam Mondragón</t>
        </is>
      </c>
      <c r="O212" s="235" t="n"/>
    </row>
    <row r="213">
      <c r="B213" s="198" t="n">
        <v>189</v>
      </c>
      <c r="C213" s="198" t="inlineStr">
        <is>
          <t>COTIZACION DE LOS DISEÑOS DE EXTINCIÓN DE INCENDIOS Y SEGURIDAD HUMANA PARA EL PROYECTO BANCOLOMBIA SEDE CARMEN DE VIBORAL</t>
        </is>
      </c>
      <c r="D213" s="312" t="n"/>
      <c r="E213" s="312" t="n"/>
      <c r="F213" s="312" t="n"/>
      <c r="G213" s="312" t="n"/>
      <c r="H213" s="312" t="n"/>
      <c r="I213" s="313" t="n"/>
      <c r="J213" s="320" t="n">
        <v>2480000</v>
      </c>
      <c r="K213" s="28" t="n">
        <v>43663</v>
      </c>
      <c r="L213" s="198" t="n"/>
      <c r="M213" s="25" t="n"/>
      <c r="N213" s="25" t="n"/>
      <c r="O213" s="25" t="n"/>
    </row>
    <row r="214">
      <c r="B214" s="226" t="n">
        <v>190</v>
      </c>
      <c r="C214" s="199" t="inlineStr">
        <is>
          <t>COTIZACION DE LOS DISEÑOS DE PROTECCIÓN CONTRA INCENDIOS Y SEGURIDAD HUMANA PARA EL PROYECTO LABORATORIOS DE VACUNACIÓN LLANOGRANDE</t>
        </is>
      </c>
      <c r="D214" s="312" t="n"/>
      <c r="E214" s="312" t="n"/>
      <c r="F214" s="312" t="n"/>
      <c r="G214" s="312" t="n"/>
      <c r="H214" s="312" t="n"/>
      <c r="I214" s="313" t="n"/>
      <c r="J214" s="319" t="n">
        <v>22940000</v>
      </c>
      <c r="K214" s="12" t="n">
        <v>43664</v>
      </c>
      <c r="L214" s="199" t="n"/>
      <c r="M214" s="235" t="n"/>
      <c r="N214" s="235" t="inlineStr">
        <is>
          <t>Nakary García Romero</t>
        </is>
      </c>
      <c r="O214" s="235" t="n"/>
    </row>
    <row r="215">
      <c r="B215" s="198" t="n">
        <v>191</v>
      </c>
      <c r="C215" s="198" t="inlineStr">
        <is>
          <t>COTIZACION DE LOS DISEÑOS DE SEGURIDAD HUMANA Y PROTECCIÓN CONTRA  INCENDIOS - OFICINAS 9400 M2 CONVEL</t>
        </is>
      </c>
      <c r="D215" s="312" t="n"/>
      <c r="E215" s="312" t="n"/>
      <c r="F215" s="312" t="n"/>
      <c r="G215" s="312" t="n"/>
      <c r="H215" s="312" t="n"/>
      <c r="I215" s="313" t="n"/>
      <c r="J215" s="320" t="n">
        <v>23460000</v>
      </c>
      <c r="K215" s="28" t="n">
        <v>43664</v>
      </c>
      <c r="L215" s="198" t="n"/>
      <c r="M215" s="25" t="n"/>
      <c r="N215" s="25" t="n"/>
      <c r="O215" s="25" t="n"/>
    </row>
    <row r="216">
      <c r="B216" s="226" t="n">
        <v>192</v>
      </c>
      <c r="C216" s="226" t="inlineStr">
        <is>
          <t>COTIZACION DE LOS DISEÑOS DE SEGURIDAD HUMANA Y PROTECCIÓN CONTRA  INCENDIOS - OFICINAS 2400 M2 CONVEL</t>
        </is>
      </c>
      <c r="D216" s="312" t="n"/>
      <c r="E216" s="312" t="n"/>
      <c r="F216" s="312" t="n"/>
      <c r="G216" s="312" t="n"/>
      <c r="H216" s="312" t="n"/>
      <c r="I216" s="313" t="n"/>
      <c r="J216" s="319" t="n">
        <v>35225000</v>
      </c>
      <c r="K216" s="12" t="n">
        <v>43664</v>
      </c>
      <c r="L216" s="199" t="n"/>
      <c r="M216" s="235" t="n"/>
      <c r="N216" s="235" t="inlineStr">
        <is>
          <t>Mike Hincapie</t>
        </is>
      </c>
      <c r="O216" s="235" t="n"/>
    </row>
    <row r="217">
      <c r="B217" s="226" t="n">
        <v>193</v>
      </c>
      <c r="C217" s="226" t="inlineStr">
        <is>
          <t>COTIZACION DE LOS DISEÑOS DE SEGURIDAD HUMANA Y PROTECCIÓN CONTRA  INCENDIOS - OFICINAS 9400 M2 STUDIO SUR</t>
        </is>
      </c>
      <c r="D217" s="312" t="n"/>
      <c r="E217" s="312" t="n"/>
      <c r="F217" s="312" t="n"/>
      <c r="G217" s="312" t="n"/>
      <c r="H217" s="312" t="n"/>
      <c r="I217" s="313" t="n"/>
      <c r="J217" s="319" t="n">
        <v>23460000</v>
      </c>
      <c r="K217" s="12" t="n">
        <v>43665</v>
      </c>
      <c r="L217" s="199" t="n"/>
      <c r="M217" s="235" t="n"/>
      <c r="N217" s="235" t="inlineStr">
        <is>
          <t>Andrea Sanchez</t>
        </is>
      </c>
      <c r="O217" s="235" t="n"/>
    </row>
    <row r="218">
      <c r="B218" s="226" t="n">
        <v>194</v>
      </c>
      <c r="C218" s="226" t="inlineStr">
        <is>
          <t>COTIZACION DE LOS DISEÑOS DE SEGURIDAD HUMANA Y PROTECCIÓN CONTRA  INCENDIOS - OFICINAS 2400 M2 STUDIO SUR</t>
        </is>
      </c>
      <c r="D218" s="312" t="n"/>
      <c r="E218" s="312" t="n"/>
      <c r="F218" s="312" t="n"/>
      <c r="G218" s="312" t="n"/>
      <c r="H218" s="312" t="n"/>
      <c r="I218" s="313" t="n"/>
      <c r="J218" s="319" t="n">
        <v>35225000</v>
      </c>
      <c r="K218" s="12" t="n">
        <v>43665</v>
      </c>
      <c r="L218" s="199" t="n"/>
      <c r="M218" s="235" t="n"/>
      <c r="N218" s="235" t="inlineStr">
        <is>
          <t>Andrea Sánchez</t>
        </is>
      </c>
      <c r="O218" s="235" t="n"/>
    </row>
    <row r="219">
      <c r="B219" s="226" t="n">
        <v>195</v>
      </c>
      <c r="C219" s="226" t="inlineStr">
        <is>
          <t>COTIZACION DE LOS DISEÑOS DE SEGURIDAD HUMANA Y PROTECCIÓN CONTRA  INCENDIOS - OFICINAS 9400 M2 ENSAMBLE</t>
        </is>
      </c>
      <c r="D219" s="312" t="n"/>
      <c r="E219" s="312" t="n"/>
      <c r="F219" s="312" t="n"/>
      <c r="G219" s="312" t="n"/>
      <c r="H219" s="312" t="n"/>
      <c r="I219" s="313" t="n"/>
      <c r="J219" s="319" t="n">
        <v>23460000</v>
      </c>
      <c r="K219" s="12" t="n">
        <v>43665</v>
      </c>
      <c r="L219" s="199" t="n"/>
      <c r="M219" s="235" t="n"/>
      <c r="N219" s="207" t="inlineStr">
        <is>
          <t>Paola A. López Cadavid</t>
        </is>
      </c>
      <c r="O219" s="235" t="n"/>
    </row>
    <row r="220">
      <c r="B220" s="226" t="n">
        <v>196</v>
      </c>
      <c r="C220" s="226" t="inlineStr">
        <is>
          <t>COTIZACION DE LOS DISEÑOS DE SEGURIDAD HUMANA Y PROTECCIÓN CONTRA  INCENDIOS - OFICINAS 2400 M2 ENSAMBLE</t>
        </is>
      </c>
      <c r="D220" s="312" t="n"/>
      <c r="E220" s="312" t="n"/>
      <c r="F220" s="312" t="n"/>
      <c r="G220" s="312" t="n"/>
      <c r="H220" s="312" t="n"/>
      <c r="I220" s="313" t="n"/>
      <c r="J220" s="319" t="n">
        <v>35225000</v>
      </c>
      <c r="K220" s="12" t="n">
        <v>43665</v>
      </c>
      <c r="L220" s="199" t="n"/>
      <c r="M220" s="235" t="n"/>
      <c r="N220" s="207" t="inlineStr">
        <is>
          <t>Paola A. López Cadavid</t>
        </is>
      </c>
      <c r="O220" s="235" t="n"/>
    </row>
    <row r="221">
      <c r="B221" s="226" t="n">
        <v>197</v>
      </c>
      <c r="C221" s="226" t="inlineStr">
        <is>
          <t>COTIZACION DEL DISEÑO DE DETECCIÓN DE INCENDIOS - BODEGA DORICOLOR</t>
        </is>
      </c>
      <c r="D221" s="312" t="n"/>
      <c r="E221" s="312" t="n"/>
      <c r="F221" s="312" t="n"/>
      <c r="G221" s="312" t="n"/>
      <c r="H221" s="312" t="n"/>
      <c r="I221" s="313" t="n"/>
      <c r="J221" s="319" t="n">
        <v>7200000</v>
      </c>
      <c r="K221" s="12" t="n">
        <v>43665</v>
      </c>
      <c r="L221" s="199" t="n"/>
      <c r="M221" s="235" t="n"/>
      <c r="N221" s="235" t="inlineStr">
        <is>
          <t>Santiago Cardona</t>
        </is>
      </c>
      <c r="O221" s="235" t="n"/>
    </row>
    <row r="222">
      <c r="B222" s="226" t="n">
        <v>198</v>
      </c>
      <c r="C222" s="226" t="inlineStr">
        <is>
          <t>COTIZACION DE LOS DISEÑOS DE SEGURIDAD HUMANA DE SEGURIDAD COMFAMA</t>
        </is>
      </c>
      <c r="D222" s="312" t="n"/>
      <c r="E222" s="312" t="n"/>
      <c r="F222" s="312" t="n"/>
      <c r="G222" s="312" t="n"/>
      <c r="H222" s="312" t="n"/>
      <c r="I222" s="313" t="n"/>
      <c r="J222" s="319" t="inlineStr">
        <is>
          <t>Variable</t>
        </is>
      </c>
      <c r="K222" s="12" t="n">
        <v>43668</v>
      </c>
      <c r="L222" s="199" t="n"/>
      <c r="M222" s="235" t="n"/>
      <c r="N222" s="25" t="inlineStr">
        <is>
          <t>COMFAMA</t>
        </is>
      </c>
      <c r="O222" s="235" t="n"/>
    </row>
    <row r="223">
      <c r="B223" s="226" t="n">
        <v>199</v>
      </c>
      <c r="C223" s="226" t="inlineStr">
        <is>
          <t>COTIZACIÓN CAPACITACIÓN I+CONSTRUCTORA</t>
        </is>
      </c>
      <c r="D223" s="312" t="n"/>
      <c r="E223" s="312" t="n"/>
      <c r="F223" s="312" t="n"/>
      <c r="G223" s="312" t="n"/>
      <c r="H223" s="312" t="n"/>
      <c r="I223" s="313" t="n"/>
      <c r="J223" s="319" t="n">
        <v>2260000</v>
      </c>
      <c r="K223" s="12" t="n">
        <v>43668</v>
      </c>
      <c r="L223" s="199" t="n"/>
      <c r="M223" s="235" t="n"/>
      <c r="N223" s="235" t="inlineStr">
        <is>
          <t>Lina María Montoya</t>
        </is>
      </c>
      <c r="O223" s="235" t="n"/>
    </row>
    <row r="224">
      <c r="B224" s="226" t="n">
        <v>200</v>
      </c>
      <c r="C224" s="199" t="inlineStr">
        <is>
          <t>COTIZACION DE LOS DISEÑOS DE SEGURIDAD HUMANA Y PROTECCIÓN CONTRA  INCENDIOS - ACCANTO</t>
        </is>
      </c>
      <c r="D224" s="312" t="n"/>
      <c r="E224" s="312" t="n"/>
      <c r="F224" s="312" t="n"/>
      <c r="G224" s="312" t="n"/>
      <c r="H224" s="312" t="n"/>
      <c r="I224" s="313" t="n"/>
      <c r="J224" s="319" t="n">
        <v>16290000</v>
      </c>
      <c r="K224" s="12" t="n">
        <v>43669</v>
      </c>
      <c r="L224" s="199" t="n"/>
      <c r="M224" s="235" t="n"/>
      <c r="N224" s="235" t="inlineStr">
        <is>
          <t>Verónica Lopera Aguirre</t>
        </is>
      </c>
      <c r="O224" s="235" t="n"/>
    </row>
    <row r="225">
      <c r="B225" s="198" t="n">
        <v>201</v>
      </c>
      <c r="C225" s="198" t="inlineStr">
        <is>
          <t>COTIZACION DEL DISEÑO DE EXTINCIÓN DE INCENDIOS - KARGA II</t>
        </is>
      </c>
      <c r="D225" s="312" t="n"/>
      <c r="E225" s="312" t="n"/>
      <c r="F225" s="312" t="n"/>
      <c r="G225" s="312" t="n"/>
      <c r="H225" s="312" t="n"/>
      <c r="I225" s="313" t="n"/>
      <c r="J225" s="320" t="n">
        <v>2720000</v>
      </c>
      <c r="K225" s="28" t="n">
        <v>43669</v>
      </c>
      <c r="L225" s="198" t="n"/>
      <c r="M225" s="25" t="n"/>
      <c r="N225" s="25" t="inlineStr">
        <is>
          <t>Hamilton Ramírez</t>
        </is>
      </c>
      <c r="O225" s="25" t="n"/>
    </row>
    <row r="226">
      <c r="B226" s="226" t="n">
        <v>202</v>
      </c>
      <c r="C226" s="199" t="inlineStr">
        <is>
          <t>COTIZACION DE LOS DISEÑOS DE SEGURIDAD HUMANA Y PROTECCIÓN CONTRA  INCENDIOS - EDIFICIO SERRA</t>
        </is>
      </c>
      <c r="D226" s="312" t="n"/>
      <c r="E226" s="312" t="n"/>
      <c r="F226" s="312" t="n"/>
      <c r="G226" s="312" t="n"/>
      <c r="H226" s="312" t="n"/>
      <c r="I226" s="313" t="n"/>
      <c r="J226" s="319" t="n">
        <v>5960000</v>
      </c>
      <c r="K226" s="12" t="n">
        <v>43669</v>
      </c>
      <c r="L226" s="199" t="n"/>
      <c r="M226" s="235" t="n"/>
      <c r="N226" s="235" t="inlineStr">
        <is>
          <t>Mauricio Gutiérrez</t>
        </is>
      </c>
      <c r="O226" s="235" t="n"/>
    </row>
    <row r="227">
      <c r="B227" s="226" t="n">
        <v>203</v>
      </c>
      <c r="C227" s="199" t="inlineStr">
        <is>
          <t>COTIZACION DE LOS DISEÑOS DE SEGURIDAD HUMANA Y EXTINCIÓN DE INCENDIOS - SENDERO FRESCO ETAPA 1</t>
        </is>
      </c>
      <c r="D227" s="312" t="n"/>
      <c r="E227" s="312" t="n"/>
      <c r="F227" s="312" t="n"/>
      <c r="G227" s="312" t="n"/>
      <c r="H227" s="312" t="n"/>
      <c r="I227" s="313" t="n"/>
      <c r="J227" s="319" t="n">
        <v>15415000</v>
      </c>
      <c r="K227" s="12" t="n">
        <v>43669</v>
      </c>
      <c r="L227" s="199" t="n"/>
      <c r="M227" s="235" t="n"/>
      <c r="N227" s="235" t="inlineStr">
        <is>
          <t>Laura Sierra Carrillo</t>
        </is>
      </c>
      <c r="O227" s="235" t="n"/>
    </row>
    <row r="228">
      <c r="B228" s="226" t="n">
        <v>204</v>
      </c>
      <c r="C228" s="199" t="inlineStr">
        <is>
          <t>COTIZACION DEL DISEÑO DE EXTINCIÓN DE INCENDIOS PARA EL PROYECTO LOCALES 5, 8, 10, 11, 12 Y 18 RENACIMIENTO</t>
        </is>
      </c>
      <c r="D228" s="312" t="n"/>
      <c r="E228" s="312" t="n"/>
      <c r="F228" s="312" t="n"/>
      <c r="G228" s="312" t="n"/>
      <c r="H228" s="312" t="n"/>
      <c r="I228" s="313" t="n"/>
      <c r="J228" s="319">
        <f>320000*6</f>
        <v/>
      </c>
      <c r="K228" s="12" t="n">
        <v>43669</v>
      </c>
      <c r="L228" s="199" t="n"/>
      <c r="M228" s="235" t="n"/>
      <c r="N228" s="235" t="inlineStr">
        <is>
          <t>Felipe Gómez Castaño</t>
        </is>
      </c>
      <c r="O228" s="235" t="n"/>
    </row>
    <row r="229">
      <c r="B229" s="226" t="n">
        <v>205</v>
      </c>
      <c r="C229" s="199" t="inlineStr">
        <is>
          <t>COTIZACION DEL DISEÑO DE EXTINCIÓN DE INCENDIOS - RESTAURANTE LADRÓN ARKADIA</t>
        </is>
      </c>
      <c r="D229" s="312" t="n"/>
      <c r="E229" s="312" t="n"/>
      <c r="F229" s="312" t="n"/>
      <c r="G229" s="312" t="n"/>
      <c r="H229" s="312" t="n"/>
      <c r="I229" s="313" t="n"/>
      <c r="J229" s="319" t="n">
        <v>895000</v>
      </c>
      <c r="K229" s="12" t="n">
        <v>43670</v>
      </c>
      <c r="L229" s="199" t="n"/>
      <c r="M229" s="235" t="n"/>
      <c r="N229" s="235" t="inlineStr">
        <is>
          <t>Barlahan Colorado</t>
        </is>
      </c>
      <c r="O229" s="235" t="n"/>
    </row>
    <row r="230">
      <c r="B230" s="226" t="n">
        <v>206</v>
      </c>
      <c r="C230" s="199" t="inlineStr">
        <is>
          <t>COTIZACION DEL DISEÑO DE EXTINCIÓN DE INCENDIOS - PLURAL ARKADIA</t>
        </is>
      </c>
      <c r="D230" s="312" t="n"/>
      <c r="E230" s="312" t="n"/>
      <c r="F230" s="312" t="n"/>
      <c r="G230" s="312" t="n"/>
      <c r="H230" s="312" t="n"/>
      <c r="I230" s="313" t="n"/>
      <c r="J230" s="319" t="n">
        <v>895000</v>
      </c>
      <c r="K230" s="12" t="n">
        <v>43670</v>
      </c>
      <c r="L230" s="199" t="n"/>
      <c r="M230" s="235" t="n"/>
      <c r="N230" s="235" t="inlineStr">
        <is>
          <t>Barlahan Colorado</t>
        </is>
      </c>
      <c r="O230" s="235" t="n"/>
    </row>
    <row r="231">
      <c r="B231" s="226" t="n">
        <v>207</v>
      </c>
      <c r="C231" s="199" t="inlineStr">
        <is>
          <t>COTIZACION DE LOS DISEÑOS DE PROTECCIÓN CONTRA INCENDIOS Y SEGURIDAD HUMANA PARA EL PROYECTO SUMA</t>
        </is>
      </c>
      <c r="D231" s="312" t="n"/>
      <c r="E231" s="312" t="n"/>
      <c r="F231" s="312" t="n"/>
      <c r="G231" s="312" t="n"/>
      <c r="H231" s="312" t="n"/>
      <c r="I231" s="313" t="n"/>
      <c r="J231" s="319" t="n">
        <v>8784000</v>
      </c>
      <c r="K231" s="12" t="n">
        <v>43670</v>
      </c>
      <c r="L231" s="199" t="n"/>
      <c r="M231" s="235" t="n"/>
      <c r="N231" s="235" t="inlineStr">
        <is>
          <t>Germán Cardona</t>
        </is>
      </c>
      <c r="O231" s="235" t="n"/>
    </row>
    <row r="232">
      <c r="B232" s="226" t="n">
        <v>208</v>
      </c>
      <c r="C232" s="199" t="inlineStr">
        <is>
          <t>COTIZACION DEL DISEÑO DE EXTINCIÓN DE INCENDIOS - LOCAL 105 SALUD VEGAS</t>
        </is>
      </c>
      <c r="D232" s="312" t="n"/>
      <c r="E232" s="312" t="n"/>
      <c r="F232" s="312" t="n"/>
      <c r="G232" s="312" t="n"/>
      <c r="H232" s="312" t="n"/>
      <c r="I232" s="313" t="n"/>
      <c r="J232" s="319" t="n">
        <v>1550000</v>
      </c>
      <c r="K232" s="12" t="n">
        <v>43670</v>
      </c>
      <c r="L232" s="199" t="n"/>
      <c r="M232" s="235" t="n"/>
      <c r="N232" s="235" t="inlineStr">
        <is>
          <t>Sara Franco León</t>
        </is>
      </c>
      <c r="O232" s="235" t="n"/>
    </row>
    <row r="233">
      <c r="B233" s="226" t="n">
        <v>209</v>
      </c>
      <c r="C233" s="199" t="inlineStr">
        <is>
          <t>COTIZACION DE LOS DISEÑOS DE SEGURIDAD HUMANA Y PROTECCIÓN CONTRA  INCENDIOS - ADOQUINAR</t>
        </is>
      </c>
      <c r="D233" s="312" t="n"/>
      <c r="E233" s="312" t="n"/>
      <c r="F233" s="312" t="n"/>
      <c r="G233" s="312" t="n"/>
      <c r="H233" s="312" t="n"/>
      <c r="I233" s="313" t="n"/>
      <c r="J233" s="319" t="n">
        <v>35120000</v>
      </c>
      <c r="K233" s="12" t="n">
        <v>43671</v>
      </c>
      <c r="L233" s="199" t="n"/>
      <c r="M233" s="235" t="n"/>
      <c r="N233" s="235" t="inlineStr">
        <is>
          <t>Adoquin-ar</t>
        </is>
      </c>
      <c r="O233" s="235" t="n"/>
    </row>
    <row r="234">
      <c r="B234" s="226" t="n">
        <v>210</v>
      </c>
      <c r="C234" s="199" t="inlineStr">
        <is>
          <t>COTIZACION DE LOS DISEÑOS DE PROTECCIÓN CONTRA INCENDIOS PARA EL PROYECTO CERRO CLARO TORRES 2 Y 3</t>
        </is>
      </c>
      <c r="D234" s="312" t="n"/>
      <c r="E234" s="312" t="n"/>
      <c r="F234" s="312" t="n"/>
      <c r="G234" s="312" t="n"/>
      <c r="H234" s="312" t="n"/>
      <c r="I234" s="313" t="n"/>
      <c r="J234" s="319" t="n">
        <v>12530000</v>
      </c>
      <c r="K234" s="12" t="n">
        <v>43672</v>
      </c>
      <c r="L234" s="199" t="n"/>
      <c r="M234" s="235" t="n"/>
      <c r="N234" s="235" t="inlineStr">
        <is>
          <t>Connie Fayad Hernández</t>
        </is>
      </c>
      <c r="O234" s="235" t="n"/>
    </row>
    <row r="235">
      <c r="B235" s="226" t="n">
        <v>211</v>
      </c>
      <c r="C235" s="199" t="inlineStr">
        <is>
          <t>COTIZACION DEL DISEÑO DE DETECCIÓN DE INCENDIOS - HOTEL MEDELLIN</t>
        </is>
      </c>
      <c r="D235" s="312" t="n"/>
      <c r="E235" s="312" t="n"/>
      <c r="F235" s="312" t="n"/>
      <c r="G235" s="312" t="n"/>
      <c r="H235" s="312" t="n"/>
      <c r="I235" s="313" t="n"/>
      <c r="J235" s="319" t="n">
        <v>4800000</v>
      </c>
      <c r="K235" s="12" t="n">
        <v>43675</v>
      </c>
      <c r="L235" s="199" t="n"/>
      <c r="M235" s="235" t="n"/>
      <c r="N235" s="235" t="inlineStr">
        <is>
          <t>Juan Santiago Londoño Quiceno</t>
        </is>
      </c>
      <c r="O235" s="235" t="n"/>
    </row>
    <row r="236">
      <c r="B236" s="226" t="n">
        <v>212</v>
      </c>
      <c r="C236" s="199" t="inlineStr">
        <is>
          <t>COTIZACION DEL DISEÑO DE EXTINCIÓN DE INCENDIOS - PARQUEADERO VAQUITA ENVIGADO</t>
        </is>
      </c>
      <c r="D236" s="312" t="n"/>
      <c r="E236" s="312" t="n"/>
      <c r="F236" s="312" t="n"/>
      <c r="G236" s="312" t="n"/>
      <c r="H236" s="312" t="n"/>
      <c r="I236" s="313" t="n"/>
      <c r="J236" s="319" t="n">
        <v>6585000</v>
      </c>
      <c r="K236" s="12" t="n">
        <v>43675</v>
      </c>
      <c r="L236" s="199" t="n"/>
      <c r="M236" s="235" t="n"/>
      <c r="N236" s="235" t="inlineStr">
        <is>
          <t>Diego Armando Ríos Sánchez</t>
        </is>
      </c>
      <c r="O236" s="235" t="n"/>
    </row>
    <row r="237">
      <c r="B237" s="198" t="n">
        <v>213</v>
      </c>
      <c r="C237" s="198" t="inlineStr">
        <is>
          <t>COTIZACION DEL ANÁLISIS DE SEGURIDAD HUMANA - ALMACÉN LA VAQUITA ENVIGADO</t>
        </is>
      </c>
      <c r="D237" s="312" t="n"/>
      <c r="E237" s="312" t="n"/>
      <c r="F237" s="312" t="n"/>
      <c r="G237" s="312" t="n"/>
      <c r="H237" s="312" t="n"/>
      <c r="I237" s="313" t="n"/>
      <c r="J237" s="320" t="n">
        <v>2650000</v>
      </c>
      <c r="K237" s="28" t="n">
        <v>43675</v>
      </c>
      <c r="L237" s="198" t="n"/>
      <c r="M237" s="25" t="n"/>
      <c r="N237" s="25" t="n"/>
      <c r="O237" s="25" t="n"/>
    </row>
    <row r="238">
      <c r="B238" s="226" t="n">
        <v>214</v>
      </c>
      <c r="C238" s="226" t="inlineStr">
        <is>
          <t>COTIZACION DE LOS DISEÑOS DE PROTECCIÓN CONTRA INCENDIOS Y SEGURIDAD HUMANA PARA EL PROYECTO PIÑONES LA PINTADA</t>
        </is>
      </c>
      <c r="D238" s="312" t="n"/>
      <c r="E238" s="312" t="n"/>
      <c r="F238" s="312" t="n"/>
      <c r="G238" s="312" t="n"/>
      <c r="H238" s="312" t="n"/>
      <c r="I238" s="313" t="n"/>
      <c r="J238" s="319" t="n">
        <v>7475000</v>
      </c>
      <c r="K238" s="12" t="n">
        <v>43676</v>
      </c>
      <c r="L238" s="199" t="n"/>
      <c r="M238" s="235" t="n"/>
      <c r="N238" s="235" t="inlineStr">
        <is>
          <t>Juan Pablo Grajales</t>
        </is>
      </c>
      <c r="O238" s="235" t="n"/>
    </row>
    <row r="239">
      <c r="B239" s="226" t="n">
        <v>215</v>
      </c>
      <c r="C239" s="226" t="inlineStr">
        <is>
          <t>COTIZACION DE LOS DISEÑOS DE PROTECCIÓN CONTRA INCENDIOS Y SEGURIDAD HUMANA PARA EL PROYECTO POLIDEPORTIVO OLE</t>
        </is>
      </c>
      <c r="D239" s="312" t="n"/>
      <c r="E239" s="312" t="n"/>
      <c r="F239" s="312" t="n"/>
      <c r="G239" s="312" t="n"/>
      <c r="H239" s="312" t="n"/>
      <c r="I239" s="313" t="n"/>
      <c r="J239" s="319" t="n">
        <v>15915000</v>
      </c>
      <c r="K239" s="12" t="n">
        <v>43676</v>
      </c>
      <c r="L239" s="199" t="n"/>
      <c r="M239" s="235" t="n"/>
      <c r="N239" s="25" t="n"/>
      <c r="O239" s="235" t="n"/>
    </row>
    <row r="240">
      <c r="B240" s="226" t="n">
        <v>216</v>
      </c>
      <c r="C240" s="226" t="inlineStr">
        <is>
          <t>COTIZACION DEL DISEÑO DE EXTINCIÓN DE INCENDIOS PARA EL PROYECTO EDIFICIO SANTA ANA</t>
        </is>
      </c>
      <c r="D240" s="312" t="n"/>
      <c r="E240" s="312" t="n"/>
      <c r="F240" s="312" t="n"/>
      <c r="G240" s="312" t="n"/>
      <c r="H240" s="312" t="n"/>
      <c r="I240" s="313" t="n"/>
      <c r="J240" s="319" t="n">
        <v>10940000</v>
      </c>
      <c r="K240" s="12" t="n">
        <v>43676</v>
      </c>
      <c r="L240" s="199" t="n"/>
      <c r="M240" s="235" t="n"/>
      <c r="N240" s="235" t="inlineStr">
        <is>
          <t>Juan Pablo Grajales</t>
        </is>
      </c>
      <c r="O240" s="235" t="n"/>
    </row>
    <row r="241">
      <c r="B241" s="226" t="n">
        <v>217</v>
      </c>
      <c r="C241" s="226" t="inlineStr">
        <is>
          <t>COTIZACION DE LOS DISEÑOS DE DETECCIÓN DE INCENDIOS, SEÑALIZACIÓN E ILUMINACIÓN DE EMERGENCIA Y EXTINTORES - ISVIMED</t>
        </is>
      </c>
      <c r="D241" s="312" t="n"/>
      <c r="E241" s="312" t="n"/>
      <c r="F241" s="312" t="n"/>
      <c r="G241" s="312" t="n"/>
      <c r="H241" s="312" t="n"/>
      <c r="I241" s="313" t="n"/>
      <c r="J241" s="319" t="n">
        <v>6920000</v>
      </c>
      <c r="K241" s="12" t="n">
        <v>43677</v>
      </c>
      <c r="L241" s="199" t="n"/>
      <c r="M241" s="235" t="n"/>
      <c r="N241" s="235" t="inlineStr">
        <is>
          <t>CLAUDIA L. CORREA RAMIREZ</t>
        </is>
      </c>
      <c r="O241" s="235" t="n"/>
    </row>
    <row r="242">
      <c r="B242" s="226" t="n">
        <v>218</v>
      </c>
      <c r="C242" s="226" t="inlineStr">
        <is>
          <t>COTIZACION DEL DISEÑO DE EXTINCIÓN DE INCENDIOS PARA EL PROYECTO LOCALES 109, 110 Y 111 SALUD VEGAS</t>
        </is>
      </c>
      <c r="D242" s="312" t="n"/>
      <c r="E242" s="312" t="n"/>
      <c r="F242" s="312" t="n"/>
      <c r="G242" s="312" t="n"/>
      <c r="H242" s="312" t="n"/>
      <c r="I242" s="313" t="n"/>
      <c r="J242" s="319" t="n">
        <v>1350000</v>
      </c>
      <c r="K242" s="12" t="n">
        <v>43677</v>
      </c>
      <c r="L242" s="199" t="n"/>
      <c r="M242" s="235" t="n"/>
      <c r="N242" s="235" t="inlineStr">
        <is>
          <t>Sara Franco León</t>
        </is>
      </c>
      <c r="O242" s="235" t="n"/>
    </row>
    <row r="243">
      <c r="B243" s="226" t="n">
        <v>219</v>
      </c>
      <c r="C243" s="226" t="inlineStr">
        <is>
          <t>COTIZACION DE LOS DISEÑOS DE PROTECCIÓN CONTRA INCENDIOS Y SEGURIDAD HUMANA PARA EL PROYECTO PLAZA DE MERCADO AMAGÁ</t>
        </is>
      </c>
      <c r="D243" s="312" t="n"/>
      <c r="E243" s="312" t="n"/>
      <c r="F243" s="312" t="n"/>
      <c r="G243" s="312" t="n"/>
      <c r="H243" s="312" t="n"/>
      <c r="I243" s="313" t="n"/>
      <c r="J243" s="319" t="n">
        <v>13245000</v>
      </c>
      <c r="K243" s="12" t="n">
        <v>43678</v>
      </c>
      <c r="L243" s="199" t="n"/>
      <c r="M243" s="235" t="n"/>
      <c r="N243" s="235" t="inlineStr">
        <is>
          <t>Yesmar Vargas</t>
        </is>
      </c>
      <c r="O243" s="235" t="n"/>
    </row>
    <row r="244">
      <c r="B244" s="226" t="n">
        <v>220</v>
      </c>
      <c r="C244" s="226" t="inlineStr">
        <is>
          <t>COTIZACION DE LOS DISEÑOS DE PROTECCIÓN CONTRA INCENDIOS Y SEGURIDAD HUMANA PARA EL PROYECTO POLIDEPORTIVO OLE</t>
        </is>
      </c>
      <c r="D244" s="312" t="n"/>
      <c r="E244" s="312" t="n"/>
      <c r="F244" s="312" t="n"/>
      <c r="G244" s="312" t="n"/>
      <c r="H244" s="312" t="n"/>
      <c r="I244" s="313" t="n"/>
      <c r="J244" s="319" t="n">
        <v>15915000</v>
      </c>
      <c r="K244" s="12" t="n">
        <v>43678</v>
      </c>
      <c r="L244" s="199" t="n"/>
      <c r="M244" s="235" t="n"/>
      <c r="N244" s="235" t="inlineStr">
        <is>
          <t>Juan Camilo Bedoya</t>
        </is>
      </c>
      <c r="O244" s="235" t="n"/>
    </row>
    <row r="245">
      <c r="B245" s="226" t="n">
        <v>221</v>
      </c>
      <c r="C245" s="226" t="inlineStr">
        <is>
          <t>COTIZACION DEL DISEÑO DE DETECCIÓN DE INCENDIOS PARA EL PROYECTO BANCOLOMBIA SEDE CARMEN DE VIBORAL</t>
        </is>
      </c>
      <c r="D245" s="312" t="n"/>
      <c r="E245" s="312" t="n"/>
      <c r="F245" s="312" t="n"/>
      <c r="G245" s="312" t="n"/>
      <c r="H245" s="312" t="n"/>
      <c r="I245" s="313" t="n"/>
      <c r="J245" s="319" t="n">
        <v>1000000</v>
      </c>
      <c r="K245" s="12" t="n">
        <v>43679</v>
      </c>
      <c r="L245" s="199" t="n"/>
      <c r="M245" s="235" t="n"/>
      <c r="N245" s="235" t="inlineStr">
        <is>
          <t>Nakary García Romero</t>
        </is>
      </c>
      <c r="O245" s="235" t="n"/>
    </row>
    <row r="246">
      <c r="B246" s="226" t="n">
        <v>222</v>
      </c>
      <c r="C246" s="226" t="inlineStr">
        <is>
          <t>COTIZACION DE LOS DISEÑOS DE SEGURIDAD HUMANA Y PROTECCIÓN CONTRA  INCENDIOS - MONTIER</t>
        </is>
      </c>
      <c r="D246" s="312" t="n"/>
      <c r="E246" s="312" t="n"/>
      <c r="F246" s="312" t="n"/>
      <c r="G246" s="312" t="n"/>
      <c r="H246" s="312" t="n"/>
      <c r="I246" s="313" t="n"/>
      <c r="J246" s="319" t="n">
        <v>12210000</v>
      </c>
      <c r="K246" s="12" t="n">
        <v>43682</v>
      </c>
      <c r="L246" s="199" t="n"/>
      <c r="M246" s="235" t="n"/>
      <c r="N246" s="235" t="inlineStr">
        <is>
          <t>Carlos Londoño</t>
        </is>
      </c>
      <c r="O246" s="235" t="n"/>
    </row>
    <row r="247">
      <c r="B247" s="226" t="n">
        <v>223</v>
      </c>
      <c r="C247" s="226" t="inlineStr">
        <is>
          <t>COTIZACION DE LOS DISEÑOS DE SEGURIDAD HUMANA Y DETECCIÓN DE INCENDIOS - OFICINAS TUYA MEDELLLIN CONVEL</t>
        </is>
      </c>
      <c r="D247" s="312" t="n"/>
      <c r="E247" s="312" t="n"/>
      <c r="F247" s="312" t="n"/>
      <c r="G247" s="312" t="n"/>
      <c r="H247" s="312" t="n"/>
      <c r="I247" s="313" t="n"/>
      <c r="J247" s="319" t="n">
        <v>13545000</v>
      </c>
      <c r="K247" s="12" t="n">
        <v>43685</v>
      </c>
      <c r="L247" s="199" t="n"/>
      <c r="M247" s="235" t="n"/>
      <c r="N247" s="235" t="inlineStr">
        <is>
          <t>Mike Hincapie</t>
        </is>
      </c>
      <c r="O247" s="235" t="n"/>
    </row>
    <row r="248">
      <c r="B248" s="226" t="n">
        <v>224</v>
      </c>
      <c r="C248" s="226" t="inlineStr">
        <is>
          <t>COTIZACION DE LA INGENIERÍA CONCEPTUAL DE EXTINCIÓN DE INCENDIOS - SILICAUCHOS</t>
        </is>
      </c>
      <c r="D248" s="312" t="n"/>
      <c r="E248" s="312" t="n"/>
      <c r="F248" s="312" t="n"/>
      <c r="G248" s="312" t="n"/>
      <c r="H248" s="312" t="n"/>
      <c r="I248" s="313" t="n"/>
      <c r="J248" s="319" t="n">
        <v>2500000</v>
      </c>
      <c r="K248" s="12" t="n">
        <v>43685</v>
      </c>
      <c r="L248" s="199" t="n"/>
      <c r="M248" s="235" t="n"/>
      <c r="N248" s="235" t="inlineStr">
        <is>
          <t>Cristiam Mondragón</t>
        </is>
      </c>
      <c r="O248" s="235" t="n"/>
    </row>
    <row r="249">
      <c r="B249" s="226" t="n">
        <v>225</v>
      </c>
      <c r="C249" s="226" t="inlineStr">
        <is>
          <t>COTIZACION DE LOS DISEÑOS DE PROTECCIÓN CONTRA INCENDIOS Y SEGURIDAD HUMANA PARA EL PROYECTO BODEGAS 30 Y 31</t>
        </is>
      </c>
      <c r="D249" s="312" t="n"/>
      <c r="E249" s="312" t="n"/>
      <c r="F249" s="312" t="n"/>
      <c r="G249" s="312" t="n"/>
      <c r="H249" s="312" t="n"/>
      <c r="I249" s="313" t="n"/>
      <c r="J249" s="319" t="n">
        <v>14425000</v>
      </c>
      <c r="K249" s="12" t="n">
        <v>43685</v>
      </c>
      <c r="L249" s="199" t="n"/>
      <c r="M249" s="235" t="n"/>
      <c r="N249" s="235" t="inlineStr">
        <is>
          <t>José Alberto Osorio</t>
        </is>
      </c>
      <c r="O249" s="235" t="n"/>
    </row>
    <row r="250">
      <c r="B250" s="226" t="n">
        <v>226</v>
      </c>
      <c r="C250" s="226" t="inlineStr">
        <is>
          <t>COTIZACION DE LOS DISEÑOS DE PROTECCIÓN CONTRA INCENDIOS Y SEGURIDAD HUMANA PARA EL PROYECTO OFICINAS CEDE CENTRO</t>
        </is>
      </c>
      <c r="D250" s="312" t="n"/>
      <c r="E250" s="312" t="n"/>
      <c r="F250" s="312" t="n"/>
      <c r="G250" s="312" t="n"/>
      <c r="H250" s="312" t="n"/>
      <c r="I250" s="313" t="n"/>
      <c r="J250" s="319" t="n">
        <v>6645000</v>
      </c>
      <c r="K250" s="12" t="n">
        <v>43686</v>
      </c>
      <c r="L250" s="199" t="n"/>
      <c r="M250" s="235" t="n"/>
      <c r="N250" s="235" t="inlineStr">
        <is>
          <t>Diana Cadavid</t>
        </is>
      </c>
      <c r="O250" s="235" t="n"/>
    </row>
    <row r="251">
      <c r="B251" s="226" t="n">
        <v>227</v>
      </c>
      <c r="C251" s="226" t="inlineStr">
        <is>
          <t>COTIZACION DE LOS DISEÑOS DE SEGURIDAD HUMANA Y PROTECCIÓN CONTRA  INCENDIOS - PIAMONTE</t>
        </is>
      </c>
      <c r="D251" s="312" t="n"/>
      <c r="E251" s="312" t="n"/>
      <c r="F251" s="312" t="n"/>
      <c r="G251" s="312" t="n"/>
      <c r="H251" s="312" t="n"/>
      <c r="I251" s="313" t="n"/>
      <c r="J251" s="319" t="n">
        <v>29855000</v>
      </c>
      <c r="K251" s="12" t="n">
        <v>43686</v>
      </c>
      <c r="L251" s="199" t="n"/>
      <c r="M251" s="235" t="n"/>
      <c r="N251" s="235" t="inlineStr">
        <is>
          <t>Verónica Lopera Aguirre</t>
        </is>
      </c>
      <c r="O251" s="235" t="n"/>
    </row>
    <row r="252">
      <c r="B252" s="226" t="n">
        <v>228</v>
      </c>
      <c r="C252" s="226" t="inlineStr">
        <is>
          <t>COTIZACION DEL DISEÑO DE DETECCIÓN DE INCENDIOS - CENTRO COMERCIAL PIONEROS</t>
        </is>
      </c>
      <c r="D252" s="312" t="n"/>
      <c r="E252" s="312" t="n"/>
      <c r="F252" s="312" t="n"/>
      <c r="G252" s="312" t="n"/>
      <c r="H252" s="312" t="n"/>
      <c r="I252" s="313" t="n"/>
      <c r="J252" s="319" t="n">
        <v>4905000</v>
      </c>
      <c r="K252" s="12" t="n">
        <v>43689</v>
      </c>
      <c r="L252" s="199" t="n"/>
      <c r="M252" s="235" t="n"/>
      <c r="N252" s="235" t="inlineStr">
        <is>
          <t>Doris Posada</t>
        </is>
      </c>
      <c r="O252" s="235" t="n"/>
    </row>
    <row r="253">
      <c r="B253" s="226" t="n">
        <v>229</v>
      </c>
      <c r="C253" s="226" t="inlineStr">
        <is>
          <t>COTIZACION DE LOS DISEÑOS DE PROTECCIÓN CONTRA  INCENDIOS - OFICINAS MEZANINE TERMINAL DE CARGA</t>
        </is>
      </c>
      <c r="D253" s="312" t="n"/>
      <c r="E253" s="312" t="n"/>
      <c r="F253" s="312" t="n"/>
      <c r="G253" s="312" t="n"/>
      <c r="H253" s="312" t="n"/>
      <c r="I253" s="313" t="n"/>
      <c r="J253" s="319" t="n">
        <v>2310000</v>
      </c>
      <c r="K253" s="12" t="n">
        <v>43690</v>
      </c>
      <c r="L253" s="199" t="n"/>
      <c r="M253" s="235" t="n"/>
      <c r="N253" s="235" t="inlineStr">
        <is>
          <t>Camilo Quintero</t>
        </is>
      </c>
      <c r="O253" s="235" t="n"/>
    </row>
    <row r="254">
      <c r="B254" s="226" t="n">
        <v>230</v>
      </c>
      <c r="C254" s="226" t="inlineStr">
        <is>
          <t>COTIZACION DE LOS DISEÑOS DE SEGURIDAD HUMANA Y PROTECCIÓN CONTRA  INCENDIOS - TUYA MEDELLIN</t>
        </is>
      </c>
      <c r="D254" s="312" t="n"/>
      <c r="E254" s="312" t="n"/>
      <c r="F254" s="312" t="n"/>
      <c r="G254" s="312" t="n"/>
      <c r="H254" s="312" t="n"/>
      <c r="I254" s="313" t="n"/>
      <c r="J254" s="319" t="n">
        <v>27345000</v>
      </c>
      <c r="K254" s="12" t="n">
        <v>43690</v>
      </c>
      <c r="L254" s="199" t="n"/>
      <c r="M254" s="235" t="n"/>
      <c r="N254" s="235" t="inlineStr">
        <is>
          <t>Andrea Sánchez</t>
        </is>
      </c>
      <c r="O254" s="235" t="n"/>
    </row>
    <row r="255">
      <c r="B255" s="226" t="n">
        <v>231</v>
      </c>
      <c r="C255" s="226" t="inlineStr">
        <is>
          <t>COTIZACION DEL DISEÑO DE EXTINCIÓN DE INCENDIOS - PROYECTO EXTRACCIÓN VEGETAL</t>
        </is>
      </c>
      <c r="D255" s="312" t="n"/>
      <c r="E255" s="312" t="n"/>
      <c r="F255" s="312" t="n"/>
      <c r="G255" s="312" t="n"/>
      <c r="H255" s="312" t="n"/>
      <c r="I255" s="313" t="n"/>
      <c r="J255" s="319" t="n">
        <v>7200000</v>
      </c>
      <c r="K255" s="12" t="n">
        <v>43690</v>
      </c>
      <c r="L255" s="199" t="n"/>
      <c r="M255" s="235" t="n"/>
      <c r="N255" s="235" t="inlineStr">
        <is>
          <t>Camilo López</t>
        </is>
      </c>
      <c r="O255" s="235" t="n"/>
    </row>
    <row r="256">
      <c r="B256" s="198" t="n">
        <v>232</v>
      </c>
      <c r="C256" s="198" t="inlineStr">
        <is>
          <t>COTIZACION DEL DISEÑO DE EXTINCIÓN DE INCENDIOS - HACEB</t>
        </is>
      </c>
      <c r="D256" s="312" t="n"/>
      <c r="E256" s="312" t="n"/>
      <c r="F256" s="312" t="n"/>
      <c r="G256" s="312" t="n"/>
      <c r="H256" s="312" t="n"/>
      <c r="I256" s="313" t="n"/>
      <c r="J256" s="320" t="n">
        <v>10540000</v>
      </c>
      <c r="K256" s="28" t="n">
        <v>43690</v>
      </c>
      <c r="L256" s="198" t="n"/>
      <c r="M256" s="25" t="n"/>
      <c r="N256" s="25" t="n"/>
      <c r="O256" s="25" t="n"/>
    </row>
    <row r="257">
      <c r="B257" s="226" t="n">
        <v>233</v>
      </c>
      <c r="C257" s="226" t="inlineStr">
        <is>
          <t>COTIZACION DE LOS DISEÑOS DE SEGURIDAD HUMANA Y PROTECCIÓN CONTRA  INCENDIOS - TUYA MEDELLIN ESPIRAL</t>
        </is>
      </c>
      <c r="D257" s="312" t="n"/>
      <c r="E257" s="312" t="n"/>
      <c r="F257" s="312" t="n"/>
      <c r="G257" s="312" t="n"/>
      <c r="H257" s="312" t="n"/>
      <c r="I257" s="313" t="n"/>
      <c r="J257" s="319" t="n">
        <v>27345000</v>
      </c>
      <c r="K257" s="12" t="n">
        <v>43690</v>
      </c>
      <c r="L257" s="199" t="n"/>
      <c r="M257" s="235" t="n"/>
      <c r="N257" s="235" t="inlineStr">
        <is>
          <t>Natalia Cardona</t>
        </is>
      </c>
      <c r="O257" s="235" t="n"/>
    </row>
    <row r="258">
      <c r="B258" s="226" t="n">
        <v>234</v>
      </c>
      <c r="C258" s="226" t="inlineStr">
        <is>
          <t>COTIZACION DEL ANÁLISIS DE SEGURIDAD HUMANA Y PROTECCIÓN CONTRA INCENDIOS PARA EL PROYECTO DAVITA MEDELLÍN</t>
        </is>
      </c>
      <c r="D258" s="312" t="n"/>
      <c r="E258" s="312" t="n"/>
      <c r="F258" s="312" t="n"/>
      <c r="G258" s="312" t="n"/>
      <c r="H258" s="312" t="n"/>
      <c r="I258" s="313" t="n"/>
      <c r="J258" s="319" t="n">
        <v>2860000</v>
      </c>
      <c r="K258" s="12" t="n">
        <v>43691</v>
      </c>
      <c r="L258" s="199" t="n"/>
      <c r="M258" s="235" t="n"/>
      <c r="N258" s="235" t="inlineStr">
        <is>
          <t>Mario Madrid</t>
        </is>
      </c>
      <c r="O258" s="235" t="n"/>
    </row>
    <row r="259">
      <c r="B259" s="226" t="n">
        <v>235</v>
      </c>
      <c r="C259" s="226" t="inlineStr">
        <is>
          <t>COTIZACION DE LOS DISEÑOS DE DETECCIÓN DE INCENDIOS, SEÑALIZACIÓN E ILUMINACIÓN DE EMERGENCIA Y EXTINTORES - ISVIMED (SOCOMES)</t>
        </is>
      </c>
      <c r="D259" s="312" t="n"/>
      <c r="E259" s="312" t="n"/>
      <c r="F259" s="312" t="n"/>
      <c r="G259" s="312" t="n"/>
      <c r="H259" s="312" t="n"/>
      <c r="I259" s="313" t="n"/>
      <c r="J259" s="319" t="n">
        <v>6920000</v>
      </c>
      <c r="K259" s="12" t="n">
        <v>43691</v>
      </c>
      <c r="L259" s="199" t="n"/>
      <c r="M259" s="235" t="n"/>
      <c r="N259" s="23" t="inlineStr">
        <is>
          <t>David Lopera</t>
        </is>
      </c>
      <c r="O259" s="235" t="n"/>
    </row>
    <row r="260">
      <c r="B260" s="226" t="n">
        <v>236</v>
      </c>
      <c r="C260" s="226" t="inlineStr">
        <is>
          <t>COTIZACION DE LOS DISEÑOS DE DETECCIÓN DE INCENDIOS, SEÑALIZACIÓN E ILUMINACIÓN DE EMERGENCIA Y EXTINTORES - ISVIMED (JOMARK SEGURIDAD)</t>
        </is>
      </c>
      <c r="D260" s="312" t="n"/>
      <c r="E260" s="312" t="n"/>
      <c r="F260" s="312" t="n"/>
      <c r="G260" s="312" t="n"/>
      <c r="H260" s="312" t="n"/>
      <c r="I260" s="313" t="n"/>
      <c r="J260" s="319" t="n">
        <v>6920000</v>
      </c>
      <c r="K260" s="12" t="n">
        <v>43692</v>
      </c>
      <c r="L260" s="199" t="n"/>
      <c r="M260" s="235" t="n"/>
      <c r="N260" s="235" t="inlineStr">
        <is>
          <t>Ricardo Escobar</t>
        </is>
      </c>
      <c r="O260" s="235" t="n"/>
    </row>
    <row r="261">
      <c r="B261" s="226" t="n">
        <v>237</v>
      </c>
      <c r="C261" s="226" t="inlineStr">
        <is>
          <t>COTIZACION DE LOS DISEÑOS DE SEGURIDAD HUMANA Y PROTECCIÓN CONTRA  INCENDIOS - CLÍNICA LA CEJA</t>
        </is>
      </c>
      <c r="D261" s="312" t="n"/>
      <c r="E261" s="312" t="n"/>
      <c r="F261" s="312" t="n"/>
      <c r="G261" s="312" t="n"/>
      <c r="H261" s="312" t="n"/>
      <c r="I261" s="313" t="n"/>
      <c r="J261" s="319" t="n">
        <v>10943000</v>
      </c>
      <c r="K261" s="12" t="n">
        <v>43693</v>
      </c>
      <c r="L261" s="199" t="n"/>
      <c r="M261" s="235" t="n"/>
      <c r="N261" s="235" t="inlineStr">
        <is>
          <t>Nakary García Romero</t>
        </is>
      </c>
      <c r="O261" s="235" t="n"/>
    </row>
    <row r="262">
      <c r="B262" s="226" t="n">
        <v>238</v>
      </c>
      <c r="C262" s="226" t="inlineStr">
        <is>
          <t>COTIZACION DE LOS DISEÑOS DE PROTECCIÓN CONTRA  INCENDIOS - EDIFICIO OFICINAS</t>
        </is>
      </c>
      <c r="D262" s="312" t="n"/>
      <c r="E262" s="312" t="n"/>
      <c r="F262" s="312" t="n"/>
      <c r="G262" s="312" t="n"/>
      <c r="H262" s="312" t="n"/>
      <c r="I262" s="313" t="n"/>
      <c r="J262" s="319" t="n">
        <v>7994250</v>
      </c>
      <c r="K262" s="12" t="n">
        <v>43697</v>
      </c>
      <c r="L262" s="199" t="n"/>
      <c r="M262" s="235" t="n"/>
      <c r="N262" s="235" t="inlineStr">
        <is>
          <t>Giovanni Andrés Usme Osorio</t>
        </is>
      </c>
      <c r="O262" s="235" t="n"/>
    </row>
    <row r="263">
      <c r="B263" s="226" t="n">
        <v>239</v>
      </c>
      <c r="C263" s="226" t="inlineStr">
        <is>
          <t>COTIZACION DEL DISEÑO DE EXTINCIÓN DE INCENDIOS - ETAPA 3 SAN NICOLÁS</t>
        </is>
      </c>
      <c r="D263" s="312" t="n"/>
      <c r="E263" s="312" t="n"/>
      <c r="F263" s="312" t="n"/>
      <c r="G263" s="312" t="n"/>
      <c r="H263" s="312" t="n"/>
      <c r="I263" s="313" t="n"/>
      <c r="J263" s="319" t="n">
        <v>16950000</v>
      </c>
      <c r="K263" s="12" t="n">
        <v>43697</v>
      </c>
      <c r="L263" s="199" t="n"/>
      <c r="M263" s="235" t="n"/>
      <c r="N263" s="235" t="inlineStr">
        <is>
          <t>Carolina Volkmar</t>
        </is>
      </c>
      <c r="O263" s="235" t="n"/>
    </row>
    <row r="264">
      <c r="B264" s="226" t="n">
        <v>240</v>
      </c>
      <c r="C264" s="226" t="inlineStr">
        <is>
          <t>COTIZACION DE LOS DISEÑOS DE PROTECCIÓN CONTRA INCENDIOS Y SEGURIDAD HUMANA PARA EL PROYECTO CDI CAIPI SABANETA</t>
        </is>
      </c>
      <c r="D264" s="312" t="n"/>
      <c r="E264" s="312" t="n"/>
      <c r="F264" s="312" t="n"/>
      <c r="G264" s="312" t="n"/>
      <c r="H264" s="312" t="n"/>
      <c r="I264" s="313" t="n"/>
      <c r="J264" s="319" t="n">
        <v>9400000</v>
      </c>
      <c r="K264" s="12" t="n">
        <v>43699</v>
      </c>
      <c r="L264" s="199" t="n"/>
      <c r="M264" s="235" t="n"/>
      <c r="N264" s="23" t="inlineStr">
        <is>
          <t>Mauricio Betancur</t>
        </is>
      </c>
      <c r="O264" s="235" t="n"/>
    </row>
    <row r="265">
      <c r="B265" s="226" t="n">
        <v>241</v>
      </c>
      <c r="C265" s="226" t="inlineStr">
        <is>
          <t>COTIZACION DE LOS DISEÑOS DE PROTECCIÓN CONTRA  INCENDIOS - SEDES UNIVERSIDAD DE ANTIOQUIA</t>
        </is>
      </c>
      <c r="D265" s="312" t="n"/>
      <c r="E265" s="312" t="n"/>
      <c r="F265" s="312" t="n"/>
      <c r="G265" s="312" t="n"/>
      <c r="H265" s="312" t="n"/>
      <c r="I265" s="313" t="n"/>
      <c r="J265" s="319" t="inlineStr">
        <is>
          <t>Variable</t>
        </is>
      </c>
      <c r="K265" s="12" t="n">
        <v>43699</v>
      </c>
      <c r="L265" s="199" t="n"/>
      <c r="M265" s="235" t="n"/>
      <c r="N265" s="25" t="n"/>
      <c r="O265" s="235" t="n"/>
    </row>
    <row r="266">
      <c r="B266" s="226" t="n">
        <v>242</v>
      </c>
      <c r="C266" s="226" t="inlineStr">
        <is>
          <t>COTIZACION DE LOS DISEÑOS DE PROTECCIÓN CONTRA INCENDIOS PARA EL PROYECTO CIS LA CENTRAL</t>
        </is>
      </c>
      <c r="D266" s="312" t="n"/>
      <c r="E266" s="312" t="n"/>
      <c r="F266" s="312" t="n"/>
      <c r="G266" s="312" t="n"/>
      <c r="H266" s="312" t="n"/>
      <c r="I266" s="313" t="n"/>
      <c r="J266" s="319" t="n">
        <v>5190000</v>
      </c>
      <c r="K266" s="12" t="n">
        <v>43699</v>
      </c>
      <c r="L266" s="199" t="n"/>
      <c r="M266" s="235" t="n"/>
      <c r="N266" s="23" t="inlineStr">
        <is>
          <t>David Lopera</t>
        </is>
      </c>
      <c r="O266" s="235" t="n"/>
    </row>
    <row r="267">
      <c r="A267" s="207" t="inlineStr">
        <is>
          <t>ok</t>
        </is>
      </c>
      <c r="B267" s="13" t="n">
        <v>243</v>
      </c>
      <c r="C267" s="199" t="inlineStr">
        <is>
          <t>COTIZACION DEL ANÁLISIS DE SEGURIDAD HUMANA - SEDES UNIVERSIDAD DE ANTIOQUIA</t>
        </is>
      </c>
      <c r="D267" s="312" t="n"/>
      <c r="E267" s="312" t="n"/>
      <c r="F267" s="312" t="n"/>
      <c r="G267" s="312" t="n"/>
      <c r="H267" s="312" t="n"/>
      <c r="I267" s="313" t="n"/>
      <c r="J267" s="319" t="n">
        <v>57500000</v>
      </c>
      <c r="K267" s="12" t="n">
        <v>43700</v>
      </c>
      <c r="L267" s="199" t="n"/>
      <c r="M267" s="235" t="n"/>
      <c r="N267" s="235" t="inlineStr">
        <is>
          <t>Guillermo Maya</t>
        </is>
      </c>
      <c r="O267" s="235" t="n"/>
    </row>
    <row r="268">
      <c r="A268" s="207" t="inlineStr">
        <is>
          <t>ok</t>
        </is>
      </c>
      <c r="B268" s="13" t="n">
        <v>243</v>
      </c>
      <c r="C268" s="199" t="inlineStr">
        <is>
          <t>COTIZACION DE LOS DISEÑOS DE PROTECCIÓN CONTRA INCENDIOS PARA EL PROYECTO CIS LA CENTRAL</t>
        </is>
      </c>
      <c r="D268" s="312" t="n"/>
      <c r="E268" s="312" t="n"/>
      <c r="F268" s="312" t="n"/>
      <c r="G268" s="312" t="n"/>
      <c r="H268" s="312" t="n"/>
      <c r="I268" s="313" t="n"/>
      <c r="J268" s="319" t="n">
        <v>4670000</v>
      </c>
      <c r="K268" s="12" t="n">
        <v>44065</v>
      </c>
      <c r="L268" s="199" t="n"/>
      <c r="M268" s="235" t="n"/>
      <c r="N268" s="235" t="inlineStr">
        <is>
          <t>Juan Pablo Grajales</t>
        </is>
      </c>
      <c r="O268" s="235" t="n"/>
    </row>
    <row r="269">
      <c r="B269" s="226" t="n">
        <v>244</v>
      </c>
      <c r="C269" s="199" t="inlineStr">
        <is>
          <t>COTIZACION DEL DISEÑO DE EXTINCIÓN DE INCENDIOS - REDISTRIBUCIÓN DE ROCIADORES NUEVAS OFICINAS CES</t>
        </is>
      </c>
      <c r="D269" s="312" t="n"/>
      <c r="E269" s="312" t="n"/>
      <c r="F269" s="312" t="n"/>
      <c r="G269" s="312" t="n"/>
      <c r="H269" s="312" t="n"/>
      <c r="I269" s="313" t="n"/>
      <c r="J269" s="319" t="n">
        <v>1880000</v>
      </c>
      <c r="K269" s="12" t="n">
        <v>43704</v>
      </c>
      <c r="L269" s="199" t="n"/>
      <c r="M269" s="235" t="n"/>
      <c r="N269" s="235" t="inlineStr">
        <is>
          <t>Julio Alzate</t>
        </is>
      </c>
      <c r="O269" s="235" t="n"/>
    </row>
    <row r="270">
      <c r="B270" s="198" t="n">
        <v>245</v>
      </c>
      <c r="C270" s="198" t="inlineStr">
        <is>
          <t>COTIZACION DE LOS DISEÑOS DE SEGURIDAD HUMANA Y PROTECCIÓN CONTRA  INCENDIOS - CENTRO DE NEGOCIOS MANGA</t>
        </is>
      </c>
      <c r="D270" s="312" t="n"/>
      <c r="E270" s="312" t="n"/>
      <c r="F270" s="312" t="n"/>
      <c r="G270" s="312" t="n"/>
      <c r="H270" s="312" t="n"/>
      <c r="I270" s="313" t="n"/>
      <c r="J270" s="320" t="n">
        <v>10420000</v>
      </c>
      <c r="K270" s="28" t="n">
        <v>43704</v>
      </c>
      <c r="L270" s="198" t="n"/>
      <c r="M270" s="25" t="n"/>
      <c r="N270" s="25" t="n"/>
      <c r="O270" s="25" t="n"/>
    </row>
    <row r="271">
      <c r="B271" s="226" t="n">
        <v>246</v>
      </c>
      <c r="C271" s="199" t="inlineStr">
        <is>
          <t>COTIZACION DE LOS DISEÑOS DE PROTECCIÓN CONTRA INCENDIOS PARA EL PROYECTO BODEGAS NUEVAS PLANTA PORCICARNES</t>
        </is>
      </c>
      <c r="D271" s="312" t="n"/>
      <c r="E271" s="312" t="n"/>
      <c r="F271" s="312" t="n"/>
      <c r="G271" s="312" t="n"/>
      <c r="H271" s="312" t="n"/>
      <c r="I271" s="313" t="n"/>
      <c r="J271" s="319" t="n">
        <v>21865000</v>
      </c>
      <c r="K271" s="12" t="n">
        <v>43705</v>
      </c>
      <c r="L271" s="199" t="n"/>
      <c r="M271" s="235" t="n"/>
      <c r="N271" s="235" t="inlineStr">
        <is>
          <t>Juan David Calle</t>
        </is>
      </c>
      <c r="O271" s="235" t="n"/>
    </row>
    <row r="272">
      <c r="B272" s="198" t="n">
        <v>247</v>
      </c>
      <c r="C272" s="198" t="inlineStr">
        <is>
          <t>COTIZACION DEL DISEÑO DE DETECCIÓN DE INCENDIOS PARA EL PROYECTO ÁREAS A REMODELAR RADIOVID ROBLEDO</t>
        </is>
      </c>
      <c r="D272" s="312" t="n"/>
      <c r="E272" s="312" t="n"/>
      <c r="F272" s="312" t="n"/>
      <c r="G272" s="312" t="n"/>
      <c r="H272" s="312" t="n"/>
      <c r="I272" s="313" t="n"/>
      <c r="J272" s="320" t="n">
        <v>1710000</v>
      </c>
      <c r="K272" s="28" t="n">
        <v>43705</v>
      </c>
      <c r="L272" s="198" t="n"/>
      <c r="M272" s="25" t="n"/>
      <c r="N272" s="25" t="n"/>
      <c r="O272" s="25" t="n"/>
    </row>
    <row r="273">
      <c r="B273" s="198" t="n">
        <v>248</v>
      </c>
      <c r="C273" s="198" t="inlineStr">
        <is>
          <t>COTIZACION DEL DISEÑO DE EXTINCIÓN DE INCENDIOS PARA EL PROYECTO RADIOVID ROBLEDO</t>
        </is>
      </c>
      <c r="D273" s="312" t="n"/>
      <c r="E273" s="312" t="n"/>
      <c r="F273" s="312" t="n"/>
      <c r="G273" s="312" t="n"/>
      <c r="H273" s="312" t="n"/>
      <c r="I273" s="313" t="n"/>
      <c r="J273" s="320" t="n">
        <v>8780000</v>
      </c>
      <c r="K273" s="28" t="n">
        <v>43705</v>
      </c>
      <c r="L273" s="198" t="n"/>
      <c r="M273" s="25" t="n"/>
      <c r="N273" s="25" t="n"/>
      <c r="O273" s="25" t="n"/>
    </row>
    <row r="274">
      <c r="B274" s="226" t="n">
        <v>249</v>
      </c>
      <c r="C274" s="199" t="inlineStr">
        <is>
          <t>VALIDACIÓN HIDRÁULICA PARA ACTUALIZACIÓN DEL SISTEMA DE BOMBEO</t>
        </is>
      </c>
      <c r="D274" s="312" t="n"/>
      <c r="E274" s="312" t="n"/>
      <c r="F274" s="312" t="n"/>
      <c r="G274" s="312" t="n"/>
      <c r="H274" s="312" t="n"/>
      <c r="I274" s="313" t="n"/>
      <c r="J274" s="319" t="n">
        <v>1580000</v>
      </c>
      <c r="K274" s="12" t="n">
        <v>43705</v>
      </c>
      <c r="L274" s="199" t="n"/>
      <c r="M274" s="235" t="n"/>
      <c r="N274" s="235" t="inlineStr">
        <is>
          <t>Daniel Uribe</t>
        </is>
      </c>
      <c r="O274" s="235" t="n"/>
    </row>
    <row r="275">
      <c r="B275" s="198" t="n">
        <v>250</v>
      </c>
      <c r="C275" s="198" t="inlineStr">
        <is>
          <t>LEVANTAMIENTO SISTEMA ACTUAL Y VALIDACIÓN HIDRÁULICA PARA ACTUALIZACIÓN DEL SISTEMA DE BOMBEO</t>
        </is>
      </c>
      <c r="D275" s="312" t="n"/>
      <c r="E275" s="312" t="n"/>
      <c r="F275" s="312" t="n"/>
      <c r="G275" s="312" t="n"/>
      <c r="H275" s="312" t="n"/>
      <c r="I275" s="313" t="n"/>
      <c r="J275" s="320" t="n">
        <v>3900000</v>
      </c>
      <c r="K275" s="28" t="n">
        <v>43705</v>
      </c>
      <c r="L275" s="198" t="n"/>
      <c r="M275" s="25" t="n"/>
      <c r="N275" s="25" t="n"/>
      <c r="O275" s="25" t="n"/>
    </row>
    <row r="276">
      <c r="B276" s="198" t="n">
        <v>251</v>
      </c>
      <c r="C276" s="198" t="inlineStr">
        <is>
          <t>COTIZACION DE LA OPTIMIZACIÓN DEL DISEÑO DE EXTINCIÓN DE INCENDIOS PARA EL PROYECTOMEDICOA PISO 9</t>
        </is>
      </c>
      <c r="D276" s="312" t="n"/>
      <c r="E276" s="312" t="n"/>
      <c r="F276" s="312" t="n"/>
      <c r="G276" s="312" t="n"/>
      <c r="H276" s="312" t="n"/>
      <c r="I276" s="313" t="n"/>
      <c r="J276" s="320" t="n">
        <v>1200000</v>
      </c>
      <c r="K276" s="28" t="n">
        <v>43705</v>
      </c>
      <c r="L276" s="198" t="n"/>
      <c r="M276" s="25" t="n"/>
      <c r="N276" s="25" t="n"/>
      <c r="O276" s="25" t="n"/>
    </row>
    <row r="277">
      <c r="B277" s="226" t="n">
        <v>252</v>
      </c>
      <c r="C277" s="231" t="inlineStr">
        <is>
          <t>COTIZACION DEL DISEÑO DE EXTINCIÓN DE INCENDIOS PARA EL PROYECTO CAUCASIA</t>
        </is>
      </c>
      <c r="D277" s="312" t="n"/>
      <c r="E277" s="312" t="n"/>
      <c r="F277" s="312" t="n"/>
      <c r="G277" s="312" t="n"/>
      <c r="H277" s="312" t="n"/>
      <c r="I277" s="313" t="n"/>
      <c r="J277" s="319" t="n">
        <v>12980000</v>
      </c>
      <c r="K277" s="12" t="n">
        <v>43711</v>
      </c>
      <c r="L277" s="199" t="n"/>
      <c r="M277" s="235" t="n"/>
      <c r="N277" s="235" t="inlineStr">
        <is>
          <t>Juan Camilo Ramírez Villa</t>
        </is>
      </c>
      <c r="O277" s="235" t="n"/>
    </row>
    <row r="278">
      <c r="B278" s="226" t="n">
        <v>253</v>
      </c>
      <c r="C278" s="199" t="inlineStr">
        <is>
          <t>COTIZACION DE LA OPTIMIZACIÓN DEL DISEÑO DE EXTINCIÓN DE INCENDIOS PARA EL PROYECTO TESORO ETAPA 4</t>
        </is>
      </c>
      <c r="D278" s="312" t="n"/>
      <c r="E278" s="312" t="n"/>
      <c r="F278" s="312" t="n"/>
      <c r="G278" s="312" t="n"/>
      <c r="H278" s="312" t="n"/>
      <c r="I278" s="313" t="n"/>
      <c r="J278" s="319" t="n">
        <v>3510000</v>
      </c>
      <c r="K278" s="12" t="n">
        <v>43712</v>
      </c>
      <c r="L278" s="199" t="n"/>
      <c r="M278" s="235" t="n"/>
      <c r="N278" s="235" t="inlineStr">
        <is>
          <t>Cristiam Mondragón</t>
        </is>
      </c>
      <c r="O278" s="235" t="n"/>
    </row>
    <row r="279">
      <c r="B279" s="226" t="n">
        <v>254</v>
      </c>
      <c r="C279" s="199" t="inlineStr">
        <is>
          <t>COTIZACION DE LOS DISEÑOS DE PROTECCIÓN CONTRA INCENDIOS Y SEGURIDAD HUMANA PARA EL PROYECTO DUVILLE CARTAGENA</t>
        </is>
      </c>
      <c r="D279" s="312" t="n"/>
      <c r="E279" s="312" t="n"/>
      <c r="F279" s="312" t="n"/>
      <c r="G279" s="312" t="n"/>
      <c r="H279" s="312" t="n"/>
      <c r="I279" s="313" t="n"/>
      <c r="J279" s="319" t="n">
        <v>16870000</v>
      </c>
      <c r="K279" s="12" t="n">
        <v>43712</v>
      </c>
      <c r="L279" s="199" t="n"/>
      <c r="M279" s="235" t="n"/>
      <c r="N279" s="235" t="inlineStr">
        <is>
          <t>Juan Pablo Grajales</t>
        </is>
      </c>
      <c r="O279" s="235" t="n"/>
    </row>
    <row r="280">
      <c r="B280" s="226" t="n">
        <v>255</v>
      </c>
      <c r="C280" s="199" t="inlineStr">
        <is>
          <t>COTIZACION DE LOS DISEÑOS DE SEGURIDAD HUMANA Y PROTECCIÓN CONTRA  INCENDIOS - CONQUISTADORES</t>
        </is>
      </c>
      <c r="D280" s="312" t="n"/>
      <c r="E280" s="312" t="n"/>
      <c r="F280" s="312" t="n"/>
      <c r="G280" s="312" t="n"/>
      <c r="H280" s="312" t="n"/>
      <c r="I280" s="313" t="n"/>
      <c r="J280" s="319" t="n">
        <v>11255000</v>
      </c>
      <c r="K280" s="12" t="n">
        <v>43716</v>
      </c>
      <c r="L280" s="199" t="n"/>
      <c r="M280" s="235" t="n"/>
      <c r="N280" s="235" t="inlineStr">
        <is>
          <t>Paulina Cadavid Londoño</t>
        </is>
      </c>
      <c r="O280" s="235" t="n"/>
    </row>
    <row r="281">
      <c r="B281" s="226" t="n">
        <v>256</v>
      </c>
      <c r="C281" s="199" t="inlineStr">
        <is>
          <t>COTIZACION DEL DISEÑO DE EXTINCIÓN DE INCENDIOS PARA EL PROYECTO OFICINAS CRYOGAS</t>
        </is>
      </c>
      <c r="D281" s="312" t="n"/>
      <c r="E281" s="312" t="n"/>
      <c r="F281" s="312" t="n"/>
      <c r="G281" s="312" t="n"/>
      <c r="H281" s="312" t="n"/>
      <c r="I281" s="313" t="n"/>
      <c r="J281" s="319" t="n">
        <v>1995000</v>
      </c>
      <c r="K281" s="12" t="n">
        <v>43718</v>
      </c>
      <c r="L281" s="199" t="n"/>
      <c r="M281" s="235" t="n"/>
      <c r="N281" s="235" t="inlineStr">
        <is>
          <t>María Isabel Correa</t>
        </is>
      </c>
      <c r="O281" s="235" t="n"/>
    </row>
    <row r="282">
      <c r="B282" s="226" t="n">
        <v>257</v>
      </c>
      <c r="C282" s="199" t="inlineStr">
        <is>
          <t>COTIZACION DE LA REVISIÓN DE LA RED GENERAL Y EL CUARTO DE BOMBAS CONTRA INCENDIOS PARA EL PROYECTO PLEXA</t>
        </is>
      </c>
      <c r="D282" s="312" t="n"/>
      <c r="E282" s="312" t="n"/>
      <c r="F282" s="312" t="n"/>
      <c r="G282" s="312" t="n"/>
      <c r="H282" s="312" t="n"/>
      <c r="I282" s="313" t="n"/>
      <c r="J282" s="319" t="n">
        <v>2260000</v>
      </c>
      <c r="K282" s="12" t="n">
        <v>43688</v>
      </c>
      <c r="L282" s="199" t="n"/>
      <c r="M282" s="235" t="n"/>
      <c r="N282" s="235" t="inlineStr">
        <is>
          <t>Juan Pablo Grajales</t>
        </is>
      </c>
      <c r="O282" s="235" t="n"/>
    </row>
    <row r="283">
      <c r="B283" s="226" t="n">
        <v>258</v>
      </c>
      <c r="C283" s="199" t="inlineStr">
        <is>
          <t>COTIZACION DE LA REDISTRIBUCIÓN DE LOS ROCIADORES AUTOMÁTICOS PARA SALA DE JUNTAS OFICINAS ISA BOGOTÁ</t>
        </is>
      </c>
      <c r="D283" s="312" t="n"/>
      <c r="E283" s="312" t="n"/>
      <c r="F283" s="312" t="n"/>
      <c r="G283" s="312" t="n"/>
      <c r="H283" s="312" t="n"/>
      <c r="I283" s="313" t="n"/>
      <c r="J283" s="319" t="n">
        <v>750000</v>
      </c>
      <c r="K283" s="12" t="n">
        <v>43719</v>
      </c>
      <c r="L283" s="199" t="n"/>
      <c r="M283" s="235" t="n"/>
      <c r="N283" s="235" t="inlineStr">
        <is>
          <t>Paola A. López Cadavid</t>
        </is>
      </c>
      <c r="O283" s="235" t="n"/>
    </row>
    <row r="284">
      <c r="A284" s="207" t="inlineStr">
        <is>
          <t>ok</t>
        </is>
      </c>
      <c r="B284" s="13" t="n">
        <v>259</v>
      </c>
      <c r="C284" s="199" t="inlineStr">
        <is>
          <t>COTIZACION DE LOS DISEÑOS DE SEGURIDAD HUMANA Y PROTECCIÓN CONTRA  INCENDIOS - BODEGA OFICINAS BANCOLOMBIA</t>
        </is>
      </c>
      <c r="D284" s="312" t="n"/>
      <c r="E284" s="312" t="n"/>
      <c r="F284" s="312" t="n"/>
      <c r="G284" s="312" t="n"/>
      <c r="H284" s="312" t="n"/>
      <c r="I284" s="313" t="n"/>
      <c r="J284" s="319" t="n">
        <v>11917000</v>
      </c>
      <c r="K284" s="12" t="n">
        <v>43719</v>
      </c>
      <c r="L284" s="199" t="n"/>
      <c r="M284" s="235" t="n"/>
      <c r="N284" s="235" t="inlineStr">
        <is>
          <t>Paola A. López Cadavid</t>
        </is>
      </c>
      <c r="O284" s="235" t="n"/>
    </row>
    <row r="285">
      <c r="A285" s="207" t="inlineStr">
        <is>
          <t>ok</t>
        </is>
      </c>
      <c r="B285" s="13" t="n">
        <v>259</v>
      </c>
      <c r="C285" s="199" t="inlineStr">
        <is>
          <t>COTIZACION DE LOS DISEÑOS DE PROTECCIÓN CONTRA INCENDIOS Y SEGURIDAD HUMANA PARA EL PROYECTO APARTAMENTOS PARA EL ADULTO MAYOR</t>
        </is>
      </c>
      <c r="D285" s="312" t="n"/>
      <c r="E285" s="312" t="n"/>
      <c r="F285" s="312" t="n"/>
      <c r="G285" s="312" t="n"/>
      <c r="H285" s="312" t="n"/>
      <c r="I285" s="313" t="n"/>
      <c r="J285" s="319" t="n"/>
      <c r="K285" s="12" t="n"/>
      <c r="L285" s="199" t="n"/>
      <c r="M285" s="235" t="n"/>
      <c r="N285" s="235" t="n"/>
      <c r="O285" s="235" t="n"/>
    </row>
    <row r="286">
      <c r="B286" s="226" t="n">
        <v>260</v>
      </c>
      <c r="C286" s="199" t="inlineStr">
        <is>
          <t>COTIZACION DE LOS DISEÑOS DE PROTECCIÓN CONTRA INCENDIOS PARA EL PROYECTO PROLAB FLORIDA</t>
        </is>
      </c>
      <c r="D286" s="312" t="n"/>
      <c r="E286" s="312" t="n"/>
      <c r="F286" s="312" t="n"/>
      <c r="G286" s="312" t="n"/>
      <c r="H286" s="312" t="n"/>
      <c r="I286" s="313" t="n"/>
      <c r="J286" s="319" t="n">
        <v>800000</v>
      </c>
      <c r="K286" s="12" t="n">
        <v>43720</v>
      </c>
      <c r="L286" s="199" t="n"/>
      <c r="M286" s="235" t="n"/>
      <c r="N286" s="235" t="inlineStr">
        <is>
          <t>David Lopera</t>
        </is>
      </c>
      <c r="O286" s="235" t="n"/>
    </row>
    <row r="287">
      <c r="B287" s="226" t="n">
        <v>261</v>
      </c>
      <c r="C287" s="199" t="inlineStr">
        <is>
          <t>COTIZACION DE LOS DISEÑOS DE SEGURIDAD HUMANA Y PROTECCIÓN CONTRA  INCENDIOS - CHELSEA</t>
        </is>
      </c>
      <c r="D287" s="312" t="n"/>
      <c r="E287" s="312" t="n"/>
      <c r="F287" s="312" t="n"/>
      <c r="G287" s="312" t="n"/>
      <c r="H287" s="312" t="n"/>
      <c r="I287" s="313" t="n"/>
      <c r="J287" s="319" t="n">
        <v>15680000</v>
      </c>
      <c r="K287" s="12" t="n">
        <v>43721</v>
      </c>
      <c r="L287" s="199" t="n"/>
      <c r="M287" s="235" t="n"/>
      <c r="N287" s="235" t="n"/>
      <c r="O287" s="235" t="n"/>
    </row>
    <row r="288">
      <c r="B288" s="226" t="n">
        <v>262</v>
      </c>
      <c r="C288" s="199" t="inlineStr">
        <is>
          <t>COTIZACION DE LA REDISTRIBUCIÓN DE LOS ROCIADORES AUTOMÁTICOS PARA SALA DE JUNTAS OFICINA MILLA DE ORO</t>
        </is>
      </c>
      <c r="D288" s="312" t="n"/>
      <c r="E288" s="312" t="n"/>
      <c r="F288" s="312" t="n"/>
      <c r="G288" s="312" t="n"/>
      <c r="H288" s="312" t="n"/>
      <c r="I288" s="313" t="n"/>
      <c r="J288" s="319" t="n">
        <v>950000</v>
      </c>
      <c r="K288" s="12" t="n">
        <v>43721</v>
      </c>
      <c r="L288" s="199" t="n"/>
      <c r="M288" s="235" t="n"/>
      <c r="N288" s="235" t="inlineStr">
        <is>
          <t>Andrés Estrada</t>
        </is>
      </c>
      <c r="O288" s="235" t="n"/>
    </row>
    <row r="289">
      <c r="B289" s="226" t="n">
        <v>263</v>
      </c>
      <c r="C289" s="199" t="inlineStr">
        <is>
          <t>COTIZACION DE LOS DISEÑOS DE PROTECCIÓN CONTRA INCENDIOS PARA EL PROYECTO PLANTA PROCAP</t>
        </is>
      </c>
      <c r="D289" s="312" t="n"/>
      <c r="E289" s="312" t="n"/>
      <c r="F289" s="312" t="n"/>
      <c r="G289" s="312" t="n"/>
      <c r="H289" s="312" t="n"/>
      <c r="I289" s="313" t="n"/>
      <c r="J289" s="319" t="n">
        <v>39280000</v>
      </c>
      <c r="K289" s="12" t="n">
        <v>43721</v>
      </c>
      <c r="L289" s="199" t="n"/>
      <c r="M289" s="235" t="n"/>
      <c r="N289" s="235" t="inlineStr">
        <is>
          <t>Adriana Díaz García</t>
        </is>
      </c>
      <c r="O289" s="235" t="n"/>
    </row>
    <row r="290">
      <c r="B290" s="226" t="n">
        <v>264</v>
      </c>
      <c r="C290" s="199" t="inlineStr">
        <is>
          <t>COTIZACION DEL DISEÑO DE EXTINCIÓN DE INCENDIOS - COMFAMA RESERVA PLAZA</t>
        </is>
      </c>
      <c r="D290" s="312" t="n"/>
      <c r="E290" s="312" t="n"/>
      <c r="F290" s="312" t="n"/>
      <c r="G290" s="312" t="n"/>
      <c r="H290" s="312" t="n"/>
      <c r="I290" s="313" t="n"/>
      <c r="J290" s="319" t="n">
        <v>2950000</v>
      </c>
      <c r="K290" s="12" t="n">
        <v>43726</v>
      </c>
      <c r="L290" s="199" t="n"/>
      <c r="M290" s="235" t="n"/>
      <c r="N290" s="235" t="inlineStr">
        <is>
          <t>Juan Pablo Grajales</t>
        </is>
      </c>
      <c r="O290" s="235" t="n"/>
    </row>
    <row r="291">
      <c r="B291" s="226" t="n">
        <v>265</v>
      </c>
      <c r="C291" s="199" t="inlineStr">
        <is>
          <t>COTIZACION DE LOS DISEÑOS DE SEGURIDAD HUMANA Y PROTECCIÓN CONTRA  INCENDIOS - ARAGUA DE PRIMAVERA</t>
        </is>
      </c>
      <c r="D291" s="312" t="n"/>
      <c r="E291" s="312" t="n"/>
      <c r="F291" s="312" t="n"/>
      <c r="G291" s="312" t="n"/>
      <c r="H291" s="312" t="n"/>
      <c r="I291" s="313" t="n"/>
      <c r="J291" s="319" t="n">
        <v>19370000</v>
      </c>
      <c r="K291" s="12" t="n">
        <v>43726</v>
      </c>
      <c r="L291" s="199" t="n"/>
      <c r="M291" s="235" t="n"/>
      <c r="N291" s="235" t="inlineStr">
        <is>
          <t>Juan Pablo Grajales</t>
        </is>
      </c>
      <c r="O291" s="235" t="n"/>
    </row>
    <row r="292">
      <c r="B292" s="226" t="n">
        <v>266</v>
      </c>
      <c r="C292" s="199" t="inlineStr">
        <is>
          <t>COTIZACION DE LOS DISEÑOS DE PROTECCIÓN CONTRA INCENDIOS PARA EL PROYECTO SMARTFIT LA 85 BOGOTÁ</t>
        </is>
      </c>
      <c r="D292" s="312" t="n"/>
      <c r="E292" s="312" t="n"/>
      <c r="F292" s="312" t="n"/>
      <c r="G292" s="312" t="n"/>
      <c r="H292" s="312" t="n"/>
      <c r="I292" s="313" t="n"/>
      <c r="J292" s="319" t="n">
        <v>3890000</v>
      </c>
      <c r="K292" s="12" t="n">
        <v>43726</v>
      </c>
      <c r="L292" s="199" t="n"/>
      <c r="M292" s="235" t="n"/>
      <c r="N292" s="235" t="inlineStr">
        <is>
          <t>Julio Alzate</t>
        </is>
      </c>
      <c r="O292" s="235" t="n"/>
    </row>
    <row r="293">
      <c r="B293" s="226" t="n">
        <v>267</v>
      </c>
      <c r="C293" s="199" t="inlineStr">
        <is>
          <t>COTIZACION DEL DISEÑO DE EXTINCIÓN DE INCENDIOS - IPS CENTRO DE SALUD DON BOSCO</t>
        </is>
      </c>
      <c r="D293" s="312" t="n"/>
      <c r="E293" s="312" t="n"/>
      <c r="F293" s="312" t="n"/>
      <c r="G293" s="312" t="n"/>
      <c r="H293" s="312" t="n"/>
      <c r="I293" s="313" t="n"/>
      <c r="J293" s="319" t="n">
        <v>5770000</v>
      </c>
      <c r="K293" s="12" t="n">
        <v>43726</v>
      </c>
      <c r="L293" s="199" t="n"/>
      <c r="M293" s="235" t="n"/>
      <c r="N293" s="235" t="inlineStr">
        <is>
          <t>David Lopera</t>
        </is>
      </c>
      <c r="O293" s="235" t="n"/>
    </row>
    <row r="294">
      <c r="B294" s="226" t="n">
        <v>268</v>
      </c>
      <c r="C294" s="199" t="inlineStr">
        <is>
          <t>COTIZACION DEL DISEÑO DE EXTINCIÓN DE INCENDIOS - TELEPERFORMANCE BARRIO COLOMBIA MEDELLIN</t>
        </is>
      </c>
      <c r="D294" s="312" t="n"/>
      <c r="E294" s="312" t="n"/>
      <c r="F294" s="312" t="n"/>
      <c r="G294" s="312" t="n"/>
      <c r="H294" s="312" t="n"/>
      <c r="I294" s="313" t="n"/>
      <c r="J294" s="319" t="n">
        <v>9530000</v>
      </c>
      <c r="K294" s="12" t="n">
        <v>43728</v>
      </c>
      <c r="L294" s="199" t="n"/>
      <c r="M294" s="235" t="n"/>
      <c r="N294" s="235" t="inlineStr">
        <is>
          <t>Javier Bohorquez</t>
        </is>
      </c>
      <c r="O294" s="235" t="n"/>
    </row>
    <row r="295">
      <c r="B295" s="226" t="n">
        <v>269</v>
      </c>
      <c r="C295" s="199" t="inlineStr">
        <is>
          <t>COTIZACION DE LOS DISEÑOS DE SEGURIDAD HUMANA Y PROTECCIÓN CONTRA  INCENDIOS - FOOD HALL BOGOTÁ</t>
        </is>
      </c>
      <c r="D295" s="312" t="n"/>
      <c r="E295" s="312" t="n"/>
      <c r="F295" s="312" t="n"/>
      <c r="G295" s="312" t="n"/>
      <c r="H295" s="312" t="n"/>
      <c r="I295" s="313" t="n"/>
      <c r="J295" s="319" t="inlineStr">
        <is>
          <t>Variable</t>
        </is>
      </c>
      <c r="K295" s="12" t="n">
        <v>43728</v>
      </c>
      <c r="L295" s="199" t="n"/>
      <c r="M295" s="235" t="n"/>
      <c r="N295" s="235" t="inlineStr">
        <is>
          <t>Paola A. López Cadavid</t>
        </is>
      </c>
      <c r="O295" s="235" t="n"/>
    </row>
    <row r="296">
      <c r="B296" s="226" t="n">
        <v>270</v>
      </c>
      <c r="C296" s="199" t="inlineStr">
        <is>
          <t>COTIZACION DEL DISEÑO DE DETECCIÓN DE INCENDIOS - DETECCIÓN OFICINAS 120 M2</t>
        </is>
      </c>
      <c r="D296" s="312" t="n"/>
      <c r="E296" s="312" t="n"/>
      <c r="F296" s="312" t="n"/>
      <c r="G296" s="312" t="n"/>
      <c r="H296" s="312" t="n"/>
      <c r="I296" s="313" t="n"/>
      <c r="J296" s="319" t="n">
        <v>513500</v>
      </c>
      <c r="K296" s="12" t="n">
        <v>43731</v>
      </c>
      <c r="L296" s="199" t="n"/>
      <c r="M296" s="235" t="n"/>
      <c r="N296" s="235" t="inlineStr">
        <is>
          <t>Paola A. López Cadavid</t>
        </is>
      </c>
      <c r="O296" s="235" t="n"/>
    </row>
    <row r="297">
      <c r="B297" s="226" t="n">
        <v>271</v>
      </c>
      <c r="C297" s="199" t="inlineStr">
        <is>
          <t>COTIZACION DE LOS DISEÑOS DE PROTECCIÓN CONTRA INCENDIOS PARA EL PROYECTO OPTICA COLOMBIANA ARKADIA</t>
        </is>
      </c>
      <c r="D297" s="312" t="n"/>
      <c r="E297" s="312" t="n"/>
      <c r="F297" s="312" t="n"/>
      <c r="G297" s="312" t="n"/>
      <c r="H297" s="312" t="n"/>
      <c r="I297" s="313" t="n"/>
      <c r="J297" s="319" t="n">
        <v>570000</v>
      </c>
      <c r="K297" s="12" t="n">
        <v>43733</v>
      </c>
      <c r="L297" s="199" t="n"/>
      <c r="M297" s="235" t="n"/>
      <c r="N297" s="235" t="inlineStr">
        <is>
          <t>David Lopera</t>
        </is>
      </c>
      <c r="O297" s="235" t="n"/>
    </row>
    <row r="298">
      <c r="B298" s="226" t="n">
        <v>272</v>
      </c>
      <c r="C298" s="199" t="inlineStr">
        <is>
          <t>COTIZACION DEL DISEÑO DE EXTINCIÓN DE INCENDIOS PARA EL PROYECTO OFICINA MUELLE DE CARGA VIVA ENVIGADO</t>
        </is>
      </c>
      <c r="D298" s="312" t="n"/>
      <c r="E298" s="312" t="n"/>
      <c r="F298" s="312" t="n"/>
      <c r="G298" s="312" t="n"/>
      <c r="H298" s="312" t="n"/>
      <c r="I298" s="313" t="n"/>
      <c r="J298" s="319" t="n">
        <v>880000</v>
      </c>
      <c r="K298" s="12" t="n">
        <v>43733</v>
      </c>
      <c r="L298" s="199" t="n"/>
      <c r="M298" s="235" t="n"/>
      <c r="N298" s="235" t="inlineStr">
        <is>
          <t>Paola Andrea Moreno</t>
        </is>
      </c>
      <c r="O298" s="235" t="n"/>
    </row>
    <row r="299">
      <c r="B299" s="226" t="n">
        <v>273</v>
      </c>
      <c r="C299" s="199" t="inlineStr">
        <is>
          <t>COTIZACION DE LOS DISEÑOS DE PROTECCIÓN CONTRA INCENDIOS PARA EL PROYECTO BODEGA GUAYABAL</t>
        </is>
      </c>
      <c r="D299" s="312" t="n"/>
      <c r="E299" s="312" t="n"/>
      <c r="F299" s="312" t="n"/>
      <c r="G299" s="312" t="n"/>
      <c r="H299" s="312" t="n"/>
      <c r="I299" s="313" t="n"/>
      <c r="J299" s="319" t="n">
        <v>28850000</v>
      </c>
      <c r="K299" s="12" t="n">
        <v>43733</v>
      </c>
      <c r="L299" s="199" t="n"/>
      <c r="M299" s="235" t="n"/>
      <c r="N299" s="235" t="inlineStr">
        <is>
          <t>Jhon Rodriguez</t>
        </is>
      </c>
      <c r="O299" s="235" t="n"/>
    </row>
    <row r="300">
      <c r="B300" s="226" t="n">
        <v>274</v>
      </c>
      <c r="C300" s="199" t="inlineStr">
        <is>
          <t>COTIZACION DEL DISEÑO DE EXTINCIÓN DE INCENDIOS PARA EL PROYECTO PARQUEADEROS TORRE 1 SAN CAYETANO</t>
        </is>
      </c>
      <c r="D300" s="312" t="n"/>
      <c r="E300" s="312" t="n"/>
      <c r="F300" s="312" t="n"/>
      <c r="G300" s="312" t="n"/>
      <c r="H300" s="312" t="n"/>
      <c r="I300" s="313" t="n"/>
      <c r="J300" s="319" t="n">
        <v>3670000</v>
      </c>
      <c r="K300" s="12" t="n">
        <v>43735</v>
      </c>
      <c r="L300" s="199" t="n"/>
      <c r="M300" s="235" t="n"/>
      <c r="N300" s="235" t="inlineStr">
        <is>
          <t>Ricardo Escobar</t>
        </is>
      </c>
      <c r="O300" s="235" t="n"/>
    </row>
    <row r="301">
      <c r="B301" s="226" t="n">
        <v>275</v>
      </c>
      <c r="C301" s="199" t="inlineStr">
        <is>
          <t>COTIZACION DE LOS DISEÑOS DE SEGURIDAD HUMANA Y PROTECCIÓN CONTRA  INCENDIOS - HOJARASCA</t>
        </is>
      </c>
      <c r="D301" s="312" t="n"/>
      <c r="E301" s="312" t="n"/>
      <c r="F301" s="312" t="n"/>
      <c r="G301" s="312" t="n"/>
      <c r="H301" s="312" t="n"/>
      <c r="I301" s="313" t="n"/>
      <c r="J301" s="319" t="n">
        <v>7215000</v>
      </c>
      <c r="K301" s="12" t="n">
        <v>43738</v>
      </c>
      <c r="L301" s="199" t="n"/>
      <c r="M301" s="235" t="n"/>
      <c r="N301" s="235" t="inlineStr">
        <is>
          <t>Camila Ángel</t>
        </is>
      </c>
      <c r="O301" s="235" t="n"/>
    </row>
    <row r="302">
      <c r="B302" s="226" t="n">
        <v>276</v>
      </c>
      <c r="C302" s="199" t="inlineStr">
        <is>
          <t>COTIZACION DE LOS DISEÑOS DE SEGURIDAD HUMANA Y PROTECCIÓN CONTRA  INCENDIOS - AUNA COLOMBIA</t>
        </is>
      </c>
      <c r="D302" s="312" t="n"/>
      <c r="E302" s="312" t="n"/>
      <c r="F302" s="312" t="n"/>
      <c r="G302" s="312" t="n"/>
      <c r="H302" s="312" t="n"/>
      <c r="I302" s="313" t="n"/>
      <c r="J302" s="319" t="inlineStr">
        <is>
          <t>Variable</t>
        </is>
      </c>
      <c r="K302" s="12" t="n">
        <v>43738</v>
      </c>
      <c r="L302" s="199" t="n"/>
      <c r="M302" s="235" t="n"/>
      <c r="N302" s="235" t="inlineStr">
        <is>
          <t>Martha Lucía Ferrer</t>
        </is>
      </c>
      <c r="O302" s="235" t="n"/>
    </row>
    <row r="303">
      <c r="B303" s="226" t="n">
        <v>277</v>
      </c>
      <c r="C303" s="199" t="inlineStr">
        <is>
          <t>COTIZACION DE LOS DISEÑOS DE PROTECCIÓN CONTRA INCENDIOS Y SEGURIDAD HUMANA PARA EL PROYECTO BODEGAS OFICINAS BANCOLOMBIA – REV B</t>
        </is>
      </c>
      <c r="D303" s="312" t="n"/>
      <c r="E303" s="312" t="n"/>
      <c r="F303" s="312" t="n"/>
      <c r="G303" s="312" t="n"/>
      <c r="H303" s="312" t="n"/>
      <c r="I303" s="313" t="n"/>
      <c r="J303" s="319" t="n">
        <v>13560000</v>
      </c>
      <c r="K303" s="12" t="n">
        <v>43760</v>
      </c>
      <c r="L303" s="12" t="n">
        <v>43871</v>
      </c>
      <c r="M303" s="235" t="inlineStr">
        <is>
          <t>OK</t>
        </is>
      </c>
      <c r="N303" s="235" t="inlineStr">
        <is>
          <t>Andrea Sánchez</t>
        </is>
      </c>
      <c r="O303" s="235" t="n"/>
    </row>
    <row r="304" ht="15" customHeight="1">
      <c r="B304" s="226" t="n">
        <v>278</v>
      </c>
      <c r="C304" s="199" t="inlineStr">
        <is>
          <t>COTIZACION DEL DISEÑO DE EXTINCIÓN DE INCENDIOS - PROYECTO TULIPANES</t>
        </is>
      </c>
      <c r="D304" s="312" t="n"/>
      <c r="E304" s="312" t="n"/>
      <c r="F304" s="312" t="n"/>
      <c r="G304" s="312" t="n"/>
      <c r="H304" s="312" t="n"/>
      <c r="I304" s="313" t="n"/>
      <c r="J304" s="319" t="n">
        <v>11540000</v>
      </c>
      <c r="K304" s="12" t="n">
        <v>43740</v>
      </c>
      <c r="L304" s="199" t="n"/>
      <c r="M304" s="235" t="n"/>
      <c r="N304" s="235" t="inlineStr">
        <is>
          <t>Javier Gallego</t>
        </is>
      </c>
      <c r="O304" s="235" t="n"/>
    </row>
    <row r="305">
      <c r="B305" s="226" t="n">
        <v>279</v>
      </c>
      <c r="C305" s="199" t="inlineStr">
        <is>
          <t>COTIZACION DE LOS DISEÑOS DE SEGURIDAD HUMANA Y PROTECCIÓN CONTRA  INCENDIOS - LABORATORIO ISA</t>
        </is>
      </c>
      <c r="D305" s="312" t="n"/>
      <c r="E305" s="312" t="n"/>
      <c r="F305" s="312" t="n"/>
      <c r="G305" s="312" t="n"/>
      <c r="H305" s="312" t="n"/>
      <c r="I305" s="313" t="n"/>
      <c r="J305" s="319" t="n">
        <v>2297000</v>
      </c>
      <c r="K305" s="12" t="n">
        <v>43741</v>
      </c>
      <c r="L305" s="199" t="n"/>
      <c r="M305" s="235" t="n"/>
      <c r="N305" s="235" t="inlineStr">
        <is>
          <t>Paola A. López Cadavid</t>
        </is>
      </c>
      <c r="O305" s="235" t="n"/>
    </row>
    <row r="306">
      <c r="B306" s="226" t="n">
        <v>280</v>
      </c>
      <c r="C306" s="199" t="inlineStr">
        <is>
          <t>COTIZACION DE LOS DISEÑOS DE SEGURIDAD HUMANA Y DETECCIÓN DE INCENDIOS - CENTRO DE SALUD Y PANADERÍA</t>
        </is>
      </c>
      <c r="D306" s="312" t="n"/>
      <c r="E306" s="312" t="n"/>
      <c r="F306" s="312" t="n"/>
      <c r="G306" s="312" t="n"/>
      <c r="H306" s="312" t="n"/>
      <c r="I306" s="313" t="n"/>
      <c r="J306" s="319" t="n">
        <v>1880000</v>
      </c>
      <c r="K306" s="12" t="n">
        <v>43748</v>
      </c>
      <c r="L306" s="199" t="n"/>
      <c r="M306" s="235" t="n"/>
      <c r="N306" s="235" t="inlineStr">
        <is>
          <t>Orlando Delgado</t>
        </is>
      </c>
      <c r="O306" s="235" t="n"/>
    </row>
    <row r="307">
      <c r="B307" s="226" t="n">
        <v>281</v>
      </c>
      <c r="C307" s="199" t="inlineStr">
        <is>
          <t>COTIZACION DE LOS DISEÑOS DE SEGURIDAD HUMANA Y PROTECCIÓN CONTRA  INCENDIOS - BANCOLOMBIA BOJANINI BARRANQUILLA</t>
        </is>
      </c>
      <c r="D307" s="312" t="n"/>
      <c r="E307" s="312" t="n"/>
      <c r="F307" s="312" t="n"/>
      <c r="G307" s="312" t="n"/>
      <c r="H307" s="312" t="n"/>
      <c r="I307" s="313" t="n"/>
      <c r="J307" s="319" t="n">
        <v>3500000</v>
      </c>
      <c r="K307" s="12" t="n">
        <v>43749</v>
      </c>
      <c r="L307" s="199" t="n"/>
      <c r="M307" s="235" t="n"/>
      <c r="N307" s="235" t="inlineStr">
        <is>
          <t>Nakary García Romero</t>
        </is>
      </c>
      <c r="O307" s="235" t="n"/>
    </row>
    <row r="308">
      <c r="B308" s="13" t="n">
        <v>282</v>
      </c>
      <c r="C308" s="199" t="inlineStr">
        <is>
          <t>COTIZACION DE LOS DISEÑOS DE PROTECCIÓN CONTRA INCENDIOS Y SEGURIDAD HUMANA PARA EL PROYECTO BODEGA PROCESAMIENTO DE FRUTAS</t>
        </is>
      </c>
      <c r="D308" s="312" t="n"/>
      <c r="E308" s="312" t="n"/>
      <c r="F308" s="312" t="n"/>
      <c r="G308" s="312" t="n"/>
      <c r="H308" s="312" t="n"/>
      <c r="I308" s="313" t="n"/>
      <c r="J308" s="319" t="inlineStr">
        <is>
          <t>Variable</t>
        </is>
      </c>
      <c r="K308" s="12" t="n">
        <v>43754</v>
      </c>
      <c r="L308" s="199" t="n"/>
      <c r="M308" s="235" t="n"/>
      <c r="N308" s="235" t="inlineStr">
        <is>
          <t>HE Ingeniería</t>
        </is>
      </c>
      <c r="O308" s="235" t="n"/>
    </row>
    <row r="309">
      <c r="B309" s="13" t="n">
        <v>282</v>
      </c>
      <c r="C309" s="199" t="inlineStr">
        <is>
          <t>COTIZACION DE LOS DISEÑOS DE PROTECCIÓN CONTRA INCENDIOS Y SEGURIDAD HUMANA PARA EL PROYECTO ETAPA 1 VALLE VERDE</t>
        </is>
      </c>
      <c r="D309" s="312" t="n"/>
      <c r="E309" s="312" t="n"/>
      <c r="F309" s="312" t="n"/>
      <c r="G309" s="312" t="n"/>
      <c r="H309" s="312" t="n"/>
      <c r="I309" s="313" t="n"/>
      <c r="J309" s="319" t="n">
        <v>13295500</v>
      </c>
      <c r="K309" s="12" t="n">
        <v>43755</v>
      </c>
      <c r="L309" s="199" t="n"/>
      <c r="M309" s="235" t="n"/>
      <c r="N309" s="235" t="inlineStr">
        <is>
          <t>Cristiam Mondragón</t>
        </is>
      </c>
      <c r="O309" s="235" t="n"/>
    </row>
    <row r="310">
      <c r="B310" s="226" t="n">
        <v>283</v>
      </c>
      <c r="C310" s="199" t="inlineStr">
        <is>
          <t>COTIZACION DE LOS DISEÑOS DE PROTECCIÓN CONTRA INCENDIOS Y SEGURIDAD HUMANA PARA LOS BLOQUES 42 Y 42A UNAL</t>
        </is>
      </c>
      <c r="D310" s="312" t="n"/>
      <c r="E310" s="312" t="n"/>
      <c r="F310" s="312" t="n"/>
      <c r="G310" s="312" t="n"/>
      <c r="H310" s="312" t="n"/>
      <c r="I310" s="313" t="n"/>
      <c r="J310" s="319" t="inlineStr">
        <is>
          <t>Variable</t>
        </is>
      </c>
      <c r="K310" s="12" t="n">
        <v>43759</v>
      </c>
      <c r="L310" s="199" t="n"/>
      <c r="M310" s="235" t="n"/>
      <c r="N310" s="235" t="inlineStr">
        <is>
          <t>Gisell Andrea Giraldo García</t>
        </is>
      </c>
      <c r="O310" s="235" t="n"/>
    </row>
    <row r="311">
      <c r="B311" s="198" t="n">
        <v>284</v>
      </c>
      <c r="C311" s="198" t="inlineStr">
        <is>
          <t>COTIZACION DE LOS DISEÑOS DE PROTECCIÓN CONTRA INCENDIOS Y SEGURIDAD HUMANA PARA LOS BLOQUES 42 Y 42A UNAL</t>
        </is>
      </c>
      <c r="D311" s="312" t="n"/>
      <c r="E311" s="312" t="n"/>
      <c r="F311" s="312" t="n"/>
      <c r="G311" s="312" t="n"/>
      <c r="H311" s="312" t="n"/>
      <c r="I311" s="313" t="n"/>
      <c r="J311" s="320" t="inlineStr">
        <is>
          <t>Variable</t>
        </is>
      </c>
      <c r="K311" s="28" t="n">
        <v>43759</v>
      </c>
      <c r="L311" s="198" t="n"/>
      <c r="M311" s="25" t="n"/>
      <c r="N311" s="25" t="n"/>
      <c r="O311" s="25" t="n"/>
    </row>
    <row r="312">
      <c r="B312" s="226" t="n">
        <v>285</v>
      </c>
      <c r="C312" s="199" t="inlineStr">
        <is>
          <t>COTIZACION DEL DISEÑO DE DETECCIÓN DE INCENDIOS - CANTAGIRONE NATURA</t>
        </is>
      </c>
      <c r="D312" s="312" t="n"/>
      <c r="E312" s="312" t="n"/>
      <c r="F312" s="312" t="n"/>
      <c r="G312" s="312" t="n"/>
      <c r="H312" s="312" t="n"/>
      <c r="I312" s="313" t="n"/>
      <c r="J312" s="319" t="n">
        <v>1081000</v>
      </c>
      <c r="K312" s="12" t="n">
        <v>43759</v>
      </c>
      <c r="L312" s="199" t="n"/>
      <c r="M312" s="235" t="n"/>
      <c r="N312" s="235" t="inlineStr">
        <is>
          <t>Jhonny Castro</t>
        </is>
      </c>
      <c r="O312" s="235" t="n"/>
    </row>
    <row r="313">
      <c r="B313" s="226" t="n">
        <v>286</v>
      </c>
      <c r="C313" s="199" t="inlineStr">
        <is>
          <t>COTIZACION DE LOS DISEÑOS DE PROTECCIÓN CONTRA INCENDIOS Y SEGURIDAD HUMANA PARA EL PROYECTO CORPORACIÓN ÁNGELES CUSTODIOS</t>
        </is>
      </c>
      <c r="D313" s="312" t="n"/>
      <c r="E313" s="312" t="n"/>
      <c r="F313" s="312" t="n"/>
      <c r="G313" s="312" t="n"/>
      <c r="H313" s="312" t="n"/>
      <c r="I313" s="313" t="n"/>
      <c r="J313" s="319" t="n">
        <v>4110000</v>
      </c>
      <c r="K313" s="12" t="n">
        <v>43759</v>
      </c>
      <c r="L313" s="199" t="n"/>
      <c r="M313" s="235" t="n"/>
      <c r="N313" s="25" t="n"/>
      <c r="O313" s="235" t="n"/>
    </row>
    <row r="314">
      <c r="B314" s="226" t="n">
        <v>287</v>
      </c>
      <c r="C314" s="199" t="inlineStr">
        <is>
          <t>COTIZACION DE LOS DISEÑOS DE PROTECCIÓN CONTRA INCENDIOS Y SEGURIDAD HUMANA PARA EL PROYECTO ESCUELA ALEJANDRO ECHEVERRI</t>
        </is>
      </c>
      <c r="D314" s="312" t="n"/>
      <c r="E314" s="312" t="n"/>
      <c r="F314" s="312" t="n"/>
      <c r="G314" s="312" t="n"/>
      <c r="H314" s="312" t="n"/>
      <c r="I314" s="313" t="n"/>
      <c r="J314" s="319" t="n">
        <v>14925000</v>
      </c>
      <c r="K314" s="12" t="n">
        <v>43761</v>
      </c>
      <c r="L314" s="199" t="n"/>
      <c r="M314" s="235" t="n"/>
      <c r="N314" s="235" t="inlineStr">
        <is>
          <t>Estevan Castaño</t>
        </is>
      </c>
      <c r="O314" s="235" t="n"/>
    </row>
    <row r="315">
      <c r="B315" s="226" t="n">
        <v>288</v>
      </c>
      <c r="C315" s="199" t="inlineStr">
        <is>
          <t>COTIZACION DE LOS DISEÑOS DE SEGURIDAD HUMANA Y PROTECCIÓN CONTRA  INCENDIOS - UCO JUAN PABLO II</t>
        </is>
      </c>
      <c r="D315" s="312" t="n"/>
      <c r="E315" s="312" t="n"/>
      <c r="F315" s="312" t="n"/>
      <c r="G315" s="312" t="n"/>
      <c r="H315" s="312" t="n"/>
      <c r="I315" s="313" t="n"/>
      <c r="J315" s="319" t="inlineStr">
        <is>
          <t>variable</t>
        </is>
      </c>
      <c r="K315" s="12" t="n">
        <v>43490</v>
      </c>
      <c r="L315" s="199" t="n"/>
      <c r="M315" s="235" t="n"/>
      <c r="N315" s="25" t="n"/>
      <c r="O315" s="235" t="n"/>
    </row>
    <row r="316">
      <c r="B316" s="226" t="n">
        <v>289</v>
      </c>
      <c r="C316" s="199" t="inlineStr">
        <is>
          <t>COTIZACIÓN MODELACIÓN SISTEMA DE DETECCIÓN SALAMANCA</t>
        </is>
      </c>
      <c r="D316" s="312" t="n"/>
      <c r="E316" s="312" t="n"/>
      <c r="F316" s="312" t="n"/>
      <c r="G316" s="312" t="n"/>
      <c r="H316" s="312" t="n"/>
      <c r="I316" s="313" t="n"/>
      <c r="J316" s="319" t="n">
        <v>1350000</v>
      </c>
      <c r="K316" s="12" t="n">
        <v>43766</v>
      </c>
      <c r="L316" s="199" t="n"/>
      <c r="M316" s="235" t="n"/>
      <c r="N316" s="235" t="inlineStr">
        <is>
          <t>Cristiam Mondragón</t>
        </is>
      </c>
      <c r="O316" s="235" t="n"/>
    </row>
    <row r="317">
      <c r="B317" s="226" t="n">
        <v>290</v>
      </c>
      <c r="C317" s="199" t="inlineStr">
        <is>
          <t>COTIZACION DE LA REVISIÓN DE LA INGENIERÍA DE DETALLE DEL SISTEMA DE AGENTES LIMPIOS (INERGEN) PARA ISA</t>
        </is>
      </c>
      <c r="D317" s="312" t="n"/>
      <c r="E317" s="312" t="n"/>
      <c r="F317" s="312" t="n"/>
      <c r="G317" s="312" t="n"/>
      <c r="H317" s="312" t="n"/>
      <c r="I317" s="313" t="n"/>
      <c r="J317" s="319" t="n">
        <v>550000</v>
      </c>
      <c r="K317" s="12" t="n">
        <v>43767</v>
      </c>
      <c r="L317" s="199" t="n"/>
      <c r="M317" s="235" t="n"/>
      <c r="N317" s="235" t="inlineStr">
        <is>
          <t>Francisco José Unda Arango</t>
        </is>
      </c>
      <c r="O317" s="235" t="n"/>
    </row>
    <row r="318">
      <c r="B318" s="226" t="n">
        <v>291</v>
      </c>
      <c r="C318" s="199" t="inlineStr">
        <is>
          <t>COTIZACION DEL ANÁLISIS DE SEGURIDAD HUMANA - SAN CAYETANO</t>
        </is>
      </c>
      <c r="D318" s="312" t="n"/>
      <c r="E318" s="312" t="n"/>
      <c r="F318" s="312" t="n"/>
      <c r="G318" s="312" t="n"/>
      <c r="H318" s="312" t="n"/>
      <c r="I318" s="313" t="n"/>
      <c r="J318" s="319" t="n">
        <v>1650000</v>
      </c>
      <c r="K318" s="12" t="n">
        <v>43767</v>
      </c>
      <c r="L318" s="12" t="n">
        <v>43957</v>
      </c>
      <c r="M318" s="235" t="inlineStr">
        <is>
          <t>ok</t>
        </is>
      </c>
      <c r="N318" s="235" t="inlineStr">
        <is>
          <t>John Ocampo</t>
        </is>
      </c>
      <c r="O318" s="235" t="n"/>
    </row>
    <row r="319">
      <c r="B319" s="226" t="n">
        <v>292</v>
      </c>
      <c r="C319" s="199" t="inlineStr">
        <is>
          <t>COTIZACION DE LOS DISEÑOS DE PROTECCIÓN CONTRA INCENDIOS PARA EL PROYECTO SUSURRO DIVINO SANTAFE</t>
        </is>
      </c>
      <c r="D319" s="312" t="n"/>
      <c r="E319" s="312" t="n"/>
      <c r="F319" s="312" t="n"/>
      <c r="G319" s="312" t="n"/>
      <c r="H319" s="312" t="n"/>
      <c r="I319" s="313" t="n"/>
      <c r="J319" s="319" t="n">
        <v>590000</v>
      </c>
      <c r="K319" s="12" t="n">
        <v>43767</v>
      </c>
      <c r="L319" s="199" t="n"/>
      <c r="M319" s="235" t="n"/>
      <c r="N319" s="235" t="inlineStr">
        <is>
          <t>David Lopera</t>
        </is>
      </c>
      <c r="O319" s="235" t="n"/>
    </row>
    <row r="320">
      <c r="B320" s="226" t="n">
        <v>293</v>
      </c>
      <c r="C320" s="199" t="inlineStr">
        <is>
          <t>COTIZACION DE LOS DISEÑOS DE SEGURIDAD HUMANA Y PROTECCIÓN CONTRA  INCENDIOS - ETAPA 1 VALLE VERDE</t>
        </is>
      </c>
      <c r="D320" s="312" t="n"/>
      <c r="E320" s="312" t="n"/>
      <c r="F320" s="312" t="n"/>
      <c r="G320" s="312" t="n"/>
      <c r="H320" s="312" t="n"/>
      <c r="I320" s="313" t="n"/>
      <c r="J320" s="319" t="n">
        <v>14625000</v>
      </c>
      <c r="K320" s="12" t="n">
        <v>43776</v>
      </c>
      <c r="L320" s="199" t="n"/>
      <c r="M320" s="235" t="n"/>
      <c r="N320" s="235" t="inlineStr">
        <is>
          <t>Cristina Palacio Pérez</t>
        </is>
      </c>
      <c r="O320" s="235" t="n"/>
    </row>
    <row r="321">
      <c r="B321" s="226" t="n">
        <v>294</v>
      </c>
      <c r="C321" s="199" t="inlineStr">
        <is>
          <t>COTIZACION DE LOS DISEÑOS DE PROTECCIÓN CONTRA INCENDIOS Y SEGURIDAD HUMANA PARA EL PROYECTO PLEX 16</t>
        </is>
      </c>
      <c r="D321" s="312" t="n"/>
      <c r="E321" s="312" t="n"/>
      <c r="F321" s="312" t="n"/>
      <c r="G321" s="312" t="n"/>
      <c r="H321" s="312" t="n"/>
      <c r="I321" s="313" t="n"/>
      <c r="J321" s="319" t="n">
        <v>29565000</v>
      </c>
      <c r="K321" s="12" t="n">
        <v>43776</v>
      </c>
      <c r="L321" s="199" t="n"/>
      <c r="M321" s="235" t="n"/>
      <c r="N321" s="235" t="inlineStr">
        <is>
          <t>Gabriel Sanín Saldarriaga</t>
        </is>
      </c>
      <c r="O321" s="235" t="n"/>
    </row>
    <row r="322">
      <c r="B322" s="226" t="n">
        <v>295</v>
      </c>
      <c r="C322" s="199" t="inlineStr">
        <is>
          <t>COTIZACION DE LA INSPECCIÓN VISUAL DE LOS SISTEMAS DE PROTECCIÓN CONTRA INCENDIOS ÁRA LA PLANTA DE LECHE UHT COLANTA FUNZA</t>
        </is>
      </c>
      <c r="D322" s="312" t="n"/>
      <c r="E322" s="312" t="n"/>
      <c r="F322" s="312" t="n"/>
      <c r="G322" s="312" t="n"/>
      <c r="H322" s="312" t="n"/>
      <c r="I322" s="313" t="n"/>
      <c r="J322" s="319" t="n">
        <v>3990000</v>
      </c>
      <c r="K322" s="12" t="n">
        <v>43776</v>
      </c>
      <c r="L322" s="199" t="n"/>
      <c r="M322" s="235" t="n"/>
      <c r="N322" s="235" t="inlineStr">
        <is>
          <t>Juan Pablo Grajales</t>
        </is>
      </c>
      <c r="O322" s="235" t="n"/>
    </row>
    <row r="323">
      <c r="B323" s="226" t="n">
        <v>296</v>
      </c>
      <c r="C323" s="199" t="inlineStr">
        <is>
          <t>COTIZACION DE LOS DISEÑOS DE PROTECCIÓN CONTRA  INCENDIOS - BANCAMIA BOGOTÁ</t>
        </is>
      </c>
      <c r="D323" s="312" t="n"/>
      <c r="E323" s="312" t="n"/>
      <c r="F323" s="312" t="n"/>
      <c r="G323" s="312" t="n"/>
      <c r="H323" s="312" t="n"/>
      <c r="I323" s="313" t="n"/>
      <c r="J323" s="319" t="n">
        <v>9415000</v>
      </c>
      <c r="K323" s="12" t="n">
        <v>43776</v>
      </c>
      <c r="L323" s="199" t="n"/>
      <c r="M323" s="235" t="n"/>
      <c r="N323" s="235" t="inlineStr">
        <is>
          <t>Alexander Carvajal Murcia</t>
        </is>
      </c>
      <c r="O323" s="235" t="n"/>
    </row>
    <row r="324">
      <c r="B324" s="226" t="n">
        <v>297</v>
      </c>
      <c r="C324" s="199" t="inlineStr">
        <is>
          <t>COTIZACION DE LOS DISEÑOS DE SEGURIDAD HUMANA Y PROTECCIÓN CONTRA  INCENDIOS - SAN JUAN DE LA TESEJERA</t>
        </is>
      </c>
      <c r="D324" s="312" t="n"/>
      <c r="E324" s="312" t="n"/>
      <c r="F324" s="312" t="n"/>
      <c r="G324" s="312" t="n"/>
      <c r="H324" s="312" t="n"/>
      <c r="I324" s="313" t="n"/>
      <c r="J324" s="319" t="n">
        <v>17908000</v>
      </c>
      <c r="K324" s="12" t="n">
        <v>43776</v>
      </c>
      <c r="L324" s="199" t="n"/>
      <c r="M324" s="235" t="n"/>
      <c r="N324" s="235" t="inlineStr">
        <is>
          <t>Juan David Ossa Salazar</t>
        </is>
      </c>
      <c r="O324" s="235" t="n"/>
    </row>
    <row r="325">
      <c r="B325" s="226" t="n">
        <v>298</v>
      </c>
      <c r="C325" s="199" t="inlineStr">
        <is>
          <t>COTIZACION DE LOS DISEÑOS DE PROTECCIÓN CONTRA INCENDIOS PARA EL PROYECTO PROLAB CITY MEDICA</t>
        </is>
      </c>
      <c r="D325" s="312" t="n"/>
      <c r="E325" s="312" t="n"/>
      <c r="F325" s="312" t="n"/>
      <c r="G325" s="312" t="n"/>
      <c r="H325" s="312" t="n"/>
      <c r="I325" s="313" t="n"/>
      <c r="J325" s="319" t="n">
        <v>765000</v>
      </c>
      <c r="K325" s="12" t="n">
        <v>43781</v>
      </c>
      <c r="L325" s="199" t="n"/>
      <c r="M325" s="235" t="n"/>
      <c r="N325" s="235" t="inlineStr">
        <is>
          <t>David Lopera</t>
        </is>
      </c>
      <c r="O325" s="235" t="n"/>
    </row>
    <row r="326">
      <c r="B326" s="226" t="n">
        <v>299</v>
      </c>
      <c r="C326" s="199" t="inlineStr">
        <is>
          <t>COTIZACION DEL ANÁLISIS DE SEGURIDAD HUMANA - COLEGIO PROCABLES</t>
        </is>
      </c>
      <c r="D326" s="312" t="n"/>
      <c r="E326" s="312" t="n"/>
      <c r="F326" s="312" t="n"/>
      <c r="G326" s="312" t="n"/>
      <c r="H326" s="312" t="n"/>
      <c r="I326" s="313" t="n"/>
      <c r="J326" s="319" t="n">
        <v>2990000</v>
      </c>
      <c r="K326" s="12" t="n">
        <v>43787</v>
      </c>
      <c r="L326" s="199" t="n"/>
      <c r="M326" s="235" t="n"/>
      <c r="N326" s="235" t="inlineStr">
        <is>
          <t>Alejandro Ruano</t>
        </is>
      </c>
      <c r="O326" s="235" t="n"/>
    </row>
    <row r="327">
      <c r="B327" s="226" t="n">
        <v>300</v>
      </c>
      <c r="C327" s="199" t="inlineStr">
        <is>
          <t>COTIZACION DEL DISEÑO DE DETECCIÓN DE INCENDIOS - ONE PLAZA</t>
        </is>
      </c>
      <c r="D327" s="312" t="n"/>
      <c r="E327" s="312" t="n"/>
      <c r="F327" s="312" t="n"/>
      <c r="G327" s="312" t="n"/>
      <c r="H327" s="312" t="n"/>
      <c r="I327" s="313" t="n"/>
      <c r="J327" s="319" t="n">
        <v>815000</v>
      </c>
      <c r="K327" s="12" t="n">
        <v>43787</v>
      </c>
      <c r="L327" s="199" t="n"/>
      <c r="M327" s="235" t="n"/>
      <c r="N327" s="235" t="inlineStr">
        <is>
          <t>Maria Aurora Rios</t>
        </is>
      </c>
      <c r="O327" s="235" t="n"/>
    </row>
    <row r="328">
      <c r="B328" s="226" t="n">
        <v>301</v>
      </c>
      <c r="C328" s="199" t="inlineStr">
        <is>
          <t>COTIZACION DE LOS DISEÑOS DE PROTECCIÓN CONTRA  INCENDIOS - PLAZOLETA</t>
        </is>
      </c>
      <c r="D328" s="312" t="n"/>
      <c r="E328" s="312" t="n"/>
      <c r="F328" s="312" t="n"/>
      <c r="G328" s="312" t="n"/>
      <c r="H328" s="312" t="n"/>
      <c r="I328" s="313" t="n"/>
      <c r="J328" s="319" t="n">
        <v>2200000</v>
      </c>
      <c r="K328" s="12" t="n">
        <v>43787</v>
      </c>
      <c r="L328" s="199" t="n"/>
      <c r="M328" s="235" t="n"/>
      <c r="N328" s="235" t="inlineStr">
        <is>
          <t>Maria Aurora Rios</t>
        </is>
      </c>
      <c r="O328" s="235" t="n"/>
    </row>
    <row r="329">
      <c r="B329" s="226" t="n">
        <v>302</v>
      </c>
      <c r="C329" s="199" t="inlineStr">
        <is>
          <t>COTIZACION DEL DISEÑO DE LA INGENIERÍA CONCEPTUAL DE EXTINCIÓN DE INCENDIOS - BODEGAS SAN FRANCISCO DE ASIS</t>
        </is>
      </c>
      <c r="D329" s="312" t="n"/>
      <c r="E329" s="312" t="n"/>
      <c r="F329" s="312" t="n"/>
      <c r="G329" s="312" t="n"/>
      <c r="H329" s="312" t="n"/>
      <c r="I329" s="313" t="n"/>
      <c r="J329" s="319" t="n">
        <v>2700000</v>
      </c>
      <c r="K329" s="12" t="n">
        <v>43788</v>
      </c>
      <c r="L329" s="199" t="n"/>
      <c r="M329" s="235" t="n"/>
      <c r="N329" s="235" t="inlineStr">
        <is>
          <t>Julio Alzate</t>
        </is>
      </c>
      <c r="O329" s="235" t="n"/>
    </row>
    <row r="330">
      <c r="B330" s="226" t="n">
        <v>303</v>
      </c>
      <c r="C330" s="199" t="inlineStr">
        <is>
          <t>COTIZACION DE LOS DISEÑOS DE SEGURIDAD HUMANA Y PROTECCIÓN CONTRA  INCENDIOS - CASA ROJA</t>
        </is>
      </c>
      <c r="D330" s="312" t="n"/>
      <c r="E330" s="312" t="n"/>
      <c r="F330" s="312" t="n"/>
      <c r="G330" s="312" t="n"/>
      <c r="H330" s="312" t="n"/>
      <c r="I330" s="313" t="n"/>
      <c r="J330" s="319" t="n">
        <v>11915000</v>
      </c>
      <c r="K330" s="12" t="n">
        <v>43790</v>
      </c>
      <c r="L330" s="199" t="n"/>
      <c r="M330" s="235" t="n"/>
      <c r="N330" s="235" t="inlineStr">
        <is>
          <t>Gerson Andrés Marulanda</t>
        </is>
      </c>
      <c r="O330" s="235" t="n"/>
    </row>
    <row r="331">
      <c r="B331" s="226" t="n">
        <v>304</v>
      </c>
      <c r="C331" s="199" t="inlineStr">
        <is>
          <t>COTIZACION DE LOS DISEÑOS DE PROTECCIÓN CONTRA  INCENDIOS - COLISEO COLEGIO THEODORO HERTZL</t>
        </is>
      </c>
      <c r="D331" s="312" t="n"/>
      <c r="E331" s="312" t="n"/>
      <c r="F331" s="312" t="n"/>
      <c r="G331" s="312" t="n"/>
      <c r="H331" s="312" t="n"/>
      <c r="I331" s="313" t="n"/>
      <c r="J331" s="319" t="n">
        <v>14425000</v>
      </c>
      <c r="K331" s="12" t="n">
        <v>43790</v>
      </c>
      <c r="L331" s="199" t="n"/>
      <c r="M331" s="235" t="n"/>
      <c r="N331" s="235" t="inlineStr">
        <is>
          <t>Andrés White Narváez</t>
        </is>
      </c>
      <c r="O331" s="235" t="n"/>
    </row>
    <row r="332">
      <c r="B332" s="226" t="n">
        <v>305</v>
      </c>
      <c r="C332" s="199" t="inlineStr">
        <is>
          <t>COTIZACION DEL DISEÑO DE EXTINCIÓN DE INCENDIOS - FINSOCIAL BARRANQUILLA</t>
        </is>
      </c>
      <c r="D332" s="312" t="n"/>
      <c r="E332" s="312" t="n"/>
      <c r="F332" s="312" t="n"/>
      <c r="G332" s="312" t="n"/>
      <c r="H332" s="312" t="n"/>
      <c r="I332" s="313" t="n"/>
      <c r="J332" s="319" t="n">
        <v>2650000</v>
      </c>
      <c r="K332" s="12" t="n">
        <v>43790</v>
      </c>
      <c r="L332" s="199" t="n"/>
      <c r="M332" s="235" t="n"/>
      <c r="N332" s="235" t="inlineStr">
        <is>
          <t>Juan Camilo Quintero Bedoya</t>
        </is>
      </c>
      <c r="O332" s="235" t="n"/>
    </row>
    <row r="333">
      <c r="B333" s="198" t="n">
        <v>306</v>
      </c>
      <c r="C333" s="198" t="inlineStr">
        <is>
          <t>COTIZACION DE LOS DISEÑOS DE PROTECCIÓN CONTRA  INCENDIOS - LOCAL INDUCASCOS</t>
        </is>
      </c>
      <c r="D333" s="312" t="n"/>
      <c r="E333" s="312" t="n"/>
      <c r="F333" s="312" t="n"/>
      <c r="G333" s="312" t="n"/>
      <c r="H333" s="312" t="n"/>
      <c r="I333" s="313" t="n"/>
      <c r="J333" s="320" t="n">
        <v>1150000</v>
      </c>
      <c r="K333" s="28" t="n">
        <v>43790</v>
      </c>
      <c r="L333" s="198" t="n"/>
      <c r="M333" s="25" t="n"/>
      <c r="N333" s="25" t="n"/>
      <c r="O333" s="25" t="n"/>
    </row>
    <row r="334">
      <c r="B334" s="226" t="n">
        <v>307</v>
      </c>
      <c r="C334" s="226" t="inlineStr">
        <is>
          <t>COTIZACION DEL DISEÑO DE MONITOREO DEL SISTEMA DE EXTINCIÓN DE INCENDIOS PARA EL PROYECTO COMERCIAL NUTRESA BOGOTÁ</t>
        </is>
      </c>
      <c r="D334" s="312" t="n"/>
      <c r="E334" s="312" t="n"/>
      <c r="F334" s="312" t="n"/>
      <c r="G334" s="312" t="n"/>
      <c r="H334" s="312" t="n"/>
      <c r="I334" s="313" t="n"/>
      <c r="J334" s="319" t="n">
        <v>3760000</v>
      </c>
      <c r="K334" s="12" t="n">
        <v>43790</v>
      </c>
      <c r="L334" s="199" t="n"/>
      <c r="M334" s="235" t="n"/>
      <c r="N334" s="235" t="inlineStr">
        <is>
          <t>Juan Pablo Grajales</t>
        </is>
      </c>
      <c r="O334" s="235" t="n"/>
    </row>
    <row r="335">
      <c r="B335" s="226" t="n">
        <v>308</v>
      </c>
      <c r="C335" s="226" t="inlineStr">
        <is>
          <t>VALIDACIÓN HIDRÁULICA RED GENERAL DE EXTINCIÓN DE INCENDIOS PARA LA UNIVERDIDAD CATÓLICA DE ORIENTE</t>
        </is>
      </c>
      <c r="D335" s="312" t="n"/>
      <c r="E335" s="312" t="n"/>
      <c r="F335" s="312" t="n"/>
      <c r="G335" s="312" t="n"/>
      <c r="H335" s="312" t="n"/>
      <c r="I335" s="313" t="n"/>
      <c r="J335" s="319" t="n">
        <v>2300000</v>
      </c>
      <c r="K335" s="12" t="n">
        <v>43790</v>
      </c>
      <c r="L335" s="199" t="n"/>
      <c r="M335" s="235" t="n"/>
      <c r="N335" s="235" t="inlineStr">
        <is>
          <t>Jhon Anderson Gómez</t>
        </is>
      </c>
      <c r="O335" s="235" t="n"/>
    </row>
    <row r="336">
      <c r="B336" s="226" t="n">
        <v>309</v>
      </c>
      <c r="C336" s="226" t="inlineStr">
        <is>
          <t>COTIZACION DE LOS DISEÑOS DE SEGURIDAD HUMANA Y PROTECCIÓN CONTRA  INCENDIOS - PRIMITIVO</t>
        </is>
      </c>
      <c r="D336" s="312" t="n"/>
      <c r="E336" s="312" t="n"/>
      <c r="F336" s="312" t="n"/>
      <c r="G336" s="312" t="n"/>
      <c r="H336" s="312" t="n"/>
      <c r="I336" s="313" t="n"/>
      <c r="J336" s="319" t="n">
        <v>11920000</v>
      </c>
      <c r="K336" s="12" t="n">
        <v>43791</v>
      </c>
      <c r="L336" s="199" t="n"/>
      <c r="M336" s="235" t="n"/>
      <c r="N336" s="235" t="inlineStr">
        <is>
          <t>Juan David Ossa Salazar</t>
        </is>
      </c>
      <c r="O336" s="235" t="n"/>
    </row>
    <row r="337">
      <c r="B337" s="226" t="n">
        <v>310</v>
      </c>
      <c r="C337" s="226" t="inlineStr">
        <is>
          <t>COTIZACION DE LOS DISEÑOS DE SEGURIDAD HUMANA Y PROTECCIÓN CONTRA  INCENDIOS - VILLA VERDE TORRE 1</t>
        </is>
      </c>
      <c r="D337" s="312" t="n"/>
      <c r="E337" s="312" t="n"/>
      <c r="F337" s="312" t="n"/>
      <c r="G337" s="312" t="n"/>
      <c r="H337" s="312" t="n"/>
      <c r="I337" s="313" t="n"/>
      <c r="J337" s="319" t="n">
        <v>1317000</v>
      </c>
      <c r="K337" s="12" t="n">
        <v>43794</v>
      </c>
      <c r="L337" s="12" t="n">
        <v>43925</v>
      </c>
      <c r="M337" s="235" t="inlineStr">
        <is>
          <t>OK</t>
        </is>
      </c>
      <c r="N337" s="235" t="inlineStr">
        <is>
          <t>Juan Pablo Grajales</t>
        </is>
      </c>
      <c r="O337" s="235" t="n"/>
    </row>
    <row r="338">
      <c r="B338" s="226" t="n">
        <v>311</v>
      </c>
      <c r="C338" s="226" t="inlineStr">
        <is>
          <t>COTIZACION DEL DISEÑO DE EXTINCIÓN DE INCENDIOS - D1 CASTROPOL</t>
        </is>
      </c>
      <c r="D338" s="312" t="n"/>
      <c r="E338" s="312" t="n"/>
      <c r="F338" s="312" t="n"/>
      <c r="G338" s="312" t="n"/>
      <c r="H338" s="312" t="n"/>
      <c r="I338" s="313" t="n"/>
      <c r="J338" s="319" t="n">
        <v>1000000</v>
      </c>
      <c r="K338" s="12" t="n">
        <v>43799</v>
      </c>
      <c r="L338" s="199" t="n"/>
      <c r="M338" s="235" t="n"/>
      <c r="N338" s="235" t="inlineStr">
        <is>
          <t>Jhon Anderson Gómez</t>
        </is>
      </c>
      <c r="O338" s="235" t="n"/>
    </row>
    <row r="339">
      <c r="B339" s="226" t="n">
        <v>312</v>
      </c>
      <c r="C339" s="226" t="inlineStr">
        <is>
          <t>COTIZACION DE LOS DISEÑOS DE PROTECCIÓN CONTRA  INCENDIOS - BANCOLOMBIA CENTRO DE CONCILIACIÓN</t>
        </is>
      </c>
      <c r="D339" s="312" t="n"/>
      <c r="E339" s="312" t="n"/>
      <c r="F339" s="312" t="n"/>
      <c r="G339" s="312" t="n"/>
      <c r="H339" s="312" t="n"/>
      <c r="I339" s="313" t="n"/>
      <c r="J339" s="319" t="n">
        <v>2300000</v>
      </c>
      <c r="K339" s="12" t="n">
        <v>43799</v>
      </c>
      <c r="L339" s="199" t="n"/>
      <c r="M339" s="235" t="n"/>
      <c r="N339" s="235" t="inlineStr">
        <is>
          <t>Maria Aurora Rios</t>
        </is>
      </c>
      <c r="O339" s="235" t="n"/>
    </row>
    <row r="340">
      <c r="B340" s="198" t="n">
        <v>313</v>
      </c>
      <c r="C340" s="198" t="inlineStr">
        <is>
          <t>COTIZACION DE LOS DISEÑOS DE PROTECCIÓN CONTRA  INCENDIOS - BANCOLOMBIA CAMINO REAL</t>
        </is>
      </c>
      <c r="D340" s="312" t="n"/>
      <c r="E340" s="312" t="n"/>
      <c r="F340" s="312" t="n"/>
      <c r="G340" s="312" t="n"/>
      <c r="H340" s="312" t="n"/>
      <c r="I340" s="313" t="n"/>
      <c r="J340" s="320" t="n">
        <v>2700000</v>
      </c>
      <c r="K340" s="28" t="n">
        <v>43799</v>
      </c>
      <c r="L340" s="198" t="n"/>
      <c r="M340" s="25" t="n"/>
      <c r="N340" s="25" t="n"/>
      <c r="O340" s="25" t="n"/>
    </row>
    <row r="341">
      <c r="B341" s="226" t="n">
        <v>314</v>
      </c>
      <c r="C341" s="199" t="inlineStr">
        <is>
          <t>COTIZACION DE LOS DISEÑOS DE PROTECCIÓN CONTRA  INCENDIOS - LABORATORIO CARDIOVID</t>
        </is>
      </c>
      <c r="D341" s="312" t="n"/>
      <c r="E341" s="312" t="n"/>
      <c r="F341" s="312" t="n"/>
      <c r="G341" s="312" t="n"/>
      <c r="H341" s="312" t="n"/>
      <c r="I341" s="313" t="n"/>
      <c r="J341" s="319" t="n">
        <v>2510000</v>
      </c>
      <c r="K341" s="12" t="n">
        <v>43803</v>
      </c>
      <c r="L341" s="199" t="n"/>
      <c r="M341" s="235" t="n"/>
      <c r="N341" s="235" t="inlineStr">
        <is>
          <t>Nakary García Romero</t>
        </is>
      </c>
      <c r="O341" s="235" t="n"/>
    </row>
    <row r="342">
      <c r="B342" s="226" t="n">
        <v>315</v>
      </c>
      <c r="C342" s="199" t="inlineStr">
        <is>
          <t>COTIZACION DEL DISEÑO DE EXTINCIÓN DE INCENDIOS - BLUE GARDEN BARRANQUILLA</t>
        </is>
      </c>
      <c r="D342" s="312" t="n"/>
      <c r="E342" s="312" t="n"/>
      <c r="F342" s="312" t="n"/>
      <c r="G342" s="312" t="n"/>
      <c r="H342" s="312" t="n"/>
      <c r="I342" s="313" t="n"/>
      <c r="J342" s="319" t="n">
        <v>7600000</v>
      </c>
      <c r="K342" s="12" t="n">
        <v>43803</v>
      </c>
      <c r="L342" s="199" t="n"/>
      <c r="M342" s="235" t="n"/>
      <c r="N342" s="235" t="inlineStr">
        <is>
          <t>Mauricio Gúzman</t>
        </is>
      </c>
      <c r="O342" s="235" t="n"/>
    </row>
    <row r="343">
      <c r="B343" s="226" t="n">
        <v>316</v>
      </c>
      <c r="C343" s="199" t="inlineStr">
        <is>
          <t>COTIZACION DE LOS DISEÑOS DE SEGURIDAD HUMANA Y PROTECCIÓN CONTRA  INCENDIOS - VIVACE</t>
        </is>
      </c>
      <c r="D343" s="312" t="n"/>
      <c r="E343" s="312" t="n"/>
      <c r="F343" s="312" t="n"/>
      <c r="G343" s="312" t="n"/>
      <c r="H343" s="312" t="n"/>
      <c r="I343" s="313" t="n"/>
      <c r="J343" s="319" t="n">
        <v>14990000</v>
      </c>
      <c r="K343" s="12" t="n">
        <v>43803</v>
      </c>
      <c r="L343" s="12" t="n">
        <v>43872</v>
      </c>
      <c r="M343" s="235" t="inlineStr">
        <is>
          <t>OK</t>
        </is>
      </c>
      <c r="N343" s="235" t="inlineStr">
        <is>
          <t>Juan Pablo Grajales</t>
        </is>
      </c>
      <c r="O343" s="235" t="n"/>
    </row>
    <row r="344">
      <c r="A344" s="207" t="inlineStr">
        <is>
          <t>ok</t>
        </is>
      </c>
      <c r="B344" s="13" t="n">
        <v>317</v>
      </c>
      <c r="C344" s="199" t="inlineStr">
        <is>
          <t>COTIZACION DEL ANÁLISIS DE SEGURIDAD HUMANA - CONCONCRETO</t>
        </is>
      </c>
      <c r="D344" s="312" t="n"/>
      <c r="E344" s="312" t="n"/>
      <c r="F344" s="312" t="n"/>
      <c r="G344" s="312" t="n"/>
      <c r="H344" s="312" t="n"/>
      <c r="I344" s="313" t="n"/>
      <c r="J344" s="319" t="inlineStr">
        <is>
          <t>Variable</t>
        </is>
      </c>
      <c r="K344" s="12" t="n">
        <v>43808</v>
      </c>
      <c r="L344" s="199" t="n"/>
      <c r="M344" s="235" t="n"/>
      <c r="N344" s="235" t="inlineStr">
        <is>
          <t>Juan David Triana</t>
        </is>
      </c>
      <c r="O344" s="235" t="n"/>
    </row>
    <row r="345">
      <c r="A345" s="207" t="inlineStr">
        <is>
          <t>ok</t>
        </is>
      </c>
      <c r="B345" s="13" t="n">
        <v>317</v>
      </c>
      <c r="C345" s="199" t="inlineStr">
        <is>
          <t>COTIZACION DE LOS DISEÑOS DE PROTECCIÓN CONTRA INCENDIOS Y SEGURIDAD HUMANA PARA EL PROYECTO MEGACENTER</t>
        </is>
      </c>
      <c r="D345" s="312" t="n"/>
      <c r="E345" s="312" t="n"/>
      <c r="F345" s="312" t="n"/>
      <c r="G345" s="312" t="n"/>
      <c r="H345" s="312" t="n"/>
      <c r="I345" s="313" t="n"/>
      <c r="J345" s="319" t="inlineStr">
        <is>
          <t>Variable</t>
        </is>
      </c>
      <c r="K345" s="12" t="n">
        <v>43809</v>
      </c>
      <c r="L345" s="199" t="n"/>
      <c r="M345" s="235" t="n"/>
      <c r="N345" s="235" t="inlineStr">
        <is>
          <t>Andrea Asuad Ferrer</t>
        </is>
      </c>
      <c r="O345" s="235" t="n"/>
    </row>
    <row r="346">
      <c r="B346" s="198" t="n">
        <v>318</v>
      </c>
      <c r="C346" s="198" t="inlineStr">
        <is>
          <t>COTIZACION DE LOS DISEÑOS DE PROTECCIÓN CONTRA INCENDIOS PARA EL PROYECTO BLOQUE 49 UDEA</t>
        </is>
      </c>
      <c r="D346" s="312" t="n"/>
      <c r="E346" s="312" t="n"/>
      <c r="F346" s="312" t="n"/>
      <c r="G346" s="312" t="n"/>
      <c r="H346" s="312" t="n"/>
      <c r="I346" s="313" t="n"/>
      <c r="J346" s="320" t="n">
        <v>14430000</v>
      </c>
      <c r="K346" s="28" t="n">
        <v>43810</v>
      </c>
      <c r="L346" s="198" t="n"/>
      <c r="M346" s="25" t="n"/>
      <c r="N346" s="25" t="n"/>
      <c r="O346" s="25" t="n"/>
    </row>
    <row r="347">
      <c r="B347" s="226" t="n">
        <v>319</v>
      </c>
      <c r="C347" s="199" t="inlineStr">
        <is>
          <t>COTIZACION DE LOS DISEÑOS DE PROTECCIÓN CONTRA INCENDIOS PARA EL PROYECTO SALUD PUBLICA UDEA</t>
        </is>
      </c>
      <c r="D347" s="312" t="n"/>
      <c r="E347" s="312" t="n"/>
      <c r="F347" s="312" t="n"/>
      <c r="G347" s="312" t="n"/>
      <c r="H347" s="312" t="n"/>
      <c r="I347" s="313" t="n"/>
      <c r="J347" s="319" t="n">
        <v>23029000</v>
      </c>
      <c r="K347" s="12" t="n">
        <v>43810</v>
      </c>
      <c r="L347" s="199" t="n"/>
      <c r="M347" s="235" t="n"/>
      <c r="N347" s="235" t="inlineStr">
        <is>
          <t>Juan Santiago Londoño Quiceno</t>
        </is>
      </c>
      <c r="O347" s="235" t="n"/>
    </row>
    <row r="348">
      <c r="B348" s="226" t="n">
        <v>320</v>
      </c>
      <c r="C348" s="199" t="inlineStr">
        <is>
          <t>COTIZACION DE LOS DISEÑOS DE PROTECCIÓN CONTRA  INCENDIOS - SOC269</t>
        </is>
      </c>
      <c r="D348" s="312" t="n"/>
      <c r="E348" s="312" t="n"/>
      <c r="F348" s="312" t="n"/>
      <c r="G348" s="312" t="n"/>
      <c r="H348" s="312" t="n"/>
      <c r="I348" s="313" t="n"/>
      <c r="J348" s="319" t="n">
        <v>700000</v>
      </c>
      <c r="K348" s="12" t="n">
        <v>43810</v>
      </c>
      <c r="L348" s="199" t="n"/>
      <c r="M348" s="235" t="n"/>
      <c r="N348" s="235" t="inlineStr">
        <is>
          <t>Jhon Anderson Gómez</t>
        </is>
      </c>
      <c r="O348" s="235" t="n"/>
    </row>
    <row r="349">
      <c r="B349" s="226" t="n">
        <v>321</v>
      </c>
      <c r="C349" s="199" t="inlineStr">
        <is>
          <t>COTIZACION DE LOS DISEÑOS DE PROTECCIÓN CONTRA  INCENDIOS - BULEVAR LIVING</t>
        </is>
      </c>
      <c r="D349" s="312" t="n"/>
      <c r="E349" s="312" t="n"/>
      <c r="F349" s="312" t="n"/>
      <c r="G349" s="312" t="n"/>
      <c r="H349" s="312" t="n"/>
      <c r="I349" s="313" t="n"/>
      <c r="J349" s="319" t="n">
        <v>19870000</v>
      </c>
      <c r="K349" s="12" t="n">
        <v>43811</v>
      </c>
      <c r="L349" s="199" t="n"/>
      <c r="M349" s="235" t="n"/>
      <c r="N349" s="235" t="inlineStr">
        <is>
          <t>Anderson Zapata</t>
        </is>
      </c>
      <c r="O349" s="235" t="n"/>
    </row>
    <row r="350">
      <c r="B350" s="226" t="n">
        <v>322</v>
      </c>
      <c r="C350" s="199" t="inlineStr">
        <is>
          <t>COTIZACION DE LOS DISEÑOS DE PROTECCIÓN CONTRA INCENDIOS Y SEGURIDAD HUMANA PARA EL PROYECTO BANCOLOMBIA CAMINO REAL</t>
        </is>
      </c>
      <c r="D350" s="312" t="n"/>
      <c r="E350" s="312" t="n"/>
      <c r="F350" s="312" t="n"/>
      <c r="G350" s="312" t="n"/>
      <c r="H350" s="312" t="n"/>
      <c r="I350" s="313" t="n"/>
      <c r="J350" s="319" t="n">
        <v>3500000</v>
      </c>
      <c r="K350" s="12" t="n">
        <v>43811</v>
      </c>
      <c r="L350" s="199" t="n"/>
      <c r="M350" s="235" t="n"/>
      <c r="N350" s="235" t="inlineStr">
        <is>
          <t>Maria Aurora Rios</t>
        </is>
      </c>
      <c r="O350" s="235" t="n"/>
    </row>
    <row r="351">
      <c r="B351" s="226" t="n">
        <v>323</v>
      </c>
      <c r="C351" s="199" t="inlineStr">
        <is>
          <t>COTIZACION DEL CAMBIO DE TUBERÍA A PVC DEL SISTEMA DE EXTINCIÓN DE INCENDIOS PARA LOS CONSULTORIOS DEL PROYECTO SALUD VEGAS Y TALLOS DE 6” A 4” DE CONEXIONES DE MANGUERA</t>
        </is>
      </c>
      <c r="D351" s="312" t="n"/>
      <c r="E351" s="312" t="n"/>
      <c r="F351" s="312" t="n"/>
      <c r="G351" s="312" t="n"/>
      <c r="H351" s="312" t="n"/>
      <c r="I351" s="313" t="n"/>
      <c r="J351" s="319" t="n">
        <v>1800000</v>
      </c>
      <c r="K351" s="12" t="n">
        <v>43816</v>
      </c>
      <c r="L351" s="199" t="n"/>
      <c r="M351" s="235" t="n"/>
      <c r="N351" s="235" t="inlineStr">
        <is>
          <t>David Velásquez</t>
        </is>
      </c>
      <c r="O351" s="235" t="n"/>
    </row>
    <row r="352">
      <c r="B352" s="226" t="n">
        <v>324</v>
      </c>
      <c r="C352" s="199" t="inlineStr">
        <is>
          <t>COTIZACION DE LOS DISEÑOS DE SEGURIDAD HUMANA Y PROTECCIÓN CONTRA  INCENDIOS - EDIFICIO CATTLEYA</t>
        </is>
      </c>
      <c r="D352" s="312" t="n"/>
      <c r="E352" s="312" t="n"/>
      <c r="F352" s="312" t="n"/>
      <c r="G352" s="312" t="n"/>
      <c r="H352" s="312" t="n"/>
      <c r="I352" s="313" t="n"/>
      <c r="J352" s="319" t="inlineStr">
        <is>
          <t>Variable</t>
        </is>
      </c>
      <c r="K352" s="12" t="n">
        <v>43816</v>
      </c>
      <c r="L352" s="199" t="n"/>
      <c r="M352" s="235" t="n"/>
      <c r="N352" s="235" t="inlineStr">
        <is>
          <t>Cristiam Mondragón</t>
        </is>
      </c>
      <c r="O352" s="235" t="n"/>
    </row>
    <row r="353">
      <c r="B353" s="226" t="n">
        <v>325</v>
      </c>
      <c r="C353" s="199" t="inlineStr">
        <is>
          <t>COTIZACION DEL ANÁLISIS DE SEGURIDAD HUMANA PARA EL PROYECTO HANGAR</t>
        </is>
      </c>
      <c r="D353" s="312" t="n"/>
      <c r="E353" s="312" t="n"/>
      <c r="F353" s="312" t="n"/>
      <c r="G353" s="312" t="n"/>
      <c r="H353" s="312" t="n"/>
      <c r="I353" s="313" t="n"/>
      <c r="J353" s="319" t="n">
        <v>5270000</v>
      </c>
      <c r="K353" s="12" t="n">
        <v>43816</v>
      </c>
      <c r="L353" s="199" t="n"/>
      <c r="M353" s="235" t="n"/>
      <c r="N353" s="235" t="inlineStr">
        <is>
          <t>Alexander Carvajal Murcia</t>
        </is>
      </c>
      <c r="O353" s="235" t="n"/>
    </row>
    <row r="354">
      <c r="B354" s="226" t="n">
        <v>326</v>
      </c>
      <c r="C354" s="199" t="inlineStr">
        <is>
          <t>COTIZACION DE LOS DISEÑOS DE SEGURIDAD HUMANA Y PROTECCIÓN CONTRA  INCENDIOS - FAJAS MD</t>
        </is>
      </c>
      <c r="D354" s="312" t="n"/>
      <c r="E354" s="312" t="n"/>
      <c r="F354" s="312" t="n"/>
      <c r="G354" s="312" t="n"/>
      <c r="H354" s="312" t="n"/>
      <c r="I354" s="313" t="n"/>
      <c r="J354" s="319" t="n">
        <v>23840000</v>
      </c>
      <c r="K354" s="12" t="n">
        <v>43816</v>
      </c>
      <c r="L354" s="12" t="n">
        <v>44018</v>
      </c>
      <c r="M354" s="235" t="n"/>
      <c r="N354" s="235" t="inlineStr">
        <is>
          <t>Luis Gustavo Martinez Echeverri</t>
        </is>
      </c>
      <c r="O354" s="235" t="n"/>
    </row>
    <row r="355">
      <c r="B355" s="226" t="n">
        <v>327</v>
      </c>
      <c r="C355" s="199" t="inlineStr">
        <is>
          <t>COTIZACION DEL REDISEÑO DEL CUARTO DE BOMBAS - AIRES DEL BOSQUE</t>
        </is>
      </c>
      <c r="D355" s="312" t="n"/>
      <c r="E355" s="312" t="n"/>
      <c r="F355" s="312" t="n"/>
      <c r="G355" s="312" t="n"/>
      <c r="H355" s="312" t="n"/>
      <c r="I355" s="313" t="n"/>
      <c r="J355" s="319" t="n">
        <v>3500000</v>
      </c>
      <c r="K355" s="12" t="n">
        <v>43819</v>
      </c>
      <c r="L355" s="199" t="n"/>
      <c r="M355" s="235" t="n"/>
      <c r="N355" s="235" t="inlineStr">
        <is>
          <t>Sebastian Calle Ruiz</t>
        </is>
      </c>
      <c r="O355" s="235" t="n"/>
    </row>
    <row r="356">
      <c r="B356" s="226" t="n">
        <v>327</v>
      </c>
      <c r="C356" s="199" t="inlineStr">
        <is>
          <t>COTIZACION DE LA REDISTRIBUCIÓN DE LOS ROCIADORES AUTOMÁTICOS PARA LA MODIFICACIÓN DEL ASCENSOR DE VIVA BARRANQUILLA</t>
        </is>
      </c>
      <c r="D356" s="312" t="n"/>
      <c r="E356" s="312" t="n"/>
      <c r="F356" s="312" t="n"/>
      <c r="G356" s="312" t="n"/>
      <c r="H356" s="312" t="n"/>
      <c r="I356" s="313" t="n"/>
      <c r="J356" s="319" t="n">
        <v>1200000</v>
      </c>
      <c r="K356" s="12" t="n">
        <v>44182</v>
      </c>
      <c r="L356" s="199" t="n"/>
      <c r="M356" s="235" t="n"/>
      <c r="N356" s="235" t="inlineStr">
        <is>
          <t>Juliana Vélez Raigoza</t>
        </is>
      </c>
      <c r="O356" s="235" t="n"/>
    </row>
    <row r="357">
      <c r="B357" s="226" t="n">
        <v>328</v>
      </c>
      <c r="C357" s="199" t="inlineStr">
        <is>
          <t>COTIZACION DEL DISEÑO DE DETECCIÓN DE INCENDIOS - CIS SANTA MARÍA COMFAMA</t>
        </is>
      </c>
      <c r="D357" s="312" t="n"/>
      <c r="E357" s="312" t="n"/>
      <c r="F357" s="312" t="n"/>
      <c r="G357" s="312" t="n"/>
      <c r="H357" s="312" t="n"/>
      <c r="I357" s="313" t="n"/>
      <c r="J357" s="319" t="n">
        <v>3000000</v>
      </c>
      <c r="K357" s="12" t="n">
        <v>43818</v>
      </c>
      <c r="L357" s="199" t="n"/>
      <c r="M357" s="235" t="n"/>
      <c r="N357" s="235" t="inlineStr">
        <is>
          <t>Jorge Arroyave</t>
        </is>
      </c>
      <c r="O357" s="235" t="n"/>
    </row>
    <row r="358">
      <c r="B358" s="198" t="n">
        <v>329</v>
      </c>
      <c r="C358" s="198" t="inlineStr">
        <is>
          <t>COTIZACION DEL DISEÑO DE EXTINCIÓN DE INCENDIOS - COLORTROPOLIS BARRANQUILLA</t>
        </is>
      </c>
      <c r="D358" s="312" t="n"/>
      <c r="E358" s="312" t="n"/>
      <c r="F358" s="312" t="n"/>
      <c r="G358" s="312" t="n"/>
      <c r="H358" s="312" t="n"/>
      <c r="I358" s="313" t="n"/>
      <c r="J358" s="320" t="n">
        <v>2800000</v>
      </c>
      <c r="K358" s="28" t="n">
        <v>43826</v>
      </c>
      <c r="L358" s="198" t="n"/>
      <c r="M358" s="25" t="n"/>
      <c r="N358" s="25" t="n"/>
      <c r="O358" s="25" t="n"/>
    </row>
    <row r="359">
      <c r="B359" s="199" t="n">
        <v>330</v>
      </c>
      <c r="C359" s="199" t="n"/>
      <c r="D359" s="312" t="n"/>
      <c r="E359" s="312" t="n"/>
      <c r="F359" s="312" t="n"/>
      <c r="G359" s="312" t="n"/>
      <c r="H359" s="312" t="n"/>
      <c r="I359" s="313" t="n"/>
      <c r="J359" s="319" t="n"/>
      <c r="K359" s="199" t="n"/>
      <c r="L359" s="199" t="n"/>
      <c r="M359" s="235" t="n"/>
      <c r="N359" s="235" t="n"/>
      <c r="O359" s="235" t="n"/>
    </row>
    <row r="360">
      <c r="B360" s="199" t="n">
        <v>331</v>
      </c>
      <c r="C360" s="199" t="n"/>
      <c r="D360" s="312" t="n"/>
      <c r="E360" s="312" t="n"/>
      <c r="F360" s="312" t="n"/>
      <c r="G360" s="312" t="n"/>
      <c r="H360" s="312" t="n"/>
      <c r="I360" s="313" t="n"/>
      <c r="J360" s="319" t="n"/>
      <c r="K360" s="199" t="n"/>
      <c r="L360" s="199" t="n"/>
      <c r="M360" s="235" t="n"/>
      <c r="N360" s="235" t="n"/>
      <c r="O360" s="235" t="n"/>
    </row>
    <row r="361">
      <c r="B361" s="199" t="n">
        <v>332</v>
      </c>
      <c r="C361" s="199" t="n"/>
      <c r="D361" s="312" t="n"/>
      <c r="E361" s="312" t="n"/>
      <c r="F361" s="312" t="n"/>
      <c r="G361" s="312" t="n"/>
      <c r="H361" s="312" t="n"/>
      <c r="I361" s="313" t="n"/>
      <c r="J361" s="319" t="n"/>
      <c r="K361" s="199" t="n"/>
      <c r="L361" s="199" t="n"/>
      <c r="M361" s="235" t="n"/>
      <c r="N361" s="235" t="n"/>
      <c r="O361" s="235" t="n"/>
    </row>
    <row r="362">
      <c r="B362" s="199" t="n">
        <v>333</v>
      </c>
      <c r="C362" s="199" t="n"/>
      <c r="D362" s="312" t="n"/>
      <c r="E362" s="312" t="n"/>
      <c r="F362" s="312" t="n"/>
      <c r="G362" s="312" t="n"/>
      <c r="H362" s="312" t="n"/>
      <c r="I362" s="313" t="n"/>
      <c r="J362" s="319" t="n"/>
      <c r="K362" s="199" t="n"/>
      <c r="L362" s="199" t="n"/>
      <c r="M362" s="235" t="n"/>
      <c r="N362" s="235" t="n"/>
      <c r="O362" s="235" t="n"/>
    </row>
    <row r="363">
      <c r="B363" s="199" t="n">
        <v>334</v>
      </c>
      <c r="C363" s="199" t="n"/>
      <c r="D363" s="312" t="n"/>
      <c r="E363" s="312" t="n"/>
      <c r="F363" s="312" t="n"/>
      <c r="G363" s="312" t="n"/>
      <c r="H363" s="312" t="n"/>
      <c r="I363" s="313" t="n"/>
      <c r="J363" s="319" t="n"/>
      <c r="K363" s="199" t="n"/>
      <c r="L363" s="199" t="n"/>
      <c r="M363" s="235" t="n"/>
      <c r="N363" s="235" t="n"/>
      <c r="O363" s="235" t="n"/>
    </row>
    <row r="364">
      <c r="B364" s="199" t="n">
        <v>335</v>
      </c>
      <c r="C364" s="199" t="n"/>
      <c r="D364" s="312" t="n"/>
      <c r="E364" s="312" t="n"/>
      <c r="F364" s="312" t="n"/>
      <c r="G364" s="312" t="n"/>
      <c r="H364" s="312" t="n"/>
      <c r="I364" s="313" t="n"/>
      <c r="J364" s="319" t="n"/>
      <c r="K364" s="199" t="n"/>
      <c r="L364" s="199" t="n"/>
      <c r="M364" s="235" t="n"/>
      <c r="N364" s="235" t="n"/>
      <c r="O364" s="235" t="n"/>
    </row>
    <row r="365">
      <c r="B365" s="199" t="n">
        <v>336</v>
      </c>
      <c r="C365" s="199" t="n"/>
      <c r="D365" s="312" t="n"/>
      <c r="E365" s="312" t="n"/>
      <c r="F365" s="312" t="n"/>
      <c r="G365" s="312" t="n"/>
      <c r="H365" s="312" t="n"/>
      <c r="I365" s="313" t="n"/>
      <c r="J365" s="319" t="n"/>
      <c r="K365" s="199" t="n"/>
      <c r="L365" s="199" t="n"/>
      <c r="M365" s="235" t="n"/>
      <c r="N365" s="235" t="n"/>
      <c r="O365" s="235" t="n"/>
    </row>
    <row r="366">
      <c r="B366" s="199" t="n">
        <v>337</v>
      </c>
      <c r="C366" s="199" t="n"/>
      <c r="D366" s="312" t="n"/>
      <c r="E366" s="312" t="n"/>
      <c r="F366" s="312" t="n"/>
      <c r="G366" s="312" t="n"/>
      <c r="H366" s="312" t="n"/>
      <c r="I366" s="313" t="n"/>
      <c r="J366" s="319" t="n"/>
      <c r="K366" s="199" t="n"/>
      <c r="L366" s="199" t="n"/>
      <c r="M366" s="235" t="n"/>
      <c r="N366" s="235" t="n"/>
      <c r="O366" s="235" t="n"/>
    </row>
    <row r="367">
      <c r="B367" s="199" t="n">
        <v>338</v>
      </c>
      <c r="C367" s="199" t="n"/>
      <c r="D367" s="312" t="n"/>
      <c r="E367" s="312" t="n"/>
      <c r="F367" s="312" t="n"/>
      <c r="G367" s="312" t="n"/>
      <c r="H367" s="312" t="n"/>
      <c r="I367" s="313" t="n"/>
      <c r="J367" s="319" t="n"/>
      <c r="K367" s="199" t="n"/>
      <c r="L367" s="199" t="n"/>
      <c r="M367" s="235" t="n"/>
      <c r="N367" s="235" t="n"/>
      <c r="O367" s="235" t="n"/>
    </row>
    <row r="368">
      <c r="B368" s="199" t="n">
        <v>339</v>
      </c>
      <c r="C368" s="199" t="n"/>
      <c r="D368" s="312" t="n"/>
      <c r="E368" s="312" t="n"/>
      <c r="F368" s="312" t="n"/>
      <c r="G368" s="312" t="n"/>
      <c r="H368" s="312" t="n"/>
      <c r="I368" s="313" t="n"/>
      <c r="J368" s="319" t="n"/>
      <c r="K368" s="199" t="n"/>
      <c r="L368" s="199" t="n"/>
      <c r="M368" s="235" t="n"/>
      <c r="N368" s="235" t="n"/>
      <c r="O368" s="235" t="n"/>
    </row>
    <row r="369">
      <c r="B369" s="199" t="n">
        <v>340</v>
      </c>
      <c r="C369" s="199" t="n"/>
      <c r="D369" s="312" t="n"/>
      <c r="E369" s="312" t="n"/>
      <c r="F369" s="312" t="n"/>
      <c r="G369" s="312" t="n"/>
      <c r="H369" s="312" t="n"/>
      <c r="I369" s="313" t="n"/>
      <c r="J369" s="319" t="n"/>
      <c r="K369" s="199" t="n"/>
      <c r="L369" s="199" t="n"/>
      <c r="M369" s="235" t="n"/>
      <c r="N369" s="235" t="n"/>
      <c r="O369" s="235" t="n"/>
    </row>
    <row r="370">
      <c r="B370" s="199" t="n">
        <v>341</v>
      </c>
      <c r="C370" s="199" t="n"/>
      <c r="D370" s="312" t="n"/>
      <c r="E370" s="312" t="n"/>
      <c r="F370" s="312" t="n"/>
      <c r="G370" s="312" t="n"/>
      <c r="H370" s="312" t="n"/>
      <c r="I370" s="313" t="n"/>
      <c r="J370" s="319" t="n"/>
      <c r="K370" s="199" t="n"/>
      <c r="L370" s="199" t="n"/>
      <c r="M370" s="235" t="n"/>
      <c r="N370" s="235" t="n"/>
      <c r="O370" s="235" t="n"/>
    </row>
    <row r="371">
      <c r="B371" s="199" t="n">
        <v>342</v>
      </c>
      <c r="C371" s="199" t="n"/>
      <c r="D371" s="312" t="n"/>
      <c r="E371" s="312" t="n"/>
      <c r="F371" s="312" t="n"/>
      <c r="G371" s="312" t="n"/>
      <c r="H371" s="312" t="n"/>
      <c r="I371" s="313" t="n"/>
      <c r="J371" s="319" t="n"/>
      <c r="K371" s="199" t="n"/>
      <c r="L371" s="199" t="n"/>
      <c r="M371" s="235" t="n"/>
      <c r="N371" s="235" t="n"/>
      <c r="O371" s="235" t="n"/>
    </row>
    <row r="372">
      <c r="B372" s="199" t="n">
        <v>343</v>
      </c>
      <c r="C372" s="199" t="n"/>
      <c r="D372" s="312" t="n"/>
      <c r="E372" s="312" t="n"/>
      <c r="F372" s="312" t="n"/>
      <c r="G372" s="312" t="n"/>
      <c r="H372" s="312" t="n"/>
      <c r="I372" s="313" t="n"/>
      <c r="J372" s="319" t="n"/>
      <c r="K372" s="199" t="n"/>
      <c r="L372" s="199" t="n"/>
      <c r="M372" s="235" t="n"/>
      <c r="N372" s="235" t="n"/>
      <c r="O372" s="235" t="n"/>
    </row>
    <row r="373">
      <c r="B373" s="199" t="n">
        <v>344</v>
      </c>
      <c r="C373" s="199" t="n"/>
      <c r="D373" s="312" t="n"/>
      <c r="E373" s="312" t="n"/>
      <c r="F373" s="312" t="n"/>
      <c r="G373" s="312" t="n"/>
      <c r="H373" s="312" t="n"/>
      <c r="I373" s="313" t="n"/>
      <c r="J373" s="319" t="n"/>
      <c r="K373" s="199" t="n"/>
      <c r="L373" s="199" t="n"/>
      <c r="M373" s="235" t="n"/>
      <c r="N373" s="235" t="n"/>
      <c r="O373" s="235" t="n"/>
    </row>
    <row r="374">
      <c r="B374" s="199" t="n">
        <v>345</v>
      </c>
      <c r="C374" s="199" t="n"/>
      <c r="D374" s="312" t="n"/>
      <c r="E374" s="312" t="n"/>
      <c r="F374" s="312" t="n"/>
      <c r="G374" s="312" t="n"/>
      <c r="H374" s="312" t="n"/>
      <c r="I374" s="313" t="n"/>
      <c r="J374" s="319" t="n"/>
      <c r="K374" s="199" t="n"/>
      <c r="L374" s="199" t="n"/>
      <c r="M374" s="235" t="n"/>
      <c r="N374" s="235" t="n"/>
      <c r="O374" s="235" t="n"/>
    </row>
    <row r="375">
      <c r="B375" s="199" t="n">
        <v>346</v>
      </c>
      <c r="C375" s="199" t="n"/>
      <c r="D375" s="312" t="n"/>
      <c r="E375" s="312" t="n"/>
      <c r="F375" s="312" t="n"/>
      <c r="G375" s="312" t="n"/>
      <c r="H375" s="312" t="n"/>
      <c r="I375" s="313" t="n"/>
      <c r="J375" s="319" t="n"/>
      <c r="K375" s="199" t="n"/>
      <c r="L375" s="199" t="n"/>
      <c r="M375" s="235" t="n"/>
      <c r="N375" s="235" t="n"/>
      <c r="O375" s="235" t="n"/>
    </row>
    <row r="376">
      <c r="B376" s="199" t="n">
        <v>347</v>
      </c>
      <c r="C376" s="199" t="n"/>
      <c r="D376" s="312" t="n"/>
      <c r="E376" s="312" t="n"/>
      <c r="F376" s="312" t="n"/>
      <c r="G376" s="312" t="n"/>
      <c r="H376" s="312" t="n"/>
      <c r="I376" s="313" t="n"/>
      <c r="J376" s="319" t="n"/>
      <c r="K376" s="199" t="n"/>
      <c r="L376" s="199" t="n"/>
      <c r="M376" s="235" t="n"/>
      <c r="N376" s="235" t="n"/>
      <c r="O376" s="235" t="n"/>
    </row>
    <row r="377">
      <c r="B377" s="199" t="n">
        <v>348</v>
      </c>
      <c r="C377" s="199" t="n"/>
      <c r="D377" s="312" t="n"/>
      <c r="E377" s="312" t="n"/>
      <c r="F377" s="312" t="n"/>
      <c r="G377" s="312" t="n"/>
      <c r="H377" s="312" t="n"/>
      <c r="I377" s="313" t="n"/>
      <c r="J377" s="319" t="n"/>
      <c r="K377" s="199" t="n"/>
      <c r="L377" s="199" t="n"/>
      <c r="M377" s="235" t="n"/>
      <c r="N377" s="235" t="n"/>
      <c r="O377" s="235" t="n"/>
    </row>
    <row r="378">
      <c r="B378" s="199" t="n">
        <v>349</v>
      </c>
      <c r="C378" s="199" t="n"/>
      <c r="D378" s="312" t="n"/>
      <c r="E378" s="312" t="n"/>
      <c r="F378" s="312" t="n"/>
      <c r="G378" s="312" t="n"/>
      <c r="H378" s="312" t="n"/>
      <c r="I378" s="313" t="n"/>
      <c r="J378" s="319" t="n"/>
      <c r="K378" s="199" t="n"/>
      <c r="L378" s="199" t="n"/>
      <c r="M378" s="235" t="n"/>
      <c r="N378" s="235" t="n"/>
      <c r="O378" s="235" t="n"/>
    </row>
    <row r="379">
      <c r="B379" s="199" t="n">
        <v>350</v>
      </c>
      <c r="C379" s="199" t="n"/>
      <c r="D379" s="312" t="n"/>
      <c r="E379" s="312" t="n"/>
      <c r="F379" s="312" t="n"/>
      <c r="G379" s="312" t="n"/>
      <c r="H379" s="312" t="n"/>
      <c r="I379" s="313" t="n"/>
      <c r="J379" s="319" t="n"/>
      <c r="K379" s="199" t="n"/>
      <c r="L379" s="199" t="n"/>
      <c r="M379" s="235" t="n"/>
      <c r="N379" s="235" t="n"/>
      <c r="O379" s="235" t="n"/>
    </row>
    <row r="380">
      <c r="B380" s="199" t="n">
        <v>351</v>
      </c>
      <c r="C380" s="199" t="n"/>
      <c r="D380" s="312" t="n"/>
      <c r="E380" s="312" t="n"/>
      <c r="F380" s="312" t="n"/>
      <c r="G380" s="312" t="n"/>
      <c r="H380" s="312" t="n"/>
      <c r="I380" s="313" t="n"/>
      <c r="J380" s="319" t="n"/>
      <c r="K380" s="199" t="n"/>
      <c r="L380" s="199" t="n"/>
      <c r="M380" s="235" t="n"/>
      <c r="N380" s="235" t="n"/>
      <c r="O380" s="235" t="n"/>
    </row>
    <row r="381">
      <c r="B381" s="199" t="n">
        <v>352</v>
      </c>
      <c r="C381" s="199" t="n"/>
      <c r="D381" s="312" t="n"/>
      <c r="E381" s="312" t="n"/>
      <c r="F381" s="312" t="n"/>
      <c r="G381" s="312" t="n"/>
      <c r="H381" s="312" t="n"/>
      <c r="I381" s="313" t="n"/>
      <c r="J381" s="319" t="n"/>
      <c r="K381" s="199" t="n"/>
      <c r="L381" s="199" t="n"/>
      <c r="M381" s="235" t="n"/>
      <c r="N381" s="235" t="n"/>
      <c r="O381" s="235" t="n"/>
    </row>
    <row r="382">
      <c r="B382" s="199" t="n">
        <v>353</v>
      </c>
      <c r="C382" s="199" t="n"/>
      <c r="D382" s="312" t="n"/>
      <c r="E382" s="312" t="n"/>
      <c r="F382" s="312" t="n"/>
      <c r="G382" s="312" t="n"/>
      <c r="H382" s="312" t="n"/>
      <c r="I382" s="313" t="n"/>
      <c r="J382" s="319" t="n"/>
      <c r="K382" s="199" t="n"/>
      <c r="L382" s="199" t="n"/>
      <c r="M382" s="235" t="n"/>
      <c r="N382" s="235" t="n"/>
      <c r="O382" s="235" t="n"/>
    </row>
    <row r="383">
      <c r="B383" s="199" t="n">
        <v>354</v>
      </c>
      <c r="C383" s="199" t="n"/>
      <c r="D383" s="312" t="n"/>
      <c r="E383" s="312" t="n"/>
      <c r="F383" s="312" t="n"/>
      <c r="G383" s="312" t="n"/>
      <c r="H383" s="312" t="n"/>
      <c r="I383" s="313" t="n"/>
      <c r="J383" s="319" t="n"/>
      <c r="K383" s="199" t="n"/>
      <c r="L383" s="199" t="n"/>
      <c r="M383" s="235" t="n"/>
      <c r="N383" s="235" t="n"/>
      <c r="O383" s="235" t="n"/>
    </row>
    <row r="384">
      <c r="B384" s="199" t="n">
        <v>355</v>
      </c>
      <c r="C384" s="199" t="n"/>
      <c r="D384" s="312" t="n"/>
      <c r="E384" s="312" t="n"/>
      <c r="F384" s="312" t="n"/>
      <c r="G384" s="312" t="n"/>
      <c r="H384" s="312" t="n"/>
      <c r="I384" s="313" t="n"/>
      <c r="J384" s="319" t="n"/>
      <c r="K384" s="199" t="n"/>
      <c r="L384" s="199" t="n"/>
      <c r="M384" s="235" t="n"/>
      <c r="N384" s="235" t="n"/>
      <c r="O384" s="235" t="n"/>
    </row>
    <row r="385">
      <c r="B385" s="199" t="n">
        <v>356</v>
      </c>
      <c r="C385" s="199" t="n"/>
      <c r="D385" s="312" t="n"/>
      <c r="E385" s="312" t="n"/>
      <c r="F385" s="312" t="n"/>
      <c r="G385" s="312" t="n"/>
      <c r="H385" s="312" t="n"/>
      <c r="I385" s="313" t="n"/>
      <c r="J385" s="319" t="n"/>
      <c r="K385" s="199" t="n"/>
      <c r="L385" s="199" t="n"/>
      <c r="M385" s="235" t="n"/>
      <c r="N385" s="235" t="n"/>
      <c r="O385" s="235" t="n"/>
    </row>
    <row r="386">
      <c r="B386" s="199" t="n">
        <v>357</v>
      </c>
      <c r="C386" s="199" t="n"/>
      <c r="D386" s="312" t="n"/>
      <c r="E386" s="312" t="n"/>
      <c r="F386" s="312" t="n"/>
      <c r="G386" s="312" t="n"/>
      <c r="H386" s="312" t="n"/>
      <c r="I386" s="313" t="n"/>
      <c r="J386" s="319" t="n"/>
      <c r="K386" s="199" t="n"/>
      <c r="L386" s="199" t="n"/>
      <c r="M386" s="235" t="n"/>
      <c r="N386" s="235" t="n"/>
      <c r="O386" s="235" t="n"/>
    </row>
    <row r="387">
      <c r="B387" s="199" t="n">
        <v>358</v>
      </c>
      <c r="C387" s="199" t="n"/>
      <c r="D387" s="312" t="n"/>
      <c r="E387" s="312" t="n"/>
      <c r="F387" s="312" t="n"/>
      <c r="G387" s="312" t="n"/>
      <c r="H387" s="312" t="n"/>
      <c r="I387" s="313" t="n"/>
      <c r="J387" s="319" t="n"/>
      <c r="K387" s="199" t="n"/>
      <c r="L387" s="199" t="n"/>
      <c r="M387" s="235" t="n"/>
      <c r="N387" s="235" t="n"/>
      <c r="O387" s="235" t="n"/>
    </row>
    <row r="388">
      <c r="B388" s="199" t="n">
        <v>359</v>
      </c>
      <c r="C388" s="199" t="n"/>
      <c r="D388" s="312" t="n"/>
      <c r="E388" s="312" t="n"/>
      <c r="F388" s="312" t="n"/>
      <c r="G388" s="312" t="n"/>
      <c r="H388" s="312" t="n"/>
      <c r="I388" s="313" t="n"/>
      <c r="J388" s="319" t="n"/>
      <c r="K388" s="199" t="n"/>
      <c r="L388" s="199" t="n"/>
      <c r="M388" s="235" t="n"/>
      <c r="N388" s="235" t="n"/>
      <c r="O388" s="235" t="n"/>
    </row>
    <row r="389">
      <c r="B389" s="199" t="n">
        <v>360</v>
      </c>
      <c r="C389" s="199" t="n"/>
      <c r="D389" s="312" t="n"/>
      <c r="E389" s="312" t="n"/>
      <c r="F389" s="312" t="n"/>
      <c r="G389" s="312" t="n"/>
      <c r="H389" s="312" t="n"/>
      <c r="I389" s="313" t="n"/>
      <c r="J389" s="319" t="n"/>
      <c r="K389" s="199" t="n"/>
      <c r="L389" s="199" t="n"/>
      <c r="M389" s="235" t="n"/>
      <c r="N389" s="235" t="n"/>
      <c r="O389" s="235" t="n"/>
    </row>
    <row r="390">
      <c r="B390" s="199" t="n">
        <v>361</v>
      </c>
      <c r="C390" s="199" t="n"/>
      <c r="D390" s="312" t="n"/>
      <c r="E390" s="312" t="n"/>
      <c r="F390" s="312" t="n"/>
      <c r="G390" s="312" t="n"/>
      <c r="H390" s="312" t="n"/>
      <c r="I390" s="313" t="n"/>
      <c r="J390" s="319" t="n"/>
      <c r="K390" s="199" t="n"/>
      <c r="L390" s="199" t="n"/>
      <c r="M390" s="235" t="n"/>
      <c r="N390" s="235" t="n"/>
      <c r="O390" s="235" t="n"/>
    </row>
    <row r="391">
      <c r="B391" s="199" t="n">
        <v>362</v>
      </c>
      <c r="C391" s="199" t="n"/>
      <c r="D391" s="312" t="n"/>
      <c r="E391" s="312" t="n"/>
      <c r="F391" s="312" t="n"/>
      <c r="G391" s="312" t="n"/>
      <c r="H391" s="312" t="n"/>
      <c r="I391" s="313" t="n"/>
      <c r="J391" s="319" t="n"/>
      <c r="K391" s="199" t="n"/>
      <c r="L391" s="199" t="n"/>
      <c r="M391" s="235" t="n"/>
      <c r="N391" s="235" t="n"/>
      <c r="O391" s="235" t="n"/>
    </row>
    <row r="392">
      <c r="B392" s="199" t="n">
        <v>363</v>
      </c>
      <c r="C392" s="199" t="n"/>
      <c r="D392" s="312" t="n"/>
      <c r="E392" s="312" t="n"/>
      <c r="F392" s="312" t="n"/>
      <c r="G392" s="312" t="n"/>
      <c r="H392" s="312" t="n"/>
      <c r="I392" s="313" t="n"/>
      <c r="J392" s="319" t="n"/>
      <c r="K392" s="199" t="n"/>
      <c r="L392" s="199" t="n"/>
      <c r="M392" s="235" t="n"/>
      <c r="N392" s="235" t="n"/>
      <c r="O392" s="235" t="n"/>
    </row>
    <row r="393">
      <c r="B393" s="199" t="n">
        <v>364</v>
      </c>
      <c r="C393" s="199" t="n"/>
      <c r="D393" s="312" t="n"/>
      <c r="E393" s="312" t="n"/>
      <c r="F393" s="312" t="n"/>
      <c r="G393" s="312" t="n"/>
      <c r="H393" s="312" t="n"/>
      <c r="I393" s="313" t="n"/>
      <c r="J393" s="319" t="n"/>
      <c r="K393" s="199" t="n"/>
      <c r="L393" s="199" t="n"/>
      <c r="M393" s="235" t="n"/>
      <c r="N393" s="235" t="n"/>
      <c r="O393" s="235" t="n"/>
    </row>
    <row r="394">
      <c r="B394" s="199" t="n">
        <v>365</v>
      </c>
      <c r="C394" s="199" t="n"/>
      <c r="D394" s="312" t="n"/>
      <c r="E394" s="312" t="n"/>
      <c r="F394" s="312" t="n"/>
      <c r="G394" s="312" t="n"/>
      <c r="H394" s="312" t="n"/>
      <c r="I394" s="313" t="n"/>
      <c r="J394" s="319" t="n"/>
      <c r="K394" s="199" t="n"/>
      <c r="L394" s="199" t="n"/>
      <c r="M394" s="235" t="n"/>
      <c r="N394" s="235" t="n"/>
      <c r="O394" s="235" t="n"/>
    </row>
    <row r="395">
      <c r="B395" s="199" t="n">
        <v>366</v>
      </c>
      <c r="C395" s="199" t="n"/>
      <c r="D395" s="312" t="n"/>
      <c r="E395" s="312" t="n"/>
      <c r="F395" s="312" t="n"/>
      <c r="G395" s="312" t="n"/>
      <c r="H395" s="312" t="n"/>
      <c r="I395" s="313" t="n"/>
      <c r="J395" s="319" t="n"/>
      <c r="K395" s="199" t="n"/>
      <c r="L395" s="199" t="n"/>
      <c r="M395" s="235" t="n"/>
      <c r="N395" s="235" t="n"/>
      <c r="O395" s="235" t="n"/>
    </row>
    <row r="396">
      <c r="B396" s="199" t="n">
        <v>367</v>
      </c>
      <c r="C396" s="199" t="n"/>
      <c r="D396" s="312" t="n"/>
      <c r="E396" s="312" t="n"/>
      <c r="F396" s="312" t="n"/>
      <c r="G396" s="312" t="n"/>
      <c r="H396" s="312" t="n"/>
      <c r="I396" s="313" t="n"/>
      <c r="J396" s="319" t="n"/>
      <c r="K396" s="199" t="n"/>
      <c r="L396" s="199" t="n"/>
      <c r="M396" s="235" t="n"/>
      <c r="N396" s="235" t="n"/>
      <c r="O396" s="235" t="n"/>
    </row>
    <row r="397">
      <c r="B397" s="199" t="n">
        <v>368</v>
      </c>
      <c r="C397" s="199" t="n"/>
      <c r="D397" s="312" t="n"/>
      <c r="E397" s="312" t="n"/>
      <c r="F397" s="312" t="n"/>
      <c r="G397" s="312" t="n"/>
      <c r="H397" s="312" t="n"/>
      <c r="I397" s="313" t="n"/>
      <c r="J397" s="319" t="n"/>
      <c r="K397" s="199" t="n"/>
      <c r="L397" s="199" t="n"/>
      <c r="M397" s="235" t="n"/>
      <c r="N397" s="235" t="n"/>
      <c r="O397" s="235" t="n"/>
    </row>
    <row r="398">
      <c r="B398" s="199" t="n">
        <v>369</v>
      </c>
      <c r="C398" s="199" t="n"/>
      <c r="D398" s="312" t="n"/>
      <c r="E398" s="312" t="n"/>
      <c r="F398" s="312" t="n"/>
      <c r="G398" s="312" t="n"/>
      <c r="H398" s="312" t="n"/>
      <c r="I398" s="313" t="n"/>
      <c r="J398" s="319" t="n"/>
      <c r="K398" s="199" t="n"/>
      <c r="L398" s="199" t="n"/>
      <c r="M398" s="235" t="n"/>
      <c r="N398" s="235" t="n"/>
      <c r="O398" s="235" t="n"/>
    </row>
    <row r="399">
      <c r="B399" s="199" t="n">
        <v>370</v>
      </c>
      <c r="C399" s="199" t="n"/>
      <c r="D399" s="312" t="n"/>
      <c r="E399" s="312" t="n"/>
      <c r="F399" s="312" t="n"/>
      <c r="G399" s="312" t="n"/>
      <c r="H399" s="312" t="n"/>
      <c r="I399" s="313" t="n"/>
      <c r="J399" s="319" t="n"/>
      <c r="K399" s="199" t="n"/>
      <c r="L399" s="199" t="n"/>
      <c r="M399" s="235" t="n"/>
      <c r="N399" s="235" t="n"/>
      <c r="O399" s="235" t="n"/>
    </row>
    <row r="400">
      <c r="B400" s="199" t="n">
        <v>371</v>
      </c>
      <c r="C400" s="199" t="n"/>
      <c r="D400" s="312" t="n"/>
      <c r="E400" s="312" t="n"/>
      <c r="F400" s="312" t="n"/>
      <c r="G400" s="312" t="n"/>
      <c r="H400" s="312" t="n"/>
      <c r="I400" s="313" t="n"/>
      <c r="J400" s="319" t="n"/>
      <c r="K400" s="199" t="n"/>
      <c r="L400" s="199" t="n"/>
      <c r="M400" s="235" t="n"/>
      <c r="N400" s="235" t="n"/>
      <c r="O400" s="235" t="n"/>
    </row>
    <row r="401">
      <c r="B401" s="199" t="n">
        <v>372</v>
      </c>
      <c r="C401" s="199" t="n"/>
      <c r="D401" s="312" t="n"/>
      <c r="E401" s="312" t="n"/>
      <c r="F401" s="312" t="n"/>
      <c r="G401" s="312" t="n"/>
      <c r="H401" s="312" t="n"/>
      <c r="I401" s="313" t="n"/>
      <c r="J401" s="319" t="n"/>
      <c r="K401" s="199" t="n"/>
      <c r="L401" s="199" t="n"/>
      <c r="M401" s="235" t="n"/>
      <c r="N401" s="235" t="n"/>
      <c r="O401" s="235" t="n"/>
    </row>
    <row r="402">
      <c r="B402" s="199" t="n">
        <v>373</v>
      </c>
      <c r="C402" s="199" t="n"/>
      <c r="D402" s="312" t="n"/>
      <c r="E402" s="312" t="n"/>
      <c r="F402" s="312" t="n"/>
      <c r="G402" s="312" t="n"/>
      <c r="H402" s="312" t="n"/>
      <c r="I402" s="313" t="n"/>
      <c r="J402" s="319" t="n"/>
      <c r="K402" s="199" t="n"/>
      <c r="L402" s="199" t="n"/>
      <c r="M402" s="235" t="n"/>
      <c r="N402" s="235" t="n"/>
      <c r="O402" s="235" t="n"/>
    </row>
    <row r="403">
      <c r="B403" s="199" t="n">
        <v>374</v>
      </c>
      <c r="C403" s="199" t="n"/>
      <c r="D403" s="312" t="n"/>
      <c r="E403" s="312" t="n"/>
      <c r="F403" s="312" t="n"/>
      <c r="G403" s="312" t="n"/>
      <c r="H403" s="312" t="n"/>
      <c r="I403" s="313" t="n"/>
      <c r="J403" s="319" t="n"/>
      <c r="K403" s="199" t="n"/>
      <c r="L403" s="199" t="n"/>
      <c r="M403" s="235" t="n"/>
      <c r="N403" s="235" t="n"/>
      <c r="O403" s="235" t="n"/>
    </row>
    <row r="404">
      <c r="B404" s="199" t="n">
        <v>375</v>
      </c>
      <c r="C404" s="199" t="n"/>
      <c r="D404" s="312" t="n"/>
      <c r="E404" s="312" t="n"/>
      <c r="F404" s="312" t="n"/>
      <c r="G404" s="312" t="n"/>
      <c r="H404" s="312" t="n"/>
      <c r="I404" s="313" t="n"/>
      <c r="J404" s="319" t="n"/>
      <c r="K404" s="199" t="n"/>
      <c r="L404" s="199" t="n"/>
      <c r="M404" s="235" t="n"/>
      <c r="N404" s="235" t="n"/>
      <c r="O404" s="235" t="n"/>
    </row>
    <row r="405">
      <c r="B405" s="199" t="n">
        <v>376</v>
      </c>
      <c r="C405" s="199" t="n"/>
      <c r="D405" s="312" t="n"/>
      <c r="E405" s="312" t="n"/>
      <c r="F405" s="312" t="n"/>
      <c r="G405" s="312" t="n"/>
      <c r="H405" s="312" t="n"/>
      <c r="I405" s="313" t="n"/>
      <c r="J405" s="319" t="n"/>
      <c r="K405" s="199" t="n"/>
      <c r="L405" s="199" t="n"/>
      <c r="M405" s="235" t="n"/>
      <c r="N405" s="235" t="n"/>
      <c r="O405" s="235" t="n"/>
    </row>
    <row r="406">
      <c r="B406" s="199" t="n">
        <v>377</v>
      </c>
      <c r="C406" s="199" t="n"/>
      <c r="D406" s="312" t="n"/>
      <c r="E406" s="312" t="n"/>
      <c r="F406" s="312" t="n"/>
      <c r="G406" s="312" t="n"/>
      <c r="H406" s="312" t="n"/>
      <c r="I406" s="313" t="n"/>
      <c r="J406" s="319" t="n"/>
      <c r="K406" s="199" t="n"/>
      <c r="L406" s="199" t="n"/>
      <c r="M406" s="235" t="n"/>
      <c r="N406" s="235" t="n"/>
      <c r="O406" s="235" t="n"/>
    </row>
    <row r="407">
      <c r="B407" s="199" t="n">
        <v>378</v>
      </c>
      <c r="C407" s="199" t="n"/>
      <c r="D407" s="312" t="n"/>
      <c r="E407" s="312" t="n"/>
      <c r="F407" s="312" t="n"/>
      <c r="G407" s="312" t="n"/>
      <c r="H407" s="312" t="n"/>
      <c r="I407" s="313" t="n"/>
      <c r="J407" s="319" t="n"/>
      <c r="K407" s="199" t="n"/>
      <c r="L407" s="199" t="n"/>
      <c r="M407" s="235" t="n"/>
      <c r="N407" s="235" t="n"/>
      <c r="O407" s="235" t="n"/>
    </row>
    <row r="408">
      <c r="B408" s="199" t="n">
        <v>379</v>
      </c>
      <c r="C408" s="199" t="n"/>
      <c r="D408" s="312" t="n"/>
      <c r="E408" s="312" t="n"/>
      <c r="F408" s="312" t="n"/>
      <c r="G408" s="312" t="n"/>
      <c r="H408" s="312" t="n"/>
      <c r="I408" s="313" t="n"/>
      <c r="J408" s="319" t="n"/>
      <c r="K408" s="199" t="n"/>
      <c r="L408" s="199" t="n"/>
      <c r="M408" s="235" t="n"/>
      <c r="N408" s="235" t="n"/>
      <c r="O408" s="235" t="n"/>
    </row>
    <row r="409">
      <c r="B409" s="199" t="n">
        <v>380</v>
      </c>
      <c r="C409" s="199" t="n"/>
      <c r="D409" s="312" t="n"/>
      <c r="E409" s="312" t="n"/>
      <c r="F409" s="312" t="n"/>
      <c r="G409" s="312" t="n"/>
      <c r="H409" s="312" t="n"/>
      <c r="I409" s="313" t="n"/>
      <c r="J409" s="319" t="n"/>
      <c r="K409" s="199" t="n"/>
      <c r="L409" s="199" t="n"/>
      <c r="M409" s="235" t="n"/>
      <c r="N409" s="235" t="n"/>
      <c r="O409" s="235" t="n"/>
    </row>
    <row r="410">
      <c r="B410" s="199" t="n">
        <v>381</v>
      </c>
      <c r="C410" s="199" t="n"/>
      <c r="D410" s="312" t="n"/>
      <c r="E410" s="312" t="n"/>
      <c r="F410" s="312" t="n"/>
      <c r="G410" s="312" t="n"/>
      <c r="H410" s="312" t="n"/>
      <c r="I410" s="313" t="n"/>
      <c r="J410" s="319" t="n"/>
      <c r="K410" s="199" t="n"/>
      <c r="L410" s="199" t="n"/>
      <c r="M410" s="235" t="n"/>
      <c r="N410" s="235" t="n"/>
      <c r="O410" s="235" t="n"/>
    </row>
    <row r="411">
      <c r="B411" s="199" t="n">
        <v>382</v>
      </c>
      <c r="C411" s="199" t="n"/>
      <c r="D411" s="312" t="n"/>
      <c r="E411" s="312" t="n"/>
      <c r="F411" s="312" t="n"/>
      <c r="G411" s="312" t="n"/>
      <c r="H411" s="312" t="n"/>
      <c r="I411" s="313" t="n"/>
      <c r="J411" s="319" t="n"/>
      <c r="K411" s="199" t="n"/>
      <c r="L411" s="199" t="n"/>
      <c r="M411" s="235" t="n"/>
      <c r="N411" s="235" t="n"/>
      <c r="O411" s="235" t="n"/>
    </row>
    <row r="412">
      <c r="B412" s="199" t="n">
        <v>383</v>
      </c>
      <c r="C412" s="199" t="n"/>
      <c r="D412" s="312" t="n"/>
      <c r="E412" s="312" t="n"/>
      <c r="F412" s="312" t="n"/>
      <c r="G412" s="312" t="n"/>
      <c r="H412" s="312" t="n"/>
      <c r="I412" s="313" t="n"/>
      <c r="J412" s="319" t="n"/>
      <c r="K412" s="199" t="n"/>
      <c r="L412" s="199" t="n"/>
      <c r="M412" s="235" t="n"/>
      <c r="N412" s="235" t="n"/>
      <c r="O412" s="235" t="n"/>
    </row>
    <row r="413">
      <c r="B413" s="199" t="n">
        <v>384</v>
      </c>
      <c r="C413" s="199" t="n"/>
      <c r="D413" s="312" t="n"/>
      <c r="E413" s="312" t="n"/>
      <c r="F413" s="312" t="n"/>
      <c r="G413" s="312" t="n"/>
      <c r="H413" s="312" t="n"/>
      <c r="I413" s="313" t="n"/>
      <c r="J413" s="319" t="n"/>
      <c r="K413" s="199" t="n"/>
      <c r="L413" s="199" t="n"/>
      <c r="M413" s="235" t="n"/>
      <c r="N413" s="235" t="n"/>
      <c r="O413" s="235" t="n"/>
    </row>
    <row r="414">
      <c r="B414" s="199" t="n">
        <v>385</v>
      </c>
      <c r="C414" s="199" t="n"/>
      <c r="D414" s="312" t="n"/>
      <c r="E414" s="312" t="n"/>
      <c r="F414" s="312" t="n"/>
      <c r="G414" s="312" t="n"/>
      <c r="H414" s="312" t="n"/>
      <c r="I414" s="313" t="n"/>
      <c r="J414" s="319" t="n"/>
      <c r="K414" s="199" t="n"/>
      <c r="L414" s="199" t="n"/>
      <c r="M414" s="235" t="n"/>
      <c r="N414" s="235" t="n"/>
      <c r="O414" s="235" t="n"/>
    </row>
    <row r="415">
      <c r="B415" s="199" t="n">
        <v>386</v>
      </c>
      <c r="C415" s="199" t="n"/>
      <c r="D415" s="312" t="n"/>
      <c r="E415" s="312" t="n"/>
      <c r="F415" s="312" t="n"/>
      <c r="G415" s="312" t="n"/>
      <c r="H415" s="312" t="n"/>
      <c r="I415" s="313" t="n"/>
      <c r="J415" s="319" t="n"/>
      <c r="K415" s="199" t="n"/>
      <c r="L415" s="199" t="n"/>
      <c r="M415" s="235" t="n"/>
      <c r="N415" s="235" t="n"/>
      <c r="O415" s="235" t="n"/>
    </row>
    <row r="416">
      <c r="B416" s="199" t="n">
        <v>387</v>
      </c>
      <c r="C416" s="199" t="n"/>
      <c r="D416" s="312" t="n"/>
      <c r="E416" s="312" t="n"/>
      <c r="F416" s="312" t="n"/>
      <c r="G416" s="312" t="n"/>
      <c r="H416" s="312" t="n"/>
      <c r="I416" s="313" t="n"/>
      <c r="J416" s="319" t="n"/>
      <c r="K416" s="199" t="n"/>
      <c r="L416" s="199" t="n"/>
      <c r="M416" s="235" t="n"/>
      <c r="N416" s="235" t="n"/>
      <c r="O416" s="235" t="n"/>
    </row>
    <row r="417">
      <c r="B417" s="199" t="n">
        <v>388</v>
      </c>
      <c r="C417" s="199" t="n"/>
      <c r="D417" s="312" t="n"/>
      <c r="E417" s="312" t="n"/>
      <c r="F417" s="312" t="n"/>
      <c r="G417" s="312" t="n"/>
      <c r="H417" s="312" t="n"/>
      <c r="I417" s="313" t="n"/>
      <c r="J417" s="319" t="n"/>
      <c r="K417" s="199" t="n"/>
      <c r="L417" s="199" t="n"/>
      <c r="M417" s="235" t="n"/>
      <c r="N417" s="235" t="n"/>
      <c r="O417" s="235" t="n"/>
    </row>
    <row r="418">
      <c r="B418" s="199" t="n">
        <v>389</v>
      </c>
      <c r="C418" s="199" t="n"/>
      <c r="D418" s="312" t="n"/>
      <c r="E418" s="312" t="n"/>
      <c r="F418" s="312" t="n"/>
      <c r="G418" s="312" t="n"/>
      <c r="H418" s="312" t="n"/>
      <c r="I418" s="313" t="n"/>
      <c r="J418" s="319" t="n"/>
      <c r="K418" s="199" t="n"/>
      <c r="L418" s="199" t="n"/>
      <c r="M418" s="235" t="n"/>
      <c r="N418" s="235" t="n"/>
      <c r="O418" s="235" t="n"/>
    </row>
    <row r="419">
      <c r="B419" s="199" t="n">
        <v>390</v>
      </c>
      <c r="C419" s="199" t="n"/>
      <c r="D419" s="312" t="n"/>
      <c r="E419" s="312" t="n"/>
      <c r="F419" s="312" t="n"/>
      <c r="G419" s="312" t="n"/>
      <c r="H419" s="312" t="n"/>
      <c r="I419" s="313" t="n"/>
      <c r="J419" s="319" t="n"/>
      <c r="K419" s="199" t="n"/>
      <c r="L419" s="199" t="n"/>
      <c r="M419" s="235" t="n"/>
      <c r="N419" s="235" t="n"/>
      <c r="O419" s="235" t="n"/>
    </row>
    <row r="420">
      <c r="B420" s="199" t="n">
        <v>391</v>
      </c>
      <c r="C420" s="199" t="n"/>
      <c r="D420" s="312" t="n"/>
      <c r="E420" s="312" t="n"/>
      <c r="F420" s="312" t="n"/>
      <c r="G420" s="312" t="n"/>
      <c r="H420" s="312" t="n"/>
      <c r="I420" s="313" t="n"/>
      <c r="J420" s="319" t="n"/>
      <c r="K420" s="199" t="n"/>
      <c r="L420" s="199" t="n"/>
      <c r="M420" s="235" t="n"/>
      <c r="N420" s="235" t="n"/>
      <c r="O420" s="235" t="n"/>
    </row>
    <row r="421">
      <c r="B421" s="199" t="n">
        <v>392</v>
      </c>
      <c r="C421" s="199" t="n"/>
      <c r="D421" s="312" t="n"/>
      <c r="E421" s="312" t="n"/>
      <c r="F421" s="312" t="n"/>
      <c r="G421" s="312" t="n"/>
      <c r="H421" s="312" t="n"/>
      <c r="I421" s="313" t="n"/>
      <c r="J421" s="319" t="n"/>
      <c r="K421" s="199" t="n"/>
      <c r="L421" s="199" t="n"/>
      <c r="M421" s="235" t="n"/>
      <c r="N421" s="235" t="n"/>
      <c r="O421" s="235" t="n"/>
    </row>
    <row r="422">
      <c r="B422" s="199" t="n">
        <v>393</v>
      </c>
      <c r="C422" s="199" t="n"/>
      <c r="D422" s="312" t="n"/>
      <c r="E422" s="312" t="n"/>
      <c r="F422" s="312" t="n"/>
      <c r="G422" s="312" t="n"/>
      <c r="H422" s="312" t="n"/>
      <c r="I422" s="313" t="n"/>
      <c r="J422" s="319" t="n"/>
      <c r="K422" s="199" t="n"/>
      <c r="L422" s="199" t="n"/>
      <c r="M422" s="235" t="n"/>
      <c r="N422" s="235" t="n"/>
      <c r="O422" s="235" t="n"/>
    </row>
    <row r="423">
      <c r="B423" s="199" t="n">
        <v>394</v>
      </c>
      <c r="C423" s="199" t="n"/>
      <c r="D423" s="312" t="n"/>
      <c r="E423" s="312" t="n"/>
      <c r="F423" s="312" t="n"/>
      <c r="G423" s="312" t="n"/>
      <c r="H423" s="312" t="n"/>
      <c r="I423" s="313" t="n"/>
      <c r="J423" s="319" t="n"/>
      <c r="K423" s="199" t="n"/>
      <c r="L423" s="199" t="n"/>
      <c r="M423" s="235" t="n"/>
      <c r="N423" s="235" t="n"/>
      <c r="O423" s="235" t="n"/>
    </row>
    <row r="424">
      <c r="B424" s="199" t="n">
        <v>395</v>
      </c>
      <c r="C424" s="199" t="n"/>
      <c r="D424" s="312" t="n"/>
      <c r="E424" s="312" t="n"/>
      <c r="F424" s="312" t="n"/>
      <c r="G424" s="312" t="n"/>
      <c r="H424" s="312" t="n"/>
      <c r="I424" s="313" t="n"/>
      <c r="J424" s="319" t="n"/>
      <c r="K424" s="199" t="n"/>
      <c r="L424" s="199" t="n"/>
      <c r="M424" s="235" t="n"/>
      <c r="N424" s="235" t="n"/>
      <c r="O424" s="235" t="n"/>
    </row>
    <row r="425">
      <c r="B425" s="199" t="n">
        <v>396</v>
      </c>
      <c r="C425" s="199" t="n"/>
      <c r="D425" s="312" t="n"/>
      <c r="E425" s="312" t="n"/>
      <c r="F425" s="312" t="n"/>
      <c r="G425" s="312" t="n"/>
      <c r="H425" s="312" t="n"/>
      <c r="I425" s="313" t="n"/>
      <c r="J425" s="319" t="n"/>
      <c r="K425" s="199" t="n"/>
      <c r="L425" s="199" t="n"/>
      <c r="M425" s="235" t="n"/>
      <c r="N425" s="235" t="n"/>
      <c r="O425" s="235" t="n"/>
    </row>
    <row r="426">
      <c r="B426" s="199" t="n">
        <v>397</v>
      </c>
      <c r="C426" s="199" t="n"/>
      <c r="D426" s="312" t="n"/>
      <c r="E426" s="312" t="n"/>
      <c r="F426" s="312" t="n"/>
      <c r="G426" s="312" t="n"/>
      <c r="H426" s="312" t="n"/>
      <c r="I426" s="313" t="n"/>
      <c r="J426" s="319" t="n"/>
      <c r="K426" s="199" t="n"/>
      <c r="L426" s="199" t="n"/>
      <c r="M426" s="235" t="n"/>
      <c r="N426" s="235" t="n"/>
      <c r="O426" s="235" t="n"/>
    </row>
    <row r="427">
      <c r="B427" s="199" t="n">
        <v>398</v>
      </c>
      <c r="C427" s="199" t="n"/>
      <c r="D427" s="312" t="n"/>
      <c r="E427" s="312" t="n"/>
      <c r="F427" s="312" t="n"/>
      <c r="G427" s="312" t="n"/>
      <c r="H427" s="312" t="n"/>
      <c r="I427" s="313" t="n"/>
      <c r="J427" s="319" t="n"/>
      <c r="K427" s="199" t="n"/>
      <c r="L427" s="199" t="n"/>
      <c r="M427" s="235" t="n"/>
      <c r="N427" s="235" t="n"/>
      <c r="O427" s="235" t="n"/>
    </row>
    <row r="428">
      <c r="B428" s="199" t="n">
        <v>399</v>
      </c>
      <c r="C428" s="199" t="n"/>
      <c r="D428" s="312" t="n"/>
      <c r="E428" s="312" t="n"/>
      <c r="F428" s="312" t="n"/>
      <c r="G428" s="312" t="n"/>
      <c r="H428" s="312" t="n"/>
      <c r="I428" s="313" t="n"/>
      <c r="J428" s="319" t="n"/>
      <c r="K428" s="199" t="n"/>
      <c r="L428" s="199" t="n"/>
      <c r="M428" s="235" t="n"/>
      <c r="N428" s="235" t="n"/>
      <c r="O428" s="235" t="n"/>
    </row>
    <row r="429">
      <c r="B429" s="199" t="n">
        <v>400</v>
      </c>
      <c r="C429" s="199" t="n"/>
      <c r="D429" s="312" t="n"/>
      <c r="E429" s="312" t="n"/>
      <c r="F429" s="312" t="n"/>
      <c r="G429" s="312" t="n"/>
      <c r="H429" s="312" t="n"/>
      <c r="I429" s="313" t="n"/>
      <c r="J429" s="319" t="n"/>
      <c r="K429" s="199" t="n"/>
      <c r="L429" s="199" t="n"/>
      <c r="M429" s="235" t="n"/>
      <c r="N429" s="235" t="n"/>
      <c r="O429" s="235" t="n"/>
    </row>
    <row r="430">
      <c r="B430" s="199" t="n">
        <v>401</v>
      </c>
      <c r="C430" s="199" t="n"/>
      <c r="D430" s="312" t="n"/>
      <c r="E430" s="312" t="n"/>
      <c r="F430" s="312" t="n"/>
      <c r="G430" s="312" t="n"/>
      <c r="H430" s="312" t="n"/>
      <c r="I430" s="313" t="n"/>
      <c r="J430" s="319" t="n"/>
      <c r="K430" s="199" t="n"/>
      <c r="L430" s="199" t="n"/>
      <c r="M430" s="235" t="n"/>
      <c r="N430" s="235" t="n"/>
      <c r="O430" s="235" t="n"/>
    </row>
    <row r="431">
      <c r="B431" s="199" t="n">
        <v>402</v>
      </c>
      <c r="C431" s="199" t="n"/>
      <c r="D431" s="312" t="n"/>
      <c r="E431" s="312" t="n"/>
      <c r="F431" s="312" t="n"/>
      <c r="G431" s="312" t="n"/>
      <c r="H431" s="312" t="n"/>
      <c r="I431" s="313" t="n"/>
      <c r="J431" s="319" t="n"/>
      <c r="K431" s="199" t="n"/>
      <c r="L431" s="199" t="n"/>
      <c r="M431" s="235" t="n"/>
      <c r="N431" s="235" t="n"/>
      <c r="O431" s="235" t="n"/>
    </row>
    <row r="432">
      <c r="B432" s="199" t="n">
        <v>403</v>
      </c>
      <c r="C432" s="199" t="n"/>
      <c r="D432" s="312" t="n"/>
      <c r="E432" s="312" t="n"/>
      <c r="F432" s="312" t="n"/>
      <c r="G432" s="312" t="n"/>
      <c r="H432" s="312" t="n"/>
      <c r="I432" s="313" t="n"/>
      <c r="J432" s="319" t="n"/>
      <c r="K432" s="199" t="n"/>
      <c r="L432" s="199" t="n"/>
      <c r="M432" s="235" t="n"/>
      <c r="N432" s="235" t="n"/>
      <c r="O432" s="235" t="n"/>
    </row>
    <row r="433">
      <c r="B433" s="199" t="n">
        <v>404</v>
      </c>
      <c r="C433" s="199" t="n"/>
      <c r="D433" s="312" t="n"/>
      <c r="E433" s="312" t="n"/>
      <c r="F433" s="312" t="n"/>
      <c r="G433" s="312" t="n"/>
      <c r="H433" s="312" t="n"/>
      <c r="I433" s="313" t="n"/>
      <c r="J433" s="319" t="n"/>
      <c r="K433" s="199" t="n"/>
      <c r="L433" s="199" t="n"/>
      <c r="M433" s="235" t="n"/>
      <c r="N433" s="235" t="n"/>
      <c r="O433" s="235" t="n"/>
    </row>
    <row r="434">
      <c r="B434" s="199" t="n">
        <v>405</v>
      </c>
      <c r="C434" s="199" t="n"/>
      <c r="D434" s="312" t="n"/>
      <c r="E434" s="312" t="n"/>
      <c r="F434" s="312" t="n"/>
      <c r="G434" s="312" t="n"/>
      <c r="H434" s="312" t="n"/>
      <c r="I434" s="313" t="n"/>
      <c r="J434" s="319" t="n"/>
      <c r="K434" s="199" t="n"/>
      <c r="L434" s="199" t="n"/>
      <c r="M434" s="235" t="n"/>
      <c r="N434" s="235" t="n"/>
      <c r="O434" s="235" t="n"/>
    </row>
    <row r="435">
      <c r="B435" s="199" t="n">
        <v>406</v>
      </c>
      <c r="C435" s="199" t="n"/>
      <c r="D435" s="312" t="n"/>
      <c r="E435" s="312" t="n"/>
      <c r="F435" s="312" t="n"/>
      <c r="G435" s="312" t="n"/>
      <c r="H435" s="312" t="n"/>
      <c r="I435" s="313" t="n"/>
      <c r="J435" s="319" t="n"/>
      <c r="K435" s="199" t="n"/>
      <c r="L435" s="199" t="n"/>
      <c r="M435" s="235" t="n"/>
      <c r="N435" s="235" t="n"/>
      <c r="O435" s="235" t="n"/>
    </row>
    <row r="436">
      <c r="B436" s="199" t="n">
        <v>407</v>
      </c>
      <c r="C436" s="199" t="n"/>
      <c r="D436" s="312" t="n"/>
      <c r="E436" s="312" t="n"/>
      <c r="F436" s="312" t="n"/>
      <c r="G436" s="312" t="n"/>
      <c r="H436" s="312" t="n"/>
      <c r="I436" s="313" t="n"/>
      <c r="J436" s="319" t="n"/>
      <c r="K436" s="199" t="n"/>
      <c r="L436" s="199" t="n"/>
      <c r="M436" s="235" t="n"/>
      <c r="N436" s="235" t="n"/>
      <c r="O436" s="235" t="n"/>
    </row>
    <row r="437">
      <c r="B437" s="199" t="n">
        <v>408</v>
      </c>
      <c r="C437" s="199" t="n"/>
      <c r="D437" s="312" t="n"/>
      <c r="E437" s="312" t="n"/>
      <c r="F437" s="312" t="n"/>
      <c r="G437" s="312" t="n"/>
      <c r="H437" s="312" t="n"/>
      <c r="I437" s="313" t="n"/>
      <c r="J437" s="319" t="n"/>
      <c r="K437" s="199" t="n"/>
      <c r="L437" s="199" t="n"/>
      <c r="M437" s="235" t="n"/>
      <c r="N437" s="235" t="n"/>
      <c r="O437" s="235" t="n"/>
    </row>
    <row r="438">
      <c r="B438" s="199" t="n">
        <v>409</v>
      </c>
      <c r="C438" s="199" t="n"/>
      <c r="D438" s="312" t="n"/>
      <c r="E438" s="312" t="n"/>
      <c r="F438" s="312" t="n"/>
      <c r="G438" s="312" t="n"/>
      <c r="H438" s="312" t="n"/>
      <c r="I438" s="313" t="n"/>
      <c r="J438" s="319" t="n"/>
      <c r="K438" s="199" t="n"/>
      <c r="L438" s="199" t="n"/>
      <c r="M438" s="235" t="n"/>
      <c r="N438" s="235" t="n"/>
      <c r="O438" s="235" t="n"/>
    </row>
    <row r="439">
      <c r="B439" s="199" t="n">
        <v>410</v>
      </c>
      <c r="C439" s="199" t="n"/>
      <c r="D439" s="312" t="n"/>
      <c r="E439" s="312" t="n"/>
      <c r="F439" s="312" t="n"/>
      <c r="G439" s="312" t="n"/>
      <c r="H439" s="312" t="n"/>
      <c r="I439" s="313" t="n"/>
      <c r="J439" s="319" t="n"/>
      <c r="K439" s="199" t="n"/>
      <c r="L439" s="199" t="n"/>
      <c r="M439" s="235" t="n"/>
      <c r="N439" s="235" t="n"/>
      <c r="O439" s="235" t="n"/>
    </row>
    <row r="440">
      <c r="B440" s="199" t="n">
        <v>411</v>
      </c>
      <c r="C440" s="199" t="n"/>
      <c r="D440" s="312" t="n"/>
      <c r="E440" s="312" t="n"/>
      <c r="F440" s="312" t="n"/>
      <c r="G440" s="312" t="n"/>
      <c r="H440" s="312" t="n"/>
      <c r="I440" s="313" t="n"/>
      <c r="J440" s="319" t="n"/>
      <c r="K440" s="199" t="n"/>
      <c r="L440" s="199" t="n"/>
      <c r="M440" s="235" t="n"/>
      <c r="N440" s="235" t="n"/>
      <c r="O440" s="235" t="n"/>
    </row>
    <row r="441">
      <c r="B441" s="199" t="n">
        <v>412</v>
      </c>
      <c r="C441" s="199" t="n"/>
      <c r="D441" s="312" t="n"/>
      <c r="E441" s="312" t="n"/>
      <c r="F441" s="312" t="n"/>
      <c r="G441" s="312" t="n"/>
      <c r="H441" s="312" t="n"/>
      <c r="I441" s="313" t="n"/>
      <c r="J441" s="319" t="n"/>
      <c r="K441" s="199" t="n"/>
      <c r="L441" s="199" t="n"/>
      <c r="M441" s="235" t="n"/>
      <c r="N441" s="235" t="n"/>
      <c r="O441" s="235" t="n"/>
    </row>
    <row r="442">
      <c r="B442" s="199" t="n">
        <v>413</v>
      </c>
      <c r="C442" s="199" t="n"/>
      <c r="D442" s="312" t="n"/>
      <c r="E442" s="312" t="n"/>
      <c r="F442" s="312" t="n"/>
      <c r="G442" s="312" t="n"/>
      <c r="H442" s="312" t="n"/>
      <c r="I442" s="313" t="n"/>
      <c r="J442" s="319" t="n"/>
      <c r="K442" s="199" t="n"/>
      <c r="L442" s="199" t="n"/>
      <c r="M442" s="235" t="n"/>
      <c r="N442" s="235" t="n"/>
      <c r="O442" s="235" t="n"/>
    </row>
    <row r="443">
      <c r="B443" s="199" t="n">
        <v>414</v>
      </c>
      <c r="C443" s="199" t="n"/>
      <c r="D443" s="312" t="n"/>
      <c r="E443" s="312" t="n"/>
      <c r="F443" s="312" t="n"/>
      <c r="G443" s="312" t="n"/>
      <c r="H443" s="312" t="n"/>
      <c r="I443" s="313" t="n"/>
      <c r="J443" s="319" t="n"/>
      <c r="K443" s="199" t="n"/>
      <c r="L443" s="199" t="n"/>
      <c r="M443" s="235" t="n"/>
      <c r="N443" s="235" t="n"/>
      <c r="O443" s="235" t="n"/>
    </row>
    <row r="444">
      <c r="B444" s="199" t="n">
        <v>415</v>
      </c>
      <c r="C444" s="199" t="n"/>
      <c r="D444" s="312" t="n"/>
      <c r="E444" s="312" t="n"/>
      <c r="F444" s="312" t="n"/>
      <c r="G444" s="312" t="n"/>
      <c r="H444" s="312" t="n"/>
      <c r="I444" s="313" t="n"/>
      <c r="J444" s="319" t="n"/>
      <c r="K444" s="199" t="n"/>
      <c r="L444" s="199" t="n"/>
      <c r="M444" s="235" t="n"/>
      <c r="N444" s="235" t="n"/>
      <c r="O444" s="235" t="n"/>
    </row>
    <row r="445">
      <c r="B445" s="199" t="n">
        <v>416</v>
      </c>
      <c r="C445" s="199" t="n"/>
      <c r="D445" s="312" t="n"/>
      <c r="E445" s="312" t="n"/>
      <c r="F445" s="312" t="n"/>
      <c r="G445" s="312" t="n"/>
      <c r="H445" s="312" t="n"/>
      <c r="I445" s="313" t="n"/>
      <c r="J445" s="319" t="n"/>
      <c r="K445" s="199" t="n"/>
      <c r="L445" s="199" t="n"/>
      <c r="M445" s="235" t="n"/>
      <c r="N445" s="235" t="n"/>
      <c r="O445" s="235" t="n"/>
    </row>
    <row r="446">
      <c r="B446" s="199" t="n">
        <v>417</v>
      </c>
      <c r="C446" s="199" t="n"/>
      <c r="D446" s="312" t="n"/>
      <c r="E446" s="312" t="n"/>
      <c r="F446" s="312" t="n"/>
      <c r="G446" s="312" t="n"/>
      <c r="H446" s="312" t="n"/>
      <c r="I446" s="313" t="n"/>
      <c r="J446" s="319" t="n"/>
      <c r="K446" s="199" t="n"/>
      <c r="L446" s="199" t="n"/>
      <c r="M446" s="235" t="n"/>
      <c r="N446" s="235" t="n"/>
      <c r="O446" s="235" t="n"/>
    </row>
    <row r="447">
      <c r="B447" s="199" t="n">
        <v>418</v>
      </c>
      <c r="C447" s="199" t="n"/>
      <c r="D447" s="312" t="n"/>
      <c r="E447" s="312" t="n"/>
      <c r="F447" s="312" t="n"/>
      <c r="G447" s="312" t="n"/>
      <c r="H447" s="312" t="n"/>
      <c r="I447" s="313" t="n"/>
      <c r="J447" s="319" t="n"/>
      <c r="K447" s="199" t="n"/>
      <c r="L447" s="199" t="n"/>
      <c r="M447" s="235" t="n"/>
      <c r="N447" s="235" t="n"/>
      <c r="O447" s="235" t="n"/>
    </row>
    <row r="448">
      <c r="B448" s="199" t="n">
        <v>419</v>
      </c>
      <c r="C448" s="199" t="n"/>
      <c r="D448" s="312" t="n"/>
      <c r="E448" s="312" t="n"/>
      <c r="F448" s="312" t="n"/>
      <c r="G448" s="312" t="n"/>
      <c r="H448" s="312" t="n"/>
      <c r="I448" s="313" t="n"/>
      <c r="J448" s="319" t="n"/>
      <c r="K448" s="199" t="n"/>
      <c r="L448" s="199" t="n"/>
      <c r="M448" s="235" t="n"/>
      <c r="N448" s="235" t="n"/>
      <c r="O448" s="235" t="n"/>
    </row>
    <row r="449">
      <c r="B449" s="199" t="n">
        <v>420</v>
      </c>
      <c r="C449" s="199" t="n"/>
      <c r="D449" s="312" t="n"/>
      <c r="E449" s="312" t="n"/>
      <c r="F449" s="312" t="n"/>
      <c r="G449" s="312" t="n"/>
      <c r="H449" s="312" t="n"/>
      <c r="I449" s="313" t="n"/>
      <c r="J449" s="319" t="n"/>
      <c r="K449" s="199" t="n"/>
      <c r="L449" s="199" t="n"/>
      <c r="M449" s="235" t="n"/>
      <c r="N449" s="235" t="n"/>
      <c r="O449" s="235" t="n"/>
    </row>
    <row r="450">
      <c r="B450" s="199" t="n">
        <v>421</v>
      </c>
      <c r="C450" s="199" t="n"/>
      <c r="D450" s="312" t="n"/>
      <c r="E450" s="312" t="n"/>
      <c r="F450" s="312" t="n"/>
      <c r="G450" s="312" t="n"/>
      <c r="H450" s="312" t="n"/>
      <c r="I450" s="313" t="n"/>
      <c r="J450" s="319" t="n"/>
      <c r="K450" s="199" t="n"/>
      <c r="L450" s="199" t="n"/>
      <c r="M450" s="235" t="n"/>
      <c r="N450" s="235" t="n"/>
      <c r="O450" s="235" t="n"/>
    </row>
    <row r="451">
      <c r="B451" s="199" t="n">
        <v>422</v>
      </c>
      <c r="C451" s="199" t="n"/>
      <c r="D451" s="312" t="n"/>
      <c r="E451" s="312" t="n"/>
      <c r="F451" s="312" t="n"/>
      <c r="G451" s="312" t="n"/>
      <c r="H451" s="312" t="n"/>
      <c r="I451" s="313" t="n"/>
      <c r="J451" s="319" t="n"/>
      <c r="K451" s="199" t="n"/>
      <c r="L451" s="199" t="n"/>
      <c r="M451" s="235" t="n"/>
      <c r="N451" s="235" t="n"/>
      <c r="O451" s="235" t="n"/>
    </row>
    <row r="452">
      <c r="B452" s="199" t="n">
        <v>423</v>
      </c>
      <c r="C452" s="199" t="n"/>
      <c r="D452" s="312" t="n"/>
      <c r="E452" s="312" t="n"/>
      <c r="F452" s="312" t="n"/>
      <c r="G452" s="312" t="n"/>
      <c r="H452" s="312" t="n"/>
      <c r="I452" s="313" t="n"/>
      <c r="J452" s="319" t="n"/>
      <c r="K452" s="199" t="n"/>
      <c r="L452" s="199" t="n"/>
      <c r="M452" s="235" t="n"/>
      <c r="N452" s="235" t="n"/>
      <c r="O452" s="235" t="n"/>
    </row>
    <row r="453">
      <c r="B453" s="199" t="n">
        <v>424</v>
      </c>
      <c r="C453" s="199" t="n"/>
      <c r="D453" s="312" t="n"/>
      <c r="E453" s="312" t="n"/>
      <c r="F453" s="312" t="n"/>
      <c r="G453" s="312" t="n"/>
      <c r="H453" s="312" t="n"/>
      <c r="I453" s="313" t="n"/>
      <c r="J453" s="319" t="n"/>
      <c r="K453" s="199" t="n"/>
      <c r="L453" s="199" t="n"/>
      <c r="M453" s="235" t="n"/>
      <c r="N453" s="235" t="n"/>
      <c r="O453" s="235" t="n"/>
    </row>
    <row r="454">
      <c r="B454" s="199" t="n">
        <v>425</v>
      </c>
      <c r="C454" s="199" t="n"/>
      <c r="D454" s="312" t="n"/>
      <c r="E454" s="312" t="n"/>
      <c r="F454" s="312" t="n"/>
      <c r="G454" s="312" t="n"/>
      <c r="H454" s="312" t="n"/>
      <c r="I454" s="313" t="n"/>
      <c r="J454" s="319" t="n"/>
      <c r="K454" s="199" t="n"/>
      <c r="L454" s="199" t="n"/>
      <c r="M454" s="235" t="n"/>
      <c r="N454" s="235" t="n"/>
      <c r="O454" s="235" t="n"/>
    </row>
    <row r="455">
      <c r="B455" s="199" t="n">
        <v>426</v>
      </c>
      <c r="C455" s="199" t="n"/>
      <c r="D455" s="312" t="n"/>
      <c r="E455" s="312" t="n"/>
      <c r="F455" s="312" t="n"/>
      <c r="G455" s="312" t="n"/>
      <c r="H455" s="312" t="n"/>
      <c r="I455" s="313" t="n"/>
      <c r="J455" s="319" t="n"/>
      <c r="K455" s="199" t="n"/>
      <c r="L455" s="199" t="n"/>
      <c r="M455" s="235" t="n"/>
      <c r="N455" s="235" t="n"/>
      <c r="O455" s="235" t="n"/>
    </row>
    <row r="456">
      <c r="B456" s="199" t="n">
        <v>427</v>
      </c>
      <c r="C456" s="199" t="n"/>
      <c r="D456" s="312" t="n"/>
      <c r="E456" s="312" t="n"/>
      <c r="F456" s="312" t="n"/>
      <c r="G456" s="312" t="n"/>
      <c r="H456" s="312" t="n"/>
      <c r="I456" s="313" t="n"/>
      <c r="J456" s="319" t="n"/>
      <c r="K456" s="199" t="n"/>
      <c r="L456" s="199" t="n"/>
      <c r="M456" s="235" t="n"/>
      <c r="N456" s="235" t="n"/>
      <c r="O456" s="235" t="n"/>
    </row>
    <row r="457">
      <c r="B457" s="199" t="n">
        <v>428</v>
      </c>
      <c r="C457" s="199" t="n"/>
      <c r="D457" s="312" t="n"/>
      <c r="E457" s="312" t="n"/>
      <c r="F457" s="312" t="n"/>
      <c r="G457" s="312" t="n"/>
      <c r="H457" s="312" t="n"/>
      <c r="I457" s="313" t="n"/>
      <c r="J457" s="319" t="n"/>
      <c r="K457" s="199" t="n"/>
      <c r="L457" s="199" t="n"/>
      <c r="M457" s="235" t="n"/>
      <c r="N457" s="235" t="n"/>
      <c r="O457" s="235" t="n"/>
    </row>
    <row r="458">
      <c r="B458" s="199" t="n">
        <v>429</v>
      </c>
      <c r="C458" s="199" t="n"/>
      <c r="D458" s="312" t="n"/>
      <c r="E458" s="312" t="n"/>
      <c r="F458" s="312" t="n"/>
      <c r="G458" s="312" t="n"/>
      <c r="H458" s="312" t="n"/>
      <c r="I458" s="313" t="n"/>
      <c r="J458" s="319" t="n"/>
      <c r="K458" s="199" t="n"/>
      <c r="L458" s="199" t="n"/>
      <c r="M458" s="235" t="n"/>
      <c r="N458" s="235" t="n"/>
      <c r="O458" s="235" t="n"/>
    </row>
    <row r="459">
      <c r="B459" s="199" t="n">
        <v>430</v>
      </c>
      <c r="C459" s="199" t="n"/>
      <c r="D459" s="312" t="n"/>
      <c r="E459" s="312" t="n"/>
      <c r="F459" s="312" t="n"/>
      <c r="G459" s="312" t="n"/>
      <c r="H459" s="312" t="n"/>
      <c r="I459" s="313" t="n"/>
      <c r="J459" s="319" t="n"/>
      <c r="K459" s="199" t="n"/>
      <c r="L459" s="199" t="n"/>
      <c r="M459" s="235" t="n"/>
      <c r="N459" s="235" t="n"/>
      <c r="O459" s="235" t="n"/>
    </row>
    <row r="460">
      <c r="B460" s="199" t="n">
        <v>431</v>
      </c>
      <c r="C460" s="199" t="n"/>
      <c r="D460" s="312" t="n"/>
      <c r="E460" s="312" t="n"/>
      <c r="F460" s="312" t="n"/>
      <c r="G460" s="312" t="n"/>
      <c r="H460" s="312" t="n"/>
      <c r="I460" s="313" t="n"/>
      <c r="J460" s="319" t="n"/>
      <c r="K460" s="199" t="n"/>
      <c r="L460" s="199" t="n"/>
      <c r="M460" s="235" t="n"/>
      <c r="N460" s="235" t="n"/>
      <c r="O460" s="235" t="n"/>
    </row>
    <row r="461">
      <c r="B461" s="199" t="n">
        <v>432</v>
      </c>
      <c r="C461" s="199" t="n"/>
      <c r="D461" s="312" t="n"/>
      <c r="E461" s="312" t="n"/>
      <c r="F461" s="312" t="n"/>
      <c r="G461" s="312" t="n"/>
      <c r="H461" s="312" t="n"/>
      <c r="I461" s="313" t="n"/>
      <c r="J461" s="319" t="n"/>
      <c r="K461" s="199" t="n"/>
      <c r="L461" s="199" t="n"/>
      <c r="M461" s="235" t="n"/>
      <c r="N461" s="235" t="n"/>
      <c r="O461" s="235" t="n"/>
    </row>
    <row r="462">
      <c r="B462" s="199" t="n">
        <v>433</v>
      </c>
      <c r="C462" s="199" t="n"/>
      <c r="D462" s="312" t="n"/>
      <c r="E462" s="312" t="n"/>
      <c r="F462" s="312" t="n"/>
      <c r="G462" s="312" t="n"/>
      <c r="H462" s="312" t="n"/>
      <c r="I462" s="313" t="n"/>
      <c r="J462" s="319" t="n"/>
      <c r="K462" s="199" t="n"/>
      <c r="L462" s="199" t="n"/>
      <c r="M462" s="235" t="n"/>
      <c r="N462" s="235" t="n"/>
      <c r="O462" s="235" t="n"/>
    </row>
    <row r="463">
      <c r="B463" s="199" t="n">
        <v>434</v>
      </c>
      <c r="C463" s="199" t="n"/>
      <c r="D463" s="312" t="n"/>
      <c r="E463" s="312" t="n"/>
      <c r="F463" s="312" t="n"/>
      <c r="G463" s="312" t="n"/>
      <c r="H463" s="312" t="n"/>
      <c r="I463" s="313" t="n"/>
      <c r="J463" s="319" t="n"/>
      <c r="K463" s="199" t="n"/>
      <c r="L463" s="199" t="n"/>
      <c r="M463" s="235" t="n"/>
      <c r="N463" s="235" t="n"/>
      <c r="O463" s="235" t="n"/>
    </row>
    <row r="464">
      <c r="B464" s="199" t="n">
        <v>435</v>
      </c>
      <c r="C464" s="199" t="n"/>
      <c r="D464" s="312" t="n"/>
      <c r="E464" s="312" t="n"/>
      <c r="F464" s="312" t="n"/>
      <c r="G464" s="312" t="n"/>
      <c r="H464" s="312" t="n"/>
      <c r="I464" s="313" t="n"/>
      <c r="J464" s="319" t="n"/>
      <c r="K464" s="199" t="n"/>
      <c r="L464" s="199" t="n"/>
      <c r="M464" s="235" t="n"/>
      <c r="N464" s="235" t="n"/>
      <c r="O464" s="235" t="n"/>
    </row>
    <row r="465">
      <c r="B465" s="199" t="n">
        <v>436</v>
      </c>
      <c r="C465" s="199" t="n"/>
      <c r="D465" s="312" t="n"/>
      <c r="E465" s="312" t="n"/>
      <c r="F465" s="312" t="n"/>
      <c r="G465" s="312" t="n"/>
      <c r="H465" s="312" t="n"/>
      <c r="I465" s="313" t="n"/>
      <c r="J465" s="319" t="n"/>
      <c r="K465" s="199" t="n"/>
      <c r="L465" s="199" t="n"/>
      <c r="M465" s="235" t="n"/>
      <c r="N465" s="235" t="n"/>
      <c r="O465" s="235" t="n"/>
    </row>
    <row r="466">
      <c r="B466" s="199" t="n">
        <v>437</v>
      </c>
      <c r="C466" s="199" t="n"/>
      <c r="D466" s="312" t="n"/>
      <c r="E466" s="312" t="n"/>
      <c r="F466" s="312" t="n"/>
      <c r="G466" s="312" t="n"/>
      <c r="H466" s="312" t="n"/>
      <c r="I466" s="313" t="n"/>
      <c r="J466" s="319" t="n"/>
      <c r="K466" s="199" t="n"/>
      <c r="L466" s="199" t="n"/>
      <c r="M466" s="235" t="n"/>
      <c r="N466" s="235" t="n"/>
      <c r="O466" s="235" t="n"/>
    </row>
    <row r="467">
      <c r="B467" s="199" t="n">
        <v>438</v>
      </c>
      <c r="C467" s="199" t="n"/>
      <c r="D467" s="312" t="n"/>
      <c r="E467" s="312" t="n"/>
      <c r="F467" s="312" t="n"/>
      <c r="G467" s="312" t="n"/>
      <c r="H467" s="312" t="n"/>
      <c r="I467" s="313" t="n"/>
      <c r="J467" s="319" t="n"/>
      <c r="K467" s="199" t="n"/>
      <c r="L467" s="199" t="n"/>
      <c r="M467" s="235" t="n"/>
      <c r="N467" s="235" t="n"/>
      <c r="O467" s="235" t="n"/>
    </row>
    <row r="468">
      <c r="B468" s="199" t="n">
        <v>439</v>
      </c>
      <c r="C468" s="199" t="n"/>
      <c r="D468" s="312" t="n"/>
      <c r="E468" s="312" t="n"/>
      <c r="F468" s="312" t="n"/>
      <c r="G468" s="312" t="n"/>
      <c r="H468" s="312" t="n"/>
      <c r="I468" s="313" t="n"/>
      <c r="J468" s="319" t="n"/>
      <c r="K468" s="199" t="n"/>
      <c r="L468" s="199" t="n"/>
      <c r="M468" s="235" t="n"/>
      <c r="N468" s="235" t="n"/>
      <c r="O468" s="235" t="n"/>
    </row>
    <row r="469">
      <c r="B469" s="199" t="n">
        <v>440</v>
      </c>
      <c r="C469" s="199" t="n"/>
      <c r="D469" s="312" t="n"/>
      <c r="E469" s="312" t="n"/>
      <c r="F469" s="312" t="n"/>
      <c r="G469" s="312" t="n"/>
      <c r="H469" s="312" t="n"/>
      <c r="I469" s="313" t="n"/>
      <c r="J469" s="319" t="n"/>
      <c r="K469" s="199" t="n"/>
      <c r="L469" s="199" t="n"/>
      <c r="M469" s="235" t="n"/>
      <c r="N469" s="235" t="n"/>
      <c r="O469" s="235" t="n"/>
    </row>
    <row r="470">
      <c r="B470" s="199" t="n">
        <v>441</v>
      </c>
      <c r="C470" s="199" t="n"/>
      <c r="D470" s="312" t="n"/>
      <c r="E470" s="312" t="n"/>
      <c r="F470" s="312" t="n"/>
      <c r="G470" s="312" t="n"/>
      <c r="H470" s="312" t="n"/>
      <c r="I470" s="313" t="n"/>
      <c r="J470" s="319" t="n"/>
      <c r="K470" s="199" t="n"/>
      <c r="L470" s="199" t="n"/>
      <c r="M470" s="235" t="n"/>
      <c r="N470" s="235" t="n"/>
      <c r="O470" s="235" t="n"/>
    </row>
    <row r="471">
      <c r="B471" s="199" t="n">
        <v>442</v>
      </c>
      <c r="C471" s="199" t="n"/>
      <c r="D471" s="312" t="n"/>
      <c r="E471" s="312" t="n"/>
      <c r="F471" s="312" t="n"/>
      <c r="G471" s="312" t="n"/>
      <c r="H471" s="312" t="n"/>
      <c r="I471" s="313" t="n"/>
      <c r="J471" s="319" t="n"/>
      <c r="K471" s="199" t="n"/>
      <c r="L471" s="199" t="n"/>
      <c r="M471" s="235" t="n"/>
      <c r="N471" s="235" t="n"/>
      <c r="O471" s="235" t="n"/>
    </row>
    <row r="472">
      <c r="B472" s="199" t="n">
        <v>443</v>
      </c>
      <c r="C472" s="199" t="n"/>
      <c r="D472" s="312" t="n"/>
      <c r="E472" s="312" t="n"/>
      <c r="F472" s="312" t="n"/>
      <c r="G472" s="312" t="n"/>
      <c r="H472" s="312" t="n"/>
      <c r="I472" s="313" t="n"/>
      <c r="J472" s="319" t="n"/>
      <c r="K472" s="199" t="n"/>
      <c r="L472" s="199" t="n"/>
      <c r="M472" s="235" t="n"/>
      <c r="N472" s="235" t="n"/>
      <c r="O472" s="235" t="n"/>
    </row>
    <row r="473">
      <c r="B473" s="199" t="n">
        <v>444</v>
      </c>
      <c r="C473" s="199" t="n"/>
      <c r="D473" s="312" t="n"/>
      <c r="E473" s="312" t="n"/>
      <c r="F473" s="312" t="n"/>
      <c r="G473" s="312" t="n"/>
      <c r="H473" s="312" t="n"/>
      <c r="I473" s="313" t="n"/>
      <c r="J473" s="319" t="n"/>
      <c r="K473" s="199" t="n"/>
      <c r="L473" s="199" t="n"/>
      <c r="M473" s="235" t="n"/>
      <c r="N473" s="235" t="n"/>
      <c r="O473" s="235" t="n"/>
    </row>
    <row r="474">
      <c r="B474" s="199" t="n">
        <v>445</v>
      </c>
      <c r="C474" s="199" t="n"/>
      <c r="D474" s="312" t="n"/>
      <c r="E474" s="312" t="n"/>
      <c r="F474" s="312" t="n"/>
      <c r="G474" s="312" t="n"/>
      <c r="H474" s="312" t="n"/>
      <c r="I474" s="313" t="n"/>
      <c r="J474" s="319" t="n"/>
      <c r="K474" s="199" t="n"/>
      <c r="L474" s="199" t="n"/>
      <c r="M474" s="235" t="n"/>
      <c r="N474" s="235" t="n"/>
      <c r="O474" s="235" t="n"/>
    </row>
    <row r="475">
      <c r="B475" s="199" t="n">
        <v>446</v>
      </c>
      <c r="C475" s="199" t="n"/>
      <c r="D475" s="312" t="n"/>
      <c r="E475" s="312" t="n"/>
      <c r="F475" s="312" t="n"/>
      <c r="G475" s="312" t="n"/>
      <c r="H475" s="312" t="n"/>
      <c r="I475" s="313" t="n"/>
      <c r="J475" s="319" t="n"/>
      <c r="K475" s="199" t="n"/>
      <c r="L475" s="199" t="n"/>
      <c r="M475" s="235" t="n"/>
      <c r="N475" s="235" t="n"/>
      <c r="O475" s="235" t="n"/>
    </row>
    <row r="476">
      <c r="B476" s="199" t="n">
        <v>447</v>
      </c>
      <c r="C476" s="199" t="n"/>
      <c r="D476" s="312" t="n"/>
      <c r="E476" s="312" t="n"/>
      <c r="F476" s="312" t="n"/>
      <c r="G476" s="312" t="n"/>
      <c r="H476" s="312" t="n"/>
      <c r="I476" s="313" t="n"/>
      <c r="J476" s="319" t="n"/>
      <c r="K476" s="199" t="n"/>
      <c r="L476" s="199" t="n"/>
      <c r="M476" s="235" t="n"/>
      <c r="N476" s="235" t="n"/>
      <c r="O476" s="235" t="n"/>
    </row>
    <row r="477">
      <c r="B477" s="199" t="n">
        <v>448</v>
      </c>
      <c r="C477" s="199" t="n"/>
      <c r="D477" s="312" t="n"/>
      <c r="E477" s="312" t="n"/>
      <c r="F477" s="312" t="n"/>
      <c r="G477" s="312" t="n"/>
      <c r="H477" s="312" t="n"/>
      <c r="I477" s="313" t="n"/>
      <c r="J477" s="319" t="n"/>
      <c r="K477" s="199" t="n"/>
      <c r="L477" s="199" t="n"/>
      <c r="M477" s="235" t="n"/>
      <c r="N477" s="235" t="n"/>
      <c r="O477" s="235" t="n"/>
    </row>
    <row r="478">
      <c r="B478" s="199" t="n">
        <v>449</v>
      </c>
      <c r="C478" s="199" t="n"/>
      <c r="D478" s="312" t="n"/>
      <c r="E478" s="312" t="n"/>
      <c r="F478" s="312" t="n"/>
      <c r="G478" s="312" t="n"/>
      <c r="H478" s="312" t="n"/>
      <c r="I478" s="313" t="n"/>
      <c r="J478" s="319" t="n"/>
      <c r="K478" s="199" t="n"/>
      <c r="L478" s="199" t="n"/>
      <c r="M478" s="235" t="n"/>
      <c r="N478" s="235" t="n"/>
      <c r="O478" s="235" t="n"/>
    </row>
    <row r="479">
      <c r="B479" s="199" t="n">
        <v>450</v>
      </c>
      <c r="C479" s="199" t="n"/>
      <c r="D479" s="312" t="n"/>
      <c r="E479" s="312" t="n"/>
      <c r="F479" s="312" t="n"/>
      <c r="G479" s="312" t="n"/>
      <c r="H479" s="312" t="n"/>
      <c r="I479" s="313" t="n"/>
      <c r="J479" s="319" t="n"/>
      <c r="K479" s="199" t="n"/>
      <c r="L479" s="199" t="n"/>
      <c r="M479" s="235" t="n"/>
      <c r="N479" s="235" t="n"/>
      <c r="O479" s="235" t="n"/>
    </row>
    <row r="480">
      <c r="B480" s="199" t="n">
        <v>451</v>
      </c>
      <c r="C480" s="199" t="n"/>
      <c r="D480" s="312" t="n"/>
      <c r="E480" s="312" t="n"/>
      <c r="F480" s="312" t="n"/>
      <c r="G480" s="312" t="n"/>
      <c r="H480" s="312" t="n"/>
      <c r="I480" s="313" t="n"/>
      <c r="J480" s="319" t="n"/>
      <c r="K480" s="199" t="n"/>
      <c r="L480" s="199" t="n"/>
      <c r="M480" s="235" t="n"/>
      <c r="N480" s="235" t="n"/>
      <c r="O480" s="235" t="n"/>
    </row>
    <row r="481">
      <c r="B481" s="199" t="n">
        <v>452</v>
      </c>
      <c r="C481" s="199" t="n"/>
      <c r="D481" s="312" t="n"/>
      <c r="E481" s="312" t="n"/>
      <c r="F481" s="312" t="n"/>
      <c r="G481" s="312" t="n"/>
      <c r="H481" s="312" t="n"/>
      <c r="I481" s="313" t="n"/>
      <c r="J481" s="319" t="n"/>
      <c r="K481" s="199" t="n"/>
      <c r="L481" s="199" t="n"/>
      <c r="M481" s="235" t="n"/>
      <c r="N481" s="235" t="n"/>
      <c r="O481" s="235" t="n"/>
    </row>
    <row r="482">
      <c r="B482" s="199" t="n">
        <v>453</v>
      </c>
      <c r="C482" s="199" t="n"/>
      <c r="D482" s="312" t="n"/>
      <c r="E482" s="312" t="n"/>
      <c r="F482" s="312" t="n"/>
      <c r="G482" s="312" t="n"/>
      <c r="H482" s="312" t="n"/>
      <c r="I482" s="313" t="n"/>
      <c r="J482" s="319" t="n"/>
      <c r="K482" s="199" t="n"/>
      <c r="L482" s="199" t="n"/>
      <c r="M482" s="235" t="n"/>
      <c r="N482" s="235" t="n"/>
      <c r="O482" s="235" t="n"/>
    </row>
    <row r="483">
      <c r="B483" s="199" t="n">
        <v>454</v>
      </c>
      <c r="C483" s="199" t="n"/>
      <c r="D483" s="312" t="n"/>
      <c r="E483" s="312" t="n"/>
      <c r="F483" s="312" t="n"/>
      <c r="G483" s="312" t="n"/>
      <c r="H483" s="312" t="n"/>
      <c r="I483" s="313" t="n"/>
      <c r="J483" s="319" t="n"/>
      <c r="K483" s="199" t="n"/>
      <c r="L483" s="199" t="n"/>
      <c r="M483" s="235" t="n"/>
      <c r="N483" s="235" t="n"/>
      <c r="O483" s="235" t="n"/>
    </row>
    <row r="484">
      <c r="B484" s="199" t="n">
        <v>455</v>
      </c>
      <c r="C484" s="199" t="n"/>
      <c r="D484" s="312" t="n"/>
      <c r="E484" s="312" t="n"/>
      <c r="F484" s="312" t="n"/>
      <c r="G484" s="312" t="n"/>
      <c r="H484" s="312" t="n"/>
      <c r="I484" s="313" t="n"/>
      <c r="J484" s="319" t="n"/>
      <c r="K484" s="199" t="n"/>
      <c r="L484" s="199" t="n"/>
      <c r="M484" s="235" t="n"/>
      <c r="N484" s="235" t="n"/>
      <c r="O484" s="235" t="n"/>
    </row>
    <row r="485">
      <c r="B485" s="199" t="n">
        <v>456</v>
      </c>
      <c r="C485" s="199" t="n"/>
      <c r="D485" s="312" t="n"/>
      <c r="E485" s="312" t="n"/>
      <c r="F485" s="312" t="n"/>
      <c r="G485" s="312" t="n"/>
      <c r="H485" s="312" t="n"/>
      <c r="I485" s="313" t="n"/>
      <c r="J485" s="319" t="n"/>
      <c r="K485" s="199" t="n"/>
      <c r="L485" s="199" t="n"/>
      <c r="M485" s="235" t="n"/>
      <c r="N485" s="235" t="n"/>
      <c r="O485" s="235" t="n"/>
    </row>
    <row r="486">
      <c r="B486" s="199" t="n">
        <v>457</v>
      </c>
      <c r="C486" s="199" t="n"/>
      <c r="D486" s="312" t="n"/>
      <c r="E486" s="312" t="n"/>
      <c r="F486" s="312" t="n"/>
      <c r="G486" s="312" t="n"/>
      <c r="H486" s="312" t="n"/>
      <c r="I486" s="313" t="n"/>
      <c r="J486" s="319" t="n"/>
      <c r="K486" s="199" t="n"/>
      <c r="L486" s="199" t="n"/>
      <c r="M486" s="235" t="n"/>
      <c r="N486" s="235" t="n"/>
      <c r="O486" s="235" t="n"/>
    </row>
    <row r="487">
      <c r="B487" s="199" t="n">
        <v>458</v>
      </c>
      <c r="C487" s="199" t="n"/>
      <c r="D487" s="312" t="n"/>
      <c r="E487" s="312" t="n"/>
      <c r="F487" s="312" t="n"/>
      <c r="G487" s="312" t="n"/>
      <c r="H487" s="312" t="n"/>
      <c r="I487" s="313" t="n"/>
      <c r="J487" s="319" t="n"/>
      <c r="K487" s="199" t="n"/>
      <c r="L487" s="199" t="n"/>
      <c r="M487" s="235" t="n"/>
      <c r="N487" s="235" t="n"/>
      <c r="O487" s="235" t="n"/>
    </row>
    <row r="488">
      <c r="B488" s="199" t="n">
        <v>459</v>
      </c>
      <c r="C488" s="199" t="n"/>
      <c r="D488" s="312" t="n"/>
      <c r="E488" s="312" t="n"/>
      <c r="F488" s="312" t="n"/>
      <c r="G488" s="312" t="n"/>
      <c r="H488" s="312" t="n"/>
      <c r="I488" s="313" t="n"/>
      <c r="J488" s="319" t="n"/>
      <c r="K488" s="199" t="n"/>
      <c r="L488" s="199" t="n"/>
      <c r="M488" s="235" t="n"/>
      <c r="N488" s="235" t="n"/>
      <c r="O488" s="235" t="n"/>
    </row>
    <row r="489">
      <c r="B489" s="199" t="n">
        <v>460</v>
      </c>
      <c r="C489" s="199" t="n"/>
      <c r="D489" s="312" t="n"/>
      <c r="E489" s="312" t="n"/>
      <c r="F489" s="312" t="n"/>
      <c r="G489" s="312" t="n"/>
      <c r="H489" s="312" t="n"/>
      <c r="I489" s="313" t="n"/>
      <c r="J489" s="319" t="n"/>
      <c r="K489" s="199" t="n"/>
      <c r="L489" s="199" t="n"/>
      <c r="M489" s="235" t="n"/>
      <c r="N489" s="235" t="n"/>
      <c r="O489" s="235" t="n"/>
    </row>
    <row r="490">
      <c r="B490" s="199" t="n">
        <v>461</v>
      </c>
      <c r="C490" s="199" t="n"/>
      <c r="D490" s="312" t="n"/>
      <c r="E490" s="312" t="n"/>
      <c r="F490" s="312" t="n"/>
      <c r="G490" s="312" t="n"/>
      <c r="H490" s="312" t="n"/>
      <c r="I490" s="313" t="n"/>
      <c r="J490" s="319" t="n"/>
      <c r="K490" s="199" t="n"/>
      <c r="L490" s="199" t="n"/>
      <c r="M490" s="235" t="n"/>
      <c r="N490" s="235" t="n"/>
      <c r="O490" s="235" t="n"/>
    </row>
    <row r="491">
      <c r="B491" s="199" t="n">
        <v>462</v>
      </c>
      <c r="C491" s="199" t="n"/>
      <c r="D491" s="312" t="n"/>
      <c r="E491" s="312" t="n"/>
      <c r="F491" s="312" t="n"/>
      <c r="G491" s="312" t="n"/>
      <c r="H491" s="312" t="n"/>
      <c r="I491" s="313" t="n"/>
      <c r="J491" s="319" t="n"/>
      <c r="K491" s="199" t="n"/>
      <c r="L491" s="199" t="n"/>
      <c r="M491" s="235" t="n"/>
      <c r="N491" s="235" t="n"/>
      <c r="O491" s="235" t="n"/>
    </row>
    <row r="492">
      <c r="B492" s="199" t="n">
        <v>463</v>
      </c>
      <c r="C492" s="199" t="n"/>
      <c r="D492" s="312" t="n"/>
      <c r="E492" s="312" t="n"/>
      <c r="F492" s="312" t="n"/>
      <c r="G492" s="312" t="n"/>
      <c r="H492" s="312" t="n"/>
      <c r="I492" s="313" t="n"/>
      <c r="J492" s="319" t="n"/>
      <c r="K492" s="199" t="n"/>
      <c r="L492" s="199" t="n"/>
      <c r="M492" s="235" t="n"/>
      <c r="N492" s="235" t="n"/>
      <c r="O492" s="235" t="n"/>
    </row>
    <row r="493">
      <c r="B493" s="199" t="n">
        <v>464</v>
      </c>
      <c r="C493" s="199" t="n"/>
      <c r="D493" s="312" t="n"/>
      <c r="E493" s="312" t="n"/>
      <c r="F493" s="312" t="n"/>
      <c r="G493" s="312" t="n"/>
      <c r="H493" s="312" t="n"/>
      <c r="I493" s="313" t="n"/>
      <c r="J493" s="319" t="n"/>
      <c r="K493" s="199" t="n"/>
      <c r="L493" s="199" t="n"/>
      <c r="M493" s="235" t="n"/>
      <c r="N493" s="235" t="n"/>
      <c r="O493" s="235" t="n"/>
    </row>
    <row r="494">
      <c r="B494" s="199" t="n">
        <v>465</v>
      </c>
      <c r="C494" s="199" t="n"/>
      <c r="D494" s="312" t="n"/>
      <c r="E494" s="312" t="n"/>
      <c r="F494" s="312" t="n"/>
      <c r="G494" s="312" t="n"/>
      <c r="H494" s="312" t="n"/>
      <c r="I494" s="313" t="n"/>
      <c r="J494" s="319" t="n"/>
      <c r="K494" s="199" t="n"/>
      <c r="L494" s="199" t="n"/>
      <c r="M494" s="235" t="n"/>
      <c r="N494" s="235" t="n"/>
      <c r="O494" s="235" t="n"/>
    </row>
    <row r="495">
      <c r="B495" s="199" t="n">
        <v>466</v>
      </c>
      <c r="C495" s="199" t="n"/>
      <c r="D495" s="312" t="n"/>
      <c r="E495" s="312" t="n"/>
      <c r="F495" s="312" t="n"/>
      <c r="G495" s="312" t="n"/>
      <c r="H495" s="312" t="n"/>
      <c r="I495" s="313" t="n"/>
      <c r="J495" s="319" t="n"/>
      <c r="K495" s="199" t="n"/>
      <c r="L495" s="199" t="n"/>
      <c r="M495" s="235" t="n"/>
      <c r="N495" s="235" t="n"/>
      <c r="O495" s="235" t="n"/>
    </row>
    <row r="496">
      <c r="B496" s="199" t="n">
        <v>467</v>
      </c>
      <c r="C496" s="199" t="n"/>
      <c r="D496" s="312" t="n"/>
      <c r="E496" s="312" t="n"/>
      <c r="F496" s="312" t="n"/>
      <c r="G496" s="312" t="n"/>
      <c r="H496" s="312" t="n"/>
      <c r="I496" s="313" t="n"/>
      <c r="J496" s="319" t="n"/>
      <c r="K496" s="199" t="n"/>
      <c r="L496" s="199" t="n"/>
      <c r="M496" s="235" t="n"/>
      <c r="N496" s="235" t="n"/>
      <c r="O496" s="235" t="n"/>
    </row>
    <row r="497">
      <c r="B497" s="199" t="n">
        <v>468</v>
      </c>
      <c r="C497" s="199" t="n"/>
      <c r="D497" s="312" t="n"/>
      <c r="E497" s="312" t="n"/>
      <c r="F497" s="312" t="n"/>
      <c r="G497" s="312" t="n"/>
      <c r="H497" s="312" t="n"/>
      <c r="I497" s="313" t="n"/>
      <c r="J497" s="319" t="n"/>
      <c r="K497" s="199" t="n"/>
      <c r="L497" s="199" t="n"/>
      <c r="M497" s="235" t="n"/>
      <c r="N497" s="235" t="n"/>
      <c r="O497" s="235" t="n"/>
    </row>
    <row r="498">
      <c r="B498" s="199" t="n">
        <v>469</v>
      </c>
      <c r="C498" s="199" t="n"/>
      <c r="D498" s="312" t="n"/>
      <c r="E498" s="312" t="n"/>
      <c r="F498" s="312" t="n"/>
      <c r="G498" s="312" t="n"/>
      <c r="H498" s="312" t="n"/>
      <c r="I498" s="313" t="n"/>
      <c r="J498" s="319" t="n"/>
      <c r="K498" s="199" t="n"/>
      <c r="L498" s="199" t="n"/>
      <c r="M498" s="235" t="n"/>
      <c r="N498" s="235" t="n"/>
      <c r="O498" s="235" t="n"/>
    </row>
    <row r="499">
      <c r="B499" s="199" t="n">
        <v>470</v>
      </c>
      <c r="C499" s="199" t="n"/>
      <c r="D499" s="312" t="n"/>
      <c r="E499" s="312" t="n"/>
      <c r="F499" s="312" t="n"/>
      <c r="G499" s="312" t="n"/>
      <c r="H499" s="312" t="n"/>
      <c r="I499" s="313" t="n"/>
      <c r="J499" s="319" t="n"/>
      <c r="K499" s="199" t="n"/>
      <c r="L499" s="199" t="n"/>
      <c r="M499" s="235" t="n"/>
      <c r="N499" s="235" t="n"/>
      <c r="O499" s="235" t="n"/>
    </row>
    <row r="500">
      <c r="B500" s="199" t="n">
        <v>471</v>
      </c>
      <c r="C500" s="199" t="n"/>
      <c r="D500" s="312" t="n"/>
      <c r="E500" s="312" t="n"/>
      <c r="F500" s="312" t="n"/>
      <c r="G500" s="312" t="n"/>
      <c r="H500" s="312" t="n"/>
      <c r="I500" s="313" t="n"/>
      <c r="J500" s="319" t="n"/>
      <c r="K500" s="199" t="n"/>
      <c r="L500" s="199" t="n"/>
      <c r="M500" s="235" t="n"/>
      <c r="N500" s="235" t="n"/>
      <c r="O500" s="235" t="n"/>
    </row>
    <row r="501">
      <c r="B501" s="199" t="n">
        <v>472</v>
      </c>
      <c r="C501" s="199" t="n"/>
      <c r="D501" s="312" t="n"/>
      <c r="E501" s="312" t="n"/>
      <c r="F501" s="312" t="n"/>
      <c r="G501" s="312" t="n"/>
      <c r="H501" s="312" t="n"/>
      <c r="I501" s="313" t="n"/>
      <c r="J501" s="319" t="n"/>
      <c r="K501" s="199" t="n"/>
      <c r="L501" s="199" t="n"/>
      <c r="M501" s="235" t="n"/>
      <c r="N501" s="235" t="n"/>
      <c r="O501" s="235" t="n"/>
    </row>
    <row r="502">
      <c r="B502" s="199" t="n">
        <v>473</v>
      </c>
      <c r="C502" s="199" t="n"/>
      <c r="D502" s="312" t="n"/>
      <c r="E502" s="312" t="n"/>
      <c r="F502" s="312" t="n"/>
      <c r="G502" s="312" t="n"/>
      <c r="H502" s="312" t="n"/>
      <c r="I502" s="313" t="n"/>
      <c r="J502" s="319" t="n"/>
      <c r="K502" s="199" t="n"/>
      <c r="L502" s="199" t="n"/>
      <c r="M502" s="235" t="n"/>
      <c r="N502" s="235" t="n"/>
      <c r="O502" s="235" t="n"/>
    </row>
    <row r="503">
      <c r="B503" s="199" t="n">
        <v>474</v>
      </c>
      <c r="C503" s="199" t="n"/>
      <c r="D503" s="312" t="n"/>
      <c r="E503" s="312" t="n"/>
      <c r="F503" s="312" t="n"/>
      <c r="G503" s="312" t="n"/>
      <c r="H503" s="312" t="n"/>
      <c r="I503" s="313" t="n"/>
      <c r="J503" s="319" t="n"/>
      <c r="K503" s="199" t="n"/>
      <c r="L503" s="199" t="n"/>
      <c r="M503" s="235" t="n"/>
      <c r="N503" s="235" t="n"/>
      <c r="O503" s="235" t="n"/>
    </row>
    <row r="504">
      <c r="B504" s="199" t="n">
        <v>475</v>
      </c>
      <c r="C504" s="199" t="n"/>
      <c r="D504" s="312" t="n"/>
      <c r="E504" s="312" t="n"/>
      <c r="F504" s="312" t="n"/>
      <c r="G504" s="312" t="n"/>
      <c r="H504" s="312" t="n"/>
      <c r="I504" s="313" t="n"/>
      <c r="J504" s="319" t="n"/>
      <c r="K504" s="199" t="n"/>
      <c r="L504" s="199" t="n"/>
      <c r="M504" s="235" t="n"/>
      <c r="N504" s="235" t="n"/>
      <c r="O504" s="235" t="n"/>
    </row>
    <row r="505">
      <c r="B505" s="199" t="n">
        <v>476</v>
      </c>
      <c r="C505" s="199" t="n"/>
      <c r="D505" s="312" t="n"/>
      <c r="E505" s="312" t="n"/>
      <c r="F505" s="312" t="n"/>
      <c r="G505" s="312" t="n"/>
      <c r="H505" s="312" t="n"/>
      <c r="I505" s="313" t="n"/>
      <c r="J505" s="319" t="n"/>
      <c r="K505" s="199" t="n"/>
      <c r="L505" s="199" t="n"/>
      <c r="M505" s="235" t="n"/>
      <c r="N505" s="235" t="n"/>
      <c r="O505" s="235" t="n"/>
    </row>
    <row r="506">
      <c r="B506" s="199" t="n">
        <v>477</v>
      </c>
      <c r="C506" s="199" t="n"/>
      <c r="D506" s="312" t="n"/>
      <c r="E506" s="312" t="n"/>
      <c r="F506" s="312" t="n"/>
      <c r="G506" s="312" t="n"/>
      <c r="H506" s="312" t="n"/>
      <c r="I506" s="313" t="n"/>
      <c r="J506" s="319" t="n"/>
      <c r="K506" s="199" t="n"/>
      <c r="L506" s="199" t="n"/>
      <c r="M506" s="235" t="n"/>
      <c r="N506" s="235" t="n"/>
      <c r="O506" s="235" t="n"/>
    </row>
    <row r="507">
      <c r="B507" s="199" t="n">
        <v>478</v>
      </c>
      <c r="C507" s="199" t="n"/>
      <c r="D507" s="312" t="n"/>
      <c r="E507" s="312" t="n"/>
      <c r="F507" s="312" t="n"/>
      <c r="G507" s="312" t="n"/>
      <c r="H507" s="312" t="n"/>
      <c r="I507" s="313" t="n"/>
      <c r="J507" s="319" t="n"/>
      <c r="K507" s="199" t="n"/>
      <c r="L507" s="199" t="n"/>
      <c r="M507" s="235" t="n"/>
      <c r="N507" s="235" t="n"/>
      <c r="O507" s="235" t="n"/>
    </row>
    <row r="508">
      <c r="B508" s="199" t="n">
        <v>479</v>
      </c>
      <c r="C508" s="199" t="n"/>
      <c r="D508" s="312" t="n"/>
      <c r="E508" s="312" t="n"/>
      <c r="F508" s="312" t="n"/>
      <c r="G508" s="312" t="n"/>
      <c r="H508" s="312" t="n"/>
      <c r="I508" s="313" t="n"/>
      <c r="J508" s="319" t="n"/>
      <c r="K508" s="199" t="n"/>
      <c r="L508" s="199" t="n"/>
      <c r="M508" s="235" t="n"/>
      <c r="N508" s="235" t="n"/>
      <c r="O508" s="235" t="n"/>
    </row>
    <row r="509">
      <c r="B509" s="199" t="n">
        <v>480</v>
      </c>
      <c r="C509" s="199" t="n"/>
      <c r="D509" s="312" t="n"/>
      <c r="E509" s="312" t="n"/>
      <c r="F509" s="312" t="n"/>
      <c r="G509" s="312" t="n"/>
      <c r="H509" s="312" t="n"/>
      <c r="I509" s="313" t="n"/>
      <c r="J509" s="319" t="n"/>
      <c r="K509" s="199" t="n"/>
      <c r="L509" s="199" t="n"/>
      <c r="M509" s="235" t="n"/>
      <c r="N509" s="235" t="n"/>
      <c r="O509" s="235" t="n"/>
    </row>
    <row r="510">
      <c r="B510" s="199" t="n">
        <v>481</v>
      </c>
      <c r="C510" s="199" t="n"/>
      <c r="D510" s="312" t="n"/>
      <c r="E510" s="312" t="n"/>
      <c r="F510" s="312" t="n"/>
      <c r="G510" s="312" t="n"/>
      <c r="H510" s="312" t="n"/>
      <c r="I510" s="313" t="n"/>
      <c r="J510" s="319" t="n"/>
      <c r="K510" s="199" t="n"/>
      <c r="L510" s="199" t="n"/>
      <c r="M510" s="235" t="n"/>
      <c r="N510" s="235" t="n"/>
      <c r="O510" s="235" t="n"/>
    </row>
    <row r="511">
      <c r="B511" s="199" t="n">
        <v>482</v>
      </c>
      <c r="C511" s="199" t="n"/>
      <c r="D511" s="312" t="n"/>
      <c r="E511" s="312" t="n"/>
      <c r="F511" s="312" t="n"/>
      <c r="G511" s="312" t="n"/>
      <c r="H511" s="312" t="n"/>
      <c r="I511" s="313" t="n"/>
      <c r="J511" s="319" t="n"/>
      <c r="K511" s="199" t="n"/>
      <c r="L511" s="199" t="n"/>
      <c r="M511" s="235" t="n"/>
      <c r="N511" s="235" t="n"/>
      <c r="O511" s="235" t="n"/>
    </row>
    <row r="512">
      <c r="B512" s="199" t="n">
        <v>483</v>
      </c>
      <c r="C512" s="199" t="n"/>
      <c r="D512" s="312" t="n"/>
      <c r="E512" s="312" t="n"/>
      <c r="F512" s="312" t="n"/>
      <c r="G512" s="312" t="n"/>
      <c r="H512" s="312" t="n"/>
      <c r="I512" s="313" t="n"/>
      <c r="J512" s="319" t="n"/>
      <c r="K512" s="199" t="n"/>
      <c r="L512" s="199" t="n"/>
      <c r="M512" s="235" t="n"/>
      <c r="N512" s="235" t="n"/>
      <c r="O512" s="235" t="n"/>
    </row>
    <row r="513">
      <c r="B513" s="199" t="n">
        <v>484</v>
      </c>
      <c r="C513" s="199" t="n"/>
      <c r="D513" s="312" t="n"/>
      <c r="E513" s="312" t="n"/>
      <c r="F513" s="312" t="n"/>
      <c r="G513" s="312" t="n"/>
      <c r="H513" s="312" t="n"/>
      <c r="I513" s="313" t="n"/>
      <c r="J513" s="319" t="n"/>
      <c r="K513" s="199" t="n"/>
      <c r="L513" s="199" t="n"/>
      <c r="M513" s="235" t="n"/>
      <c r="N513" s="235" t="n"/>
      <c r="O513" s="235" t="n"/>
    </row>
    <row r="514">
      <c r="B514" s="199" t="n">
        <v>485</v>
      </c>
      <c r="C514" s="199" t="n"/>
      <c r="D514" s="312" t="n"/>
      <c r="E514" s="312" t="n"/>
      <c r="F514" s="312" t="n"/>
      <c r="G514" s="312" t="n"/>
      <c r="H514" s="312" t="n"/>
      <c r="I514" s="313" t="n"/>
      <c r="J514" s="319" t="n"/>
      <c r="K514" s="199" t="n"/>
      <c r="L514" s="199" t="n"/>
      <c r="M514" s="235" t="n"/>
      <c r="N514" s="235" t="n"/>
      <c r="O514" s="235" t="n"/>
    </row>
    <row r="515">
      <c r="B515" s="199" t="n">
        <v>486</v>
      </c>
      <c r="C515" s="199" t="n"/>
      <c r="D515" s="312" t="n"/>
      <c r="E515" s="312" t="n"/>
      <c r="F515" s="312" t="n"/>
      <c r="G515" s="312" t="n"/>
      <c r="H515" s="312" t="n"/>
      <c r="I515" s="313" t="n"/>
      <c r="J515" s="319" t="n"/>
      <c r="K515" s="199" t="n"/>
      <c r="L515" s="199" t="n"/>
      <c r="M515" s="235" t="n"/>
      <c r="N515" s="235" t="n"/>
      <c r="O515" s="235" t="n"/>
    </row>
    <row r="516">
      <c r="B516" s="199" t="n">
        <v>487</v>
      </c>
      <c r="C516" s="199" t="n"/>
      <c r="D516" s="312" t="n"/>
      <c r="E516" s="312" t="n"/>
      <c r="F516" s="312" t="n"/>
      <c r="G516" s="312" t="n"/>
      <c r="H516" s="312" t="n"/>
      <c r="I516" s="313" t="n"/>
      <c r="J516" s="319" t="n"/>
      <c r="K516" s="199" t="n"/>
      <c r="L516" s="199" t="n"/>
      <c r="M516" s="235" t="n"/>
      <c r="N516" s="235" t="n"/>
      <c r="O516" s="235" t="n"/>
    </row>
    <row r="517">
      <c r="B517" s="199" t="n">
        <v>488</v>
      </c>
      <c r="C517" s="199" t="n"/>
      <c r="D517" s="312" t="n"/>
      <c r="E517" s="312" t="n"/>
      <c r="F517" s="312" t="n"/>
      <c r="G517" s="312" t="n"/>
      <c r="H517" s="312" t="n"/>
      <c r="I517" s="313" t="n"/>
      <c r="J517" s="319" t="n"/>
      <c r="K517" s="199" t="n"/>
      <c r="L517" s="199" t="n"/>
      <c r="M517" s="235" t="n"/>
      <c r="N517" s="235" t="n"/>
      <c r="O517" s="235" t="n"/>
    </row>
    <row r="518">
      <c r="B518" s="199" t="n">
        <v>489</v>
      </c>
      <c r="C518" s="199" t="n"/>
      <c r="D518" s="312" t="n"/>
      <c r="E518" s="312" t="n"/>
      <c r="F518" s="312" t="n"/>
      <c r="G518" s="312" t="n"/>
      <c r="H518" s="312" t="n"/>
      <c r="I518" s="313" t="n"/>
      <c r="J518" s="319" t="n"/>
      <c r="K518" s="199" t="n"/>
      <c r="L518" s="199" t="n"/>
      <c r="M518" s="235" t="n"/>
      <c r="N518" s="235" t="n"/>
      <c r="O518" s="235" t="n"/>
    </row>
    <row r="519">
      <c r="B519" s="199" t="n">
        <v>490</v>
      </c>
      <c r="C519" s="199" t="n"/>
      <c r="D519" s="312" t="n"/>
      <c r="E519" s="312" t="n"/>
      <c r="F519" s="312" t="n"/>
      <c r="G519" s="312" t="n"/>
      <c r="H519" s="312" t="n"/>
      <c r="I519" s="313" t="n"/>
      <c r="J519" s="319" t="n"/>
      <c r="K519" s="199" t="n"/>
      <c r="L519" s="199" t="n"/>
      <c r="M519" s="235" t="n"/>
      <c r="N519" s="235" t="n"/>
      <c r="O519" s="235" t="n"/>
    </row>
    <row r="520">
      <c r="B520" s="199" t="n">
        <v>491</v>
      </c>
      <c r="C520" s="199" t="n"/>
      <c r="D520" s="312" t="n"/>
      <c r="E520" s="312" t="n"/>
      <c r="F520" s="312" t="n"/>
      <c r="G520" s="312" t="n"/>
      <c r="H520" s="312" t="n"/>
      <c r="I520" s="313" t="n"/>
      <c r="J520" s="319" t="n"/>
      <c r="K520" s="199" t="n"/>
      <c r="L520" s="199" t="n"/>
      <c r="M520" s="235" t="n"/>
      <c r="N520" s="235" t="n"/>
      <c r="O520" s="235" t="n"/>
    </row>
    <row r="521">
      <c r="B521" s="199" t="n">
        <v>492</v>
      </c>
      <c r="C521" s="199" t="n"/>
      <c r="D521" s="312" t="n"/>
      <c r="E521" s="312" t="n"/>
      <c r="F521" s="312" t="n"/>
      <c r="G521" s="312" t="n"/>
      <c r="H521" s="312" t="n"/>
      <c r="I521" s="313" t="n"/>
      <c r="J521" s="319" t="n"/>
      <c r="K521" s="199" t="n"/>
      <c r="L521" s="199" t="n"/>
      <c r="M521" s="235" t="n"/>
      <c r="N521" s="235" t="n"/>
      <c r="O521" s="235" t="n"/>
    </row>
    <row r="522">
      <c r="B522" s="199" t="n">
        <v>493</v>
      </c>
      <c r="C522" s="199" t="n"/>
      <c r="D522" s="312" t="n"/>
      <c r="E522" s="312" t="n"/>
      <c r="F522" s="312" t="n"/>
      <c r="G522" s="312" t="n"/>
      <c r="H522" s="312" t="n"/>
      <c r="I522" s="313" t="n"/>
      <c r="J522" s="319" t="n"/>
      <c r="K522" s="199" t="n"/>
      <c r="L522" s="199" t="n"/>
      <c r="M522" s="235" t="n"/>
      <c r="N522" s="235" t="n"/>
      <c r="O522" s="235" t="n"/>
    </row>
    <row r="523">
      <c r="B523" s="199" t="n">
        <v>494</v>
      </c>
      <c r="C523" s="199" t="n"/>
      <c r="D523" s="312" t="n"/>
      <c r="E523" s="312" t="n"/>
      <c r="F523" s="312" t="n"/>
      <c r="G523" s="312" t="n"/>
      <c r="H523" s="312" t="n"/>
      <c r="I523" s="313" t="n"/>
      <c r="J523" s="319" t="n"/>
      <c r="K523" s="199" t="n"/>
      <c r="L523" s="199" t="n"/>
      <c r="M523" s="235" t="n"/>
      <c r="N523" s="235" t="n"/>
      <c r="O523" s="235" t="n"/>
    </row>
    <row r="524">
      <c r="B524" s="199" t="n">
        <v>495</v>
      </c>
      <c r="C524" s="199" t="n"/>
      <c r="D524" s="312" t="n"/>
      <c r="E524" s="312" t="n"/>
      <c r="F524" s="312" t="n"/>
      <c r="G524" s="312" t="n"/>
      <c r="H524" s="312" t="n"/>
      <c r="I524" s="313" t="n"/>
      <c r="J524" s="319" t="n"/>
      <c r="K524" s="199" t="n"/>
      <c r="L524" s="199" t="n"/>
      <c r="M524" s="235" t="n"/>
      <c r="N524" s="235" t="n"/>
      <c r="O524" s="235" t="n"/>
    </row>
    <row r="525">
      <c r="B525" s="199" t="n">
        <v>496</v>
      </c>
      <c r="C525" s="199" t="n"/>
      <c r="D525" s="312" t="n"/>
      <c r="E525" s="312" t="n"/>
      <c r="F525" s="312" t="n"/>
      <c r="G525" s="312" t="n"/>
      <c r="H525" s="312" t="n"/>
      <c r="I525" s="313" t="n"/>
      <c r="J525" s="319" t="n"/>
      <c r="K525" s="199" t="n"/>
      <c r="L525" s="199" t="n"/>
      <c r="M525" s="235" t="n"/>
      <c r="N525" s="235" t="n"/>
      <c r="O525" s="235" t="n"/>
    </row>
    <row r="526">
      <c r="B526" s="199" t="n">
        <v>497</v>
      </c>
      <c r="C526" s="199" t="n"/>
      <c r="D526" s="312" t="n"/>
      <c r="E526" s="312" t="n"/>
      <c r="F526" s="312" t="n"/>
      <c r="G526" s="312" t="n"/>
      <c r="H526" s="312" t="n"/>
      <c r="I526" s="313" t="n"/>
      <c r="J526" s="319" t="n"/>
      <c r="K526" s="199" t="n"/>
      <c r="L526" s="199" t="n"/>
      <c r="M526" s="235" t="n"/>
      <c r="N526" s="235" t="n"/>
      <c r="O526" s="235" t="n"/>
    </row>
    <row r="527">
      <c r="B527" s="199" t="n">
        <v>498</v>
      </c>
      <c r="C527" s="199" t="n"/>
      <c r="D527" s="312" t="n"/>
      <c r="E527" s="312" t="n"/>
      <c r="F527" s="312" t="n"/>
      <c r="G527" s="312" t="n"/>
      <c r="H527" s="312" t="n"/>
      <c r="I527" s="313" t="n"/>
      <c r="J527" s="319" t="n"/>
      <c r="K527" s="199" t="n"/>
      <c r="L527" s="199" t="n"/>
      <c r="M527" s="235" t="n"/>
      <c r="N527" s="235" t="n"/>
      <c r="O527" s="235" t="n"/>
    </row>
    <row r="528">
      <c r="B528" s="199" t="n">
        <v>499</v>
      </c>
      <c r="C528" s="199" t="n"/>
      <c r="D528" s="312" t="n"/>
      <c r="E528" s="312" t="n"/>
      <c r="F528" s="312" t="n"/>
      <c r="G528" s="312" t="n"/>
      <c r="H528" s="312" t="n"/>
      <c r="I528" s="313" t="n"/>
      <c r="J528" s="319" t="n"/>
      <c r="K528" s="199" t="n"/>
      <c r="L528" s="199" t="n"/>
      <c r="M528" s="235" t="n"/>
      <c r="N528" s="235" t="n"/>
      <c r="O528" s="235" t="n"/>
    </row>
    <row r="529">
      <c r="B529" s="199" t="n">
        <v>500</v>
      </c>
      <c r="C529" s="199" t="n"/>
      <c r="D529" s="312" t="n"/>
      <c r="E529" s="312" t="n"/>
      <c r="F529" s="312" t="n"/>
      <c r="G529" s="312" t="n"/>
      <c r="H529" s="312" t="n"/>
      <c r="I529" s="313" t="n"/>
      <c r="J529" s="319" t="n"/>
      <c r="K529" s="199" t="n"/>
      <c r="L529" s="199" t="n"/>
      <c r="M529" s="235" t="n"/>
      <c r="N529" s="235" t="n"/>
      <c r="O529" s="235" t="n"/>
    </row>
    <row r="530">
      <c r="B530" s="199" t="n">
        <v>501</v>
      </c>
      <c r="C530" s="199" t="n"/>
      <c r="D530" s="312" t="n"/>
      <c r="E530" s="312" t="n"/>
      <c r="F530" s="312" t="n"/>
      <c r="G530" s="312" t="n"/>
      <c r="H530" s="312" t="n"/>
      <c r="I530" s="313" t="n"/>
      <c r="J530" s="319" t="n"/>
      <c r="K530" s="199" t="n"/>
      <c r="L530" s="199" t="n"/>
      <c r="M530" s="235" t="n"/>
      <c r="N530" s="235" t="n"/>
      <c r="O530" s="235" t="n"/>
    </row>
    <row r="531">
      <c r="B531" s="199" t="n">
        <v>502</v>
      </c>
      <c r="C531" s="199" t="n"/>
      <c r="D531" s="312" t="n"/>
      <c r="E531" s="312" t="n"/>
      <c r="F531" s="312" t="n"/>
      <c r="G531" s="312" t="n"/>
      <c r="H531" s="312" t="n"/>
      <c r="I531" s="313" t="n"/>
      <c r="J531" s="319" t="n"/>
      <c r="K531" s="199" t="n"/>
      <c r="L531" s="199" t="n"/>
      <c r="M531" s="235" t="n"/>
      <c r="N531" s="235" t="n"/>
      <c r="O531" s="235" t="n"/>
    </row>
    <row r="532">
      <c r="B532" s="199" t="n">
        <v>503</v>
      </c>
      <c r="C532" s="199" t="n"/>
      <c r="D532" s="312" t="n"/>
      <c r="E532" s="312" t="n"/>
      <c r="F532" s="312" t="n"/>
      <c r="G532" s="312" t="n"/>
      <c r="H532" s="312" t="n"/>
      <c r="I532" s="313" t="n"/>
      <c r="J532" s="319" t="n"/>
      <c r="K532" s="199" t="n"/>
      <c r="L532" s="199" t="n"/>
      <c r="M532" s="235" t="n"/>
      <c r="N532" s="235" t="n"/>
      <c r="O532" s="235" t="n"/>
    </row>
    <row r="533">
      <c r="B533" s="199" t="n">
        <v>504</v>
      </c>
      <c r="C533" s="199" t="n"/>
      <c r="D533" s="312" t="n"/>
      <c r="E533" s="312" t="n"/>
      <c r="F533" s="312" t="n"/>
      <c r="G533" s="312" t="n"/>
      <c r="H533" s="312" t="n"/>
      <c r="I533" s="313" t="n"/>
      <c r="J533" s="319" t="n"/>
      <c r="K533" s="199" t="n"/>
      <c r="L533" s="199" t="n"/>
      <c r="M533" s="235" t="n"/>
      <c r="N533" s="235" t="n"/>
      <c r="O533" s="235" t="n"/>
    </row>
    <row r="534">
      <c r="B534" s="199" t="n">
        <v>505</v>
      </c>
      <c r="C534" s="199" t="n"/>
      <c r="D534" s="312" t="n"/>
      <c r="E534" s="312" t="n"/>
      <c r="F534" s="312" t="n"/>
      <c r="G534" s="312" t="n"/>
      <c r="H534" s="312" t="n"/>
      <c r="I534" s="313" t="n"/>
      <c r="J534" s="319" t="n"/>
      <c r="K534" s="199" t="n"/>
      <c r="L534" s="199" t="n"/>
      <c r="M534" s="235" t="n"/>
      <c r="N534" s="235" t="n"/>
      <c r="O534" s="235" t="n"/>
    </row>
    <row r="535">
      <c r="B535" s="199" t="n">
        <v>506</v>
      </c>
      <c r="C535" s="199" t="n"/>
      <c r="D535" s="312" t="n"/>
      <c r="E535" s="312" t="n"/>
      <c r="F535" s="312" t="n"/>
      <c r="G535" s="312" t="n"/>
      <c r="H535" s="312" t="n"/>
      <c r="I535" s="313" t="n"/>
      <c r="J535" s="319" t="n"/>
      <c r="K535" s="199" t="n"/>
      <c r="L535" s="199" t="n"/>
      <c r="M535" s="235" t="n"/>
      <c r="N535" s="235" t="n"/>
      <c r="O535" s="235" t="n"/>
    </row>
    <row r="536">
      <c r="B536" s="199" t="n">
        <v>507</v>
      </c>
      <c r="C536" s="199" t="n"/>
      <c r="D536" s="312" t="n"/>
      <c r="E536" s="312" t="n"/>
      <c r="F536" s="312" t="n"/>
      <c r="G536" s="312" t="n"/>
      <c r="H536" s="312" t="n"/>
      <c r="I536" s="313" t="n"/>
      <c r="J536" s="319" t="n"/>
      <c r="K536" s="199" t="n"/>
      <c r="L536" s="199" t="n"/>
      <c r="M536" s="235" t="n"/>
      <c r="N536" s="235" t="n"/>
      <c r="O536" s="235" t="n"/>
    </row>
    <row r="537">
      <c r="B537" s="199" t="n">
        <v>508</v>
      </c>
      <c r="C537" s="199" t="n"/>
      <c r="D537" s="312" t="n"/>
      <c r="E537" s="312" t="n"/>
      <c r="F537" s="312" t="n"/>
      <c r="G537" s="312" t="n"/>
      <c r="H537" s="312" t="n"/>
      <c r="I537" s="313" t="n"/>
      <c r="J537" s="319" t="n"/>
      <c r="K537" s="199" t="n"/>
      <c r="L537" s="199" t="n"/>
      <c r="M537" s="235" t="n"/>
      <c r="N537" s="235" t="n"/>
      <c r="O537" s="235" t="n"/>
    </row>
    <row r="538">
      <c r="B538" s="199" t="n">
        <v>509</v>
      </c>
      <c r="C538" s="199" t="n"/>
      <c r="D538" s="312" t="n"/>
      <c r="E538" s="312" t="n"/>
      <c r="F538" s="312" t="n"/>
      <c r="G538" s="312" t="n"/>
      <c r="H538" s="312" t="n"/>
      <c r="I538" s="313" t="n"/>
      <c r="J538" s="319" t="n"/>
      <c r="K538" s="199" t="n"/>
      <c r="L538" s="199" t="n"/>
      <c r="M538" s="235" t="n"/>
      <c r="N538" s="235" t="n"/>
      <c r="O538" s="235" t="n"/>
    </row>
    <row r="539">
      <c r="B539" s="199" t="n">
        <v>510</v>
      </c>
      <c r="C539" s="199" t="n"/>
      <c r="D539" s="312" t="n"/>
      <c r="E539" s="312" t="n"/>
      <c r="F539" s="312" t="n"/>
      <c r="G539" s="312" t="n"/>
      <c r="H539" s="312" t="n"/>
      <c r="I539" s="313" t="n"/>
      <c r="J539" s="319" t="n"/>
      <c r="K539" s="199" t="n"/>
      <c r="L539" s="199" t="n"/>
      <c r="M539" s="235" t="n"/>
      <c r="N539" s="235" t="n"/>
      <c r="O539" s="235" t="n"/>
    </row>
    <row r="540">
      <c r="B540" s="199" t="n">
        <v>511</v>
      </c>
      <c r="C540" s="199" t="n"/>
      <c r="D540" s="312" t="n"/>
      <c r="E540" s="312" t="n"/>
      <c r="F540" s="312" t="n"/>
      <c r="G540" s="312" t="n"/>
      <c r="H540" s="312" t="n"/>
      <c r="I540" s="313" t="n"/>
      <c r="J540" s="319" t="n"/>
      <c r="K540" s="199" t="n"/>
      <c r="L540" s="199" t="n"/>
      <c r="M540" s="235" t="n"/>
      <c r="N540" s="235" t="n"/>
      <c r="O540" s="235" t="n"/>
    </row>
    <row r="541">
      <c r="B541" s="199" t="n">
        <v>512</v>
      </c>
      <c r="C541" s="199" t="n"/>
      <c r="D541" s="312" t="n"/>
      <c r="E541" s="312" t="n"/>
      <c r="F541" s="312" t="n"/>
      <c r="G541" s="312" t="n"/>
      <c r="H541" s="312" t="n"/>
      <c r="I541" s="313" t="n"/>
      <c r="J541" s="319" t="n"/>
      <c r="K541" s="199" t="n"/>
      <c r="L541" s="199" t="n"/>
      <c r="M541" s="235" t="n"/>
      <c r="N541" s="235" t="n"/>
      <c r="O541" s="235" t="n"/>
    </row>
    <row r="542">
      <c r="B542" s="199" t="n">
        <v>513</v>
      </c>
      <c r="C542" s="199" t="n"/>
      <c r="D542" s="312" t="n"/>
      <c r="E542" s="312" t="n"/>
      <c r="F542" s="312" t="n"/>
      <c r="G542" s="312" t="n"/>
      <c r="H542" s="312" t="n"/>
      <c r="I542" s="313" t="n"/>
      <c r="J542" s="319" t="n"/>
      <c r="K542" s="199" t="n"/>
      <c r="L542" s="199" t="n"/>
      <c r="M542" s="235" t="n"/>
      <c r="N542" s="235" t="n"/>
      <c r="O542" s="235" t="n"/>
    </row>
    <row r="543">
      <c r="B543" s="199" t="n">
        <v>514</v>
      </c>
      <c r="C543" s="199" t="n"/>
      <c r="D543" s="312" t="n"/>
      <c r="E543" s="312" t="n"/>
      <c r="F543" s="312" t="n"/>
      <c r="G543" s="312" t="n"/>
      <c r="H543" s="312" t="n"/>
      <c r="I543" s="313" t="n"/>
      <c r="J543" s="319" t="n"/>
      <c r="K543" s="199" t="n"/>
      <c r="L543" s="199" t="n"/>
      <c r="M543" s="235" t="n"/>
      <c r="N543" s="235" t="n"/>
      <c r="O543" s="235" t="n"/>
    </row>
    <row r="544">
      <c r="B544" s="199" t="n">
        <v>515</v>
      </c>
      <c r="C544" s="199" t="n"/>
      <c r="D544" s="312" t="n"/>
      <c r="E544" s="312" t="n"/>
      <c r="F544" s="312" t="n"/>
      <c r="G544" s="312" t="n"/>
      <c r="H544" s="312" t="n"/>
      <c r="I544" s="313" t="n"/>
      <c r="J544" s="319" t="n"/>
      <c r="K544" s="199" t="n"/>
      <c r="L544" s="199" t="n"/>
      <c r="M544" s="235" t="n"/>
      <c r="N544" s="235" t="n"/>
      <c r="O544" s="235" t="n"/>
    </row>
    <row r="545">
      <c r="B545" s="199" t="n">
        <v>516</v>
      </c>
      <c r="C545" s="199" t="n"/>
      <c r="D545" s="312" t="n"/>
      <c r="E545" s="312" t="n"/>
      <c r="F545" s="312" t="n"/>
      <c r="G545" s="312" t="n"/>
      <c r="H545" s="312" t="n"/>
      <c r="I545" s="313" t="n"/>
      <c r="J545" s="319" t="n"/>
      <c r="K545" s="199" t="n"/>
      <c r="L545" s="199" t="n"/>
      <c r="M545" s="235" t="n"/>
      <c r="N545" s="235" t="n"/>
      <c r="O545" s="235" t="n"/>
    </row>
    <row r="546">
      <c r="B546" s="199" t="n">
        <v>517</v>
      </c>
      <c r="C546" s="199" t="n"/>
      <c r="D546" s="312" t="n"/>
      <c r="E546" s="312" t="n"/>
      <c r="F546" s="312" t="n"/>
      <c r="G546" s="312" t="n"/>
      <c r="H546" s="312" t="n"/>
      <c r="I546" s="313" t="n"/>
      <c r="J546" s="319" t="n"/>
      <c r="K546" s="199" t="n"/>
      <c r="L546" s="199" t="n"/>
      <c r="M546" s="235" t="n"/>
      <c r="N546" s="235" t="n"/>
      <c r="O546" s="235" t="n"/>
    </row>
    <row r="547">
      <c r="B547" s="199" t="n">
        <v>518</v>
      </c>
      <c r="C547" s="199" t="n"/>
      <c r="D547" s="312" t="n"/>
      <c r="E547" s="312" t="n"/>
      <c r="F547" s="312" t="n"/>
      <c r="G547" s="312" t="n"/>
      <c r="H547" s="312" t="n"/>
      <c r="I547" s="313" t="n"/>
      <c r="J547" s="319" t="n"/>
      <c r="K547" s="199" t="n"/>
      <c r="L547" s="199" t="n"/>
      <c r="M547" s="235" t="n"/>
      <c r="N547" s="235" t="n"/>
      <c r="O547" s="235" t="n"/>
    </row>
    <row r="548">
      <c r="B548" s="199" t="n">
        <v>519</v>
      </c>
      <c r="C548" s="199" t="n"/>
      <c r="D548" s="312" t="n"/>
      <c r="E548" s="312" t="n"/>
      <c r="F548" s="312" t="n"/>
      <c r="G548" s="312" t="n"/>
      <c r="H548" s="312" t="n"/>
      <c r="I548" s="313" t="n"/>
      <c r="J548" s="319" t="n"/>
      <c r="K548" s="199" t="n"/>
      <c r="L548" s="199" t="n"/>
      <c r="M548" s="235" t="n"/>
      <c r="N548" s="235" t="n"/>
      <c r="O548" s="235" t="n"/>
    </row>
    <row r="549">
      <c r="B549" s="199" t="n">
        <v>520</v>
      </c>
      <c r="C549" s="199" t="n"/>
      <c r="D549" s="312" t="n"/>
      <c r="E549" s="312" t="n"/>
      <c r="F549" s="312" t="n"/>
      <c r="G549" s="312" t="n"/>
      <c r="H549" s="312" t="n"/>
      <c r="I549" s="313" t="n"/>
      <c r="J549" s="319" t="n"/>
      <c r="K549" s="199" t="n"/>
      <c r="L549" s="199" t="n"/>
      <c r="M549" s="235" t="n"/>
      <c r="N549" s="235" t="n"/>
      <c r="O549" s="235" t="n"/>
    </row>
    <row r="550">
      <c r="B550" s="199" t="n">
        <v>521</v>
      </c>
      <c r="C550" s="199" t="n"/>
      <c r="D550" s="312" t="n"/>
      <c r="E550" s="312" t="n"/>
      <c r="F550" s="312" t="n"/>
      <c r="G550" s="312" t="n"/>
      <c r="H550" s="312" t="n"/>
      <c r="I550" s="313" t="n"/>
      <c r="J550" s="319" t="n"/>
      <c r="K550" s="199" t="n"/>
      <c r="L550" s="199" t="n"/>
      <c r="M550" s="235" t="n"/>
      <c r="N550" s="235" t="n"/>
      <c r="O550" s="235" t="n"/>
    </row>
    <row r="551">
      <c r="B551" s="199" t="n">
        <v>522</v>
      </c>
      <c r="C551" s="199" t="n"/>
      <c r="D551" s="312" t="n"/>
      <c r="E551" s="312" t="n"/>
      <c r="F551" s="312" t="n"/>
      <c r="G551" s="312" t="n"/>
      <c r="H551" s="312" t="n"/>
      <c r="I551" s="313" t="n"/>
      <c r="J551" s="319" t="n"/>
      <c r="K551" s="199" t="n"/>
      <c r="L551" s="199" t="n"/>
      <c r="M551" s="235" t="n"/>
      <c r="N551" s="235" t="n"/>
      <c r="O551" s="235" t="n"/>
    </row>
    <row r="552">
      <c r="B552" s="199" t="n">
        <v>523</v>
      </c>
      <c r="C552" s="199" t="n"/>
      <c r="D552" s="312" t="n"/>
      <c r="E552" s="312" t="n"/>
      <c r="F552" s="312" t="n"/>
      <c r="G552" s="312" t="n"/>
      <c r="H552" s="312" t="n"/>
      <c r="I552" s="313" t="n"/>
      <c r="J552" s="319" t="n"/>
      <c r="K552" s="199" t="n"/>
      <c r="L552" s="199" t="n"/>
      <c r="M552" s="235" t="n"/>
      <c r="N552" s="235" t="n"/>
      <c r="O552" s="235" t="n"/>
    </row>
    <row r="553">
      <c r="B553" s="199" t="n">
        <v>524</v>
      </c>
      <c r="C553" s="199" t="n"/>
      <c r="D553" s="312" t="n"/>
      <c r="E553" s="312" t="n"/>
      <c r="F553" s="312" t="n"/>
      <c r="G553" s="312" t="n"/>
      <c r="H553" s="312" t="n"/>
      <c r="I553" s="313" t="n"/>
      <c r="J553" s="319" t="n"/>
      <c r="K553" s="199" t="n"/>
      <c r="L553" s="199" t="n"/>
      <c r="M553" s="235" t="n"/>
      <c r="N553" s="235" t="n"/>
      <c r="O553" s="235" t="n"/>
    </row>
    <row r="554">
      <c r="B554" s="199" t="n">
        <v>525</v>
      </c>
      <c r="C554" s="199" t="n"/>
      <c r="D554" s="312" t="n"/>
      <c r="E554" s="312" t="n"/>
      <c r="F554" s="312" t="n"/>
      <c r="G554" s="312" t="n"/>
      <c r="H554" s="312" t="n"/>
      <c r="I554" s="313" t="n"/>
      <c r="J554" s="319" t="n"/>
      <c r="K554" s="199" t="n"/>
      <c r="L554" s="199" t="n"/>
      <c r="M554" s="235" t="n"/>
      <c r="N554" s="235" t="n"/>
      <c r="O554" s="235" t="n"/>
    </row>
    <row r="555">
      <c r="B555" s="199" t="n">
        <v>526</v>
      </c>
      <c r="C555" s="199" t="n"/>
      <c r="D555" s="312" t="n"/>
      <c r="E555" s="312" t="n"/>
      <c r="F555" s="312" t="n"/>
      <c r="G555" s="312" t="n"/>
      <c r="H555" s="312" t="n"/>
      <c r="I555" s="313" t="n"/>
      <c r="J555" s="319" t="n"/>
      <c r="K555" s="199" t="n"/>
      <c r="L555" s="199" t="n"/>
      <c r="M555" s="235" t="n"/>
      <c r="N555" s="235" t="n"/>
      <c r="O555" s="235" t="n"/>
    </row>
    <row r="556">
      <c r="B556" s="199" t="n">
        <v>527</v>
      </c>
      <c r="C556" s="199" t="n"/>
      <c r="D556" s="312" t="n"/>
      <c r="E556" s="312" t="n"/>
      <c r="F556" s="312" t="n"/>
      <c r="G556" s="312" t="n"/>
      <c r="H556" s="312" t="n"/>
      <c r="I556" s="313" t="n"/>
      <c r="J556" s="319" t="n"/>
      <c r="K556" s="199" t="n"/>
      <c r="L556" s="199" t="n"/>
      <c r="M556" s="235" t="n"/>
      <c r="N556" s="235" t="n"/>
      <c r="O556" s="235" t="n"/>
    </row>
    <row r="557">
      <c r="B557" s="199" t="n">
        <v>528</v>
      </c>
      <c r="C557" s="199" t="n"/>
      <c r="D557" s="312" t="n"/>
      <c r="E557" s="312" t="n"/>
      <c r="F557" s="312" t="n"/>
      <c r="G557" s="312" t="n"/>
      <c r="H557" s="312" t="n"/>
      <c r="I557" s="313" t="n"/>
      <c r="J557" s="319" t="n"/>
      <c r="K557" s="199" t="n"/>
      <c r="L557" s="199" t="n"/>
      <c r="M557" s="235" t="n"/>
      <c r="N557" s="235" t="n"/>
      <c r="O557" s="235" t="n"/>
    </row>
    <row r="558">
      <c r="B558" s="199" t="n">
        <v>529</v>
      </c>
      <c r="C558" s="199" t="n"/>
      <c r="D558" s="312" t="n"/>
      <c r="E558" s="312" t="n"/>
      <c r="F558" s="312" t="n"/>
      <c r="G558" s="312" t="n"/>
      <c r="H558" s="312" t="n"/>
      <c r="I558" s="313" t="n"/>
      <c r="J558" s="319" t="n"/>
      <c r="K558" s="199" t="n"/>
      <c r="L558" s="199" t="n"/>
      <c r="M558" s="235" t="n"/>
      <c r="N558" s="235" t="n"/>
      <c r="O558" s="235" t="n"/>
    </row>
    <row r="559">
      <c r="B559" s="199" t="n">
        <v>530</v>
      </c>
      <c r="C559" s="199" t="n"/>
      <c r="D559" s="312" t="n"/>
      <c r="E559" s="312" t="n"/>
      <c r="F559" s="312" t="n"/>
      <c r="G559" s="312" t="n"/>
      <c r="H559" s="312" t="n"/>
      <c r="I559" s="313" t="n"/>
      <c r="J559" s="319" t="n"/>
      <c r="K559" s="199" t="n"/>
      <c r="L559" s="199" t="n"/>
      <c r="M559" s="235" t="n"/>
      <c r="N559" s="235" t="n"/>
      <c r="O559" s="235" t="n"/>
    </row>
    <row r="560">
      <c r="B560" s="199" t="n">
        <v>531</v>
      </c>
      <c r="C560" s="199" t="n"/>
      <c r="D560" s="312" t="n"/>
      <c r="E560" s="312" t="n"/>
      <c r="F560" s="312" t="n"/>
      <c r="G560" s="312" t="n"/>
      <c r="H560" s="312" t="n"/>
      <c r="I560" s="313" t="n"/>
      <c r="J560" s="319" t="n"/>
      <c r="K560" s="199" t="n"/>
      <c r="L560" s="199" t="n"/>
      <c r="M560" s="235" t="n"/>
      <c r="N560" s="235" t="n"/>
      <c r="O560" s="235" t="n"/>
    </row>
    <row r="561">
      <c r="B561" s="199" t="n">
        <v>532</v>
      </c>
      <c r="C561" s="199" t="n"/>
      <c r="D561" s="312" t="n"/>
      <c r="E561" s="312" t="n"/>
      <c r="F561" s="312" t="n"/>
      <c r="G561" s="312" t="n"/>
      <c r="H561" s="312" t="n"/>
      <c r="I561" s="313" t="n"/>
      <c r="J561" s="319" t="n"/>
      <c r="K561" s="199" t="n"/>
      <c r="L561" s="199" t="n"/>
      <c r="M561" s="235" t="n"/>
      <c r="N561" s="235" t="n"/>
      <c r="O561" s="235" t="n"/>
    </row>
    <row r="562">
      <c r="B562" s="199" t="n">
        <v>533</v>
      </c>
      <c r="C562" s="199" t="n"/>
      <c r="D562" s="312" t="n"/>
      <c r="E562" s="312" t="n"/>
      <c r="F562" s="312" t="n"/>
      <c r="G562" s="312" t="n"/>
      <c r="H562" s="312" t="n"/>
      <c r="I562" s="313" t="n"/>
      <c r="J562" s="319" t="n"/>
      <c r="K562" s="199" t="n"/>
      <c r="L562" s="199" t="n"/>
      <c r="M562" s="235" t="n"/>
      <c r="N562" s="235" t="n"/>
      <c r="O562" s="235" t="n"/>
    </row>
    <row r="563">
      <c r="B563" s="199" t="n">
        <v>534</v>
      </c>
      <c r="C563" s="199" t="n"/>
      <c r="D563" s="312" t="n"/>
      <c r="E563" s="312" t="n"/>
      <c r="F563" s="312" t="n"/>
      <c r="G563" s="312" t="n"/>
      <c r="H563" s="312" t="n"/>
      <c r="I563" s="313" t="n"/>
      <c r="J563" s="319" t="n"/>
      <c r="K563" s="199" t="n"/>
      <c r="L563" s="199" t="n"/>
      <c r="M563" s="235" t="n"/>
      <c r="N563" s="235" t="n"/>
      <c r="O563" s="235" t="n"/>
    </row>
    <row r="564">
      <c r="B564" s="199" t="n">
        <v>535</v>
      </c>
      <c r="C564" s="199" t="n"/>
      <c r="D564" s="312" t="n"/>
      <c r="E564" s="312" t="n"/>
      <c r="F564" s="312" t="n"/>
      <c r="G564" s="312" t="n"/>
      <c r="H564" s="312" t="n"/>
      <c r="I564" s="313" t="n"/>
      <c r="J564" s="319" t="n"/>
      <c r="K564" s="199" t="n"/>
      <c r="L564" s="199" t="n"/>
      <c r="M564" s="235" t="n"/>
      <c r="N564" s="235" t="n"/>
      <c r="O564" s="235" t="n"/>
    </row>
    <row r="565">
      <c r="B565" s="199" t="n">
        <v>536</v>
      </c>
      <c r="C565" s="199" t="n"/>
      <c r="D565" s="312" t="n"/>
      <c r="E565" s="312" t="n"/>
      <c r="F565" s="312" t="n"/>
      <c r="G565" s="312" t="n"/>
      <c r="H565" s="312" t="n"/>
      <c r="I565" s="313" t="n"/>
      <c r="J565" s="319" t="n"/>
      <c r="K565" s="199" t="n"/>
      <c r="L565" s="199" t="n"/>
      <c r="M565" s="235" t="n"/>
      <c r="N565" s="235" t="n"/>
      <c r="O565" s="235" t="n"/>
    </row>
    <row r="566">
      <c r="B566" s="199" t="n">
        <v>537</v>
      </c>
      <c r="C566" s="199" t="n"/>
      <c r="D566" s="312" t="n"/>
      <c r="E566" s="312" t="n"/>
      <c r="F566" s="312" t="n"/>
      <c r="G566" s="312" t="n"/>
      <c r="H566" s="312" t="n"/>
      <c r="I566" s="313" t="n"/>
      <c r="J566" s="319" t="n"/>
      <c r="K566" s="199" t="n"/>
      <c r="L566" s="199" t="n"/>
      <c r="M566" s="235" t="n"/>
      <c r="N566" s="235" t="n"/>
      <c r="O566" s="235" t="n"/>
    </row>
    <row r="567">
      <c r="B567" s="199" t="n">
        <v>538</v>
      </c>
      <c r="C567" s="199" t="n"/>
      <c r="D567" s="312" t="n"/>
      <c r="E567" s="312" t="n"/>
      <c r="F567" s="312" t="n"/>
      <c r="G567" s="312" t="n"/>
      <c r="H567" s="312" t="n"/>
      <c r="I567" s="313" t="n"/>
      <c r="J567" s="319" t="n"/>
      <c r="K567" s="199" t="n"/>
      <c r="L567" s="199" t="n"/>
      <c r="M567" s="235" t="n"/>
      <c r="N567" s="235" t="n"/>
      <c r="O567" s="235" t="n"/>
    </row>
    <row r="568">
      <c r="B568" s="199" t="n">
        <v>539</v>
      </c>
      <c r="C568" s="199" t="n"/>
      <c r="D568" s="312" t="n"/>
      <c r="E568" s="312" t="n"/>
      <c r="F568" s="312" t="n"/>
      <c r="G568" s="312" t="n"/>
      <c r="H568" s="312" t="n"/>
      <c r="I568" s="313" t="n"/>
      <c r="J568" s="319" t="n"/>
      <c r="K568" s="199" t="n"/>
      <c r="L568" s="199" t="n"/>
      <c r="M568" s="235" t="n"/>
      <c r="N568" s="235" t="n"/>
      <c r="O568" s="235" t="n"/>
    </row>
    <row r="569">
      <c r="B569" s="199" t="n">
        <v>540</v>
      </c>
      <c r="C569" s="199" t="n"/>
      <c r="D569" s="312" t="n"/>
      <c r="E569" s="312" t="n"/>
      <c r="F569" s="312" t="n"/>
      <c r="G569" s="312" t="n"/>
      <c r="H569" s="312" t="n"/>
      <c r="I569" s="313" t="n"/>
      <c r="J569" s="319" t="n"/>
      <c r="K569" s="199" t="n"/>
      <c r="L569" s="199" t="n"/>
      <c r="M569" s="235" t="n"/>
      <c r="N569" s="235" t="n"/>
      <c r="O569" s="235" t="n"/>
    </row>
    <row r="570">
      <c r="B570" s="199" t="n">
        <v>541</v>
      </c>
      <c r="C570" s="199" t="n"/>
      <c r="D570" s="312" t="n"/>
      <c r="E570" s="312" t="n"/>
      <c r="F570" s="312" t="n"/>
      <c r="G570" s="312" t="n"/>
      <c r="H570" s="312" t="n"/>
      <c r="I570" s="313" t="n"/>
      <c r="J570" s="319" t="n"/>
      <c r="K570" s="199" t="n"/>
      <c r="L570" s="199" t="n"/>
      <c r="M570" s="235" t="n"/>
      <c r="N570" s="235" t="n"/>
      <c r="O570" s="235" t="n"/>
    </row>
    <row r="571">
      <c r="B571" s="199" t="n">
        <v>542</v>
      </c>
      <c r="C571" s="199" t="n"/>
      <c r="D571" s="312" t="n"/>
      <c r="E571" s="312" t="n"/>
      <c r="F571" s="312" t="n"/>
      <c r="G571" s="312" t="n"/>
      <c r="H571" s="312" t="n"/>
      <c r="I571" s="313" t="n"/>
      <c r="J571" s="319" t="n"/>
      <c r="K571" s="199" t="n"/>
      <c r="L571" s="199" t="n"/>
      <c r="M571" s="235" t="n"/>
      <c r="N571" s="235" t="n"/>
      <c r="O571" s="235" t="n"/>
    </row>
    <row r="572">
      <c r="B572" s="199" t="n">
        <v>543</v>
      </c>
      <c r="C572" s="199" t="n"/>
      <c r="D572" s="312" t="n"/>
      <c r="E572" s="312" t="n"/>
      <c r="F572" s="312" t="n"/>
      <c r="G572" s="312" t="n"/>
      <c r="H572" s="312" t="n"/>
      <c r="I572" s="313" t="n"/>
      <c r="J572" s="319" t="n"/>
      <c r="K572" s="199" t="n"/>
      <c r="L572" s="199" t="n"/>
      <c r="M572" s="235" t="n"/>
      <c r="N572" s="235" t="n"/>
      <c r="O572" s="235" t="n"/>
    </row>
    <row r="573">
      <c r="B573" s="199" t="n">
        <v>544</v>
      </c>
      <c r="C573" s="199" t="n"/>
      <c r="D573" s="312" t="n"/>
      <c r="E573" s="312" t="n"/>
      <c r="F573" s="312" t="n"/>
      <c r="G573" s="312" t="n"/>
      <c r="H573" s="312" t="n"/>
      <c r="I573" s="313" t="n"/>
      <c r="J573" s="319" t="n"/>
      <c r="K573" s="199" t="n"/>
      <c r="L573" s="199" t="n"/>
      <c r="M573" s="235" t="n"/>
      <c r="N573" s="235" t="n"/>
      <c r="O573" s="235" t="n"/>
    </row>
    <row r="574">
      <c r="B574" s="199" t="n">
        <v>545</v>
      </c>
      <c r="C574" s="199" t="n"/>
      <c r="D574" s="312" t="n"/>
      <c r="E574" s="312" t="n"/>
      <c r="F574" s="312" t="n"/>
      <c r="G574" s="312" t="n"/>
      <c r="H574" s="312" t="n"/>
      <c r="I574" s="313" t="n"/>
      <c r="J574" s="319" t="n"/>
      <c r="K574" s="199" t="n"/>
      <c r="L574" s="199" t="n"/>
      <c r="M574" s="235" t="n"/>
      <c r="N574" s="235" t="n"/>
      <c r="O574" s="235" t="n"/>
    </row>
    <row r="575">
      <c r="B575" s="199" t="n">
        <v>546</v>
      </c>
      <c r="C575" s="199" t="n"/>
      <c r="D575" s="312" t="n"/>
      <c r="E575" s="312" t="n"/>
      <c r="F575" s="312" t="n"/>
      <c r="G575" s="312" t="n"/>
      <c r="H575" s="312" t="n"/>
      <c r="I575" s="313" t="n"/>
      <c r="J575" s="319" t="n"/>
      <c r="K575" s="199" t="n"/>
      <c r="L575" s="199" t="n"/>
      <c r="M575" s="235" t="n"/>
      <c r="N575" s="235" t="n"/>
      <c r="O575" s="235" t="n"/>
    </row>
    <row r="576">
      <c r="B576" s="199" t="n">
        <v>547</v>
      </c>
      <c r="C576" s="199" t="n"/>
      <c r="D576" s="312" t="n"/>
      <c r="E576" s="312" t="n"/>
      <c r="F576" s="312" t="n"/>
      <c r="G576" s="312" t="n"/>
      <c r="H576" s="312" t="n"/>
      <c r="I576" s="313" t="n"/>
      <c r="J576" s="319" t="n"/>
      <c r="K576" s="199" t="n"/>
      <c r="L576" s="199" t="n"/>
      <c r="M576" s="235" t="n"/>
      <c r="N576" s="235" t="n"/>
      <c r="O576" s="235" t="n"/>
    </row>
    <row r="577">
      <c r="B577" s="199" t="n">
        <v>548</v>
      </c>
      <c r="C577" s="199" t="n"/>
      <c r="D577" s="312" t="n"/>
      <c r="E577" s="312" t="n"/>
      <c r="F577" s="312" t="n"/>
      <c r="G577" s="312" t="n"/>
      <c r="H577" s="312" t="n"/>
      <c r="I577" s="313" t="n"/>
      <c r="J577" s="319" t="n"/>
      <c r="K577" s="199" t="n"/>
      <c r="L577" s="199" t="n"/>
      <c r="M577" s="235" t="n"/>
      <c r="N577" s="235" t="n"/>
      <c r="O577" s="235" t="n"/>
    </row>
    <row r="578">
      <c r="B578" s="199" t="n">
        <v>549</v>
      </c>
      <c r="C578" s="199" t="n"/>
      <c r="D578" s="312" t="n"/>
      <c r="E578" s="312" t="n"/>
      <c r="F578" s="312" t="n"/>
      <c r="G578" s="312" t="n"/>
      <c r="H578" s="312" t="n"/>
      <c r="I578" s="313" t="n"/>
      <c r="J578" s="319" t="n"/>
      <c r="K578" s="199" t="n"/>
      <c r="L578" s="199" t="n"/>
      <c r="M578" s="235" t="n"/>
      <c r="N578" s="235" t="n"/>
      <c r="O578" s="235" t="n"/>
    </row>
    <row r="579">
      <c r="B579" s="199" t="n">
        <v>550</v>
      </c>
      <c r="C579" s="199" t="n"/>
      <c r="D579" s="312" t="n"/>
      <c r="E579" s="312" t="n"/>
      <c r="F579" s="312" t="n"/>
      <c r="G579" s="312" t="n"/>
      <c r="H579" s="312" t="n"/>
      <c r="I579" s="313" t="n"/>
      <c r="J579" s="319" t="n"/>
      <c r="K579" s="199" t="n"/>
      <c r="L579" s="199" t="n"/>
      <c r="M579" s="235" t="n"/>
      <c r="N579" s="235" t="n"/>
      <c r="O579" s="235" t="n"/>
    </row>
    <row r="580">
      <c r="B580" s="199" t="n">
        <v>551</v>
      </c>
      <c r="C580" s="199" t="n"/>
      <c r="D580" s="312" t="n"/>
      <c r="E580" s="312" t="n"/>
      <c r="F580" s="312" t="n"/>
      <c r="G580" s="312" t="n"/>
      <c r="H580" s="312" t="n"/>
      <c r="I580" s="313" t="n"/>
      <c r="J580" s="319" t="n"/>
      <c r="K580" s="199" t="n"/>
      <c r="L580" s="199" t="n"/>
      <c r="M580" s="235" t="n"/>
      <c r="N580" s="235" t="n"/>
      <c r="O580" s="235" t="n"/>
    </row>
    <row r="581">
      <c r="B581" s="199" t="n">
        <v>552</v>
      </c>
      <c r="C581" s="199" t="n"/>
      <c r="D581" s="312" t="n"/>
      <c r="E581" s="312" t="n"/>
      <c r="F581" s="312" t="n"/>
      <c r="G581" s="312" t="n"/>
      <c r="H581" s="312" t="n"/>
      <c r="I581" s="313" t="n"/>
      <c r="J581" s="319" t="n"/>
      <c r="K581" s="199" t="n"/>
      <c r="L581" s="199" t="n"/>
      <c r="M581" s="235" t="n"/>
      <c r="N581" s="235" t="n"/>
      <c r="O581" s="235" t="n"/>
    </row>
    <row r="582">
      <c r="B582" s="199" t="n">
        <v>553</v>
      </c>
      <c r="C582" s="199" t="n"/>
      <c r="D582" s="312" t="n"/>
      <c r="E582" s="312" t="n"/>
      <c r="F582" s="312" t="n"/>
      <c r="G582" s="312" t="n"/>
      <c r="H582" s="312" t="n"/>
      <c r="I582" s="313" t="n"/>
      <c r="J582" s="319" t="n"/>
      <c r="K582" s="199" t="n"/>
      <c r="L582" s="199" t="n"/>
      <c r="M582" s="235" t="n"/>
      <c r="N582" s="235" t="n"/>
      <c r="O582" s="235" t="n"/>
    </row>
    <row r="583">
      <c r="B583" s="199" t="n">
        <v>554</v>
      </c>
      <c r="C583" s="199" t="n"/>
      <c r="D583" s="312" t="n"/>
      <c r="E583" s="312" t="n"/>
      <c r="F583" s="312" t="n"/>
      <c r="G583" s="312" t="n"/>
      <c r="H583" s="312" t="n"/>
      <c r="I583" s="313" t="n"/>
      <c r="J583" s="319" t="n"/>
      <c r="K583" s="199" t="n"/>
      <c r="L583" s="199" t="n"/>
      <c r="M583" s="235" t="n"/>
      <c r="N583" s="235" t="n"/>
      <c r="O583" s="235" t="n"/>
    </row>
    <row r="584">
      <c r="B584" s="199" t="n">
        <v>555</v>
      </c>
      <c r="C584" s="199" t="n"/>
      <c r="D584" s="312" t="n"/>
      <c r="E584" s="312" t="n"/>
      <c r="F584" s="312" t="n"/>
      <c r="G584" s="312" t="n"/>
      <c r="H584" s="312" t="n"/>
      <c r="I584" s="313" t="n"/>
      <c r="J584" s="319" t="n"/>
      <c r="K584" s="199" t="n"/>
      <c r="L584" s="199" t="n"/>
      <c r="M584" s="235" t="n"/>
      <c r="N584" s="235" t="n"/>
      <c r="O584" s="235" t="n"/>
    </row>
    <row r="585">
      <c r="B585" s="199" t="n">
        <v>556</v>
      </c>
      <c r="C585" s="199" t="n"/>
      <c r="D585" s="312" t="n"/>
      <c r="E585" s="312" t="n"/>
      <c r="F585" s="312" t="n"/>
      <c r="G585" s="312" t="n"/>
      <c r="H585" s="312" t="n"/>
      <c r="I585" s="313" t="n"/>
      <c r="J585" s="319" t="n"/>
      <c r="K585" s="199" t="n"/>
      <c r="L585" s="199" t="n"/>
      <c r="M585" s="235" t="n"/>
      <c r="N585" s="235" t="n"/>
      <c r="O585" s="235" t="n"/>
    </row>
    <row r="586">
      <c r="B586" s="199" t="n">
        <v>557</v>
      </c>
      <c r="C586" s="199" t="n"/>
      <c r="D586" s="312" t="n"/>
      <c r="E586" s="312" t="n"/>
      <c r="F586" s="312" t="n"/>
      <c r="G586" s="312" t="n"/>
      <c r="H586" s="312" t="n"/>
      <c r="I586" s="313" t="n"/>
      <c r="J586" s="319" t="n"/>
      <c r="K586" s="199" t="n"/>
      <c r="L586" s="199" t="n"/>
      <c r="M586" s="235" t="n"/>
      <c r="N586" s="235" t="n"/>
      <c r="O586" s="235" t="n"/>
    </row>
    <row r="587">
      <c r="B587" s="199" t="n">
        <v>558</v>
      </c>
      <c r="C587" s="199" t="n"/>
      <c r="D587" s="312" t="n"/>
      <c r="E587" s="312" t="n"/>
      <c r="F587" s="312" t="n"/>
      <c r="G587" s="312" t="n"/>
      <c r="H587" s="312" t="n"/>
      <c r="I587" s="313" t="n"/>
      <c r="J587" s="319" t="n"/>
      <c r="K587" s="199" t="n"/>
      <c r="L587" s="199" t="n"/>
      <c r="M587" s="235" t="n"/>
      <c r="N587" s="235" t="n"/>
      <c r="O587" s="235" t="n"/>
    </row>
    <row r="588">
      <c r="B588" s="199" t="n">
        <v>559</v>
      </c>
      <c r="C588" s="199" t="n"/>
      <c r="D588" s="312" t="n"/>
      <c r="E588" s="312" t="n"/>
      <c r="F588" s="312" t="n"/>
      <c r="G588" s="312" t="n"/>
      <c r="H588" s="312" t="n"/>
      <c r="I588" s="313" t="n"/>
      <c r="J588" s="319" t="n"/>
      <c r="K588" s="199" t="n"/>
      <c r="L588" s="199" t="n"/>
      <c r="M588" s="235" t="n"/>
      <c r="N588" s="235" t="n"/>
      <c r="O588" s="235" t="n"/>
    </row>
    <row r="589">
      <c r="B589" s="199" t="n">
        <v>560</v>
      </c>
      <c r="C589" s="199" t="n"/>
      <c r="D589" s="312" t="n"/>
      <c r="E589" s="312" t="n"/>
      <c r="F589" s="312" t="n"/>
      <c r="G589" s="312" t="n"/>
      <c r="H589" s="312" t="n"/>
      <c r="I589" s="313" t="n"/>
      <c r="J589" s="319" t="n"/>
      <c r="K589" s="199" t="n"/>
      <c r="L589" s="199" t="n"/>
      <c r="M589" s="235" t="n"/>
      <c r="N589" s="235" t="n"/>
      <c r="O589" s="235" t="n"/>
    </row>
    <row r="590">
      <c r="B590" s="199" t="n">
        <v>561</v>
      </c>
      <c r="C590" s="199" t="n"/>
      <c r="D590" s="312" t="n"/>
      <c r="E590" s="312" t="n"/>
      <c r="F590" s="312" t="n"/>
      <c r="G590" s="312" t="n"/>
      <c r="H590" s="312" t="n"/>
      <c r="I590" s="313" t="n"/>
      <c r="J590" s="319" t="n"/>
      <c r="K590" s="199" t="n"/>
      <c r="L590" s="199" t="n"/>
      <c r="M590" s="235" t="n"/>
      <c r="N590" s="235" t="n"/>
      <c r="O590" s="235" t="n"/>
    </row>
    <row r="591">
      <c r="B591" s="199" t="n">
        <v>562</v>
      </c>
      <c r="C591" s="199" t="n"/>
      <c r="D591" s="312" t="n"/>
      <c r="E591" s="312" t="n"/>
      <c r="F591" s="312" t="n"/>
      <c r="G591" s="312" t="n"/>
      <c r="H591" s="312" t="n"/>
      <c r="I591" s="313" t="n"/>
      <c r="J591" s="319" t="n"/>
      <c r="K591" s="199" t="n"/>
      <c r="L591" s="199" t="n"/>
      <c r="M591" s="235" t="n"/>
      <c r="N591" s="235" t="n"/>
      <c r="O591" s="235" t="n"/>
    </row>
    <row r="592">
      <c r="B592" s="199" t="n">
        <v>563</v>
      </c>
      <c r="C592" s="199" t="n"/>
      <c r="D592" s="312" t="n"/>
      <c r="E592" s="312" t="n"/>
      <c r="F592" s="312" t="n"/>
      <c r="G592" s="312" t="n"/>
      <c r="H592" s="312" t="n"/>
      <c r="I592" s="313" t="n"/>
      <c r="J592" s="319" t="n"/>
      <c r="K592" s="199" t="n"/>
      <c r="L592" s="199" t="n"/>
      <c r="M592" s="235" t="n"/>
      <c r="N592" s="235" t="n"/>
      <c r="O592" s="235" t="n"/>
    </row>
    <row r="593">
      <c r="B593" s="199" t="n">
        <v>564</v>
      </c>
      <c r="C593" s="199" t="n"/>
      <c r="D593" s="312" t="n"/>
      <c r="E593" s="312" t="n"/>
      <c r="F593" s="312" t="n"/>
      <c r="G593" s="312" t="n"/>
      <c r="H593" s="312" t="n"/>
      <c r="I593" s="313" t="n"/>
      <c r="J593" s="319" t="n"/>
      <c r="K593" s="199" t="n"/>
      <c r="L593" s="199" t="n"/>
      <c r="M593" s="235" t="n"/>
      <c r="N593" s="235" t="n"/>
      <c r="O593" s="235" t="n"/>
    </row>
    <row r="594">
      <c r="B594" s="199" t="n">
        <v>565</v>
      </c>
      <c r="C594" s="199" t="n"/>
      <c r="D594" s="312" t="n"/>
      <c r="E594" s="312" t="n"/>
      <c r="F594" s="312" t="n"/>
      <c r="G594" s="312" t="n"/>
      <c r="H594" s="312" t="n"/>
      <c r="I594" s="313" t="n"/>
      <c r="J594" s="319" t="n"/>
      <c r="K594" s="199" t="n"/>
      <c r="L594" s="199" t="n"/>
      <c r="M594" s="235" t="n"/>
      <c r="N594" s="235" t="n"/>
      <c r="O594" s="235" t="n"/>
    </row>
    <row r="595">
      <c r="B595" s="199" t="n">
        <v>566</v>
      </c>
      <c r="C595" s="199" t="n"/>
      <c r="D595" s="312" t="n"/>
      <c r="E595" s="312" t="n"/>
      <c r="F595" s="312" t="n"/>
      <c r="G595" s="312" t="n"/>
      <c r="H595" s="312" t="n"/>
      <c r="I595" s="313" t="n"/>
      <c r="J595" s="319" t="n"/>
      <c r="K595" s="199" t="n"/>
      <c r="L595" s="199" t="n"/>
      <c r="M595" s="235" t="n"/>
      <c r="N595" s="235" t="n"/>
      <c r="O595" s="235" t="n"/>
    </row>
    <row r="596">
      <c r="B596" s="199" t="n">
        <v>567</v>
      </c>
      <c r="C596" s="199" t="n"/>
      <c r="D596" s="312" t="n"/>
      <c r="E596" s="312" t="n"/>
      <c r="F596" s="312" t="n"/>
      <c r="G596" s="312" t="n"/>
      <c r="H596" s="312" t="n"/>
      <c r="I596" s="313" t="n"/>
      <c r="J596" s="319" t="n"/>
      <c r="K596" s="199" t="n"/>
      <c r="L596" s="199" t="n"/>
      <c r="M596" s="235" t="n"/>
      <c r="N596" s="235" t="n"/>
      <c r="O596" s="235" t="n"/>
    </row>
    <row r="597">
      <c r="B597" s="199" t="n">
        <v>568</v>
      </c>
      <c r="C597" s="199" t="n"/>
      <c r="D597" s="312" t="n"/>
      <c r="E597" s="312" t="n"/>
      <c r="F597" s="312" t="n"/>
      <c r="G597" s="312" t="n"/>
      <c r="H597" s="312" t="n"/>
      <c r="I597" s="313" t="n"/>
      <c r="J597" s="319" t="n"/>
      <c r="K597" s="199" t="n"/>
      <c r="L597" s="199" t="n"/>
      <c r="M597" s="235" t="n"/>
      <c r="N597" s="235" t="n"/>
      <c r="O597" s="235" t="n"/>
    </row>
    <row r="598">
      <c r="B598" s="199" t="n">
        <v>569</v>
      </c>
      <c r="C598" s="199" t="n"/>
      <c r="D598" s="312" t="n"/>
      <c r="E598" s="312" t="n"/>
      <c r="F598" s="312" t="n"/>
      <c r="G598" s="312" t="n"/>
      <c r="H598" s="312" t="n"/>
      <c r="I598" s="313" t="n"/>
      <c r="J598" s="319" t="n"/>
      <c r="K598" s="199" t="n"/>
      <c r="L598" s="199" t="n"/>
      <c r="M598" s="235" t="n"/>
      <c r="N598" s="235" t="n"/>
      <c r="O598" s="235" t="n"/>
    </row>
    <row r="599">
      <c r="B599" s="199" t="n">
        <v>570</v>
      </c>
      <c r="C599" s="199" t="n"/>
      <c r="D599" s="312" t="n"/>
      <c r="E599" s="312" t="n"/>
      <c r="F599" s="312" t="n"/>
      <c r="G599" s="312" t="n"/>
      <c r="H599" s="312" t="n"/>
      <c r="I599" s="313" t="n"/>
      <c r="J599" s="319" t="n"/>
      <c r="K599" s="199" t="n"/>
      <c r="L599" s="199" t="n"/>
      <c r="M599" s="235" t="n"/>
      <c r="N599" s="235" t="n"/>
      <c r="O599" s="235" t="n"/>
    </row>
    <row r="600">
      <c r="B600" s="199" t="n">
        <v>571</v>
      </c>
      <c r="C600" s="199" t="n"/>
      <c r="D600" s="312" t="n"/>
      <c r="E600" s="312" t="n"/>
      <c r="F600" s="312" t="n"/>
      <c r="G600" s="312" t="n"/>
      <c r="H600" s="312" t="n"/>
      <c r="I600" s="313" t="n"/>
      <c r="J600" s="319" t="n"/>
      <c r="K600" s="199" t="n"/>
      <c r="L600" s="199" t="n"/>
      <c r="M600" s="235" t="n"/>
      <c r="N600" s="235" t="n"/>
      <c r="O600" s="235" t="n"/>
    </row>
    <row r="601">
      <c r="B601" s="199" t="n">
        <v>572</v>
      </c>
      <c r="C601" s="199" t="n"/>
      <c r="D601" s="312" t="n"/>
      <c r="E601" s="312" t="n"/>
      <c r="F601" s="312" t="n"/>
      <c r="G601" s="312" t="n"/>
      <c r="H601" s="312" t="n"/>
      <c r="I601" s="313" t="n"/>
      <c r="J601" s="319" t="n"/>
      <c r="K601" s="199" t="n"/>
      <c r="L601" s="199" t="n"/>
      <c r="M601" s="235" t="n"/>
      <c r="N601" s="235" t="n"/>
      <c r="O601" s="235" t="n"/>
    </row>
    <row r="602">
      <c r="B602" s="199" t="n">
        <v>573</v>
      </c>
      <c r="C602" s="199" t="n"/>
      <c r="D602" s="312" t="n"/>
      <c r="E602" s="312" t="n"/>
      <c r="F602" s="312" t="n"/>
      <c r="G602" s="312" t="n"/>
      <c r="H602" s="312" t="n"/>
      <c r="I602" s="313" t="n"/>
      <c r="J602" s="319" t="n"/>
      <c r="K602" s="199" t="n"/>
      <c r="L602" s="199" t="n"/>
      <c r="M602" s="235" t="n"/>
      <c r="N602" s="235" t="n"/>
      <c r="O602" s="235" t="n"/>
    </row>
    <row r="603">
      <c r="B603" s="199" t="n">
        <v>574</v>
      </c>
      <c r="C603" s="199" t="n"/>
      <c r="D603" s="312" t="n"/>
      <c r="E603" s="312" t="n"/>
      <c r="F603" s="312" t="n"/>
      <c r="G603" s="312" t="n"/>
      <c r="H603" s="312" t="n"/>
      <c r="I603" s="313" t="n"/>
      <c r="J603" s="319" t="n"/>
      <c r="K603" s="199" t="n"/>
      <c r="L603" s="199" t="n"/>
      <c r="M603" s="235" t="n"/>
      <c r="N603" s="235" t="n"/>
      <c r="O603" s="235" t="n"/>
    </row>
    <row r="604">
      <c r="B604" s="199" t="n">
        <v>575</v>
      </c>
      <c r="C604" s="199" t="n"/>
      <c r="D604" s="312" t="n"/>
      <c r="E604" s="312" t="n"/>
      <c r="F604" s="312" t="n"/>
      <c r="G604" s="312" t="n"/>
      <c r="H604" s="312" t="n"/>
      <c r="I604" s="313" t="n"/>
      <c r="J604" s="319" t="n"/>
      <c r="K604" s="199" t="n"/>
      <c r="L604" s="199" t="n"/>
      <c r="M604" s="235" t="n"/>
      <c r="N604" s="235" t="n"/>
      <c r="O604" s="235" t="n"/>
    </row>
    <row r="605">
      <c r="B605" s="199" t="n">
        <v>576</v>
      </c>
      <c r="C605" s="199" t="n"/>
      <c r="D605" s="312" t="n"/>
      <c r="E605" s="312" t="n"/>
      <c r="F605" s="312" t="n"/>
      <c r="G605" s="312" t="n"/>
      <c r="H605" s="312" t="n"/>
      <c r="I605" s="313" t="n"/>
      <c r="J605" s="319" t="n"/>
      <c r="K605" s="199" t="n"/>
      <c r="L605" s="199" t="n"/>
      <c r="M605" s="235" t="n"/>
      <c r="N605" s="235" t="n"/>
      <c r="O605" s="235" t="n"/>
    </row>
    <row r="606">
      <c r="B606" s="199" t="n">
        <v>577</v>
      </c>
      <c r="C606" s="199" t="n"/>
      <c r="D606" s="312" t="n"/>
      <c r="E606" s="312" t="n"/>
      <c r="F606" s="312" t="n"/>
      <c r="G606" s="312" t="n"/>
      <c r="H606" s="312" t="n"/>
      <c r="I606" s="313" t="n"/>
      <c r="J606" s="319" t="n"/>
      <c r="K606" s="199" t="n"/>
      <c r="L606" s="199" t="n"/>
      <c r="M606" s="235" t="n"/>
      <c r="N606" s="235" t="n"/>
      <c r="O606" s="235" t="n"/>
    </row>
    <row r="607">
      <c r="B607" s="199" t="n">
        <v>578</v>
      </c>
      <c r="C607" s="199" t="n"/>
      <c r="D607" s="312" t="n"/>
      <c r="E607" s="312" t="n"/>
      <c r="F607" s="312" t="n"/>
      <c r="G607" s="312" t="n"/>
      <c r="H607" s="312" t="n"/>
      <c r="I607" s="313" t="n"/>
      <c r="J607" s="319" t="n"/>
      <c r="K607" s="199" t="n"/>
      <c r="L607" s="199" t="n"/>
      <c r="M607" s="235" t="n"/>
      <c r="N607" s="235" t="n"/>
      <c r="O607" s="235" t="n"/>
    </row>
    <row r="608">
      <c r="B608" s="199" t="n">
        <v>579</v>
      </c>
      <c r="C608" s="199" t="n"/>
      <c r="D608" s="312" t="n"/>
      <c r="E608" s="312" t="n"/>
      <c r="F608" s="312" t="n"/>
      <c r="G608" s="312" t="n"/>
      <c r="H608" s="312" t="n"/>
      <c r="I608" s="313" t="n"/>
      <c r="J608" s="319" t="n"/>
      <c r="K608" s="199" t="n"/>
      <c r="L608" s="199" t="n"/>
      <c r="M608" s="235" t="n"/>
      <c r="N608" s="235" t="n"/>
      <c r="O608" s="235" t="n"/>
    </row>
    <row r="609">
      <c r="B609" s="199" t="n">
        <v>580</v>
      </c>
      <c r="C609" s="199" t="n"/>
      <c r="D609" s="312" t="n"/>
      <c r="E609" s="312" t="n"/>
      <c r="F609" s="312" t="n"/>
      <c r="G609" s="312" t="n"/>
      <c r="H609" s="312" t="n"/>
      <c r="I609" s="313" t="n"/>
      <c r="J609" s="319" t="n"/>
      <c r="K609" s="199" t="n"/>
      <c r="L609" s="199" t="n"/>
      <c r="M609" s="235" t="n"/>
      <c r="N609" s="235" t="n"/>
      <c r="O609" s="235" t="n"/>
    </row>
    <row r="610">
      <c r="B610" s="199" t="n">
        <v>581</v>
      </c>
      <c r="C610" s="199" t="n"/>
      <c r="D610" s="312" t="n"/>
      <c r="E610" s="312" t="n"/>
      <c r="F610" s="312" t="n"/>
      <c r="G610" s="312" t="n"/>
      <c r="H610" s="312" t="n"/>
      <c r="I610" s="313" t="n"/>
      <c r="J610" s="319" t="n"/>
      <c r="K610" s="199" t="n"/>
      <c r="L610" s="199" t="n"/>
      <c r="M610" s="235" t="n"/>
      <c r="N610" s="235" t="n"/>
      <c r="O610" s="235" t="n"/>
    </row>
    <row r="611">
      <c r="B611" s="199" t="n">
        <v>582</v>
      </c>
      <c r="C611" s="199" t="n"/>
      <c r="D611" s="312" t="n"/>
      <c r="E611" s="312" t="n"/>
      <c r="F611" s="312" t="n"/>
      <c r="G611" s="312" t="n"/>
      <c r="H611" s="312" t="n"/>
      <c r="I611" s="313" t="n"/>
      <c r="J611" s="319" t="n"/>
      <c r="K611" s="199" t="n"/>
      <c r="L611" s="199" t="n"/>
      <c r="M611" s="235" t="n"/>
      <c r="N611" s="235" t="n"/>
      <c r="O611" s="235" t="n"/>
    </row>
    <row r="612">
      <c r="B612" s="199" t="n">
        <v>583</v>
      </c>
      <c r="C612" s="199" t="n"/>
      <c r="D612" s="312" t="n"/>
      <c r="E612" s="312" t="n"/>
      <c r="F612" s="312" t="n"/>
      <c r="G612" s="312" t="n"/>
      <c r="H612" s="312" t="n"/>
      <c r="I612" s="313" t="n"/>
      <c r="J612" s="319" t="n"/>
      <c r="K612" s="199" t="n"/>
      <c r="L612" s="199" t="n"/>
      <c r="M612" s="235" t="n"/>
      <c r="N612" s="235" t="n"/>
      <c r="O612" s="235" t="n"/>
    </row>
    <row r="613">
      <c r="B613" s="199" t="n">
        <v>584</v>
      </c>
      <c r="C613" s="199" t="n"/>
      <c r="D613" s="312" t="n"/>
      <c r="E613" s="312" t="n"/>
      <c r="F613" s="312" t="n"/>
      <c r="G613" s="312" t="n"/>
      <c r="H613" s="312" t="n"/>
      <c r="I613" s="313" t="n"/>
      <c r="J613" s="319" t="n"/>
      <c r="K613" s="199" t="n"/>
      <c r="L613" s="199" t="n"/>
      <c r="M613" s="235" t="n"/>
      <c r="N613" s="235" t="n"/>
      <c r="O613" s="235" t="n"/>
    </row>
    <row r="614">
      <c r="B614" s="199" t="n">
        <v>585</v>
      </c>
      <c r="C614" s="199" t="n"/>
      <c r="D614" s="312" t="n"/>
      <c r="E614" s="312" t="n"/>
      <c r="F614" s="312" t="n"/>
      <c r="G614" s="312" t="n"/>
      <c r="H614" s="312" t="n"/>
      <c r="I614" s="313" t="n"/>
      <c r="J614" s="319" t="n"/>
      <c r="K614" s="199" t="n"/>
      <c r="L614" s="199" t="n"/>
      <c r="M614" s="235" t="n"/>
      <c r="N614" s="235" t="n"/>
      <c r="O614" s="235" t="n"/>
    </row>
    <row r="615">
      <c r="B615" s="199" t="n">
        <v>586</v>
      </c>
      <c r="C615" s="199" t="n"/>
      <c r="D615" s="312" t="n"/>
      <c r="E615" s="312" t="n"/>
      <c r="F615" s="312" t="n"/>
      <c r="G615" s="312" t="n"/>
      <c r="H615" s="312" t="n"/>
      <c r="I615" s="313" t="n"/>
      <c r="J615" s="319" t="n"/>
      <c r="K615" s="199" t="n"/>
      <c r="L615" s="199" t="n"/>
      <c r="M615" s="235" t="n"/>
      <c r="N615" s="235" t="n"/>
      <c r="O615" s="235" t="n"/>
    </row>
    <row r="616">
      <c r="B616" s="199" t="n">
        <v>587</v>
      </c>
      <c r="C616" s="199" t="n"/>
      <c r="D616" s="312" t="n"/>
      <c r="E616" s="312" t="n"/>
      <c r="F616" s="312" t="n"/>
      <c r="G616" s="312" t="n"/>
      <c r="H616" s="312" t="n"/>
      <c r="I616" s="313" t="n"/>
      <c r="J616" s="319" t="n"/>
      <c r="K616" s="199" t="n"/>
      <c r="L616" s="199" t="n"/>
      <c r="M616" s="235" t="n"/>
      <c r="N616" s="235" t="n"/>
      <c r="O616" s="235" t="n"/>
    </row>
    <row r="617">
      <c r="B617" s="199" t="n">
        <v>588</v>
      </c>
      <c r="C617" s="199" t="n"/>
      <c r="D617" s="312" t="n"/>
      <c r="E617" s="312" t="n"/>
      <c r="F617" s="312" t="n"/>
      <c r="G617" s="312" t="n"/>
      <c r="H617" s="312" t="n"/>
      <c r="I617" s="313" t="n"/>
      <c r="J617" s="319" t="n"/>
      <c r="K617" s="199" t="n"/>
      <c r="L617" s="199" t="n"/>
      <c r="M617" s="235" t="n"/>
      <c r="N617" s="235" t="n"/>
      <c r="O617" s="235" t="n"/>
    </row>
    <row r="618">
      <c r="B618" s="199" t="n">
        <v>589</v>
      </c>
      <c r="C618" s="199" t="n"/>
      <c r="D618" s="312" t="n"/>
      <c r="E618" s="312" t="n"/>
      <c r="F618" s="312" t="n"/>
      <c r="G618" s="312" t="n"/>
      <c r="H618" s="312" t="n"/>
      <c r="I618" s="313" t="n"/>
      <c r="J618" s="319" t="n"/>
      <c r="K618" s="199" t="n"/>
      <c r="L618" s="199" t="n"/>
      <c r="M618" s="235" t="n"/>
      <c r="N618" s="235" t="n"/>
      <c r="O618" s="235" t="n"/>
    </row>
    <row r="619">
      <c r="B619" s="199" t="n">
        <v>590</v>
      </c>
      <c r="C619" s="199" t="n"/>
      <c r="D619" s="312" t="n"/>
      <c r="E619" s="312" t="n"/>
      <c r="F619" s="312" t="n"/>
      <c r="G619" s="312" t="n"/>
      <c r="H619" s="312" t="n"/>
      <c r="I619" s="313" t="n"/>
      <c r="J619" s="319" t="n"/>
      <c r="K619" s="199" t="n"/>
      <c r="L619" s="199" t="n"/>
      <c r="M619" s="235" t="n"/>
      <c r="N619" s="235" t="n"/>
      <c r="O619" s="235" t="n"/>
    </row>
    <row r="620">
      <c r="B620" s="199" t="n">
        <v>591</v>
      </c>
      <c r="C620" s="199" t="n"/>
      <c r="D620" s="312" t="n"/>
      <c r="E620" s="312" t="n"/>
      <c r="F620" s="312" t="n"/>
      <c r="G620" s="312" t="n"/>
      <c r="H620" s="312" t="n"/>
      <c r="I620" s="313" t="n"/>
      <c r="J620" s="319" t="n"/>
      <c r="K620" s="199" t="n"/>
      <c r="L620" s="199" t="n"/>
      <c r="M620" s="235" t="n"/>
      <c r="N620" s="235" t="n"/>
      <c r="O620" s="235" t="n"/>
    </row>
    <row r="621">
      <c r="B621" s="199" t="n">
        <v>592</v>
      </c>
      <c r="C621" s="199" t="n"/>
      <c r="D621" s="312" t="n"/>
      <c r="E621" s="312" t="n"/>
      <c r="F621" s="312" t="n"/>
      <c r="G621" s="312" t="n"/>
      <c r="H621" s="312" t="n"/>
      <c r="I621" s="313" t="n"/>
      <c r="J621" s="319" t="n"/>
      <c r="K621" s="199" t="n"/>
      <c r="L621" s="199" t="n"/>
      <c r="M621" s="235" t="n"/>
      <c r="N621" s="235" t="n"/>
      <c r="O621" s="235" t="n"/>
    </row>
    <row r="622">
      <c r="B622" s="199" t="n">
        <v>593</v>
      </c>
      <c r="C622" s="199" t="n"/>
      <c r="D622" s="312" t="n"/>
      <c r="E622" s="312" t="n"/>
      <c r="F622" s="312" t="n"/>
      <c r="G622" s="312" t="n"/>
      <c r="H622" s="312" t="n"/>
      <c r="I622" s="313" t="n"/>
      <c r="J622" s="319" t="n"/>
      <c r="K622" s="199" t="n"/>
      <c r="L622" s="199" t="n"/>
      <c r="M622" s="235" t="n"/>
      <c r="N622" s="235" t="n"/>
      <c r="O622" s="235" t="n"/>
    </row>
    <row r="623">
      <c r="B623" s="199" t="n">
        <v>594</v>
      </c>
      <c r="C623" s="199" t="n"/>
      <c r="D623" s="312" t="n"/>
      <c r="E623" s="312" t="n"/>
      <c r="F623" s="312" t="n"/>
      <c r="G623" s="312" t="n"/>
      <c r="H623" s="312" t="n"/>
      <c r="I623" s="313" t="n"/>
      <c r="J623" s="319" t="n"/>
      <c r="K623" s="199" t="n"/>
      <c r="L623" s="199" t="n"/>
      <c r="M623" s="235" t="n"/>
      <c r="N623" s="235" t="n"/>
      <c r="O623" s="235" t="n"/>
    </row>
    <row r="624">
      <c r="B624" s="199" t="n">
        <v>595</v>
      </c>
      <c r="C624" s="199" t="n"/>
      <c r="D624" s="312" t="n"/>
      <c r="E624" s="312" t="n"/>
      <c r="F624" s="312" t="n"/>
      <c r="G624" s="312" t="n"/>
      <c r="H624" s="312" t="n"/>
      <c r="I624" s="313" t="n"/>
      <c r="J624" s="319" t="n"/>
      <c r="K624" s="199" t="n"/>
      <c r="L624" s="199" t="n"/>
      <c r="M624" s="235" t="n"/>
      <c r="N624" s="235" t="n"/>
      <c r="O624" s="235" t="n"/>
    </row>
    <row r="625">
      <c r="B625" s="199" t="n">
        <v>596</v>
      </c>
      <c r="C625" s="199" t="n"/>
      <c r="D625" s="312" t="n"/>
      <c r="E625" s="312" t="n"/>
      <c r="F625" s="312" t="n"/>
      <c r="G625" s="312" t="n"/>
      <c r="H625" s="312" t="n"/>
      <c r="I625" s="313" t="n"/>
      <c r="J625" s="319" t="n"/>
      <c r="K625" s="199" t="n"/>
      <c r="L625" s="199" t="n"/>
      <c r="M625" s="235" t="n"/>
      <c r="N625" s="235" t="n"/>
      <c r="O625" s="235" t="n"/>
    </row>
    <row r="626">
      <c r="B626" s="199" t="n">
        <v>597</v>
      </c>
      <c r="C626" s="199" t="n"/>
      <c r="D626" s="312" t="n"/>
      <c r="E626" s="312" t="n"/>
      <c r="F626" s="312" t="n"/>
      <c r="G626" s="312" t="n"/>
      <c r="H626" s="312" t="n"/>
      <c r="I626" s="313" t="n"/>
      <c r="J626" s="319" t="n"/>
      <c r="K626" s="199" t="n"/>
      <c r="L626" s="199" t="n"/>
      <c r="M626" s="235" t="n"/>
      <c r="N626" s="235" t="n"/>
      <c r="O626" s="235" t="n"/>
    </row>
    <row r="627">
      <c r="B627" s="199" t="n">
        <v>598</v>
      </c>
      <c r="C627" s="199" t="n"/>
      <c r="D627" s="312" t="n"/>
      <c r="E627" s="312" t="n"/>
      <c r="F627" s="312" t="n"/>
      <c r="G627" s="312" t="n"/>
      <c r="H627" s="312" t="n"/>
      <c r="I627" s="313" t="n"/>
      <c r="J627" s="319" t="n"/>
      <c r="K627" s="199" t="n"/>
      <c r="L627" s="199" t="n"/>
      <c r="M627" s="235" t="n"/>
      <c r="N627" s="235" t="n"/>
      <c r="O627" s="235" t="n"/>
    </row>
    <row r="628">
      <c r="B628" s="199" t="n">
        <v>599</v>
      </c>
      <c r="C628" s="199" t="n"/>
      <c r="D628" s="312" t="n"/>
      <c r="E628" s="312" t="n"/>
      <c r="F628" s="312" t="n"/>
      <c r="G628" s="312" t="n"/>
      <c r="H628" s="312" t="n"/>
      <c r="I628" s="313" t="n"/>
      <c r="J628" s="319" t="n"/>
      <c r="K628" s="199" t="n"/>
      <c r="L628" s="199" t="n"/>
      <c r="M628" s="235" t="n"/>
      <c r="N628" s="235" t="n"/>
      <c r="O628" s="235" t="n"/>
    </row>
    <row r="629">
      <c r="B629" s="199" t="n">
        <v>600</v>
      </c>
      <c r="C629" s="199" t="n"/>
      <c r="D629" s="312" t="n"/>
      <c r="E629" s="312" t="n"/>
      <c r="F629" s="312" t="n"/>
      <c r="G629" s="312" t="n"/>
      <c r="H629" s="312" t="n"/>
      <c r="I629" s="313" t="n"/>
      <c r="J629" s="319" t="n"/>
      <c r="K629" s="199" t="n"/>
      <c r="L629" s="199" t="n"/>
      <c r="M629" s="235" t="n"/>
      <c r="N629" s="235" t="n"/>
      <c r="O629" s="235" t="n"/>
    </row>
    <row r="630">
      <c r="B630" s="199" t="n">
        <v>601</v>
      </c>
      <c r="C630" s="199" t="n"/>
      <c r="D630" s="312" t="n"/>
      <c r="E630" s="312" t="n"/>
      <c r="F630" s="312" t="n"/>
      <c r="G630" s="312" t="n"/>
      <c r="H630" s="312" t="n"/>
      <c r="I630" s="313" t="n"/>
      <c r="J630" s="319" t="n"/>
      <c r="K630" s="199" t="n"/>
      <c r="L630" s="199" t="n"/>
      <c r="M630" s="235" t="n"/>
      <c r="N630" s="235" t="n"/>
      <c r="O630" s="235" t="n"/>
    </row>
    <row r="631">
      <c r="B631" s="199" t="n">
        <v>602</v>
      </c>
      <c r="C631" s="199" t="n"/>
      <c r="D631" s="312" t="n"/>
      <c r="E631" s="312" t="n"/>
      <c r="F631" s="312" t="n"/>
      <c r="G631" s="312" t="n"/>
      <c r="H631" s="312" t="n"/>
      <c r="I631" s="313" t="n"/>
      <c r="J631" s="319" t="n"/>
      <c r="K631" s="199" t="n"/>
      <c r="L631" s="199" t="n"/>
      <c r="M631" s="235" t="n"/>
      <c r="N631" s="235" t="n"/>
      <c r="O631" s="235" t="n"/>
    </row>
    <row r="632">
      <c r="B632" s="199" t="n">
        <v>603</v>
      </c>
      <c r="C632" s="199" t="n"/>
      <c r="D632" s="312" t="n"/>
      <c r="E632" s="312" t="n"/>
      <c r="F632" s="312" t="n"/>
      <c r="G632" s="312" t="n"/>
      <c r="H632" s="312" t="n"/>
      <c r="I632" s="313" t="n"/>
      <c r="J632" s="319" t="n"/>
      <c r="K632" s="199" t="n"/>
      <c r="L632" s="199" t="n"/>
      <c r="M632" s="235" t="n"/>
      <c r="N632" s="235" t="n"/>
      <c r="O632" s="235" t="n"/>
    </row>
    <row r="633">
      <c r="B633" s="199" t="n">
        <v>604</v>
      </c>
      <c r="C633" s="199" t="n"/>
      <c r="D633" s="312" t="n"/>
      <c r="E633" s="312" t="n"/>
      <c r="F633" s="312" t="n"/>
      <c r="G633" s="312" t="n"/>
      <c r="H633" s="312" t="n"/>
      <c r="I633" s="313" t="n"/>
      <c r="J633" s="319" t="n"/>
      <c r="K633" s="199" t="n"/>
      <c r="L633" s="199" t="n"/>
      <c r="M633" s="235" t="n"/>
      <c r="N633" s="235" t="n"/>
      <c r="O633" s="235" t="n"/>
    </row>
    <row r="634">
      <c r="B634" s="199" t="n">
        <v>605</v>
      </c>
      <c r="C634" s="199" t="n"/>
      <c r="D634" s="312" t="n"/>
      <c r="E634" s="312" t="n"/>
      <c r="F634" s="312" t="n"/>
      <c r="G634" s="312" t="n"/>
      <c r="H634" s="312" t="n"/>
      <c r="I634" s="313" t="n"/>
      <c r="J634" s="319" t="n"/>
      <c r="K634" s="199" t="n"/>
      <c r="L634" s="199" t="n"/>
      <c r="M634" s="235" t="n"/>
      <c r="N634" s="235" t="n"/>
      <c r="O634" s="235" t="n"/>
    </row>
    <row r="635">
      <c r="B635" s="199" t="n">
        <v>606</v>
      </c>
      <c r="C635" s="199" t="n"/>
      <c r="D635" s="312" t="n"/>
      <c r="E635" s="312" t="n"/>
      <c r="F635" s="312" t="n"/>
      <c r="G635" s="312" t="n"/>
      <c r="H635" s="312" t="n"/>
      <c r="I635" s="313" t="n"/>
      <c r="J635" s="319" t="n"/>
      <c r="K635" s="199" t="n"/>
      <c r="L635" s="199" t="n"/>
      <c r="M635" s="235" t="n"/>
      <c r="N635" s="235" t="n"/>
      <c r="O635" s="235" t="n"/>
    </row>
    <row r="636">
      <c r="B636" s="199" t="n">
        <v>607</v>
      </c>
      <c r="C636" s="199" t="n"/>
      <c r="D636" s="312" t="n"/>
      <c r="E636" s="312" t="n"/>
      <c r="F636" s="312" t="n"/>
      <c r="G636" s="312" t="n"/>
      <c r="H636" s="312" t="n"/>
      <c r="I636" s="313" t="n"/>
      <c r="J636" s="319" t="n"/>
      <c r="K636" s="199" t="n"/>
      <c r="L636" s="199" t="n"/>
      <c r="M636" s="235" t="n"/>
      <c r="N636" s="235" t="n"/>
      <c r="O636" s="235" t="n"/>
    </row>
    <row r="637">
      <c r="B637" s="199" t="n">
        <v>608</v>
      </c>
      <c r="C637" s="199" t="n"/>
      <c r="D637" s="312" t="n"/>
      <c r="E637" s="312" t="n"/>
      <c r="F637" s="312" t="n"/>
      <c r="G637" s="312" t="n"/>
      <c r="H637" s="312" t="n"/>
      <c r="I637" s="313" t="n"/>
      <c r="J637" s="319" t="n"/>
      <c r="K637" s="199" t="n"/>
      <c r="L637" s="199" t="n"/>
      <c r="M637" s="235" t="n"/>
      <c r="N637" s="235" t="n"/>
      <c r="O637" s="235" t="n"/>
    </row>
    <row r="638">
      <c r="B638" s="199" t="n">
        <v>609</v>
      </c>
      <c r="C638" s="199" t="n"/>
      <c r="D638" s="312" t="n"/>
      <c r="E638" s="312" t="n"/>
      <c r="F638" s="312" t="n"/>
      <c r="G638" s="312" t="n"/>
      <c r="H638" s="312" t="n"/>
      <c r="I638" s="313" t="n"/>
      <c r="J638" s="319" t="n"/>
      <c r="K638" s="199" t="n"/>
      <c r="L638" s="199" t="n"/>
      <c r="M638" s="235" t="n"/>
      <c r="N638" s="235" t="n"/>
      <c r="O638" s="235" t="n"/>
    </row>
    <row r="639">
      <c r="B639" s="199" t="n">
        <v>610</v>
      </c>
      <c r="C639" s="199" t="n"/>
      <c r="D639" s="312" t="n"/>
      <c r="E639" s="312" t="n"/>
      <c r="F639" s="312" t="n"/>
      <c r="G639" s="312" t="n"/>
      <c r="H639" s="312" t="n"/>
      <c r="I639" s="313" t="n"/>
      <c r="J639" s="319" t="n"/>
      <c r="K639" s="199" t="n"/>
      <c r="L639" s="199" t="n"/>
      <c r="M639" s="235" t="n"/>
      <c r="N639" s="235" t="n"/>
      <c r="O639" s="235" t="n"/>
    </row>
    <row r="640">
      <c r="B640" s="199" t="n">
        <v>611</v>
      </c>
      <c r="C640" s="199" t="n"/>
      <c r="D640" s="312" t="n"/>
      <c r="E640" s="312" t="n"/>
      <c r="F640" s="312" t="n"/>
      <c r="G640" s="312" t="n"/>
      <c r="H640" s="312" t="n"/>
      <c r="I640" s="313" t="n"/>
      <c r="J640" s="319" t="n"/>
      <c r="K640" s="199" t="n"/>
      <c r="L640" s="199" t="n"/>
      <c r="M640" s="235" t="n"/>
      <c r="N640" s="235" t="n"/>
      <c r="O640" s="235" t="n"/>
    </row>
    <row r="641">
      <c r="B641" s="199" t="n">
        <v>612</v>
      </c>
      <c r="C641" s="199" t="n"/>
      <c r="D641" s="312" t="n"/>
      <c r="E641" s="312" t="n"/>
      <c r="F641" s="312" t="n"/>
      <c r="G641" s="312" t="n"/>
      <c r="H641" s="312" t="n"/>
      <c r="I641" s="313" t="n"/>
      <c r="J641" s="319" t="n"/>
      <c r="K641" s="199" t="n"/>
      <c r="L641" s="199" t="n"/>
      <c r="M641" s="235" t="n"/>
      <c r="N641" s="235" t="n"/>
      <c r="O641" s="235" t="n"/>
    </row>
    <row r="642">
      <c r="B642" s="199" t="n">
        <v>613</v>
      </c>
      <c r="C642" s="199" t="n"/>
      <c r="D642" s="312" t="n"/>
      <c r="E642" s="312" t="n"/>
      <c r="F642" s="312" t="n"/>
      <c r="G642" s="312" t="n"/>
      <c r="H642" s="312" t="n"/>
      <c r="I642" s="313" t="n"/>
      <c r="J642" s="319" t="n"/>
      <c r="K642" s="199" t="n"/>
      <c r="L642" s="199" t="n"/>
      <c r="M642" s="235" t="n"/>
      <c r="N642" s="235" t="n"/>
      <c r="O642" s="235" t="n"/>
    </row>
    <row r="643">
      <c r="B643" s="199" t="n">
        <v>614</v>
      </c>
      <c r="C643" s="199" t="n"/>
      <c r="D643" s="312" t="n"/>
      <c r="E643" s="312" t="n"/>
      <c r="F643" s="312" t="n"/>
      <c r="G643" s="312" t="n"/>
      <c r="H643" s="312" t="n"/>
      <c r="I643" s="313" t="n"/>
      <c r="J643" s="319" t="n"/>
      <c r="K643" s="199" t="n"/>
      <c r="L643" s="199" t="n"/>
      <c r="M643" s="235" t="n"/>
      <c r="N643" s="235" t="n"/>
      <c r="O643" s="235" t="n"/>
    </row>
    <row r="644">
      <c r="B644" s="199" t="n">
        <v>615</v>
      </c>
      <c r="C644" s="199" t="n"/>
      <c r="D644" s="312" t="n"/>
      <c r="E644" s="312" t="n"/>
      <c r="F644" s="312" t="n"/>
      <c r="G644" s="312" t="n"/>
      <c r="H644" s="312" t="n"/>
      <c r="I644" s="313" t="n"/>
      <c r="J644" s="319" t="n"/>
      <c r="K644" s="199" t="n"/>
      <c r="L644" s="199" t="n"/>
      <c r="M644" s="235" t="n"/>
      <c r="N644" s="235" t="n"/>
      <c r="O644" s="235" t="n"/>
    </row>
    <row r="645">
      <c r="B645" s="199" t="n">
        <v>616</v>
      </c>
      <c r="C645" s="199" t="n"/>
      <c r="D645" s="312" t="n"/>
      <c r="E645" s="312" t="n"/>
      <c r="F645" s="312" t="n"/>
      <c r="G645" s="312" t="n"/>
      <c r="H645" s="312" t="n"/>
      <c r="I645" s="313" t="n"/>
      <c r="J645" s="319" t="n"/>
      <c r="K645" s="199" t="n"/>
      <c r="L645" s="199" t="n"/>
      <c r="M645" s="235" t="n"/>
      <c r="N645" s="235" t="n"/>
      <c r="O645" s="235" t="n"/>
    </row>
    <row r="646">
      <c r="B646" s="199" t="n">
        <v>617</v>
      </c>
      <c r="C646" s="199" t="n"/>
      <c r="D646" s="312" t="n"/>
      <c r="E646" s="312" t="n"/>
      <c r="F646" s="312" t="n"/>
      <c r="G646" s="312" t="n"/>
      <c r="H646" s="312" t="n"/>
      <c r="I646" s="313" t="n"/>
      <c r="J646" s="319" t="n"/>
      <c r="K646" s="199" t="n"/>
      <c r="L646" s="199" t="n"/>
      <c r="M646" s="235" t="n"/>
      <c r="N646" s="235" t="n"/>
      <c r="O646" s="235" t="n"/>
    </row>
    <row r="647">
      <c r="B647" s="199" t="n">
        <v>618</v>
      </c>
      <c r="C647" s="199" t="n"/>
      <c r="D647" s="312" t="n"/>
      <c r="E647" s="312" t="n"/>
      <c r="F647" s="312" t="n"/>
      <c r="G647" s="312" t="n"/>
      <c r="H647" s="312" t="n"/>
      <c r="I647" s="313" t="n"/>
      <c r="J647" s="319" t="n"/>
      <c r="K647" s="199" t="n"/>
      <c r="L647" s="199" t="n"/>
      <c r="M647" s="235" t="n"/>
      <c r="N647" s="235" t="n"/>
      <c r="O647" s="235" t="n"/>
    </row>
    <row r="648">
      <c r="B648" s="199" t="n">
        <v>619</v>
      </c>
      <c r="C648" s="199" t="n"/>
      <c r="D648" s="312" t="n"/>
      <c r="E648" s="312" t="n"/>
      <c r="F648" s="312" t="n"/>
      <c r="G648" s="312" t="n"/>
      <c r="H648" s="312" t="n"/>
      <c r="I648" s="313" t="n"/>
      <c r="J648" s="319" t="n"/>
      <c r="K648" s="199" t="n"/>
      <c r="L648" s="199" t="n"/>
      <c r="M648" s="235" t="n"/>
      <c r="N648" s="235" t="n"/>
      <c r="O648" s="235" t="n"/>
    </row>
    <row r="649">
      <c r="B649" s="199" t="n">
        <v>620</v>
      </c>
      <c r="C649" s="199" t="n"/>
      <c r="D649" s="312" t="n"/>
      <c r="E649" s="312" t="n"/>
      <c r="F649" s="312" t="n"/>
      <c r="G649" s="312" t="n"/>
      <c r="H649" s="312" t="n"/>
      <c r="I649" s="313" t="n"/>
      <c r="J649" s="319" t="n"/>
      <c r="K649" s="199" t="n"/>
      <c r="L649" s="199" t="n"/>
      <c r="M649" s="235" t="n"/>
      <c r="N649" s="235" t="n"/>
      <c r="O649" s="235" t="n"/>
    </row>
    <row r="650">
      <c r="B650" s="199" t="n">
        <v>621</v>
      </c>
      <c r="C650" s="199" t="n"/>
      <c r="D650" s="312" t="n"/>
      <c r="E650" s="312" t="n"/>
      <c r="F650" s="312" t="n"/>
      <c r="G650" s="312" t="n"/>
      <c r="H650" s="312" t="n"/>
      <c r="I650" s="313" t="n"/>
      <c r="J650" s="319" t="n"/>
      <c r="K650" s="199" t="n"/>
      <c r="L650" s="199" t="n"/>
      <c r="M650" s="235" t="n"/>
      <c r="N650" s="235" t="n"/>
      <c r="O650" s="235" t="n"/>
    </row>
    <row r="651">
      <c r="B651" s="199" t="n">
        <v>622</v>
      </c>
      <c r="C651" s="199" t="n"/>
      <c r="D651" s="312" t="n"/>
      <c r="E651" s="312" t="n"/>
      <c r="F651" s="312" t="n"/>
      <c r="G651" s="312" t="n"/>
      <c r="H651" s="312" t="n"/>
      <c r="I651" s="313" t="n"/>
      <c r="J651" s="319" t="n"/>
      <c r="K651" s="199" t="n"/>
      <c r="L651" s="199" t="n"/>
      <c r="M651" s="235" t="n"/>
      <c r="N651" s="235" t="n"/>
      <c r="O651" s="235" t="n"/>
    </row>
    <row r="652">
      <c r="B652" s="199" t="n">
        <v>623</v>
      </c>
      <c r="C652" s="199" t="n"/>
      <c r="D652" s="312" t="n"/>
      <c r="E652" s="312" t="n"/>
      <c r="F652" s="312" t="n"/>
      <c r="G652" s="312" t="n"/>
      <c r="H652" s="312" t="n"/>
      <c r="I652" s="313" t="n"/>
      <c r="J652" s="319" t="n"/>
      <c r="K652" s="199" t="n"/>
      <c r="L652" s="199" t="n"/>
      <c r="M652" s="235" t="n"/>
      <c r="N652" s="235" t="n"/>
      <c r="O652" s="235" t="n"/>
    </row>
    <row r="653">
      <c r="B653" s="199" t="n">
        <v>624</v>
      </c>
      <c r="C653" s="199" t="n"/>
      <c r="D653" s="312" t="n"/>
      <c r="E653" s="312" t="n"/>
      <c r="F653" s="312" t="n"/>
      <c r="G653" s="312" t="n"/>
      <c r="H653" s="312" t="n"/>
      <c r="I653" s="313" t="n"/>
      <c r="J653" s="319" t="n"/>
      <c r="K653" s="199" t="n"/>
      <c r="L653" s="199" t="n"/>
      <c r="M653" s="235" t="n"/>
      <c r="N653" s="235" t="n"/>
      <c r="O653" s="235" t="n"/>
    </row>
    <row r="654">
      <c r="B654" s="199" t="n">
        <v>625</v>
      </c>
      <c r="C654" s="199" t="n"/>
      <c r="D654" s="312" t="n"/>
      <c r="E654" s="312" t="n"/>
      <c r="F654" s="312" t="n"/>
      <c r="G654" s="312" t="n"/>
      <c r="H654" s="312" t="n"/>
      <c r="I654" s="313" t="n"/>
      <c r="J654" s="319" t="n"/>
      <c r="K654" s="199" t="n"/>
      <c r="L654" s="199" t="n"/>
      <c r="M654" s="235" t="n"/>
      <c r="N654" s="235" t="n"/>
      <c r="O654" s="235" t="n"/>
    </row>
    <row r="655">
      <c r="B655" s="199" t="n">
        <v>626</v>
      </c>
      <c r="C655" s="199" t="n"/>
      <c r="D655" s="312" t="n"/>
      <c r="E655" s="312" t="n"/>
      <c r="F655" s="312" t="n"/>
      <c r="G655" s="312" t="n"/>
      <c r="H655" s="312" t="n"/>
      <c r="I655" s="313" t="n"/>
      <c r="J655" s="319" t="n"/>
      <c r="K655" s="199" t="n"/>
      <c r="L655" s="199" t="n"/>
      <c r="M655" s="235" t="n"/>
      <c r="N655" s="235" t="n"/>
      <c r="O655" s="235" t="n"/>
    </row>
    <row r="656">
      <c r="B656" s="199" t="n">
        <v>627</v>
      </c>
      <c r="C656" s="199" t="n"/>
      <c r="D656" s="312" t="n"/>
      <c r="E656" s="312" t="n"/>
      <c r="F656" s="312" t="n"/>
      <c r="G656" s="312" t="n"/>
      <c r="H656" s="312" t="n"/>
      <c r="I656" s="313" t="n"/>
      <c r="J656" s="319" t="n"/>
      <c r="K656" s="199" t="n"/>
      <c r="L656" s="199" t="n"/>
      <c r="M656" s="235" t="n"/>
      <c r="N656" s="235" t="n"/>
      <c r="O656" s="235" t="n"/>
    </row>
    <row r="657">
      <c r="B657" s="199" t="n">
        <v>628</v>
      </c>
      <c r="C657" s="199" t="n"/>
      <c r="D657" s="312" t="n"/>
      <c r="E657" s="312" t="n"/>
      <c r="F657" s="312" t="n"/>
      <c r="G657" s="312" t="n"/>
      <c r="H657" s="312" t="n"/>
      <c r="I657" s="313" t="n"/>
      <c r="J657" s="319" t="n"/>
      <c r="K657" s="199" t="n"/>
      <c r="L657" s="199" t="n"/>
      <c r="M657" s="235" t="n"/>
      <c r="N657" s="235" t="n"/>
      <c r="O657" s="235" t="n"/>
    </row>
    <row r="658">
      <c r="B658" s="199" t="n">
        <v>629</v>
      </c>
      <c r="C658" s="199" t="n"/>
      <c r="D658" s="312" t="n"/>
      <c r="E658" s="312" t="n"/>
      <c r="F658" s="312" t="n"/>
      <c r="G658" s="312" t="n"/>
      <c r="H658" s="312" t="n"/>
      <c r="I658" s="313" t="n"/>
      <c r="J658" s="319" t="n"/>
      <c r="K658" s="199" t="n"/>
      <c r="L658" s="199" t="n"/>
      <c r="M658" s="235" t="n"/>
      <c r="N658" s="235" t="n"/>
      <c r="O658" s="235" t="n"/>
    </row>
    <row r="659">
      <c r="B659" s="199" t="n">
        <v>630</v>
      </c>
      <c r="C659" s="199" t="n"/>
      <c r="D659" s="312" t="n"/>
      <c r="E659" s="312" t="n"/>
      <c r="F659" s="312" t="n"/>
      <c r="G659" s="312" t="n"/>
      <c r="H659" s="312" t="n"/>
      <c r="I659" s="313" t="n"/>
      <c r="J659" s="319" t="n"/>
      <c r="K659" s="199" t="n"/>
      <c r="L659" s="199" t="n"/>
      <c r="M659" s="235" t="n"/>
      <c r="N659" s="235" t="n"/>
      <c r="O659" s="235" t="n"/>
    </row>
    <row r="660">
      <c r="B660" s="199" t="n">
        <v>631</v>
      </c>
      <c r="C660" s="199" t="n"/>
      <c r="D660" s="312" t="n"/>
      <c r="E660" s="312" t="n"/>
      <c r="F660" s="312" t="n"/>
      <c r="G660" s="312" t="n"/>
      <c r="H660" s="312" t="n"/>
      <c r="I660" s="313" t="n"/>
      <c r="J660" s="319" t="n"/>
      <c r="K660" s="199" t="n"/>
      <c r="L660" s="199" t="n"/>
      <c r="M660" s="235" t="n"/>
      <c r="N660" s="235" t="n"/>
      <c r="O660" s="235" t="n"/>
    </row>
    <row r="661">
      <c r="B661" s="199" t="n">
        <v>632</v>
      </c>
      <c r="C661" s="199" t="n"/>
      <c r="D661" s="312" t="n"/>
      <c r="E661" s="312" t="n"/>
      <c r="F661" s="312" t="n"/>
      <c r="G661" s="312" t="n"/>
      <c r="H661" s="312" t="n"/>
      <c r="I661" s="313" t="n"/>
      <c r="J661" s="319" t="n"/>
      <c r="K661" s="199" t="n"/>
      <c r="L661" s="199" t="n"/>
      <c r="M661" s="235" t="n"/>
      <c r="N661" s="235" t="n"/>
      <c r="O661" s="235" t="n"/>
    </row>
    <row r="662">
      <c r="B662" s="199" t="n">
        <v>633</v>
      </c>
      <c r="C662" s="199" t="n"/>
      <c r="D662" s="312" t="n"/>
      <c r="E662" s="312" t="n"/>
      <c r="F662" s="312" t="n"/>
      <c r="G662" s="312" t="n"/>
      <c r="H662" s="312" t="n"/>
      <c r="I662" s="313" t="n"/>
      <c r="J662" s="319" t="n"/>
      <c r="K662" s="199" t="n"/>
      <c r="L662" s="199" t="n"/>
      <c r="M662" s="235" t="n"/>
      <c r="N662" s="235" t="n"/>
      <c r="O662" s="235" t="n"/>
    </row>
    <row r="663">
      <c r="B663" s="199" t="n">
        <v>634</v>
      </c>
      <c r="C663" s="199" t="n"/>
      <c r="D663" s="312" t="n"/>
      <c r="E663" s="312" t="n"/>
      <c r="F663" s="312" t="n"/>
      <c r="G663" s="312" t="n"/>
      <c r="H663" s="312" t="n"/>
      <c r="I663" s="313" t="n"/>
      <c r="J663" s="319" t="n"/>
      <c r="K663" s="199" t="n"/>
      <c r="L663" s="199" t="n"/>
      <c r="M663" s="235" t="n"/>
      <c r="N663" s="235" t="n"/>
      <c r="O663" s="235" t="n"/>
    </row>
    <row r="664">
      <c r="B664" s="199" t="n">
        <v>635</v>
      </c>
      <c r="C664" s="199" t="n"/>
      <c r="D664" s="312" t="n"/>
      <c r="E664" s="312" t="n"/>
      <c r="F664" s="312" t="n"/>
      <c r="G664" s="312" t="n"/>
      <c r="H664" s="312" t="n"/>
      <c r="I664" s="313" t="n"/>
      <c r="J664" s="319" t="n"/>
      <c r="K664" s="199" t="n"/>
      <c r="L664" s="199" t="n"/>
      <c r="M664" s="235" t="n"/>
      <c r="N664" s="235" t="n"/>
      <c r="O664" s="235" t="n"/>
    </row>
    <row r="665">
      <c r="B665" s="199" t="n">
        <v>636</v>
      </c>
      <c r="C665" s="199" t="n"/>
      <c r="D665" s="312" t="n"/>
      <c r="E665" s="312" t="n"/>
      <c r="F665" s="312" t="n"/>
      <c r="G665" s="312" t="n"/>
      <c r="H665" s="312" t="n"/>
      <c r="I665" s="313" t="n"/>
      <c r="J665" s="319" t="n"/>
      <c r="K665" s="199" t="n"/>
      <c r="L665" s="199" t="n"/>
      <c r="M665" s="235" t="n"/>
      <c r="N665" s="235" t="n"/>
      <c r="O665" s="235" t="n"/>
    </row>
    <row r="666">
      <c r="B666" s="199" t="n">
        <v>637</v>
      </c>
      <c r="C666" s="199" t="n"/>
      <c r="D666" s="312" t="n"/>
      <c r="E666" s="312" t="n"/>
      <c r="F666" s="312" t="n"/>
      <c r="G666" s="312" t="n"/>
      <c r="H666" s="312" t="n"/>
      <c r="I666" s="313" t="n"/>
      <c r="J666" s="319" t="n"/>
      <c r="K666" s="199" t="n"/>
      <c r="L666" s="199" t="n"/>
      <c r="M666" s="235" t="n"/>
      <c r="N666" s="235" t="n"/>
      <c r="O666" s="235" t="n"/>
    </row>
    <row r="667">
      <c r="B667" s="199" t="n">
        <v>638</v>
      </c>
      <c r="C667" s="199" t="n"/>
      <c r="D667" s="312" t="n"/>
      <c r="E667" s="312" t="n"/>
      <c r="F667" s="312" t="n"/>
      <c r="G667" s="312" t="n"/>
      <c r="H667" s="312" t="n"/>
      <c r="I667" s="313" t="n"/>
      <c r="J667" s="319" t="n"/>
      <c r="K667" s="199" t="n"/>
      <c r="L667" s="199" t="n"/>
      <c r="M667" s="235" t="n"/>
      <c r="N667" s="235" t="n"/>
      <c r="O667" s="235" t="n"/>
    </row>
    <row r="668">
      <c r="B668" s="199" t="n">
        <v>639</v>
      </c>
      <c r="C668" s="199" t="n"/>
      <c r="D668" s="312" t="n"/>
      <c r="E668" s="312" t="n"/>
      <c r="F668" s="312" t="n"/>
      <c r="G668" s="312" t="n"/>
      <c r="H668" s="312" t="n"/>
      <c r="I668" s="313" t="n"/>
      <c r="J668" s="319" t="n"/>
      <c r="K668" s="199" t="n"/>
      <c r="L668" s="199" t="n"/>
      <c r="M668" s="235" t="n"/>
      <c r="N668" s="235" t="n"/>
      <c r="O668" s="235" t="n"/>
    </row>
    <row r="669">
      <c r="B669" s="199" t="n">
        <v>640</v>
      </c>
      <c r="C669" s="199" t="n"/>
      <c r="D669" s="312" t="n"/>
      <c r="E669" s="312" t="n"/>
      <c r="F669" s="312" t="n"/>
      <c r="G669" s="312" t="n"/>
      <c r="H669" s="312" t="n"/>
      <c r="I669" s="313" t="n"/>
      <c r="J669" s="319" t="n"/>
      <c r="K669" s="199" t="n"/>
      <c r="L669" s="199" t="n"/>
      <c r="M669" s="235" t="n"/>
      <c r="N669" s="235" t="n"/>
      <c r="O669" s="235" t="n"/>
    </row>
    <row r="670">
      <c r="B670" s="199" t="n">
        <v>641</v>
      </c>
      <c r="C670" s="199" t="n"/>
      <c r="D670" s="312" t="n"/>
      <c r="E670" s="312" t="n"/>
      <c r="F670" s="312" t="n"/>
      <c r="G670" s="312" t="n"/>
      <c r="H670" s="312" t="n"/>
      <c r="I670" s="313" t="n"/>
      <c r="J670" s="319" t="n"/>
      <c r="K670" s="199" t="n"/>
      <c r="L670" s="199" t="n"/>
      <c r="M670" s="235" t="n"/>
      <c r="N670" s="235" t="n"/>
      <c r="O670" s="235" t="n"/>
    </row>
    <row r="671">
      <c r="B671" s="199" t="n">
        <v>642</v>
      </c>
      <c r="C671" s="199" t="n"/>
      <c r="D671" s="312" t="n"/>
      <c r="E671" s="312" t="n"/>
      <c r="F671" s="312" t="n"/>
      <c r="G671" s="312" t="n"/>
      <c r="H671" s="312" t="n"/>
      <c r="I671" s="313" t="n"/>
      <c r="J671" s="319" t="n"/>
      <c r="K671" s="199" t="n"/>
      <c r="L671" s="199" t="n"/>
      <c r="M671" s="235" t="n"/>
      <c r="N671" s="235" t="n"/>
      <c r="O671" s="235" t="n"/>
    </row>
    <row r="672">
      <c r="B672" s="199" t="n">
        <v>643</v>
      </c>
      <c r="C672" s="199" t="n"/>
      <c r="D672" s="312" t="n"/>
      <c r="E672" s="312" t="n"/>
      <c r="F672" s="312" t="n"/>
      <c r="G672" s="312" t="n"/>
      <c r="H672" s="312" t="n"/>
      <c r="I672" s="313" t="n"/>
      <c r="J672" s="319" t="n"/>
      <c r="K672" s="199" t="n"/>
      <c r="L672" s="199" t="n"/>
      <c r="M672" s="235" t="n"/>
      <c r="N672" s="235" t="n"/>
      <c r="O672" s="235" t="n"/>
    </row>
    <row r="673">
      <c r="B673" s="199" t="n">
        <v>644</v>
      </c>
      <c r="C673" s="199" t="n"/>
      <c r="D673" s="312" t="n"/>
      <c r="E673" s="312" t="n"/>
      <c r="F673" s="312" t="n"/>
      <c r="G673" s="312" t="n"/>
      <c r="H673" s="312" t="n"/>
      <c r="I673" s="313" t="n"/>
      <c r="J673" s="319" t="n"/>
      <c r="K673" s="199" t="n"/>
      <c r="L673" s="199" t="n"/>
      <c r="M673" s="235" t="n"/>
      <c r="N673" s="235" t="n"/>
      <c r="O673" s="235" t="n"/>
    </row>
    <row r="674">
      <c r="B674" s="199" t="n">
        <v>645</v>
      </c>
      <c r="C674" s="199" t="n"/>
      <c r="D674" s="312" t="n"/>
      <c r="E674" s="312" t="n"/>
      <c r="F674" s="312" t="n"/>
      <c r="G674" s="312" t="n"/>
      <c r="H674" s="312" t="n"/>
      <c r="I674" s="313" t="n"/>
      <c r="J674" s="319" t="n"/>
      <c r="K674" s="199" t="n"/>
      <c r="L674" s="199" t="n"/>
      <c r="M674" s="235" t="n"/>
      <c r="N674" s="235" t="n"/>
      <c r="O674" s="235" t="n"/>
    </row>
    <row r="675">
      <c r="B675" s="199" t="n">
        <v>646</v>
      </c>
      <c r="C675" s="199" t="n"/>
      <c r="D675" s="312" t="n"/>
      <c r="E675" s="312" t="n"/>
      <c r="F675" s="312" t="n"/>
      <c r="G675" s="312" t="n"/>
      <c r="H675" s="312" t="n"/>
      <c r="I675" s="313" t="n"/>
      <c r="J675" s="319" t="n"/>
      <c r="K675" s="199" t="n"/>
      <c r="L675" s="199" t="n"/>
      <c r="M675" s="235" t="n"/>
      <c r="N675" s="235" t="n"/>
      <c r="O675" s="235" t="n"/>
    </row>
    <row r="676">
      <c r="B676" s="199" t="n">
        <v>647</v>
      </c>
      <c r="C676" s="199" t="n"/>
      <c r="D676" s="312" t="n"/>
      <c r="E676" s="312" t="n"/>
      <c r="F676" s="312" t="n"/>
      <c r="G676" s="312" t="n"/>
      <c r="H676" s="312" t="n"/>
      <c r="I676" s="313" t="n"/>
      <c r="J676" s="319" t="n"/>
      <c r="K676" s="199" t="n"/>
      <c r="L676" s="199" t="n"/>
      <c r="M676" s="235" t="n"/>
      <c r="N676" s="235" t="n"/>
      <c r="O676" s="235" t="n"/>
    </row>
    <row r="677">
      <c r="B677" s="199" t="n">
        <v>648</v>
      </c>
      <c r="C677" s="199" t="n"/>
      <c r="D677" s="312" t="n"/>
      <c r="E677" s="312" t="n"/>
      <c r="F677" s="312" t="n"/>
      <c r="G677" s="312" t="n"/>
      <c r="H677" s="312" t="n"/>
      <c r="I677" s="313" t="n"/>
      <c r="J677" s="319" t="n"/>
      <c r="K677" s="199" t="n"/>
      <c r="L677" s="199" t="n"/>
      <c r="M677" s="235" t="n"/>
      <c r="N677" s="235" t="n"/>
      <c r="O677" s="235" t="n"/>
    </row>
    <row r="678">
      <c r="B678" s="199" t="n">
        <v>649</v>
      </c>
      <c r="C678" s="199" t="n"/>
      <c r="D678" s="312" t="n"/>
      <c r="E678" s="312" t="n"/>
      <c r="F678" s="312" t="n"/>
      <c r="G678" s="312" t="n"/>
      <c r="H678" s="312" t="n"/>
      <c r="I678" s="313" t="n"/>
      <c r="J678" s="319" t="n"/>
      <c r="K678" s="199" t="n"/>
      <c r="L678" s="199" t="n"/>
      <c r="M678" s="235" t="n"/>
      <c r="N678" s="235" t="n"/>
      <c r="O678" s="235" t="n"/>
    </row>
    <row r="679">
      <c r="B679" s="199" t="n">
        <v>650</v>
      </c>
      <c r="C679" s="199" t="n"/>
      <c r="D679" s="312" t="n"/>
      <c r="E679" s="312" t="n"/>
      <c r="F679" s="312" t="n"/>
      <c r="G679" s="312" t="n"/>
      <c r="H679" s="312" t="n"/>
      <c r="I679" s="313" t="n"/>
      <c r="J679" s="319" t="n"/>
      <c r="K679" s="199" t="n"/>
      <c r="L679" s="199" t="n"/>
      <c r="M679" s="235" t="n"/>
      <c r="N679" s="235" t="n"/>
      <c r="O679" s="235" t="n"/>
    </row>
    <row r="680">
      <c r="B680" s="199" t="n">
        <v>651</v>
      </c>
      <c r="C680" s="199" t="n"/>
      <c r="D680" s="312" t="n"/>
      <c r="E680" s="312" t="n"/>
      <c r="F680" s="312" t="n"/>
      <c r="G680" s="312" t="n"/>
      <c r="H680" s="312" t="n"/>
      <c r="I680" s="313" t="n"/>
      <c r="J680" s="319" t="n"/>
      <c r="K680" s="199" t="n"/>
      <c r="L680" s="199" t="n"/>
      <c r="M680" s="235" t="n"/>
      <c r="N680" s="235" t="n"/>
      <c r="O680" s="235" t="n"/>
    </row>
    <row r="681">
      <c r="B681" s="199" t="n">
        <v>652</v>
      </c>
      <c r="C681" s="199" t="n"/>
      <c r="D681" s="312" t="n"/>
      <c r="E681" s="312" t="n"/>
      <c r="F681" s="312" t="n"/>
      <c r="G681" s="312" t="n"/>
      <c r="H681" s="312" t="n"/>
      <c r="I681" s="313" t="n"/>
      <c r="J681" s="319" t="n"/>
      <c r="K681" s="199" t="n"/>
      <c r="L681" s="199" t="n"/>
      <c r="M681" s="235" t="n"/>
      <c r="N681" s="235" t="n"/>
      <c r="O681" s="235" t="n"/>
    </row>
    <row r="682">
      <c r="B682" s="199" t="n">
        <v>653</v>
      </c>
      <c r="C682" s="199" t="n"/>
      <c r="D682" s="312" t="n"/>
      <c r="E682" s="312" t="n"/>
      <c r="F682" s="312" t="n"/>
      <c r="G682" s="312" t="n"/>
      <c r="H682" s="312" t="n"/>
      <c r="I682" s="313" t="n"/>
      <c r="J682" s="319" t="n"/>
      <c r="K682" s="199" t="n"/>
      <c r="L682" s="199" t="n"/>
      <c r="M682" s="235" t="n"/>
      <c r="N682" s="235" t="n"/>
      <c r="O682" s="235" t="n"/>
    </row>
    <row r="683">
      <c r="B683" s="199" t="n">
        <v>654</v>
      </c>
      <c r="C683" s="199" t="n"/>
      <c r="D683" s="312" t="n"/>
      <c r="E683" s="312" t="n"/>
      <c r="F683" s="312" t="n"/>
      <c r="G683" s="312" t="n"/>
      <c r="H683" s="312" t="n"/>
      <c r="I683" s="313" t="n"/>
      <c r="J683" s="319" t="n"/>
      <c r="K683" s="199" t="n"/>
      <c r="L683" s="199" t="n"/>
      <c r="M683" s="235" t="n"/>
      <c r="N683" s="235" t="n"/>
      <c r="O683" s="235" t="n"/>
    </row>
    <row r="684">
      <c r="B684" s="199" t="n">
        <v>655</v>
      </c>
      <c r="C684" s="199" t="n"/>
      <c r="D684" s="312" t="n"/>
      <c r="E684" s="312" t="n"/>
      <c r="F684" s="312" t="n"/>
      <c r="G684" s="312" t="n"/>
      <c r="H684" s="312" t="n"/>
      <c r="I684" s="313" t="n"/>
      <c r="J684" s="319" t="n"/>
      <c r="K684" s="199" t="n"/>
      <c r="L684" s="199" t="n"/>
      <c r="M684" s="235" t="n"/>
      <c r="N684" s="235" t="n"/>
      <c r="O684" s="235" t="n"/>
    </row>
    <row r="685">
      <c r="B685" s="199" t="n">
        <v>656</v>
      </c>
      <c r="C685" s="199" t="n"/>
      <c r="D685" s="312" t="n"/>
      <c r="E685" s="312" t="n"/>
      <c r="F685" s="312" t="n"/>
      <c r="G685" s="312" t="n"/>
      <c r="H685" s="312" t="n"/>
      <c r="I685" s="313" t="n"/>
      <c r="J685" s="319" t="n"/>
      <c r="K685" s="199" t="n"/>
      <c r="L685" s="199" t="n"/>
      <c r="M685" s="235" t="n"/>
      <c r="N685" s="235" t="n"/>
      <c r="O685" s="235" t="n"/>
    </row>
    <row r="686">
      <c r="B686" s="199" t="n">
        <v>657</v>
      </c>
      <c r="C686" s="199" t="n"/>
      <c r="D686" s="312" t="n"/>
      <c r="E686" s="312" t="n"/>
      <c r="F686" s="312" t="n"/>
      <c r="G686" s="312" t="n"/>
      <c r="H686" s="312" t="n"/>
      <c r="I686" s="313" t="n"/>
      <c r="J686" s="319" t="n"/>
      <c r="K686" s="199" t="n"/>
      <c r="L686" s="199" t="n"/>
      <c r="M686" s="235" t="n"/>
      <c r="N686" s="235" t="n"/>
      <c r="O686" s="235" t="n"/>
    </row>
    <row r="687">
      <c r="B687" s="199" t="n">
        <v>658</v>
      </c>
      <c r="C687" s="199" t="n"/>
      <c r="D687" s="312" t="n"/>
      <c r="E687" s="312" t="n"/>
      <c r="F687" s="312" t="n"/>
      <c r="G687" s="312" t="n"/>
      <c r="H687" s="312" t="n"/>
      <c r="I687" s="313" t="n"/>
      <c r="J687" s="319" t="n"/>
      <c r="K687" s="199" t="n"/>
      <c r="L687" s="199" t="n"/>
      <c r="M687" s="235" t="n"/>
      <c r="N687" s="235" t="n"/>
      <c r="O687" s="235" t="n"/>
    </row>
    <row r="688">
      <c r="B688" s="199" t="n">
        <v>659</v>
      </c>
      <c r="C688" s="199" t="n"/>
      <c r="D688" s="312" t="n"/>
      <c r="E688" s="312" t="n"/>
      <c r="F688" s="312" t="n"/>
      <c r="G688" s="312" t="n"/>
      <c r="H688" s="312" t="n"/>
      <c r="I688" s="313" t="n"/>
      <c r="J688" s="319" t="n"/>
      <c r="K688" s="199" t="n"/>
      <c r="L688" s="199" t="n"/>
      <c r="M688" s="235" t="n"/>
      <c r="N688" s="235" t="n"/>
      <c r="O688" s="235" t="n"/>
    </row>
    <row r="689">
      <c r="B689" s="199" t="n">
        <v>660</v>
      </c>
      <c r="C689" s="199" t="n"/>
      <c r="D689" s="312" t="n"/>
      <c r="E689" s="312" t="n"/>
      <c r="F689" s="312" t="n"/>
      <c r="G689" s="312" t="n"/>
      <c r="H689" s="312" t="n"/>
      <c r="I689" s="313" t="n"/>
      <c r="J689" s="319" t="n"/>
      <c r="K689" s="199" t="n"/>
      <c r="L689" s="199" t="n"/>
      <c r="M689" s="235" t="n"/>
      <c r="N689" s="235" t="n"/>
      <c r="O689" s="235" t="n"/>
    </row>
    <row r="690">
      <c r="B690" s="199" t="n">
        <v>661</v>
      </c>
      <c r="C690" s="199" t="n"/>
      <c r="D690" s="312" t="n"/>
      <c r="E690" s="312" t="n"/>
      <c r="F690" s="312" t="n"/>
      <c r="G690" s="312" t="n"/>
      <c r="H690" s="312" t="n"/>
      <c r="I690" s="313" t="n"/>
      <c r="J690" s="319" t="n"/>
      <c r="K690" s="199" t="n"/>
      <c r="L690" s="199" t="n"/>
      <c r="M690" s="235" t="n"/>
      <c r="N690" s="235" t="n"/>
      <c r="O690" s="235" t="n"/>
    </row>
    <row r="691">
      <c r="B691" s="199" t="n">
        <v>662</v>
      </c>
      <c r="C691" s="199" t="n"/>
      <c r="D691" s="312" t="n"/>
      <c r="E691" s="312" t="n"/>
      <c r="F691" s="312" t="n"/>
      <c r="G691" s="312" t="n"/>
      <c r="H691" s="312" t="n"/>
      <c r="I691" s="313" t="n"/>
      <c r="J691" s="319" t="n"/>
      <c r="K691" s="199" t="n"/>
      <c r="L691" s="199" t="n"/>
      <c r="M691" s="235" t="n"/>
      <c r="N691" s="235" t="n"/>
      <c r="O691" s="235" t="n"/>
    </row>
    <row r="692">
      <c r="B692" s="199" t="n">
        <v>663</v>
      </c>
      <c r="C692" s="199" t="n"/>
      <c r="D692" s="312" t="n"/>
      <c r="E692" s="312" t="n"/>
      <c r="F692" s="312" t="n"/>
      <c r="G692" s="312" t="n"/>
      <c r="H692" s="312" t="n"/>
      <c r="I692" s="313" t="n"/>
      <c r="J692" s="319" t="n"/>
      <c r="K692" s="199" t="n"/>
      <c r="L692" s="199" t="n"/>
      <c r="M692" s="235" t="n"/>
      <c r="N692" s="235" t="n"/>
      <c r="O692" s="235" t="n"/>
    </row>
    <row r="693">
      <c r="B693" s="199" t="n">
        <v>664</v>
      </c>
      <c r="C693" s="199" t="n"/>
      <c r="D693" s="312" t="n"/>
      <c r="E693" s="312" t="n"/>
      <c r="F693" s="312" t="n"/>
      <c r="G693" s="312" t="n"/>
      <c r="H693" s="312" t="n"/>
      <c r="I693" s="313" t="n"/>
      <c r="J693" s="319" t="n"/>
      <c r="K693" s="199" t="n"/>
      <c r="L693" s="199" t="n"/>
      <c r="M693" s="235" t="n"/>
      <c r="N693" s="235" t="n"/>
      <c r="O693" s="235" t="n"/>
    </row>
    <row r="694">
      <c r="B694" s="199" t="n">
        <v>665</v>
      </c>
      <c r="C694" s="199" t="n"/>
      <c r="D694" s="312" t="n"/>
      <c r="E694" s="312" t="n"/>
      <c r="F694" s="312" t="n"/>
      <c r="G694" s="312" t="n"/>
      <c r="H694" s="312" t="n"/>
      <c r="I694" s="313" t="n"/>
      <c r="J694" s="319" t="n"/>
      <c r="K694" s="199" t="n"/>
      <c r="L694" s="199" t="n"/>
      <c r="M694" s="235" t="n"/>
      <c r="N694" s="235" t="n"/>
      <c r="O694" s="235" t="n"/>
    </row>
    <row r="695">
      <c r="B695" s="199" t="n">
        <v>666</v>
      </c>
      <c r="C695" s="199" t="n"/>
      <c r="D695" s="312" t="n"/>
      <c r="E695" s="312" t="n"/>
      <c r="F695" s="312" t="n"/>
      <c r="G695" s="312" t="n"/>
      <c r="H695" s="312" t="n"/>
      <c r="I695" s="313" t="n"/>
      <c r="J695" s="319" t="n"/>
      <c r="K695" s="199" t="n"/>
      <c r="L695" s="199" t="n"/>
      <c r="M695" s="235" t="n"/>
      <c r="N695" s="235" t="n"/>
      <c r="O695" s="235" t="n"/>
    </row>
    <row r="696">
      <c r="B696" s="199" t="n">
        <v>667</v>
      </c>
      <c r="C696" s="199" t="n"/>
      <c r="D696" s="312" t="n"/>
      <c r="E696" s="312" t="n"/>
      <c r="F696" s="312" t="n"/>
      <c r="G696" s="312" t="n"/>
      <c r="H696" s="312" t="n"/>
      <c r="I696" s="313" t="n"/>
      <c r="J696" s="319" t="n"/>
      <c r="K696" s="199" t="n"/>
      <c r="L696" s="199" t="n"/>
      <c r="M696" s="235" t="n"/>
      <c r="N696" s="235" t="n"/>
      <c r="O696" s="235" t="n"/>
    </row>
    <row r="697">
      <c r="B697" s="199" t="n">
        <v>668</v>
      </c>
      <c r="C697" s="199" t="n"/>
      <c r="D697" s="312" t="n"/>
      <c r="E697" s="312" t="n"/>
      <c r="F697" s="312" t="n"/>
      <c r="G697" s="312" t="n"/>
      <c r="H697" s="312" t="n"/>
      <c r="I697" s="313" t="n"/>
      <c r="J697" s="319" t="n"/>
      <c r="K697" s="199" t="n"/>
      <c r="L697" s="199" t="n"/>
      <c r="M697" s="235" t="n"/>
      <c r="N697" s="235" t="n"/>
      <c r="O697" s="235" t="n"/>
    </row>
    <row r="698">
      <c r="B698" s="199" t="n">
        <v>669</v>
      </c>
      <c r="C698" s="199" t="n"/>
      <c r="D698" s="312" t="n"/>
      <c r="E698" s="312" t="n"/>
      <c r="F698" s="312" t="n"/>
      <c r="G698" s="312" t="n"/>
      <c r="H698" s="312" t="n"/>
      <c r="I698" s="313" t="n"/>
      <c r="J698" s="319" t="n"/>
      <c r="K698" s="199" t="n"/>
      <c r="L698" s="199" t="n"/>
      <c r="M698" s="235" t="n"/>
      <c r="N698" s="235" t="n"/>
      <c r="O698" s="235" t="n"/>
    </row>
    <row r="699">
      <c r="B699" s="199" t="n">
        <v>670</v>
      </c>
      <c r="C699" s="199" t="n"/>
      <c r="D699" s="312" t="n"/>
      <c r="E699" s="312" t="n"/>
      <c r="F699" s="312" t="n"/>
      <c r="G699" s="312" t="n"/>
      <c r="H699" s="312" t="n"/>
      <c r="I699" s="313" t="n"/>
      <c r="J699" s="319" t="n"/>
      <c r="K699" s="199" t="n"/>
      <c r="L699" s="199" t="n"/>
      <c r="M699" s="235" t="n"/>
      <c r="N699" s="235" t="n"/>
      <c r="O699" s="235" t="n"/>
    </row>
    <row r="700">
      <c r="B700" s="199" t="n">
        <v>671</v>
      </c>
      <c r="C700" s="199" t="n"/>
      <c r="D700" s="312" t="n"/>
      <c r="E700" s="312" t="n"/>
      <c r="F700" s="312" t="n"/>
      <c r="G700" s="312" t="n"/>
      <c r="H700" s="312" t="n"/>
      <c r="I700" s="313" t="n"/>
      <c r="J700" s="319" t="n"/>
      <c r="K700" s="199" t="n"/>
      <c r="L700" s="199" t="n"/>
      <c r="M700" s="235" t="n"/>
      <c r="N700" s="235" t="n"/>
      <c r="O700" s="235" t="n"/>
    </row>
    <row r="701">
      <c r="B701" s="199" t="n">
        <v>672</v>
      </c>
      <c r="C701" s="199" t="n"/>
      <c r="D701" s="312" t="n"/>
      <c r="E701" s="312" t="n"/>
      <c r="F701" s="312" t="n"/>
      <c r="G701" s="312" t="n"/>
      <c r="H701" s="312" t="n"/>
      <c r="I701" s="313" t="n"/>
      <c r="J701" s="319" t="n"/>
      <c r="K701" s="199" t="n"/>
      <c r="L701" s="199" t="n"/>
      <c r="M701" s="235" t="n"/>
      <c r="N701" s="235" t="n"/>
      <c r="O701" s="235" t="n"/>
    </row>
    <row r="702">
      <c r="B702" s="199" t="n">
        <v>673</v>
      </c>
      <c r="C702" s="199" t="n"/>
      <c r="D702" s="312" t="n"/>
      <c r="E702" s="312" t="n"/>
      <c r="F702" s="312" t="n"/>
      <c r="G702" s="312" t="n"/>
      <c r="H702" s="312" t="n"/>
      <c r="I702" s="313" t="n"/>
      <c r="J702" s="319" t="n"/>
      <c r="K702" s="199" t="n"/>
      <c r="L702" s="199" t="n"/>
      <c r="M702" s="235" t="n"/>
      <c r="N702" s="235" t="n"/>
      <c r="O702" s="235" t="n"/>
    </row>
    <row r="703">
      <c r="B703" s="199" t="n">
        <v>674</v>
      </c>
      <c r="C703" s="199" t="n"/>
      <c r="D703" s="312" t="n"/>
      <c r="E703" s="312" t="n"/>
      <c r="F703" s="312" t="n"/>
      <c r="G703" s="312" t="n"/>
      <c r="H703" s="312" t="n"/>
      <c r="I703" s="313" t="n"/>
      <c r="J703" s="319" t="n"/>
      <c r="K703" s="199" t="n"/>
      <c r="L703" s="199" t="n"/>
      <c r="M703" s="235" t="n"/>
      <c r="N703" s="235" t="n"/>
      <c r="O703" s="235" t="n"/>
    </row>
    <row r="704">
      <c r="B704" s="199" t="n">
        <v>675</v>
      </c>
      <c r="C704" s="199" t="n"/>
      <c r="D704" s="312" t="n"/>
      <c r="E704" s="312" t="n"/>
      <c r="F704" s="312" t="n"/>
      <c r="G704" s="312" t="n"/>
      <c r="H704" s="312" t="n"/>
      <c r="I704" s="313" t="n"/>
      <c r="J704" s="319" t="n"/>
      <c r="K704" s="199" t="n"/>
      <c r="L704" s="199" t="n"/>
      <c r="M704" s="235" t="n"/>
      <c r="N704" s="235" t="n"/>
      <c r="O704" s="235" t="n"/>
    </row>
    <row r="705">
      <c r="B705" s="199" t="n">
        <v>676</v>
      </c>
      <c r="C705" s="199" t="n"/>
      <c r="D705" s="312" t="n"/>
      <c r="E705" s="312" t="n"/>
      <c r="F705" s="312" t="n"/>
      <c r="G705" s="312" t="n"/>
      <c r="H705" s="312" t="n"/>
      <c r="I705" s="313" t="n"/>
      <c r="J705" s="319" t="n"/>
      <c r="K705" s="199" t="n"/>
      <c r="L705" s="199" t="n"/>
      <c r="M705" s="235" t="n"/>
      <c r="N705" s="235" t="n"/>
      <c r="O705" s="235" t="n"/>
    </row>
    <row r="706">
      <c r="B706" s="199" t="n">
        <v>677</v>
      </c>
      <c r="C706" s="199" t="n"/>
      <c r="D706" s="312" t="n"/>
      <c r="E706" s="312" t="n"/>
      <c r="F706" s="312" t="n"/>
      <c r="G706" s="312" t="n"/>
      <c r="H706" s="312" t="n"/>
      <c r="I706" s="313" t="n"/>
      <c r="J706" s="319" t="n"/>
      <c r="K706" s="199" t="n"/>
      <c r="L706" s="199" t="n"/>
      <c r="M706" s="235" t="n"/>
      <c r="N706" s="235" t="n"/>
      <c r="O706" s="235" t="n"/>
    </row>
    <row r="707">
      <c r="B707" s="199" t="n">
        <v>678</v>
      </c>
      <c r="C707" s="199" t="n"/>
      <c r="D707" s="312" t="n"/>
      <c r="E707" s="312" t="n"/>
      <c r="F707" s="312" t="n"/>
      <c r="G707" s="312" t="n"/>
      <c r="H707" s="312" t="n"/>
      <c r="I707" s="313" t="n"/>
      <c r="J707" s="319" t="n"/>
      <c r="K707" s="199" t="n"/>
      <c r="L707" s="199" t="n"/>
      <c r="M707" s="235" t="n"/>
      <c r="N707" s="235" t="n"/>
      <c r="O707" s="235" t="n"/>
    </row>
    <row r="708">
      <c r="B708" s="199" t="n">
        <v>679</v>
      </c>
      <c r="C708" s="199" t="n"/>
      <c r="D708" s="312" t="n"/>
      <c r="E708" s="312" t="n"/>
      <c r="F708" s="312" t="n"/>
      <c r="G708" s="312" t="n"/>
      <c r="H708" s="312" t="n"/>
      <c r="I708" s="313" t="n"/>
      <c r="J708" s="319" t="n"/>
      <c r="K708" s="199" t="n"/>
      <c r="L708" s="199" t="n"/>
      <c r="M708" s="235" t="n"/>
      <c r="N708" s="235" t="n"/>
      <c r="O708" s="235" t="n"/>
    </row>
    <row r="709">
      <c r="B709" s="199" t="n">
        <v>680</v>
      </c>
      <c r="C709" s="199" t="n"/>
      <c r="D709" s="312" t="n"/>
      <c r="E709" s="312" t="n"/>
      <c r="F709" s="312" t="n"/>
      <c r="G709" s="312" t="n"/>
      <c r="H709" s="312" t="n"/>
      <c r="I709" s="313" t="n"/>
      <c r="J709" s="319" t="n"/>
      <c r="K709" s="199" t="n"/>
      <c r="L709" s="199" t="n"/>
      <c r="M709" s="235" t="n"/>
      <c r="N709" s="235" t="n"/>
      <c r="O709" s="235" t="n"/>
    </row>
    <row r="710">
      <c r="B710" s="199" t="n">
        <v>681</v>
      </c>
      <c r="C710" s="199" t="n"/>
      <c r="D710" s="312" t="n"/>
      <c r="E710" s="312" t="n"/>
      <c r="F710" s="312" t="n"/>
      <c r="G710" s="312" t="n"/>
      <c r="H710" s="312" t="n"/>
      <c r="I710" s="313" t="n"/>
      <c r="J710" s="319" t="n"/>
      <c r="K710" s="199" t="n"/>
      <c r="L710" s="199" t="n"/>
      <c r="M710" s="235" t="n"/>
      <c r="N710" s="235" t="n"/>
      <c r="O710" s="235" t="n"/>
    </row>
    <row r="711">
      <c r="B711" s="199" t="n">
        <v>682</v>
      </c>
      <c r="C711" s="199" t="n"/>
      <c r="D711" s="312" t="n"/>
      <c r="E711" s="312" t="n"/>
      <c r="F711" s="312" t="n"/>
      <c r="G711" s="312" t="n"/>
      <c r="H711" s="312" t="n"/>
      <c r="I711" s="313" t="n"/>
      <c r="J711" s="319" t="n"/>
      <c r="K711" s="199" t="n"/>
      <c r="L711" s="199" t="n"/>
      <c r="M711" s="235" t="n"/>
      <c r="N711" s="235" t="n"/>
      <c r="O711" s="235" t="n"/>
    </row>
    <row r="712">
      <c r="B712" s="199" t="n">
        <v>683</v>
      </c>
      <c r="C712" s="199" t="n"/>
      <c r="D712" s="312" t="n"/>
      <c r="E712" s="312" t="n"/>
      <c r="F712" s="312" t="n"/>
      <c r="G712" s="312" t="n"/>
      <c r="H712" s="312" t="n"/>
      <c r="I712" s="313" t="n"/>
      <c r="J712" s="319" t="n"/>
      <c r="K712" s="199" t="n"/>
      <c r="L712" s="199" t="n"/>
      <c r="M712" s="235" t="n"/>
      <c r="N712" s="235" t="n"/>
      <c r="O712" s="235" t="n"/>
    </row>
    <row r="713">
      <c r="B713" s="199" t="n">
        <v>684</v>
      </c>
      <c r="C713" s="199" t="n"/>
      <c r="D713" s="312" t="n"/>
      <c r="E713" s="312" t="n"/>
      <c r="F713" s="312" t="n"/>
      <c r="G713" s="312" t="n"/>
      <c r="H713" s="312" t="n"/>
      <c r="I713" s="313" t="n"/>
      <c r="J713" s="319" t="n"/>
      <c r="K713" s="199" t="n"/>
      <c r="L713" s="199" t="n"/>
      <c r="M713" s="235" t="n"/>
      <c r="N713" s="235" t="n"/>
      <c r="O713" s="235" t="n"/>
    </row>
    <row r="714">
      <c r="B714" s="199" t="n">
        <v>685</v>
      </c>
      <c r="C714" s="199" t="n"/>
      <c r="D714" s="312" t="n"/>
      <c r="E714" s="312" t="n"/>
      <c r="F714" s="312" t="n"/>
      <c r="G714" s="312" t="n"/>
      <c r="H714" s="312" t="n"/>
      <c r="I714" s="313" t="n"/>
      <c r="J714" s="319" t="n"/>
      <c r="K714" s="199" t="n"/>
      <c r="L714" s="199" t="n"/>
      <c r="M714" s="235" t="n"/>
      <c r="N714" s="235" t="n"/>
      <c r="O714" s="235" t="n"/>
    </row>
    <row r="715">
      <c r="B715" s="199" t="n">
        <v>686</v>
      </c>
      <c r="C715" s="199" t="n"/>
      <c r="D715" s="312" t="n"/>
      <c r="E715" s="312" t="n"/>
      <c r="F715" s="312" t="n"/>
      <c r="G715" s="312" t="n"/>
      <c r="H715" s="312" t="n"/>
      <c r="I715" s="313" t="n"/>
      <c r="J715" s="319" t="n"/>
      <c r="K715" s="199" t="n"/>
      <c r="L715" s="199" t="n"/>
      <c r="M715" s="235" t="n"/>
      <c r="N715" s="235" t="n"/>
      <c r="O715" s="235" t="n"/>
    </row>
    <row r="716">
      <c r="B716" s="199" t="n">
        <v>687</v>
      </c>
      <c r="C716" s="199" t="n"/>
      <c r="D716" s="312" t="n"/>
      <c r="E716" s="312" t="n"/>
      <c r="F716" s="312" t="n"/>
      <c r="G716" s="312" t="n"/>
      <c r="H716" s="312" t="n"/>
      <c r="I716" s="313" t="n"/>
      <c r="J716" s="319" t="n"/>
      <c r="K716" s="199" t="n"/>
      <c r="L716" s="199" t="n"/>
      <c r="M716" s="235" t="n"/>
      <c r="N716" s="235" t="n"/>
      <c r="O716" s="235" t="n"/>
    </row>
    <row r="717">
      <c r="B717" s="199" t="n">
        <v>688</v>
      </c>
      <c r="C717" s="199" t="n"/>
      <c r="D717" s="312" t="n"/>
      <c r="E717" s="312" t="n"/>
      <c r="F717" s="312" t="n"/>
      <c r="G717" s="312" t="n"/>
      <c r="H717" s="312" t="n"/>
      <c r="I717" s="313" t="n"/>
      <c r="J717" s="319" t="n"/>
      <c r="K717" s="199" t="n"/>
      <c r="L717" s="199" t="n"/>
      <c r="M717" s="235" t="n"/>
      <c r="N717" s="235" t="n"/>
      <c r="O717" s="235" t="n"/>
    </row>
    <row r="718">
      <c r="B718" s="199" t="n">
        <v>689</v>
      </c>
      <c r="C718" s="199" t="n"/>
      <c r="D718" s="312" t="n"/>
      <c r="E718" s="312" t="n"/>
      <c r="F718" s="312" t="n"/>
      <c r="G718" s="312" t="n"/>
      <c r="H718" s="312" t="n"/>
      <c r="I718" s="313" t="n"/>
      <c r="J718" s="319" t="n"/>
      <c r="K718" s="199" t="n"/>
      <c r="L718" s="199" t="n"/>
      <c r="M718" s="235" t="n"/>
      <c r="N718" s="235" t="n"/>
      <c r="O718" s="235" t="n"/>
    </row>
    <row r="719">
      <c r="B719" s="199" t="n">
        <v>690</v>
      </c>
      <c r="C719" s="199" t="n"/>
      <c r="D719" s="312" t="n"/>
      <c r="E719" s="312" t="n"/>
      <c r="F719" s="312" t="n"/>
      <c r="G719" s="312" t="n"/>
      <c r="H719" s="312" t="n"/>
      <c r="I719" s="313" t="n"/>
      <c r="J719" s="319" t="n"/>
      <c r="K719" s="199" t="n"/>
      <c r="L719" s="199" t="n"/>
      <c r="M719" s="235" t="n"/>
      <c r="N719" s="235" t="n"/>
      <c r="O719" s="235" t="n"/>
    </row>
    <row r="720">
      <c r="B720" s="199" t="n">
        <v>691</v>
      </c>
      <c r="C720" s="199" t="n"/>
      <c r="D720" s="312" t="n"/>
      <c r="E720" s="312" t="n"/>
      <c r="F720" s="312" t="n"/>
      <c r="G720" s="312" t="n"/>
      <c r="H720" s="312" t="n"/>
      <c r="I720" s="313" t="n"/>
      <c r="J720" s="319" t="n"/>
      <c r="K720" s="199" t="n"/>
      <c r="L720" s="199" t="n"/>
      <c r="M720" s="235" t="n"/>
      <c r="N720" s="235" t="n"/>
      <c r="O720" s="235" t="n"/>
    </row>
    <row r="721">
      <c r="B721" s="199" t="n">
        <v>692</v>
      </c>
      <c r="C721" s="199" t="n"/>
      <c r="D721" s="312" t="n"/>
      <c r="E721" s="312" t="n"/>
      <c r="F721" s="312" t="n"/>
      <c r="G721" s="312" t="n"/>
      <c r="H721" s="312" t="n"/>
      <c r="I721" s="313" t="n"/>
      <c r="J721" s="319" t="n"/>
      <c r="K721" s="199" t="n"/>
      <c r="L721" s="199" t="n"/>
      <c r="M721" s="235" t="n"/>
      <c r="N721" s="235" t="n"/>
      <c r="O721" s="235" t="n"/>
    </row>
    <row r="722">
      <c r="B722" s="199" t="n">
        <v>693</v>
      </c>
      <c r="C722" s="199" t="n"/>
      <c r="D722" s="312" t="n"/>
      <c r="E722" s="312" t="n"/>
      <c r="F722" s="312" t="n"/>
      <c r="G722" s="312" t="n"/>
      <c r="H722" s="312" t="n"/>
      <c r="I722" s="313" t="n"/>
      <c r="J722" s="319" t="n"/>
      <c r="K722" s="199" t="n"/>
      <c r="L722" s="199" t="n"/>
      <c r="M722" s="235" t="n"/>
      <c r="N722" s="235" t="n"/>
      <c r="O722" s="235" t="n"/>
    </row>
    <row r="723">
      <c r="B723" s="199" t="n">
        <v>694</v>
      </c>
      <c r="C723" s="199" t="n"/>
      <c r="D723" s="312" t="n"/>
      <c r="E723" s="312" t="n"/>
      <c r="F723" s="312" t="n"/>
      <c r="G723" s="312" t="n"/>
      <c r="H723" s="312" t="n"/>
      <c r="I723" s="313" t="n"/>
      <c r="J723" s="319" t="n"/>
      <c r="K723" s="199" t="n"/>
      <c r="L723" s="199" t="n"/>
      <c r="M723" s="235" t="n"/>
      <c r="N723" s="235" t="n"/>
      <c r="O723" s="235" t="n"/>
    </row>
    <row r="724">
      <c r="B724" s="199" t="n">
        <v>695</v>
      </c>
      <c r="C724" s="199" t="n"/>
      <c r="D724" s="312" t="n"/>
      <c r="E724" s="312" t="n"/>
      <c r="F724" s="312" t="n"/>
      <c r="G724" s="312" t="n"/>
      <c r="H724" s="312" t="n"/>
      <c r="I724" s="313" t="n"/>
      <c r="J724" s="319" t="n"/>
      <c r="K724" s="199" t="n"/>
      <c r="L724" s="199" t="n"/>
      <c r="M724" s="235" t="n"/>
      <c r="N724" s="235" t="n"/>
      <c r="O724" s="235" t="n"/>
    </row>
    <row r="725">
      <c r="B725" s="199" t="n">
        <v>696</v>
      </c>
      <c r="C725" s="199" t="n"/>
      <c r="D725" s="312" t="n"/>
      <c r="E725" s="312" t="n"/>
      <c r="F725" s="312" t="n"/>
      <c r="G725" s="312" t="n"/>
      <c r="H725" s="312" t="n"/>
      <c r="I725" s="313" t="n"/>
      <c r="J725" s="319" t="n"/>
      <c r="K725" s="199" t="n"/>
      <c r="L725" s="199" t="n"/>
      <c r="M725" s="235" t="n"/>
      <c r="N725" s="235" t="n"/>
      <c r="O725" s="235" t="n"/>
    </row>
    <row r="726">
      <c r="B726" s="199" t="n">
        <v>697</v>
      </c>
      <c r="C726" s="199" t="n"/>
      <c r="D726" s="312" t="n"/>
      <c r="E726" s="312" t="n"/>
      <c r="F726" s="312" t="n"/>
      <c r="G726" s="312" t="n"/>
      <c r="H726" s="312" t="n"/>
      <c r="I726" s="313" t="n"/>
      <c r="J726" s="319" t="n"/>
      <c r="K726" s="199" t="n"/>
      <c r="L726" s="199" t="n"/>
      <c r="M726" s="235" t="n"/>
      <c r="N726" s="235" t="n"/>
      <c r="O726" s="235" t="n"/>
    </row>
    <row r="727">
      <c r="B727" s="199" t="n">
        <v>698</v>
      </c>
      <c r="C727" s="199" t="n"/>
      <c r="D727" s="312" t="n"/>
      <c r="E727" s="312" t="n"/>
      <c r="F727" s="312" t="n"/>
      <c r="G727" s="312" t="n"/>
      <c r="H727" s="312" t="n"/>
      <c r="I727" s="313" t="n"/>
      <c r="J727" s="319" t="n"/>
      <c r="K727" s="199" t="n"/>
      <c r="L727" s="199" t="n"/>
      <c r="M727" s="235" t="n"/>
      <c r="N727" s="235" t="n"/>
      <c r="O727" s="235" t="n"/>
    </row>
    <row r="728">
      <c r="B728" s="199" t="n">
        <v>699</v>
      </c>
      <c r="C728" s="199" t="n"/>
      <c r="D728" s="312" t="n"/>
      <c r="E728" s="312" t="n"/>
      <c r="F728" s="312" t="n"/>
      <c r="G728" s="312" t="n"/>
      <c r="H728" s="312" t="n"/>
      <c r="I728" s="313" t="n"/>
      <c r="J728" s="319" t="n"/>
      <c r="K728" s="199" t="n"/>
      <c r="L728" s="199" t="n"/>
      <c r="M728" s="235" t="n"/>
      <c r="N728" s="235" t="n"/>
      <c r="O728" s="235" t="n"/>
    </row>
    <row r="729">
      <c r="B729" s="199" t="n">
        <v>700</v>
      </c>
      <c r="C729" s="199" t="n"/>
      <c r="D729" s="312" t="n"/>
      <c r="E729" s="312" t="n"/>
      <c r="F729" s="312" t="n"/>
      <c r="G729" s="312" t="n"/>
      <c r="H729" s="312" t="n"/>
      <c r="I729" s="313" t="n"/>
      <c r="J729" s="319" t="n"/>
      <c r="K729" s="199" t="n"/>
      <c r="L729" s="199" t="n"/>
      <c r="M729" s="235" t="n"/>
      <c r="N729" s="235" t="n"/>
      <c r="O729" s="235" t="n"/>
    </row>
    <row r="730">
      <c r="B730" s="199" t="n">
        <v>701</v>
      </c>
      <c r="C730" s="199" t="n"/>
      <c r="D730" s="312" t="n"/>
      <c r="E730" s="312" t="n"/>
      <c r="F730" s="312" t="n"/>
      <c r="G730" s="312" t="n"/>
      <c r="H730" s="312" t="n"/>
      <c r="I730" s="313" t="n"/>
      <c r="J730" s="319" t="n"/>
      <c r="K730" s="199" t="n"/>
      <c r="L730" s="199" t="n"/>
      <c r="M730" s="235" t="n"/>
      <c r="N730" s="235" t="n"/>
      <c r="O730" s="235" t="n"/>
    </row>
    <row r="731">
      <c r="B731" s="199" t="n">
        <v>702</v>
      </c>
      <c r="C731" s="199" t="n"/>
      <c r="D731" s="312" t="n"/>
      <c r="E731" s="312" t="n"/>
      <c r="F731" s="312" t="n"/>
      <c r="G731" s="312" t="n"/>
      <c r="H731" s="312" t="n"/>
      <c r="I731" s="313" t="n"/>
      <c r="J731" s="319" t="n"/>
      <c r="K731" s="199" t="n"/>
      <c r="L731" s="199" t="n"/>
      <c r="M731" s="235" t="n"/>
      <c r="N731" s="235" t="n"/>
      <c r="O731" s="235" t="n"/>
    </row>
    <row r="732">
      <c r="B732" s="199" t="n">
        <v>703</v>
      </c>
      <c r="C732" s="199" t="n"/>
      <c r="D732" s="312" t="n"/>
      <c r="E732" s="312" t="n"/>
      <c r="F732" s="312" t="n"/>
      <c r="G732" s="312" t="n"/>
      <c r="H732" s="312" t="n"/>
      <c r="I732" s="313" t="n"/>
      <c r="J732" s="319" t="n"/>
      <c r="K732" s="199" t="n"/>
      <c r="L732" s="199" t="n"/>
      <c r="M732" s="235" t="n"/>
      <c r="N732" s="235" t="n"/>
      <c r="O732" s="235" t="n"/>
    </row>
    <row r="733">
      <c r="B733" s="199" t="n">
        <v>704</v>
      </c>
      <c r="C733" s="199" t="n"/>
      <c r="D733" s="312" t="n"/>
      <c r="E733" s="312" t="n"/>
      <c r="F733" s="312" t="n"/>
      <c r="G733" s="312" t="n"/>
      <c r="H733" s="312" t="n"/>
      <c r="I733" s="313" t="n"/>
      <c r="J733" s="319" t="n"/>
      <c r="K733" s="199" t="n"/>
      <c r="L733" s="199" t="n"/>
      <c r="M733" s="235" t="n"/>
      <c r="N733" s="235" t="n"/>
      <c r="O733" s="235" t="n"/>
    </row>
    <row r="734">
      <c r="B734" s="199" t="n">
        <v>705</v>
      </c>
      <c r="C734" s="199" t="n"/>
      <c r="D734" s="312" t="n"/>
      <c r="E734" s="312" t="n"/>
      <c r="F734" s="312" t="n"/>
      <c r="G734" s="312" t="n"/>
      <c r="H734" s="312" t="n"/>
      <c r="I734" s="313" t="n"/>
      <c r="J734" s="319" t="n"/>
      <c r="K734" s="199" t="n"/>
      <c r="L734" s="199" t="n"/>
      <c r="M734" s="235" t="n"/>
      <c r="N734" s="235" t="n"/>
      <c r="O734" s="235" t="n"/>
    </row>
    <row r="735">
      <c r="B735" s="199" t="n">
        <v>706</v>
      </c>
      <c r="C735" s="199" t="n"/>
      <c r="D735" s="312" t="n"/>
      <c r="E735" s="312" t="n"/>
      <c r="F735" s="312" t="n"/>
      <c r="G735" s="312" t="n"/>
      <c r="H735" s="312" t="n"/>
      <c r="I735" s="313" t="n"/>
      <c r="J735" s="319" t="n"/>
      <c r="K735" s="199" t="n"/>
      <c r="L735" s="199" t="n"/>
      <c r="M735" s="235" t="n"/>
      <c r="N735" s="235" t="n"/>
      <c r="O735" s="235" t="n"/>
    </row>
    <row r="736">
      <c r="B736" s="199" t="n">
        <v>707</v>
      </c>
      <c r="C736" s="199" t="n"/>
      <c r="D736" s="312" t="n"/>
      <c r="E736" s="312" t="n"/>
      <c r="F736" s="312" t="n"/>
      <c r="G736" s="312" t="n"/>
      <c r="H736" s="312" t="n"/>
      <c r="I736" s="313" t="n"/>
      <c r="J736" s="319" t="n"/>
      <c r="K736" s="199" t="n"/>
      <c r="L736" s="199" t="n"/>
      <c r="M736" s="235" t="n"/>
      <c r="N736" s="235" t="n"/>
      <c r="O736" s="235" t="n"/>
    </row>
    <row r="737">
      <c r="B737" s="199" t="n">
        <v>708</v>
      </c>
      <c r="C737" s="199" t="n"/>
      <c r="D737" s="312" t="n"/>
      <c r="E737" s="312" t="n"/>
      <c r="F737" s="312" t="n"/>
      <c r="G737" s="312" t="n"/>
      <c r="H737" s="312" t="n"/>
      <c r="I737" s="313" t="n"/>
      <c r="J737" s="319" t="n"/>
      <c r="K737" s="199" t="n"/>
      <c r="L737" s="199" t="n"/>
      <c r="M737" s="235" t="n"/>
      <c r="N737" s="235" t="n"/>
      <c r="O737" s="235" t="n"/>
    </row>
    <row r="738">
      <c r="B738" s="199" t="n">
        <v>709</v>
      </c>
      <c r="C738" s="199" t="n"/>
      <c r="D738" s="312" t="n"/>
      <c r="E738" s="312" t="n"/>
      <c r="F738" s="312" t="n"/>
      <c r="G738" s="312" t="n"/>
      <c r="H738" s="312" t="n"/>
      <c r="I738" s="313" t="n"/>
      <c r="J738" s="319" t="n"/>
      <c r="K738" s="199" t="n"/>
      <c r="L738" s="199" t="n"/>
      <c r="M738" s="235" t="n"/>
      <c r="N738" s="235" t="n"/>
      <c r="O738" s="235" t="n"/>
    </row>
    <row r="739">
      <c r="B739" s="199" t="n">
        <v>710</v>
      </c>
      <c r="C739" s="199" t="n"/>
      <c r="D739" s="312" t="n"/>
      <c r="E739" s="312" t="n"/>
      <c r="F739" s="312" t="n"/>
      <c r="G739" s="312" t="n"/>
      <c r="H739" s="312" t="n"/>
      <c r="I739" s="313" t="n"/>
      <c r="J739" s="319" t="n"/>
      <c r="K739" s="199" t="n"/>
      <c r="L739" s="199" t="n"/>
      <c r="M739" s="235" t="n"/>
      <c r="N739" s="235" t="n"/>
      <c r="O739" s="235" t="n"/>
    </row>
    <row r="740">
      <c r="B740" s="199" t="n">
        <v>711</v>
      </c>
      <c r="C740" s="199" t="n"/>
      <c r="D740" s="312" t="n"/>
      <c r="E740" s="312" t="n"/>
      <c r="F740" s="312" t="n"/>
      <c r="G740" s="312" t="n"/>
      <c r="H740" s="312" t="n"/>
      <c r="I740" s="313" t="n"/>
      <c r="J740" s="319" t="n"/>
      <c r="K740" s="199" t="n"/>
      <c r="L740" s="199" t="n"/>
      <c r="M740" s="235" t="n"/>
      <c r="N740" s="235" t="n"/>
      <c r="O740" s="235" t="n"/>
    </row>
    <row r="741">
      <c r="B741" s="199" t="n">
        <v>712</v>
      </c>
      <c r="C741" s="199" t="n"/>
      <c r="D741" s="312" t="n"/>
      <c r="E741" s="312" t="n"/>
      <c r="F741" s="312" t="n"/>
      <c r="G741" s="312" t="n"/>
      <c r="H741" s="312" t="n"/>
      <c r="I741" s="313" t="n"/>
      <c r="J741" s="319" t="n"/>
      <c r="K741" s="199" t="n"/>
      <c r="L741" s="199" t="n"/>
      <c r="M741" s="235" t="n"/>
      <c r="N741" s="235" t="n"/>
      <c r="O741" s="235" t="n"/>
    </row>
    <row r="742">
      <c r="B742" s="199" t="n">
        <v>713</v>
      </c>
      <c r="C742" s="199" t="n"/>
      <c r="D742" s="312" t="n"/>
      <c r="E742" s="312" t="n"/>
      <c r="F742" s="312" t="n"/>
      <c r="G742" s="312" t="n"/>
      <c r="H742" s="312" t="n"/>
      <c r="I742" s="313" t="n"/>
      <c r="J742" s="319" t="n"/>
      <c r="K742" s="199" t="n"/>
      <c r="L742" s="199" t="n"/>
      <c r="M742" s="235" t="n"/>
      <c r="N742" s="235" t="n"/>
      <c r="O742" s="235" t="n"/>
    </row>
    <row r="743">
      <c r="B743" s="199" t="n">
        <v>714</v>
      </c>
      <c r="C743" s="199" t="n"/>
      <c r="D743" s="312" t="n"/>
      <c r="E743" s="312" t="n"/>
      <c r="F743" s="312" t="n"/>
      <c r="G743" s="312" t="n"/>
      <c r="H743" s="312" t="n"/>
      <c r="I743" s="313" t="n"/>
      <c r="J743" s="319" t="n"/>
      <c r="K743" s="199" t="n"/>
      <c r="L743" s="199" t="n"/>
      <c r="M743" s="235" t="n"/>
      <c r="N743" s="235" t="n"/>
      <c r="O743" s="235" t="n"/>
    </row>
    <row r="744">
      <c r="B744" s="199" t="n">
        <v>715</v>
      </c>
      <c r="C744" s="199" t="n"/>
      <c r="D744" s="312" t="n"/>
      <c r="E744" s="312" t="n"/>
      <c r="F744" s="312" t="n"/>
      <c r="G744" s="312" t="n"/>
      <c r="H744" s="312" t="n"/>
      <c r="I744" s="313" t="n"/>
      <c r="J744" s="319" t="n"/>
      <c r="K744" s="199" t="n"/>
      <c r="L744" s="199" t="n"/>
      <c r="M744" s="235" t="n"/>
      <c r="N744" s="235" t="n"/>
      <c r="O744" s="235" t="n"/>
    </row>
    <row r="745">
      <c r="B745" s="199" t="n">
        <v>716</v>
      </c>
      <c r="C745" s="199" t="n"/>
      <c r="D745" s="312" t="n"/>
      <c r="E745" s="312" t="n"/>
      <c r="F745" s="312" t="n"/>
      <c r="G745" s="312" t="n"/>
      <c r="H745" s="312" t="n"/>
      <c r="I745" s="313" t="n"/>
      <c r="J745" s="319" t="n"/>
      <c r="K745" s="199" t="n"/>
      <c r="L745" s="199" t="n"/>
      <c r="M745" s="235" t="n"/>
      <c r="N745" s="235" t="n"/>
      <c r="O745" s="235" t="n"/>
    </row>
    <row r="746">
      <c r="B746" s="199" t="n">
        <v>717</v>
      </c>
      <c r="C746" s="199" t="n"/>
      <c r="D746" s="312" t="n"/>
      <c r="E746" s="312" t="n"/>
      <c r="F746" s="312" t="n"/>
      <c r="G746" s="312" t="n"/>
      <c r="H746" s="312" t="n"/>
      <c r="I746" s="313" t="n"/>
      <c r="J746" s="319" t="n"/>
      <c r="K746" s="199" t="n"/>
      <c r="L746" s="199" t="n"/>
      <c r="M746" s="235" t="n"/>
      <c r="N746" s="235" t="n"/>
      <c r="O746" s="235" t="n"/>
    </row>
    <row r="747">
      <c r="B747" s="199" t="n">
        <v>718</v>
      </c>
      <c r="C747" s="199" t="n"/>
      <c r="D747" s="312" t="n"/>
      <c r="E747" s="312" t="n"/>
      <c r="F747" s="312" t="n"/>
      <c r="G747" s="312" t="n"/>
      <c r="H747" s="312" t="n"/>
      <c r="I747" s="313" t="n"/>
      <c r="J747" s="319" t="n"/>
      <c r="K747" s="199" t="n"/>
      <c r="L747" s="199" t="n"/>
      <c r="M747" s="235" t="n"/>
      <c r="N747" s="235" t="n"/>
      <c r="O747" s="235" t="n"/>
    </row>
    <row r="748">
      <c r="B748" s="199" t="n">
        <v>719</v>
      </c>
      <c r="C748" s="199" t="n"/>
      <c r="D748" s="312" t="n"/>
      <c r="E748" s="312" t="n"/>
      <c r="F748" s="312" t="n"/>
      <c r="G748" s="312" t="n"/>
      <c r="H748" s="312" t="n"/>
      <c r="I748" s="313" t="n"/>
      <c r="J748" s="319" t="n"/>
      <c r="K748" s="199" t="n"/>
      <c r="L748" s="199" t="n"/>
      <c r="M748" s="235" t="n"/>
      <c r="N748" s="235" t="n"/>
      <c r="O748" s="235" t="n"/>
    </row>
    <row r="749">
      <c r="B749" s="199" t="n">
        <v>720</v>
      </c>
      <c r="C749" s="199" t="n"/>
      <c r="D749" s="312" t="n"/>
      <c r="E749" s="312" t="n"/>
      <c r="F749" s="312" t="n"/>
      <c r="G749" s="312" t="n"/>
      <c r="H749" s="312" t="n"/>
      <c r="I749" s="313" t="n"/>
      <c r="J749" s="319" t="n"/>
      <c r="K749" s="199" t="n"/>
      <c r="L749" s="199" t="n"/>
      <c r="M749" s="235" t="n"/>
      <c r="N749" s="235" t="n"/>
      <c r="O749" s="235" t="n"/>
    </row>
    <row r="750">
      <c r="B750" s="199" t="n">
        <v>721</v>
      </c>
      <c r="C750" s="199" t="n"/>
      <c r="D750" s="312" t="n"/>
      <c r="E750" s="312" t="n"/>
      <c r="F750" s="312" t="n"/>
      <c r="G750" s="312" t="n"/>
      <c r="H750" s="312" t="n"/>
      <c r="I750" s="313" t="n"/>
      <c r="J750" s="319" t="n"/>
      <c r="K750" s="199" t="n"/>
      <c r="L750" s="199" t="n"/>
      <c r="M750" s="235" t="n"/>
      <c r="N750" s="235" t="n"/>
      <c r="O750" s="235" t="n"/>
    </row>
    <row r="751">
      <c r="B751" s="199" t="n">
        <v>722</v>
      </c>
      <c r="C751" s="199" t="n"/>
      <c r="D751" s="312" t="n"/>
      <c r="E751" s="312" t="n"/>
      <c r="F751" s="312" t="n"/>
      <c r="G751" s="312" t="n"/>
      <c r="H751" s="312" t="n"/>
      <c r="I751" s="313" t="n"/>
      <c r="J751" s="319" t="n"/>
      <c r="K751" s="199" t="n"/>
      <c r="L751" s="199" t="n"/>
      <c r="M751" s="235" t="n"/>
      <c r="N751" s="235" t="n"/>
      <c r="O751" s="235" t="n"/>
    </row>
    <row r="752">
      <c r="B752" s="199" t="n">
        <v>723</v>
      </c>
      <c r="C752" s="199" t="n"/>
      <c r="D752" s="312" t="n"/>
      <c r="E752" s="312" t="n"/>
      <c r="F752" s="312" t="n"/>
      <c r="G752" s="312" t="n"/>
      <c r="H752" s="312" t="n"/>
      <c r="I752" s="313" t="n"/>
      <c r="J752" s="319" t="n"/>
      <c r="K752" s="199" t="n"/>
      <c r="L752" s="199" t="n"/>
      <c r="M752" s="235" t="n"/>
      <c r="N752" s="235" t="n"/>
      <c r="O752" s="235" t="n"/>
    </row>
    <row r="753">
      <c r="B753" s="199" t="n">
        <v>724</v>
      </c>
      <c r="C753" s="199" t="n"/>
      <c r="D753" s="312" t="n"/>
      <c r="E753" s="312" t="n"/>
      <c r="F753" s="312" t="n"/>
      <c r="G753" s="312" t="n"/>
      <c r="H753" s="312" t="n"/>
      <c r="I753" s="313" t="n"/>
      <c r="J753" s="319" t="n"/>
      <c r="K753" s="199" t="n"/>
      <c r="L753" s="199" t="n"/>
      <c r="M753" s="235" t="n"/>
      <c r="N753" s="235" t="n"/>
      <c r="O753" s="235" t="n"/>
    </row>
    <row r="754">
      <c r="B754" s="199" t="n">
        <v>725</v>
      </c>
      <c r="C754" s="199" t="n"/>
      <c r="D754" s="312" t="n"/>
      <c r="E754" s="312" t="n"/>
      <c r="F754" s="312" t="n"/>
      <c r="G754" s="312" t="n"/>
      <c r="H754" s="312" t="n"/>
      <c r="I754" s="313" t="n"/>
      <c r="J754" s="319" t="n"/>
      <c r="K754" s="199" t="n"/>
      <c r="L754" s="199" t="n"/>
      <c r="M754" s="235" t="n"/>
      <c r="N754" s="235" t="n"/>
      <c r="O754" s="235" t="n"/>
    </row>
    <row r="755">
      <c r="B755" s="199" t="n">
        <v>726</v>
      </c>
      <c r="C755" s="199" t="n"/>
      <c r="D755" s="312" t="n"/>
      <c r="E755" s="312" t="n"/>
      <c r="F755" s="312" t="n"/>
      <c r="G755" s="312" t="n"/>
      <c r="H755" s="312" t="n"/>
      <c r="I755" s="313" t="n"/>
      <c r="J755" s="319" t="n"/>
      <c r="K755" s="199" t="n"/>
      <c r="L755" s="199" t="n"/>
      <c r="M755" s="235" t="n"/>
      <c r="N755" s="235" t="n"/>
      <c r="O755" s="235" t="n"/>
    </row>
    <row r="756">
      <c r="B756" s="199" t="n">
        <v>727</v>
      </c>
      <c r="C756" s="199" t="n"/>
      <c r="D756" s="312" t="n"/>
      <c r="E756" s="312" t="n"/>
      <c r="F756" s="312" t="n"/>
      <c r="G756" s="312" t="n"/>
      <c r="H756" s="312" t="n"/>
      <c r="I756" s="313" t="n"/>
      <c r="J756" s="319" t="n"/>
      <c r="K756" s="199" t="n"/>
      <c r="L756" s="199" t="n"/>
      <c r="M756" s="235" t="n"/>
      <c r="N756" s="235" t="n"/>
      <c r="O756" s="235" t="n"/>
    </row>
    <row r="757">
      <c r="B757" s="199" t="n">
        <v>728</v>
      </c>
      <c r="C757" s="199" t="n"/>
      <c r="D757" s="312" t="n"/>
      <c r="E757" s="312" t="n"/>
      <c r="F757" s="312" t="n"/>
      <c r="G757" s="312" t="n"/>
      <c r="H757" s="312" t="n"/>
      <c r="I757" s="313" t="n"/>
      <c r="J757" s="319" t="n"/>
      <c r="K757" s="199" t="n"/>
      <c r="L757" s="199" t="n"/>
      <c r="M757" s="235" t="n"/>
      <c r="N757" s="235" t="n"/>
      <c r="O757" s="235" t="n"/>
    </row>
    <row r="758">
      <c r="B758" s="199" t="n">
        <v>729</v>
      </c>
      <c r="C758" s="199" t="n"/>
      <c r="D758" s="312" t="n"/>
      <c r="E758" s="312" t="n"/>
      <c r="F758" s="312" t="n"/>
      <c r="G758" s="312" t="n"/>
      <c r="H758" s="312" t="n"/>
      <c r="I758" s="313" t="n"/>
      <c r="J758" s="319" t="n"/>
      <c r="K758" s="199" t="n"/>
      <c r="L758" s="199" t="n"/>
      <c r="M758" s="235" t="n"/>
      <c r="N758" s="235" t="n"/>
      <c r="O758" s="235" t="n"/>
    </row>
    <row r="759">
      <c r="B759" s="199" t="n">
        <v>730</v>
      </c>
      <c r="C759" s="199" t="n"/>
      <c r="D759" s="312" t="n"/>
      <c r="E759" s="312" t="n"/>
      <c r="F759" s="312" t="n"/>
      <c r="G759" s="312" t="n"/>
      <c r="H759" s="312" t="n"/>
      <c r="I759" s="313" t="n"/>
      <c r="J759" s="319" t="n"/>
      <c r="K759" s="199" t="n"/>
      <c r="L759" s="199" t="n"/>
      <c r="M759" s="235" t="n"/>
      <c r="N759" s="235" t="n"/>
      <c r="O759" s="235" t="n"/>
    </row>
    <row r="760">
      <c r="B760" s="199" t="n">
        <v>731</v>
      </c>
      <c r="C760" s="199" t="n"/>
      <c r="D760" s="312" t="n"/>
      <c r="E760" s="312" t="n"/>
      <c r="F760" s="312" t="n"/>
      <c r="G760" s="312" t="n"/>
      <c r="H760" s="312" t="n"/>
      <c r="I760" s="313" t="n"/>
      <c r="J760" s="319" t="n"/>
      <c r="K760" s="199" t="n"/>
      <c r="L760" s="199" t="n"/>
      <c r="M760" s="235" t="n"/>
      <c r="N760" s="235" t="n"/>
      <c r="O760" s="235" t="n"/>
    </row>
    <row r="761">
      <c r="B761" s="199" t="n">
        <v>732</v>
      </c>
      <c r="C761" s="199" t="n"/>
      <c r="D761" s="312" t="n"/>
      <c r="E761" s="312" t="n"/>
      <c r="F761" s="312" t="n"/>
      <c r="G761" s="312" t="n"/>
      <c r="H761" s="312" t="n"/>
      <c r="I761" s="313" t="n"/>
      <c r="J761" s="319" t="n"/>
      <c r="K761" s="199" t="n"/>
      <c r="L761" s="199" t="n"/>
      <c r="M761" s="235" t="n"/>
      <c r="N761" s="235" t="n"/>
      <c r="O761" s="235" t="n"/>
    </row>
    <row r="762">
      <c r="B762" s="199" t="n">
        <v>733</v>
      </c>
      <c r="C762" s="199" t="n"/>
      <c r="D762" s="312" t="n"/>
      <c r="E762" s="312" t="n"/>
      <c r="F762" s="312" t="n"/>
      <c r="G762" s="312" t="n"/>
      <c r="H762" s="312" t="n"/>
      <c r="I762" s="313" t="n"/>
      <c r="J762" s="319" t="n"/>
      <c r="K762" s="199" t="n"/>
      <c r="L762" s="199" t="n"/>
      <c r="M762" s="235" t="n"/>
      <c r="N762" s="235" t="n"/>
      <c r="O762" s="235" t="n"/>
    </row>
    <row r="763">
      <c r="B763" s="199" t="n">
        <v>734</v>
      </c>
      <c r="C763" s="199" t="n"/>
      <c r="D763" s="312" t="n"/>
      <c r="E763" s="312" t="n"/>
      <c r="F763" s="312" t="n"/>
      <c r="G763" s="312" t="n"/>
      <c r="H763" s="312" t="n"/>
      <c r="I763" s="313" t="n"/>
      <c r="J763" s="319" t="n"/>
      <c r="K763" s="199" t="n"/>
      <c r="L763" s="199" t="n"/>
      <c r="M763" s="235" t="n"/>
      <c r="N763" s="235" t="n"/>
      <c r="O763" s="235" t="n"/>
    </row>
    <row r="764">
      <c r="B764" s="199" t="n">
        <v>735</v>
      </c>
      <c r="C764" s="199" t="n"/>
      <c r="D764" s="312" t="n"/>
      <c r="E764" s="312" t="n"/>
      <c r="F764" s="312" t="n"/>
      <c r="G764" s="312" t="n"/>
      <c r="H764" s="312" t="n"/>
      <c r="I764" s="313" t="n"/>
      <c r="J764" s="319" t="n"/>
      <c r="K764" s="199" t="n"/>
      <c r="L764" s="199" t="n"/>
      <c r="M764" s="235" t="n"/>
      <c r="N764" s="235" t="n"/>
      <c r="O764" s="235" t="n"/>
    </row>
    <row r="765">
      <c r="B765" s="199" t="n">
        <v>736</v>
      </c>
      <c r="C765" s="199" t="n"/>
      <c r="D765" s="312" t="n"/>
      <c r="E765" s="312" t="n"/>
      <c r="F765" s="312" t="n"/>
      <c r="G765" s="312" t="n"/>
      <c r="H765" s="312" t="n"/>
      <c r="I765" s="313" t="n"/>
      <c r="J765" s="319" t="n"/>
      <c r="K765" s="199" t="n"/>
      <c r="L765" s="199" t="n"/>
      <c r="M765" s="235" t="n"/>
      <c r="N765" s="235" t="n"/>
      <c r="O765" s="235" t="n"/>
    </row>
    <row r="766">
      <c r="B766" s="199" t="n">
        <v>737</v>
      </c>
      <c r="C766" s="199" t="n"/>
      <c r="D766" s="312" t="n"/>
      <c r="E766" s="312" t="n"/>
      <c r="F766" s="312" t="n"/>
      <c r="G766" s="312" t="n"/>
      <c r="H766" s="312" t="n"/>
      <c r="I766" s="313" t="n"/>
      <c r="J766" s="319" t="n"/>
      <c r="K766" s="199" t="n"/>
      <c r="L766" s="199" t="n"/>
      <c r="M766" s="235" t="n"/>
      <c r="N766" s="235" t="n"/>
      <c r="O766" s="235" t="n"/>
    </row>
    <row r="767">
      <c r="B767" s="199" t="n">
        <v>738</v>
      </c>
      <c r="C767" s="199" t="n"/>
      <c r="D767" s="312" t="n"/>
      <c r="E767" s="312" t="n"/>
      <c r="F767" s="312" t="n"/>
      <c r="G767" s="312" t="n"/>
      <c r="H767" s="312" t="n"/>
      <c r="I767" s="313" t="n"/>
      <c r="J767" s="319" t="n"/>
      <c r="K767" s="199" t="n"/>
      <c r="L767" s="199" t="n"/>
      <c r="M767" s="235" t="n"/>
      <c r="N767" s="235" t="n"/>
      <c r="O767" s="235" t="n"/>
    </row>
    <row r="768">
      <c r="B768" s="199" t="n">
        <v>739</v>
      </c>
      <c r="C768" s="199" t="n"/>
      <c r="D768" s="312" t="n"/>
      <c r="E768" s="312" t="n"/>
      <c r="F768" s="312" t="n"/>
      <c r="G768" s="312" t="n"/>
      <c r="H768" s="312" t="n"/>
      <c r="I768" s="313" t="n"/>
      <c r="J768" s="319" t="n"/>
      <c r="K768" s="199" t="n"/>
      <c r="L768" s="199" t="n"/>
      <c r="M768" s="235" t="n"/>
      <c r="N768" s="235" t="n"/>
      <c r="O768" s="235" t="n"/>
    </row>
    <row r="769">
      <c r="B769" s="199" t="n">
        <v>740</v>
      </c>
      <c r="C769" s="199" t="n"/>
      <c r="D769" s="312" t="n"/>
      <c r="E769" s="312" t="n"/>
      <c r="F769" s="312" t="n"/>
      <c r="G769" s="312" t="n"/>
      <c r="H769" s="312" t="n"/>
      <c r="I769" s="313" t="n"/>
      <c r="J769" s="319" t="n"/>
      <c r="K769" s="199" t="n"/>
      <c r="L769" s="199" t="n"/>
      <c r="M769" s="235" t="n"/>
      <c r="N769" s="235" t="n"/>
      <c r="O769" s="235" t="n"/>
    </row>
    <row r="770">
      <c r="B770" s="199" t="n">
        <v>741</v>
      </c>
      <c r="C770" s="199" t="n"/>
      <c r="D770" s="312" t="n"/>
      <c r="E770" s="312" t="n"/>
      <c r="F770" s="312" t="n"/>
      <c r="G770" s="312" t="n"/>
      <c r="H770" s="312" t="n"/>
      <c r="I770" s="313" t="n"/>
      <c r="J770" s="319" t="n"/>
      <c r="K770" s="199" t="n"/>
      <c r="L770" s="199" t="n"/>
      <c r="M770" s="235" t="n"/>
      <c r="N770" s="235" t="n"/>
      <c r="O770" s="235" t="n"/>
    </row>
    <row r="771">
      <c r="B771" s="199" t="n">
        <v>742</v>
      </c>
      <c r="C771" s="199" t="n"/>
      <c r="D771" s="312" t="n"/>
      <c r="E771" s="312" t="n"/>
      <c r="F771" s="312" t="n"/>
      <c r="G771" s="312" t="n"/>
      <c r="H771" s="312" t="n"/>
      <c r="I771" s="313" t="n"/>
      <c r="J771" s="319" t="n"/>
      <c r="K771" s="199" t="n"/>
      <c r="L771" s="199" t="n"/>
      <c r="M771" s="235" t="n"/>
      <c r="N771" s="235" t="n"/>
      <c r="O771" s="235" t="n"/>
    </row>
    <row r="772">
      <c r="B772" s="199" t="n">
        <v>743</v>
      </c>
      <c r="C772" s="199" t="n"/>
      <c r="D772" s="312" t="n"/>
      <c r="E772" s="312" t="n"/>
      <c r="F772" s="312" t="n"/>
      <c r="G772" s="312" t="n"/>
      <c r="H772" s="312" t="n"/>
      <c r="I772" s="313" t="n"/>
      <c r="J772" s="319" t="n"/>
      <c r="K772" s="199" t="n"/>
      <c r="L772" s="199" t="n"/>
      <c r="M772" s="235" t="n"/>
      <c r="N772" s="235" t="n"/>
      <c r="O772" s="235" t="n"/>
    </row>
    <row r="773">
      <c r="B773" s="199" t="n">
        <v>744</v>
      </c>
      <c r="C773" s="199" t="n"/>
      <c r="D773" s="312" t="n"/>
      <c r="E773" s="312" t="n"/>
      <c r="F773" s="312" t="n"/>
      <c r="G773" s="312" t="n"/>
      <c r="H773" s="312" t="n"/>
      <c r="I773" s="313" t="n"/>
      <c r="J773" s="319" t="n"/>
      <c r="K773" s="199" t="n"/>
      <c r="L773" s="199" t="n"/>
      <c r="M773" s="235" t="n"/>
      <c r="N773" s="235" t="n"/>
      <c r="O773" s="235" t="n"/>
    </row>
    <row r="774">
      <c r="B774" s="199" t="n">
        <v>745</v>
      </c>
      <c r="C774" s="199" t="n"/>
      <c r="D774" s="312" t="n"/>
      <c r="E774" s="312" t="n"/>
      <c r="F774" s="312" t="n"/>
      <c r="G774" s="312" t="n"/>
      <c r="H774" s="312" t="n"/>
      <c r="I774" s="313" t="n"/>
      <c r="J774" s="319" t="n"/>
      <c r="K774" s="199" t="n"/>
      <c r="L774" s="199" t="n"/>
      <c r="M774" s="235" t="n"/>
      <c r="N774" s="235" t="n"/>
      <c r="O774" s="235" t="n"/>
    </row>
    <row r="775">
      <c r="B775" s="199" t="n">
        <v>746</v>
      </c>
      <c r="C775" s="199" t="n"/>
      <c r="D775" s="312" t="n"/>
      <c r="E775" s="312" t="n"/>
      <c r="F775" s="312" t="n"/>
      <c r="G775" s="312" t="n"/>
      <c r="H775" s="312" t="n"/>
      <c r="I775" s="313" t="n"/>
      <c r="J775" s="319" t="n"/>
      <c r="K775" s="199" t="n"/>
      <c r="L775" s="199" t="n"/>
      <c r="M775" s="235" t="n"/>
      <c r="N775" s="235" t="n"/>
      <c r="O775" s="235" t="n"/>
    </row>
    <row r="776">
      <c r="B776" s="199" t="n">
        <v>747</v>
      </c>
      <c r="C776" s="199" t="n"/>
      <c r="D776" s="312" t="n"/>
      <c r="E776" s="312" t="n"/>
      <c r="F776" s="312" t="n"/>
      <c r="G776" s="312" t="n"/>
      <c r="H776" s="312" t="n"/>
      <c r="I776" s="313" t="n"/>
      <c r="J776" s="319" t="n"/>
      <c r="K776" s="199" t="n"/>
      <c r="L776" s="199" t="n"/>
      <c r="M776" s="235" t="n"/>
      <c r="N776" s="235" t="n"/>
      <c r="O776" s="235" t="n"/>
    </row>
    <row r="777">
      <c r="B777" s="199" t="n">
        <v>748</v>
      </c>
      <c r="C777" s="199" t="n"/>
      <c r="D777" s="312" t="n"/>
      <c r="E777" s="312" t="n"/>
      <c r="F777" s="312" t="n"/>
      <c r="G777" s="312" t="n"/>
      <c r="H777" s="312" t="n"/>
      <c r="I777" s="313" t="n"/>
      <c r="J777" s="319" t="n"/>
      <c r="K777" s="199" t="n"/>
      <c r="L777" s="199" t="n"/>
      <c r="M777" s="235" t="n"/>
      <c r="N777" s="235" t="n"/>
      <c r="O777" s="235" t="n"/>
    </row>
    <row r="778">
      <c r="B778" s="199" t="n">
        <v>749</v>
      </c>
      <c r="C778" s="199" t="n"/>
      <c r="D778" s="312" t="n"/>
      <c r="E778" s="312" t="n"/>
      <c r="F778" s="312" t="n"/>
      <c r="G778" s="312" t="n"/>
      <c r="H778" s="312" t="n"/>
      <c r="I778" s="313" t="n"/>
      <c r="J778" s="319" t="n"/>
      <c r="K778" s="199" t="n"/>
      <c r="L778" s="199" t="n"/>
      <c r="M778" s="235" t="n"/>
      <c r="N778" s="235" t="n"/>
      <c r="O778" s="235" t="n"/>
    </row>
    <row r="779">
      <c r="B779" s="199" t="n">
        <v>750</v>
      </c>
      <c r="C779" s="199" t="n"/>
      <c r="D779" s="312" t="n"/>
      <c r="E779" s="312" t="n"/>
      <c r="F779" s="312" t="n"/>
      <c r="G779" s="312" t="n"/>
      <c r="H779" s="312" t="n"/>
      <c r="I779" s="313" t="n"/>
      <c r="J779" s="319" t="n"/>
      <c r="K779" s="199" t="n"/>
      <c r="L779" s="199" t="n"/>
      <c r="M779" s="235" t="n"/>
      <c r="N779" s="235" t="n"/>
      <c r="O779" s="235" t="n"/>
    </row>
    <row r="780">
      <c r="B780" s="199" t="n">
        <v>751</v>
      </c>
      <c r="C780" s="199" t="n"/>
      <c r="D780" s="312" t="n"/>
      <c r="E780" s="312" t="n"/>
      <c r="F780" s="312" t="n"/>
      <c r="G780" s="312" t="n"/>
      <c r="H780" s="312" t="n"/>
      <c r="I780" s="313" t="n"/>
      <c r="J780" s="319" t="n"/>
      <c r="K780" s="199" t="n"/>
      <c r="L780" s="199" t="n"/>
      <c r="M780" s="235" t="n"/>
      <c r="N780" s="235" t="n"/>
      <c r="O780" s="235" t="n"/>
    </row>
    <row r="781">
      <c r="B781" s="199" t="n">
        <v>752</v>
      </c>
      <c r="C781" s="199" t="n"/>
      <c r="D781" s="312" t="n"/>
      <c r="E781" s="312" t="n"/>
      <c r="F781" s="312" t="n"/>
      <c r="G781" s="312" t="n"/>
      <c r="H781" s="312" t="n"/>
      <c r="I781" s="313" t="n"/>
      <c r="J781" s="319" t="n"/>
      <c r="K781" s="199" t="n"/>
      <c r="L781" s="199" t="n"/>
      <c r="M781" s="235" t="n"/>
      <c r="N781" s="235" t="n"/>
      <c r="O781" s="235" t="n"/>
    </row>
    <row r="782">
      <c r="B782" s="199" t="n">
        <v>753</v>
      </c>
      <c r="C782" s="199" t="n"/>
      <c r="D782" s="312" t="n"/>
      <c r="E782" s="312" t="n"/>
      <c r="F782" s="312" t="n"/>
      <c r="G782" s="312" t="n"/>
      <c r="H782" s="312" t="n"/>
      <c r="I782" s="313" t="n"/>
      <c r="J782" s="319" t="n"/>
      <c r="K782" s="199" t="n"/>
      <c r="L782" s="199" t="n"/>
      <c r="M782" s="235" t="n"/>
      <c r="N782" s="235" t="n"/>
      <c r="O782" s="235" t="n"/>
    </row>
    <row r="783">
      <c r="B783" s="199" t="n">
        <v>754</v>
      </c>
      <c r="C783" s="199" t="n"/>
      <c r="D783" s="312" t="n"/>
      <c r="E783" s="312" t="n"/>
      <c r="F783" s="312" t="n"/>
      <c r="G783" s="312" t="n"/>
      <c r="H783" s="312" t="n"/>
      <c r="I783" s="313" t="n"/>
      <c r="J783" s="319" t="n"/>
      <c r="K783" s="199" t="n"/>
      <c r="L783" s="199" t="n"/>
      <c r="M783" s="235" t="n"/>
      <c r="N783" s="235" t="n"/>
      <c r="O783" s="235" t="n"/>
    </row>
    <row r="784">
      <c r="B784" s="199" t="n">
        <v>755</v>
      </c>
      <c r="C784" s="199" t="n"/>
      <c r="D784" s="312" t="n"/>
      <c r="E784" s="312" t="n"/>
      <c r="F784" s="312" t="n"/>
      <c r="G784" s="312" t="n"/>
      <c r="H784" s="312" t="n"/>
      <c r="I784" s="313" t="n"/>
      <c r="J784" s="319" t="n"/>
      <c r="K784" s="199" t="n"/>
      <c r="L784" s="199" t="n"/>
      <c r="M784" s="235" t="n"/>
      <c r="N784" s="235" t="n"/>
      <c r="O784" s="235" t="n"/>
    </row>
    <row r="785">
      <c r="B785" s="199" t="n">
        <v>756</v>
      </c>
      <c r="C785" s="199" t="n"/>
      <c r="D785" s="312" t="n"/>
      <c r="E785" s="312" t="n"/>
      <c r="F785" s="312" t="n"/>
      <c r="G785" s="312" t="n"/>
      <c r="H785" s="312" t="n"/>
      <c r="I785" s="313" t="n"/>
      <c r="J785" s="319" t="n"/>
      <c r="K785" s="199" t="n"/>
      <c r="L785" s="199" t="n"/>
      <c r="M785" s="235" t="n"/>
      <c r="N785" s="235" t="n"/>
      <c r="O785" s="235" t="n"/>
    </row>
    <row r="786">
      <c r="B786" s="199" t="n">
        <v>757</v>
      </c>
      <c r="C786" s="199" t="n"/>
      <c r="D786" s="312" t="n"/>
      <c r="E786" s="312" t="n"/>
      <c r="F786" s="312" t="n"/>
      <c r="G786" s="312" t="n"/>
      <c r="H786" s="312" t="n"/>
      <c r="I786" s="313" t="n"/>
      <c r="J786" s="319" t="n"/>
      <c r="K786" s="199" t="n"/>
      <c r="L786" s="199" t="n"/>
      <c r="M786" s="235" t="n"/>
      <c r="N786" s="235" t="n"/>
      <c r="O786" s="235" t="n"/>
    </row>
    <row r="787">
      <c r="B787" s="199" t="n">
        <v>758</v>
      </c>
      <c r="C787" s="199" t="n"/>
      <c r="D787" s="312" t="n"/>
      <c r="E787" s="312" t="n"/>
      <c r="F787" s="312" t="n"/>
      <c r="G787" s="312" t="n"/>
      <c r="H787" s="312" t="n"/>
      <c r="I787" s="313" t="n"/>
      <c r="J787" s="319" t="n"/>
      <c r="K787" s="199" t="n"/>
      <c r="L787" s="199" t="n"/>
      <c r="M787" s="235" t="n"/>
      <c r="N787" s="235" t="n"/>
      <c r="O787" s="235" t="n"/>
    </row>
    <row r="788">
      <c r="B788" s="199" t="n">
        <v>759</v>
      </c>
      <c r="C788" s="199" t="n"/>
      <c r="D788" s="312" t="n"/>
      <c r="E788" s="312" t="n"/>
      <c r="F788" s="312" t="n"/>
      <c r="G788" s="312" t="n"/>
      <c r="H788" s="312" t="n"/>
      <c r="I788" s="313" t="n"/>
      <c r="J788" s="319" t="n"/>
      <c r="K788" s="199" t="n"/>
      <c r="L788" s="199" t="n"/>
      <c r="M788" s="235" t="n"/>
      <c r="N788" s="235" t="n"/>
      <c r="O788" s="235" t="n"/>
    </row>
    <row r="789">
      <c r="B789" s="199" t="n">
        <v>760</v>
      </c>
      <c r="C789" s="199" t="n"/>
      <c r="D789" s="312" t="n"/>
      <c r="E789" s="312" t="n"/>
      <c r="F789" s="312" t="n"/>
      <c r="G789" s="312" t="n"/>
      <c r="H789" s="312" t="n"/>
      <c r="I789" s="313" t="n"/>
      <c r="J789" s="319" t="n"/>
      <c r="K789" s="199" t="n"/>
      <c r="L789" s="199" t="n"/>
      <c r="M789" s="235" t="n"/>
      <c r="N789" s="235" t="n"/>
      <c r="O789" s="235" t="n"/>
    </row>
    <row r="790">
      <c r="B790" s="199" t="n">
        <v>761</v>
      </c>
      <c r="C790" s="199" t="n"/>
      <c r="D790" s="312" t="n"/>
      <c r="E790" s="312" t="n"/>
      <c r="F790" s="312" t="n"/>
      <c r="G790" s="312" t="n"/>
      <c r="H790" s="312" t="n"/>
      <c r="I790" s="313" t="n"/>
      <c r="J790" s="319" t="n"/>
      <c r="K790" s="199" t="n"/>
      <c r="L790" s="199" t="n"/>
      <c r="M790" s="235" t="n"/>
      <c r="N790" s="235" t="n"/>
      <c r="O790" s="235" t="n"/>
    </row>
    <row r="791">
      <c r="B791" s="199" t="n">
        <v>762</v>
      </c>
      <c r="C791" s="199" t="n"/>
      <c r="D791" s="312" t="n"/>
      <c r="E791" s="312" t="n"/>
      <c r="F791" s="312" t="n"/>
      <c r="G791" s="312" t="n"/>
      <c r="H791" s="312" t="n"/>
      <c r="I791" s="313" t="n"/>
      <c r="J791" s="319" t="n"/>
      <c r="K791" s="199" t="n"/>
      <c r="L791" s="199" t="n"/>
      <c r="M791" s="235" t="n"/>
      <c r="N791" s="235" t="n"/>
      <c r="O791" s="235" t="n"/>
    </row>
    <row r="792">
      <c r="B792" s="199" t="n">
        <v>763</v>
      </c>
      <c r="C792" s="199" t="n"/>
      <c r="D792" s="312" t="n"/>
      <c r="E792" s="312" t="n"/>
      <c r="F792" s="312" t="n"/>
      <c r="G792" s="312" t="n"/>
      <c r="H792" s="312" t="n"/>
      <c r="I792" s="313" t="n"/>
      <c r="J792" s="319" t="n"/>
      <c r="K792" s="199" t="n"/>
      <c r="L792" s="199" t="n"/>
      <c r="M792" s="235" t="n"/>
      <c r="N792" s="235" t="n"/>
      <c r="O792" s="235" t="n"/>
    </row>
    <row r="793">
      <c r="B793" s="199" t="n">
        <v>764</v>
      </c>
      <c r="C793" s="199" t="n"/>
      <c r="D793" s="312" t="n"/>
      <c r="E793" s="312" t="n"/>
      <c r="F793" s="312" t="n"/>
      <c r="G793" s="312" t="n"/>
      <c r="H793" s="312" t="n"/>
      <c r="I793" s="313" t="n"/>
      <c r="J793" s="319" t="n"/>
      <c r="K793" s="199" t="n"/>
      <c r="L793" s="199" t="n"/>
      <c r="M793" s="235" t="n"/>
      <c r="N793" s="235" t="n"/>
      <c r="O793" s="235" t="n"/>
    </row>
    <row r="794">
      <c r="B794" s="199" t="n">
        <v>765</v>
      </c>
      <c r="C794" s="199" t="n"/>
      <c r="D794" s="312" t="n"/>
      <c r="E794" s="312" t="n"/>
      <c r="F794" s="312" t="n"/>
      <c r="G794" s="312" t="n"/>
      <c r="H794" s="312" t="n"/>
      <c r="I794" s="313" t="n"/>
      <c r="J794" s="319" t="n"/>
      <c r="K794" s="199" t="n"/>
      <c r="L794" s="199" t="n"/>
      <c r="M794" s="235" t="n"/>
      <c r="N794" s="235" t="n"/>
      <c r="O794" s="235" t="n"/>
    </row>
    <row r="795">
      <c r="B795" s="199" t="n">
        <v>766</v>
      </c>
      <c r="C795" s="199" t="n"/>
      <c r="D795" s="312" t="n"/>
      <c r="E795" s="312" t="n"/>
      <c r="F795" s="312" t="n"/>
      <c r="G795" s="312" t="n"/>
      <c r="H795" s="312" t="n"/>
      <c r="I795" s="313" t="n"/>
      <c r="J795" s="319" t="n"/>
      <c r="K795" s="199" t="n"/>
      <c r="L795" s="199" t="n"/>
      <c r="M795" s="235" t="n"/>
      <c r="N795" s="235" t="n"/>
      <c r="O795" s="235" t="n"/>
    </row>
    <row r="796">
      <c r="B796" s="199" t="n">
        <v>767</v>
      </c>
      <c r="C796" s="199" t="n"/>
      <c r="D796" s="312" t="n"/>
      <c r="E796" s="312" t="n"/>
      <c r="F796" s="312" t="n"/>
      <c r="G796" s="312" t="n"/>
      <c r="H796" s="312" t="n"/>
      <c r="I796" s="313" t="n"/>
      <c r="J796" s="319" t="n"/>
      <c r="K796" s="199" t="n"/>
      <c r="L796" s="199" t="n"/>
      <c r="M796" s="235" t="n"/>
      <c r="N796" s="235" t="n"/>
      <c r="O796" s="235" t="n"/>
    </row>
    <row r="797">
      <c r="B797" s="199" t="n">
        <v>768</v>
      </c>
      <c r="C797" s="199" t="n"/>
      <c r="D797" s="312" t="n"/>
      <c r="E797" s="312" t="n"/>
      <c r="F797" s="312" t="n"/>
      <c r="G797" s="312" t="n"/>
      <c r="H797" s="312" t="n"/>
      <c r="I797" s="313" t="n"/>
      <c r="J797" s="319" t="n"/>
      <c r="K797" s="199" t="n"/>
      <c r="L797" s="199" t="n"/>
      <c r="M797" s="235" t="n"/>
      <c r="N797" s="235" t="n"/>
      <c r="O797" s="235" t="n"/>
    </row>
    <row r="798">
      <c r="B798" s="199" t="n">
        <v>769</v>
      </c>
      <c r="C798" s="199" t="n"/>
      <c r="D798" s="312" t="n"/>
      <c r="E798" s="312" t="n"/>
      <c r="F798" s="312" t="n"/>
      <c r="G798" s="312" t="n"/>
      <c r="H798" s="312" t="n"/>
      <c r="I798" s="313" t="n"/>
      <c r="J798" s="319" t="n"/>
      <c r="K798" s="199" t="n"/>
      <c r="L798" s="199" t="n"/>
      <c r="M798" s="235" t="n"/>
      <c r="N798" s="235" t="n"/>
      <c r="O798" s="235" t="n"/>
    </row>
    <row r="799">
      <c r="B799" s="199" t="n">
        <v>770</v>
      </c>
      <c r="C799" s="199" t="n"/>
      <c r="D799" s="312" t="n"/>
      <c r="E799" s="312" t="n"/>
      <c r="F799" s="312" t="n"/>
      <c r="G799" s="312" t="n"/>
      <c r="H799" s="312" t="n"/>
      <c r="I799" s="313" t="n"/>
      <c r="J799" s="319" t="n"/>
      <c r="K799" s="199" t="n"/>
      <c r="L799" s="199" t="n"/>
      <c r="M799" s="235" t="n"/>
      <c r="N799" s="235" t="n"/>
      <c r="O799" s="235" t="n"/>
    </row>
    <row r="800">
      <c r="B800" s="199" t="n">
        <v>771</v>
      </c>
      <c r="C800" s="199" t="n"/>
      <c r="D800" s="312" t="n"/>
      <c r="E800" s="312" t="n"/>
      <c r="F800" s="312" t="n"/>
      <c r="G800" s="312" t="n"/>
      <c r="H800" s="312" t="n"/>
      <c r="I800" s="313" t="n"/>
      <c r="J800" s="319" t="n"/>
      <c r="K800" s="199" t="n"/>
      <c r="L800" s="199" t="n"/>
      <c r="M800" s="235" t="n"/>
      <c r="N800" s="235" t="n"/>
      <c r="O800" s="235" t="n"/>
    </row>
    <row r="801">
      <c r="B801" s="199" t="n">
        <v>772</v>
      </c>
      <c r="C801" s="199" t="n"/>
      <c r="D801" s="312" t="n"/>
      <c r="E801" s="312" t="n"/>
      <c r="F801" s="312" t="n"/>
      <c r="G801" s="312" t="n"/>
      <c r="H801" s="312" t="n"/>
      <c r="I801" s="313" t="n"/>
      <c r="J801" s="319" t="n"/>
      <c r="K801" s="199" t="n"/>
      <c r="L801" s="199" t="n"/>
      <c r="M801" s="235" t="n"/>
      <c r="N801" s="235" t="n"/>
      <c r="O801" s="235" t="n"/>
    </row>
    <row r="802">
      <c r="B802" s="199" t="n">
        <v>773</v>
      </c>
      <c r="C802" s="199" t="n"/>
      <c r="D802" s="312" t="n"/>
      <c r="E802" s="312" t="n"/>
      <c r="F802" s="312" t="n"/>
      <c r="G802" s="312" t="n"/>
      <c r="H802" s="312" t="n"/>
      <c r="I802" s="313" t="n"/>
      <c r="J802" s="319" t="n"/>
      <c r="K802" s="199" t="n"/>
      <c r="L802" s="199" t="n"/>
      <c r="M802" s="235" t="n"/>
      <c r="N802" s="235" t="n"/>
      <c r="O802" s="235" t="n"/>
    </row>
    <row r="803">
      <c r="B803" s="199" t="n">
        <v>774</v>
      </c>
      <c r="C803" s="199" t="n"/>
      <c r="D803" s="312" t="n"/>
      <c r="E803" s="312" t="n"/>
      <c r="F803" s="312" t="n"/>
      <c r="G803" s="312" t="n"/>
      <c r="H803" s="312" t="n"/>
      <c r="I803" s="313" t="n"/>
      <c r="J803" s="319" t="n"/>
      <c r="K803" s="199" t="n"/>
      <c r="L803" s="199" t="n"/>
      <c r="M803" s="235" t="n"/>
      <c r="N803" s="235" t="n"/>
      <c r="O803" s="235" t="n"/>
    </row>
    <row r="804">
      <c r="B804" s="199" t="n">
        <v>775</v>
      </c>
      <c r="C804" s="199" t="n"/>
      <c r="D804" s="312" t="n"/>
      <c r="E804" s="312" t="n"/>
      <c r="F804" s="312" t="n"/>
      <c r="G804" s="312" t="n"/>
      <c r="H804" s="312" t="n"/>
      <c r="I804" s="313" t="n"/>
      <c r="J804" s="319" t="n"/>
      <c r="K804" s="199" t="n"/>
      <c r="L804" s="199" t="n"/>
      <c r="M804" s="235" t="n"/>
      <c r="N804" s="235" t="n"/>
      <c r="O804" s="235" t="n"/>
    </row>
    <row r="805">
      <c r="B805" s="199" t="n">
        <v>776</v>
      </c>
      <c r="C805" s="199" t="n"/>
      <c r="D805" s="312" t="n"/>
      <c r="E805" s="312" t="n"/>
      <c r="F805" s="312" t="n"/>
      <c r="G805" s="312" t="n"/>
      <c r="H805" s="312" t="n"/>
      <c r="I805" s="313" t="n"/>
      <c r="J805" s="319" t="n"/>
      <c r="K805" s="199" t="n"/>
      <c r="L805" s="199" t="n"/>
      <c r="M805" s="235" t="n"/>
      <c r="N805" s="235" t="n"/>
      <c r="O805" s="235" t="n"/>
    </row>
    <row r="806">
      <c r="B806" s="199" t="n">
        <v>777</v>
      </c>
      <c r="C806" s="199" t="n"/>
      <c r="D806" s="312" t="n"/>
      <c r="E806" s="312" t="n"/>
      <c r="F806" s="312" t="n"/>
      <c r="G806" s="312" t="n"/>
      <c r="H806" s="312" t="n"/>
      <c r="I806" s="313" t="n"/>
      <c r="J806" s="319" t="n"/>
      <c r="K806" s="199" t="n"/>
      <c r="L806" s="199" t="n"/>
      <c r="M806" s="235" t="n"/>
      <c r="N806" s="235" t="n"/>
      <c r="O806" s="235" t="n"/>
    </row>
    <row r="807">
      <c r="B807" s="199" t="n">
        <v>778</v>
      </c>
      <c r="C807" s="199" t="n"/>
      <c r="D807" s="312" t="n"/>
      <c r="E807" s="312" t="n"/>
      <c r="F807" s="312" t="n"/>
      <c r="G807" s="312" t="n"/>
      <c r="H807" s="312" t="n"/>
      <c r="I807" s="313" t="n"/>
      <c r="J807" s="319" t="n"/>
      <c r="K807" s="199" t="n"/>
      <c r="L807" s="199" t="n"/>
      <c r="M807" s="235" t="n"/>
      <c r="N807" s="235" t="n"/>
      <c r="O807" s="235" t="n"/>
    </row>
    <row r="808">
      <c r="B808" s="199" t="n">
        <v>779</v>
      </c>
      <c r="C808" s="199" t="n"/>
      <c r="D808" s="312" t="n"/>
      <c r="E808" s="312" t="n"/>
      <c r="F808" s="312" t="n"/>
      <c r="G808" s="312" t="n"/>
      <c r="H808" s="312" t="n"/>
      <c r="I808" s="313" t="n"/>
      <c r="J808" s="319" t="n"/>
      <c r="K808" s="199" t="n"/>
      <c r="L808" s="199" t="n"/>
      <c r="M808" s="235" t="n"/>
      <c r="N808" s="235" t="n"/>
      <c r="O808" s="235" t="n"/>
    </row>
    <row r="809">
      <c r="B809" s="199" t="n">
        <v>780</v>
      </c>
      <c r="C809" s="199" t="n"/>
      <c r="D809" s="312" t="n"/>
      <c r="E809" s="312" t="n"/>
      <c r="F809" s="312" t="n"/>
      <c r="G809" s="312" t="n"/>
      <c r="H809" s="312" t="n"/>
      <c r="I809" s="313" t="n"/>
      <c r="J809" s="319" t="n"/>
      <c r="K809" s="199" t="n"/>
      <c r="L809" s="199" t="n"/>
      <c r="M809" s="235" t="n"/>
      <c r="N809" s="235" t="n"/>
      <c r="O809" s="235" t="n"/>
    </row>
    <row r="810">
      <c r="B810" s="199" t="n">
        <v>781</v>
      </c>
      <c r="C810" s="199" t="n"/>
      <c r="D810" s="312" t="n"/>
      <c r="E810" s="312" t="n"/>
      <c r="F810" s="312" t="n"/>
      <c r="G810" s="312" t="n"/>
      <c r="H810" s="312" t="n"/>
      <c r="I810" s="313" t="n"/>
      <c r="J810" s="319" t="n"/>
      <c r="K810" s="199" t="n"/>
      <c r="L810" s="199" t="n"/>
      <c r="M810" s="235" t="n"/>
      <c r="N810" s="235" t="n"/>
      <c r="O810" s="235" t="n"/>
    </row>
    <row r="811">
      <c r="B811" s="199" t="n">
        <v>782</v>
      </c>
      <c r="C811" s="199" t="n"/>
      <c r="D811" s="312" t="n"/>
      <c r="E811" s="312" t="n"/>
      <c r="F811" s="312" t="n"/>
      <c r="G811" s="312" t="n"/>
      <c r="H811" s="312" t="n"/>
      <c r="I811" s="313" t="n"/>
      <c r="J811" s="319" t="n"/>
      <c r="K811" s="199" t="n"/>
      <c r="L811" s="199" t="n"/>
      <c r="M811" s="235" t="n"/>
      <c r="N811" s="235" t="n"/>
      <c r="O811" s="235" t="n"/>
    </row>
    <row r="812">
      <c r="B812" s="199" t="n">
        <v>783</v>
      </c>
      <c r="C812" s="199" t="n"/>
      <c r="D812" s="312" t="n"/>
      <c r="E812" s="312" t="n"/>
      <c r="F812" s="312" t="n"/>
      <c r="G812" s="312" t="n"/>
      <c r="H812" s="312" t="n"/>
      <c r="I812" s="313" t="n"/>
      <c r="J812" s="319" t="n"/>
      <c r="K812" s="199" t="n"/>
      <c r="L812" s="199" t="n"/>
      <c r="M812" s="235" t="n"/>
      <c r="N812" s="235" t="n"/>
      <c r="O812" s="235" t="n"/>
    </row>
    <row r="813">
      <c r="B813" s="199" t="n">
        <v>784</v>
      </c>
      <c r="C813" s="199" t="n"/>
      <c r="D813" s="312" t="n"/>
      <c r="E813" s="312" t="n"/>
      <c r="F813" s="312" t="n"/>
      <c r="G813" s="312" t="n"/>
      <c r="H813" s="312" t="n"/>
      <c r="I813" s="313" t="n"/>
      <c r="J813" s="319" t="n"/>
      <c r="K813" s="199" t="n"/>
      <c r="L813" s="199" t="n"/>
      <c r="M813" s="235" t="n"/>
      <c r="N813" s="235" t="n"/>
      <c r="O813" s="235" t="n"/>
    </row>
    <row r="814">
      <c r="B814" s="199" t="n">
        <v>785</v>
      </c>
      <c r="C814" s="199" t="n"/>
      <c r="D814" s="312" t="n"/>
      <c r="E814" s="312" t="n"/>
      <c r="F814" s="312" t="n"/>
      <c r="G814" s="312" t="n"/>
      <c r="H814" s="312" t="n"/>
      <c r="I814" s="313" t="n"/>
      <c r="J814" s="319" t="n"/>
      <c r="K814" s="199" t="n"/>
      <c r="L814" s="199" t="n"/>
      <c r="M814" s="235" t="n"/>
      <c r="N814" s="235" t="n"/>
      <c r="O814" s="235" t="n"/>
    </row>
    <row r="815">
      <c r="B815" s="199" t="n">
        <v>786</v>
      </c>
      <c r="C815" s="199" t="n"/>
      <c r="D815" s="312" t="n"/>
      <c r="E815" s="312" t="n"/>
      <c r="F815" s="312" t="n"/>
      <c r="G815" s="312" t="n"/>
      <c r="H815" s="312" t="n"/>
      <c r="I815" s="313" t="n"/>
      <c r="J815" s="319" t="n"/>
      <c r="K815" s="199" t="n"/>
      <c r="L815" s="199" t="n"/>
      <c r="M815" s="235" t="n"/>
      <c r="N815" s="235" t="n"/>
      <c r="O815" s="235" t="n"/>
    </row>
    <row r="816">
      <c r="B816" s="199" t="n">
        <v>787</v>
      </c>
      <c r="C816" s="199" t="n"/>
      <c r="D816" s="312" t="n"/>
      <c r="E816" s="312" t="n"/>
      <c r="F816" s="312" t="n"/>
      <c r="G816" s="312" t="n"/>
      <c r="H816" s="312" t="n"/>
      <c r="I816" s="313" t="n"/>
      <c r="J816" s="319" t="n"/>
      <c r="K816" s="199" t="n"/>
      <c r="L816" s="199" t="n"/>
      <c r="M816" s="235" t="n"/>
      <c r="N816" s="235" t="n"/>
      <c r="O816" s="235" t="n"/>
    </row>
    <row r="817">
      <c r="B817" s="199" t="n">
        <v>788</v>
      </c>
      <c r="C817" s="199" t="n"/>
      <c r="D817" s="312" t="n"/>
      <c r="E817" s="312" t="n"/>
      <c r="F817" s="312" t="n"/>
      <c r="G817" s="312" t="n"/>
      <c r="H817" s="312" t="n"/>
      <c r="I817" s="313" t="n"/>
      <c r="J817" s="319" t="n"/>
      <c r="K817" s="199" t="n"/>
      <c r="L817" s="199" t="n"/>
      <c r="M817" s="235" t="n"/>
      <c r="N817" s="235" t="n"/>
      <c r="O817" s="235" t="n"/>
    </row>
    <row r="818">
      <c r="B818" s="199" t="n">
        <v>789</v>
      </c>
      <c r="C818" s="199" t="n"/>
      <c r="D818" s="312" t="n"/>
      <c r="E818" s="312" t="n"/>
      <c r="F818" s="312" t="n"/>
      <c r="G818" s="312" t="n"/>
      <c r="H818" s="312" t="n"/>
      <c r="I818" s="313" t="n"/>
      <c r="J818" s="319" t="n"/>
      <c r="K818" s="199" t="n"/>
      <c r="L818" s="199" t="n"/>
      <c r="M818" s="235" t="n"/>
      <c r="N818" s="235" t="n"/>
      <c r="O818" s="235" t="n"/>
    </row>
    <row r="819">
      <c r="B819" s="199" t="n">
        <v>790</v>
      </c>
      <c r="C819" s="199" t="n"/>
      <c r="D819" s="312" t="n"/>
      <c r="E819" s="312" t="n"/>
      <c r="F819" s="312" t="n"/>
      <c r="G819" s="312" t="n"/>
      <c r="H819" s="312" t="n"/>
      <c r="I819" s="313" t="n"/>
      <c r="J819" s="319" t="n"/>
      <c r="K819" s="199" t="n"/>
      <c r="L819" s="199" t="n"/>
      <c r="M819" s="235" t="n"/>
      <c r="N819" s="235" t="n"/>
      <c r="O819" s="235" t="n"/>
    </row>
    <row r="820">
      <c r="B820" s="199" t="n">
        <v>791</v>
      </c>
      <c r="C820" s="199" t="n"/>
      <c r="D820" s="312" t="n"/>
      <c r="E820" s="312" t="n"/>
      <c r="F820" s="312" t="n"/>
      <c r="G820" s="312" t="n"/>
      <c r="H820" s="312" t="n"/>
      <c r="I820" s="313" t="n"/>
      <c r="J820" s="319" t="n"/>
      <c r="K820" s="199" t="n"/>
      <c r="L820" s="199" t="n"/>
      <c r="M820" s="235" t="n"/>
      <c r="N820" s="235" t="n"/>
      <c r="O820" s="235" t="n"/>
    </row>
    <row r="821">
      <c r="B821" s="199" t="n">
        <v>792</v>
      </c>
      <c r="C821" s="199" t="n"/>
      <c r="D821" s="312" t="n"/>
      <c r="E821" s="312" t="n"/>
      <c r="F821" s="312" t="n"/>
      <c r="G821" s="312" t="n"/>
      <c r="H821" s="312" t="n"/>
      <c r="I821" s="313" t="n"/>
      <c r="J821" s="319" t="n"/>
      <c r="K821" s="199" t="n"/>
      <c r="L821" s="199" t="n"/>
      <c r="M821" s="235" t="n"/>
      <c r="N821" s="235" t="n"/>
      <c r="O821" s="235" t="n"/>
    </row>
    <row r="822">
      <c r="B822" s="199" t="n">
        <v>793</v>
      </c>
      <c r="C822" s="199" t="n"/>
      <c r="D822" s="312" t="n"/>
      <c r="E822" s="312" t="n"/>
      <c r="F822" s="312" t="n"/>
      <c r="G822" s="312" t="n"/>
      <c r="H822" s="312" t="n"/>
      <c r="I822" s="313" t="n"/>
      <c r="J822" s="319" t="n"/>
      <c r="K822" s="199" t="n"/>
      <c r="L822" s="199" t="n"/>
      <c r="M822" s="235" t="n"/>
      <c r="N822" s="235" t="n"/>
      <c r="O822" s="235" t="n"/>
    </row>
    <row r="823">
      <c r="B823" s="199" t="n">
        <v>794</v>
      </c>
      <c r="C823" s="199" t="n"/>
      <c r="D823" s="312" t="n"/>
      <c r="E823" s="312" t="n"/>
      <c r="F823" s="312" t="n"/>
      <c r="G823" s="312" t="n"/>
      <c r="H823" s="312" t="n"/>
      <c r="I823" s="313" t="n"/>
      <c r="J823" s="319" t="n"/>
      <c r="K823" s="199" t="n"/>
      <c r="L823" s="199" t="n"/>
      <c r="M823" s="235" t="n"/>
      <c r="N823" s="235" t="n"/>
      <c r="O823" s="235" t="n"/>
    </row>
    <row r="824">
      <c r="B824" s="199" t="n">
        <v>795</v>
      </c>
      <c r="C824" s="199" t="n"/>
      <c r="D824" s="312" t="n"/>
      <c r="E824" s="312" t="n"/>
      <c r="F824" s="312" t="n"/>
      <c r="G824" s="312" t="n"/>
      <c r="H824" s="312" t="n"/>
      <c r="I824" s="313" t="n"/>
      <c r="J824" s="319" t="n"/>
      <c r="K824" s="199" t="n"/>
      <c r="L824" s="199" t="n"/>
      <c r="M824" s="235" t="n"/>
      <c r="N824" s="235" t="n"/>
      <c r="O824" s="235" t="n"/>
    </row>
    <row r="825">
      <c r="B825" s="199" t="n">
        <v>796</v>
      </c>
      <c r="C825" s="199" t="n"/>
      <c r="D825" s="312" t="n"/>
      <c r="E825" s="312" t="n"/>
      <c r="F825" s="312" t="n"/>
      <c r="G825" s="312" t="n"/>
      <c r="H825" s="312" t="n"/>
      <c r="I825" s="313" t="n"/>
      <c r="J825" s="319" t="n"/>
      <c r="K825" s="199" t="n"/>
      <c r="L825" s="199" t="n"/>
      <c r="M825" s="235" t="n"/>
      <c r="N825" s="235" t="n"/>
      <c r="O825" s="235" t="n"/>
    </row>
    <row r="826">
      <c r="B826" s="199" t="n">
        <v>797</v>
      </c>
      <c r="C826" s="199" t="n"/>
      <c r="D826" s="312" t="n"/>
      <c r="E826" s="312" t="n"/>
      <c r="F826" s="312" t="n"/>
      <c r="G826" s="312" t="n"/>
      <c r="H826" s="312" t="n"/>
      <c r="I826" s="313" t="n"/>
      <c r="J826" s="319" t="n"/>
      <c r="K826" s="199" t="n"/>
      <c r="L826" s="199" t="n"/>
      <c r="M826" s="235" t="n"/>
      <c r="N826" s="235" t="n"/>
      <c r="O826" s="235" t="n"/>
    </row>
    <row r="827">
      <c r="B827" s="199" t="n">
        <v>798</v>
      </c>
      <c r="C827" s="199" t="n"/>
      <c r="D827" s="312" t="n"/>
      <c r="E827" s="312" t="n"/>
      <c r="F827" s="312" t="n"/>
      <c r="G827" s="312" t="n"/>
      <c r="H827" s="312" t="n"/>
      <c r="I827" s="313" t="n"/>
      <c r="J827" s="319" t="n"/>
      <c r="K827" s="199" t="n"/>
      <c r="L827" s="199" t="n"/>
      <c r="M827" s="235" t="n"/>
      <c r="N827" s="235" t="n"/>
      <c r="O827" s="235" t="n"/>
    </row>
    <row r="828">
      <c r="B828" s="199" t="n">
        <v>799</v>
      </c>
      <c r="C828" s="199" t="n"/>
      <c r="D828" s="312" t="n"/>
      <c r="E828" s="312" t="n"/>
      <c r="F828" s="312" t="n"/>
      <c r="G828" s="312" t="n"/>
      <c r="H828" s="312" t="n"/>
      <c r="I828" s="313" t="n"/>
      <c r="J828" s="319" t="n"/>
      <c r="K828" s="199" t="n"/>
      <c r="L828" s="199" t="n"/>
      <c r="M828" s="235" t="n"/>
      <c r="N828" s="235" t="n"/>
      <c r="O828" s="235" t="n"/>
    </row>
    <row r="829">
      <c r="B829" s="199" t="n">
        <v>800</v>
      </c>
      <c r="C829" s="199" t="n"/>
      <c r="D829" s="312" t="n"/>
      <c r="E829" s="312" t="n"/>
      <c r="F829" s="312" t="n"/>
      <c r="G829" s="312" t="n"/>
      <c r="H829" s="312" t="n"/>
      <c r="I829" s="313" t="n"/>
      <c r="J829" s="319" t="n"/>
      <c r="K829" s="199" t="n"/>
      <c r="L829" s="199" t="n"/>
      <c r="M829" s="235" t="n"/>
      <c r="N829" s="235" t="n"/>
      <c r="O829" s="235" t="n"/>
    </row>
    <row r="830">
      <c r="B830" s="199" t="n">
        <v>801</v>
      </c>
      <c r="C830" s="199" t="n"/>
      <c r="D830" s="312" t="n"/>
      <c r="E830" s="312" t="n"/>
      <c r="F830" s="312" t="n"/>
      <c r="G830" s="312" t="n"/>
      <c r="H830" s="312" t="n"/>
      <c r="I830" s="313" t="n"/>
      <c r="J830" s="319" t="n"/>
      <c r="K830" s="199" t="n"/>
      <c r="L830" s="199" t="n"/>
      <c r="M830" s="235" t="n"/>
      <c r="N830" s="235" t="n"/>
      <c r="O830" s="235" t="n"/>
    </row>
    <row r="831">
      <c r="B831" s="199" t="n">
        <v>802</v>
      </c>
      <c r="C831" s="199" t="n"/>
      <c r="D831" s="312" t="n"/>
      <c r="E831" s="312" t="n"/>
      <c r="F831" s="312" t="n"/>
      <c r="G831" s="312" t="n"/>
      <c r="H831" s="312" t="n"/>
      <c r="I831" s="313" t="n"/>
      <c r="J831" s="319" t="n"/>
      <c r="K831" s="199" t="n"/>
      <c r="L831" s="199" t="n"/>
      <c r="M831" s="235" t="n"/>
      <c r="N831" s="235" t="n"/>
      <c r="O831" s="235" t="n"/>
    </row>
    <row r="832">
      <c r="B832" s="199" t="n">
        <v>803</v>
      </c>
      <c r="C832" s="199" t="n"/>
      <c r="D832" s="312" t="n"/>
      <c r="E832" s="312" t="n"/>
      <c r="F832" s="312" t="n"/>
      <c r="G832" s="312" t="n"/>
      <c r="H832" s="312" t="n"/>
      <c r="I832" s="313" t="n"/>
      <c r="J832" s="319" t="n"/>
      <c r="K832" s="199" t="n"/>
      <c r="L832" s="199" t="n"/>
      <c r="M832" s="235" t="n"/>
      <c r="N832" s="235" t="n"/>
      <c r="O832" s="235" t="n"/>
    </row>
    <row r="833">
      <c r="B833" s="199" t="n">
        <v>804</v>
      </c>
      <c r="C833" s="199" t="n"/>
      <c r="D833" s="312" t="n"/>
      <c r="E833" s="312" t="n"/>
      <c r="F833" s="312" t="n"/>
      <c r="G833" s="312" t="n"/>
      <c r="H833" s="312" t="n"/>
      <c r="I833" s="313" t="n"/>
      <c r="J833" s="319" t="n"/>
      <c r="K833" s="199" t="n"/>
      <c r="L833" s="199" t="n"/>
      <c r="M833" s="235" t="n"/>
      <c r="N833" s="235" t="n"/>
      <c r="O833" s="235" t="n"/>
    </row>
    <row r="834">
      <c r="B834" s="199" t="n">
        <v>805</v>
      </c>
      <c r="C834" s="199" t="n"/>
      <c r="D834" s="312" t="n"/>
      <c r="E834" s="312" t="n"/>
      <c r="F834" s="312" t="n"/>
      <c r="G834" s="312" t="n"/>
      <c r="H834" s="312" t="n"/>
      <c r="I834" s="313" t="n"/>
      <c r="J834" s="319" t="n"/>
      <c r="K834" s="199" t="n"/>
      <c r="L834" s="199" t="n"/>
      <c r="M834" s="235" t="n"/>
      <c r="N834" s="235" t="n"/>
      <c r="O834" s="235" t="n"/>
    </row>
    <row r="835">
      <c r="B835" s="199" t="n">
        <v>806</v>
      </c>
      <c r="C835" s="199" t="n"/>
      <c r="D835" s="312" t="n"/>
      <c r="E835" s="312" t="n"/>
      <c r="F835" s="312" t="n"/>
      <c r="G835" s="312" t="n"/>
      <c r="H835" s="312" t="n"/>
      <c r="I835" s="313" t="n"/>
      <c r="J835" s="319" t="n"/>
      <c r="K835" s="199" t="n"/>
      <c r="L835" s="199" t="n"/>
      <c r="M835" s="235" t="n"/>
      <c r="N835" s="235" t="n"/>
      <c r="O835" s="235" t="n"/>
    </row>
    <row r="836">
      <c r="B836" s="199" t="n">
        <v>807</v>
      </c>
      <c r="C836" s="199" t="n"/>
      <c r="D836" s="312" t="n"/>
      <c r="E836" s="312" t="n"/>
      <c r="F836" s="312" t="n"/>
      <c r="G836" s="312" t="n"/>
      <c r="H836" s="312" t="n"/>
      <c r="I836" s="313" t="n"/>
      <c r="J836" s="319" t="n"/>
      <c r="K836" s="199" t="n"/>
      <c r="L836" s="199" t="n"/>
      <c r="M836" s="235" t="n"/>
      <c r="N836" s="235" t="n"/>
      <c r="O836" s="235" t="n"/>
    </row>
    <row r="837">
      <c r="B837" s="199" t="n">
        <v>808</v>
      </c>
      <c r="C837" s="199" t="n"/>
      <c r="D837" s="312" t="n"/>
      <c r="E837" s="312" t="n"/>
      <c r="F837" s="312" t="n"/>
      <c r="G837" s="312" t="n"/>
      <c r="H837" s="312" t="n"/>
      <c r="I837" s="313" t="n"/>
      <c r="J837" s="319" t="n"/>
      <c r="K837" s="199" t="n"/>
      <c r="L837" s="199" t="n"/>
      <c r="M837" s="235" t="n"/>
      <c r="N837" s="235" t="n"/>
      <c r="O837" s="235" t="n"/>
    </row>
    <row r="838">
      <c r="B838" s="199" t="n">
        <v>809</v>
      </c>
      <c r="C838" s="199" t="n"/>
      <c r="D838" s="312" t="n"/>
      <c r="E838" s="312" t="n"/>
      <c r="F838" s="312" t="n"/>
      <c r="G838" s="312" t="n"/>
      <c r="H838" s="312" t="n"/>
      <c r="I838" s="313" t="n"/>
      <c r="J838" s="319" t="n"/>
      <c r="K838" s="199" t="n"/>
      <c r="L838" s="199" t="n"/>
      <c r="M838" s="235" t="n"/>
      <c r="N838" s="235" t="n"/>
      <c r="O838" s="235" t="n"/>
    </row>
    <row r="839">
      <c r="B839" s="199" t="n">
        <v>810</v>
      </c>
      <c r="C839" s="199" t="n"/>
      <c r="D839" s="312" t="n"/>
      <c r="E839" s="312" t="n"/>
      <c r="F839" s="312" t="n"/>
      <c r="G839" s="312" t="n"/>
      <c r="H839" s="312" t="n"/>
      <c r="I839" s="313" t="n"/>
      <c r="J839" s="319" t="n"/>
      <c r="K839" s="199" t="n"/>
      <c r="L839" s="199" t="n"/>
      <c r="M839" s="235" t="n"/>
      <c r="N839" s="235" t="n"/>
      <c r="O839" s="235" t="n"/>
    </row>
    <row r="840">
      <c r="B840" s="199" t="n">
        <v>811</v>
      </c>
      <c r="C840" s="199" t="n"/>
      <c r="D840" s="312" t="n"/>
      <c r="E840" s="312" t="n"/>
      <c r="F840" s="312" t="n"/>
      <c r="G840" s="312" t="n"/>
      <c r="H840" s="312" t="n"/>
      <c r="I840" s="313" t="n"/>
      <c r="J840" s="319" t="n"/>
      <c r="K840" s="199" t="n"/>
      <c r="L840" s="199" t="n"/>
      <c r="M840" s="235" t="n"/>
      <c r="N840" s="235" t="n"/>
      <c r="O840" s="235" t="n"/>
    </row>
    <row r="841">
      <c r="B841" s="199" t="n">
        <v>812</v>
      </c>
      <c r="C841" s="199" t="n"/>
      <c r="D841" s="312" t="n"/>
      <c r="E841" s="312" t="n"/>
      <c r="F841" s="312" t="n"/>
      <c r="G841" s="312" t="n"/>
      <c r="H841" s="312" t="n"/>
      <c r="I841" s="313" t="n"/>
      <c r="J841" s="319" t="n"/>
      <c r="K841" s="199" t="n"/>
      <c r="L841" s="199" t="n"/>
      <c r="M841" s="235" t="n"/>
      <c r="N841" s="235" t="n"/>
      <c r="O841" s="235" t="n"/>
    </row>
    <row r="842">
      <c r="B842" s="199" t="n">
        <v>813</v>
      </c>
      <c r="C842" s="199" t="n"/>
      <c r="D842" s="312" t="n"/>
      <c r="E842" s="312" t="n"/>
      <c r="F842" s="312" t="n"/>
      <c r="G842" s="312" t="n"/>
      <c r="H842" s="312" t="n"/>
      <c r="I842" s="313" t="n"/>
      <c r="J842" s="319" t="n"/>
      <c r="K842" s="199" t="n"/>
      <c r="L842" s="199" t="n"/>
      <c r="M842" s="235" t="n"/>
      <c r="N842" s="235" t="n"/>
      <c r="O842" s="235" t="n"/>
    </row>
    <row r="843">
      <c r="B843" s="199" t="n">
        <v>814</v>
      </c>
      <c r="C843" s="199" t="n"/>
      <c r="D843" s="312" t="n"/>
      <c r="E843" s="312" t="n"/>
      <c r="F843" s="312" t="n"/>
      <c r="G843" s="312" t="n"/>
      <c r="H843" s="312" t="n"/>
      <c r="I843" s="313" t="n"/>
      <c r="J843" s="319" t="n"/>
      <c r="K843" s="199" t="n"/>
      <c r="L843" s="199" t="n"/>
      <c r="M843" s="235" t="n"/>
      <c r="N843" s="235" t="n"/>
      <c r="O843" s="235" t="n"/>
    </row>
    <row r="844">
      <c r="B844" s="199" t="n">
        <v>815</v>
      </c>
      <c r="C844" s="199" t="n"/>
      <c r="D844" s="312" t="n"/>
      <c r="E844" s="312" t="n"/>
      <c r="F844" s="312" t="n"/>
      <c r="G844" s="312" t="n"/>
      <c r="H844" s="312" t="n"/>
      <c r="I844" s="313" t="n"/>
      <c r="J844" s="319" t="n"/>
      <c r="K844" s="199" t="n"/>
      <c r="L844" s="199" t="n"/>
      <c r="M844" s="235" t="n"/>
      <c r="N844" s="235" t="n"/>
      <c r="O844" s="235" t="n"/>
    </row>
    <row r="845">
      <c r="B845" s="199" t="n">
        <v>816</v>
      </c>
      <c r="C845" s="199" t="n"/>
      <c r="D845" s="312" t="n"/>
      <c r="E845" s="312" t="n"/>
      <c r="F845" s="312" t="n"/>
      <c r="G845" s="312" t="n"/>
      <c r="H845" s="312" t="n"/>
      <c r="I845" s="313" t="n"/>
      <c r="J845" s="319" t="n"/>
      <c r="K845" s="199" t="n"/>
      <c r="L845" s="199" t="n"/>
      <c r="M845" s="235" t="n"/>
      <c r="N845" s="235" t="n"/>
      <c r="O845" s="235" t="n"/>
    </row>
    <row r="846">
      <c r="B846" s="199" t="n">
        <v>817</v>
      </c>
      <c r="C846" s="199" t="n"/>
      <c r="D846" s="312" t="n"/>
      <c r="E846" s="312" t="n"/>
      <c r="F846" s="312" t="n"/>
      <c r="G846" s="312" t="n"/>
      <c r="H846" s="312" t="n"/>
      <c r="I846" s="313" t="n"/>
      <c r="J846" s="319" t="n"/>
      <c r="K846" s="199" t="n"/>
      <c r="L846" s="199" t="n"/>
      <c r="M846" s="235" t="n"/>
      <c r="N846" s="235" t="n"/>
      <c r="O846" s="235" t="n"/>
    </row>
    <row r="847">
      <c r="B847" s="199" t="n">
        <v>818</v>
      </c>
      <c r="C847" s="199" t="n"/>
      <c r="D847" s="312" t="n"/>
      <c r="E847" s="312" t="n"/>
      <c r="F847" s="312" t="n"/>
      <c r="G847" s="312" t="n"/>
      <c r="H847" s="312" t="n"/>
      <c r="I847" s="313" t="n"/>
      <c r="J847" s="319" t="n"/>
      <c r="K847" s="199" t="n"/>
      <c r="L847" s="199" t="n"/>
      <c r="M847" s="235" t="n"/>
      <c r="N847" s="235" t="n"/>
      <c r="O847" s="235" t="n"/>
    </row>
    <row r="848">
      <c r="B848" s="199" t="n">
        <v>819</v>
      </c>
      <c r="C848" s="199" t="n"/>
      <c r="D848" s="312" t="n"/>
      <c r="E848" s="312" t="n"/>
      <c r="F848" s="312" t="n"/>
      <c r="G848" s="312" t="n"/>
      <c r="H848" s="312" t="n"/>
      <c r="I848" s="313" t="n"/>
      <c r="J848" s="319" t="n"/>
      <c r="K848" s="199" t="n"/>
      <c r="L848" s="199" t="n"/>
      <c r="M848" s="235" t="n"/>
      <c r="N848" s="235" t="n"/>
      <c r="O848" s="235" t="n"/>
    </row>
    <row r="849">
      <c r="B849" s="199" t="n">
        <v>820</v>
      </c>
      <c r="C849" s="199" t="n"/>
      <c r="D849" s="312" t="n"/>
      <c r="E849" s="312" t="n"/>
      <c r="F849" s="312" t="n"/>
      <c r="G849" s="312" t="n"/>
      <c r="H849" s="312" t="n"/>
      <c r="I849" s="313" t="n"/>
      <c r="J849" s="319" t="n"/>
      <c r="K849" s="199" t="n"/>
      <c r="L849" s="199" t="n"/>
      <c r="M849" s="235" t="n"/>
      <c r="N849" s="235" t="n"/>
      <c r="O849" s="235" t="n"/>
    </row>
    <row r="850">
      <c r="B850" s="199" t="n">
        <v>821</v>
      </c>
      <c r="C850" s="199" t="n"/>
      <c r="D850" s="312" t="n"/>
      <c r="E850" s="312" t="n"/>
      <c r="F850" s="312" t="n"/>
      <c r="G850" s="312" t="n"/>
      <c r="H850" s="312" t="n"/>
      <c r="I850" s="313" t="n"/>
      <c r="J850" s="319" t="n"/>
      <c r="K850" s="199" t="n"/>
      <c r="L850" s="199" t="n"/>
      <c r="M850" s="235" t="n"/>
      <c r="N850" s="235" t="n"/>
      <c r="O850" s="235" t="n"/>
    </row>
    <row r="851">
      <c r="B851" s="199" t="n">
        <v>822</v>
      </c>
      <c r="C851" s="199" t="n"/>
      <c r="D851" s="312" t="n"/>
      <c r="E851" s="312" t="n"/>
      <c r="F851" s="312" t="n"/>
      <c r="G851" s="312" t="n"/>
      <c r="H851" s="312" t="n"/>
      <c r="I851" s="313" t="n"/>
      <c r="J851" s="319" t="n"/>
      <c r="K851" s="199" t="n"/>
      <c r="L851" s="199" t="n"/>
      <c r="M851" s="235" t="n"/>
      <c r="N851" s="235" t="n"/>
      <c r="O851" s="235" t="n"/>
    </row>
    <row r="852">
      <c r="B852" s="199" t="n">
        <v>823</v>
      </c>
      <c r="C852" s="199" t="n"/>
      <c r="D852" s="312" t="n"/>
      <c r="E852" s="312" t="n"/>
      <c r="F852" s="312" t="n"/>
      <c r="G852" s="312" t="n"/>
      <c r="H852" s="312" t="n"/>
      <c r="I852" s="313" t="n"/>
      <c r="J852" s="319" t="n"/>
      <c r="K852" s="199" t="n"/>
      <c r="L852" s="199" t="n"/>
      <c r="M852" s="235" t="n"/>
      <c r="N852" s="235" t="n"/>
      <c r="O852" s="235" t="n"/>
    </row>
    <row r="853">
      <c r="B853" s="199" t="n">
        <v>824</v>
      </c>
      <c r="C853" s="199" t="n"/>
      <c r="D853" s="312" t="n"/>
      <c r="E853" s="312" t="n"/>
      <c r="F853" s="312" t="n"/>
      <c r="G853" s="312" t="n"/>
      <c r="H853" s="312" t="n"/>
      <c r="I853" s="313" t="n"/>
      <c r="J853" s="319" t="n"/>
      <c r="K853" s="199" t="n"/>
      <c r="L853" s="199" t="n"/>
      <c r="M853" s="235" t="n"/>
      <c r="N853" s="235" t="n"/>
      <c r="O853" s="235" t="n"/>
    </row>
    <row r="854">
      <c r="B854" s="199" t="n">
        <v>825</v>
      </c>
      <c r="C854" s="199" t="n"/>
      <c r="D854" s="312" t="n"/>
      <c r="E854" s="312" t="n"/>
      <c r="F854" s="312" t="n"/>
      <c r="G854" s="312" t="n"/>
      <c r="H854" s="312" t="n"/>
      <c r="I854" s="313" t="n"/>
      <c r="J854" s="319" t="n"/>
      <c r="K854" s="199" t="n"/>
      <c r="L854" s="199" t="n"/>
      <c r="M854" s="235" t="n"/>
      <c r="N854" s="235" t="n"/>
      <c r="O854" s="235" t="n"/>
    </row>
    <row r="855">
      <c r="B855" s="199" t="n">
        <v>826</v>
      </c>
      <c r="C855" s="199" t="n"/>
      <c r="D855" s="312" t="n"/>
      <c r="E855" s="312" t="n"/>
      <c r="F855" s="312" t="n"/>
      <c r="G855" s="312" t="n"/>
      <c r="H855" s="312" t="n"/>
      <c r="I855" s="313" t="n"/>
      <c r="J855" s="319" t="n"/>
      <c r="K855" s="199" t="n"/>
      <c r="L855" s="199" t="n"/>
      <c r="M855" s="235" t="n"/>
      <c r="N855" s="235" t="n"/>
      <c r="O855" s="235" t="n"/>
    </row>
    <row r="856">
      <c r="B856" s="199" t="n">
        <v>827</v>
      </c>
      <c r="C856" s="199" t="n"/>
      <c r="D856" s="312" t="n"/>
      <c r="E856" s="312" t="n"/>
      <c r="F856" s="312" t="n"/>
      <c r="G856" s="312" t="n"/>
      <c r="H856" s="312" t="n"/>
      <c r="I856" s="313" t="n"/>
      <c r="J856" s="319" t="n"/>
      <c r="K856" s="199" t="n"/>
      <c r="L856" s="199" t="n"/>
      <c r="M856" s="235" t="n"/>
      <c r="N856" s="235" t="n"/>
      <c r="O856" s="235" t="n"/>
    </row>
    <row r="857">
      <c r="B857" s="199" t="n">
        <v>828</v>
      </c>
      <c r="C857" s="199" t="n"/>
      <c r="D857" s="312" t="n"/>
      <c r="E857" s="312" t="n"/>
      <c r="F857" s="312" t="n"/>
      <c r="G857" s="312" t="n"/>
      <c r="H857" s="312" t="n"/>
      <c r="I857" s="313" t="n"/>
      <c r="J857" s="319" t="n"/>
      <c r="K857" s="199" t="n"/>
      <c r="L857" s="199" t="n"/>
      <c r="M857" s="235" t="n"/>
      <c r="N857" s="235" t="n"/>
      <c r="O857" s="235" t="n"/>
    </row>
    <row r="858">
      <c r="B858" s="199" t="n">
        <v>829</v>
      </c>
      <c r="C858" s="199" t="n"/>
      <c r="D858" s="312" t="n"/>
      <c r="E858" s="312" t="n"/>
      <c r="F858" s="312" t="n"/>
      <c r="G858" s="312" t="n"/>
      <c r="H858" s="312" t="n"/>
      <c r="I858" s="313" t="n"/>
      <c r="J858" s="319" t="n"/>
      <c r="K858" s="199" t="n"/>
      <c r="L858" s="199" t="n"/>
      <c r="M858" s="235" t="n"/>
      <c r="N858" s="235" t="n"/>
      <c r="O858" s="235" t="n"/>
    </row>
    <row r="859">
      <c r="B859" s="199" t="n">
        <v>830</v>
      </c>
      <c r="C859" s="199" t="n"/>
      <c r="D859" s="312" t="n"/>
      <c r="E859" s="312" t="n"/>
      <c r="F859" s="312" t="n"/>
      <c r="G859" s="312" t="n"/>
      <c r="H859" s="312" t="n"/>
      <c r="I859" s="313" t="n"/>
      <c r="J859" s="319" t="n"/>
      <c r="K859" s="199" t="n"/>
      <c r="L859" s="199" t="n"/>
      <c r="M859" s="235" t="n"/>
      <c r="N859" s="235" t="n"/>
      <c r="O859" s="235" t="n"/>
    </row>
    <row r="860">
      <c r="B860" s="199" t="n">
        <v>831</v>
      </c>
      <c r="C860" s="199" t="n"/>
      <c r="D860" s="312" t="n"/>
      <c r="E860" s="312" t="n"/>
      <c r="F860" s="312" t="n"/>
      <c r="G860" s="312" t="n"/>
      <c r="H860" s="312" t="n"/>
      <c r="I860" s="313" t="n"/>
      <c r="J860" s="319" t="n"/>
      <c r="K860" s="199" t="n"/>
      <c r="L860" s="199" t="n"/>
      <c r="M860" s="235" t="n"/>
      <c r="N860" s="235" t="n"/>
      <c r="O860" s="235" t="n"/>
    </row>
    <row r="861">
      <c r="B861" s="199" t="n">
        <v>832</v>
      </c>
      <c r="C861" s="199" t="n"/>
      <c r="D861" s="312" t="n"/>
      <c r="E861" s="312" t="n"/>
      <c r="F861" s="312" t="n"/>
      <c r="G861" s="312" t="n"/>
      <c r="H861" s="312" t="n"/>
      <c r="I861" s="313" t="n"/>
      <c r="J861" s="319" t="n"/>
      <c r="K861" s="199" t="n"/>
      <c r="L861" s="199" t="n"/>
      <c r="M861" s="235" t="n"/>
      <c r="N861" s="235" t="n"/>
      <c r="O861" s="235" t="n"/>
    </row>
    <row r="862">
      <c r="B862" s="199" t="n">
        <v>833</v>
      </c>
      <c r="C862" s="199" t="n"/>
      <c r="D862" s="312" t="n"/>
      <c r="E862" s="312" t="n"/>
      <c r="F862" s="312" t="n"/>
      <c r="G862" s="312" t="n"/>
      <c r="H862" s="312" t="n"/>
      <c r="I862" s="313" t="n"/>
      <c r="J862" s="319" t="n"/>
      <c r="K862" s="199" t="n"/>
      <c r="L862" s="199" t="n"/>
      <c r="M862" s="235" t="n"/>
      <c r="N862" s="235" t="n"/>
      <c r="O862" s="235" t="n"/>
    </row>
    <row r="863">
      <c r="B863" s="199" t="n">
        <v>834</v>
      </c>
      <c r="C863" s="199" t="n"/>
      <c r="D863" s="312" t="n"/>
      <c r="E863" s="312" t="n"/>
      <c r="F863" s="312" t="n"/>
      <c r="G863" s="312" t="n"/>
      <c r="H863" s="312" t="n"/>
      <c r="I863" s="313" t="n"/>
      <c r="J863" s="319" t="n"/>
      <c r="K863" s="199" t="n"/>
      <c r="L863" s="199" t="n"/>
      <c r="M863" s="235" t="n"/>
      <c r="N863" s="235" t="n"/>
      <c r="O863" s="235" t="n"/>
    </row>
    <row r="864">
      <c r="B864" s="199" t="n">
        <v>835</v>
      </c>
      <c r="C864" s="199" t="n"/>
      <c r="D864" s="312" t="n"/>
      <c r="E864" s="312" t="n"/>
      <c r="F864" s="312" t="n"/>
      <c r="G864" s="312" t="n"/>
      <c r="H864" s="312" t="n"/>
      <c r="I864" s="313" t="n"/>
      <c r="J864" s="319" t="n"/>
      <c r="K864" s="199" t="n"/>
      <c r="L864" s="199" t="n"/>
      <c r="M864" s="235" t="n"/>
      <c r="N864" s="235" t="n"/>
      <c r="O864" s="235" t="n"/>
    </row>
    <row r="865">
      <c r="B865" s="199" t="n">
        <v>836</v>
      </c>
      <c r="C865" s="199" t="n"/>
      <c r="D865" s="312" t="n"/>
      <c r="E865" s="312" t="n"/>
      <c r="F865" s="312" t="n"/>
      <c r="G865" s="312" t="n"/>
      <c r="H865" s="312" t="n"/>
      <c r="I865" s="313" t="n"/>
      <c r="J865" s="319" t="n"/>
      <c r="K865" s="199" t="n"/>
      <c r="L865" s="199" t="n"/>
      <c r="M865" s="235" t="n"/>
      <c r="N865" s="235" t="n"/>
      <c r="O865" s="235" t="n"/>
    </row>
    <row r="866">
      <c r="B866" s="199" t="n">
        <v>837</v>
      </c>
      <c r="C866" s="199" t="n"/>
      <c r="D866" s="312" t="n"/>
      <c r="E866" s="312" t="n"/>
      <c r="F866" s="312" t="n"/>
      <c r="G866" s="312" t="n"/>
      <c r="H866" s="312" t="n"/>
      <c r="I866" s="313" t="n"/>
      <c r="J866" s="319" t="n"/>
      <c r="K866" s="199" t="n"/>
      <c r="L866" s="199" t="n"/>
      <c r="M866" s="235" t="n"/>
      <c r="N866" s="235" t="n"/>
      <c r="O866" s="235" t="n"/>
    </row>
    <row r="867">
      <c r="B867" s="199" t="n">
        <v>838</v>
      </c>
      <c r="C867" s="199" t="n"/>
      <c r="D867" s="312" t="n"/>
      <c r="E867" s="312" t="n"/>
      <c r="F867" s="312" t="n"/>
      <c r="G867" s="312" t="n"/>
      <c r="H867" s="312" t="n"/>
      <c r="I867" s="313" t="n"/>
      <c r="J867" s="319" t="n"/>
      <c r="K867" s="199" t="n"/>
      <c r="L867" s="199" t="n"/>
      <c r="M867" s="235" t="n"/>
      <c r="N867" s="235" t="n"/>
      <c r="O867" s="235" t="n"/>
    </row>
    <row r="868">
      <c r="B868" s="199" t="n">
        <v>839</v>
      </c>
      <c r="C868" s="199" t="n"/>
      <c r="D868" s="312" t="n"/>
      <c r="E868" s="312" t="n"/>
      <c r="F868" s="312" t="n"/>
      <c r="G868" s="312" t="n"/>
      <c r="H868" s="312" t="n"/>
      <c r="I868" s="313" t="n"/>
      <c r="J868" s="319" t="n"/>
      <c r="K868" s="199" t="n"/>
      <c r="L868" s="199" t="n"/>
      <c r="M868" s="235" t="n"/>
      <c r="N868" s="235" t="n"/>
      <c r="O868" s="235" t="n"/>
    </row>
    <row r="869">
      <c r="B869" s="199" t="n">
        <v>840</v>
      </c>
      <c r="C869" s="199" t="n"/>
      <c r="D869" s="312" t="n"/>
      <c r="E869" s="312" t="n"/>
      <c r="F869" s="312" t="n"/>
      <c r="G869" s="312" t="n"/>
      <c r="H869" s="312" t="n"/>
      <c r="I869" s="313" t="n"/>
      <c r="J869" s="319" t="n"/>
      <c r="K869" s="199" t="n"/>
      <c r="L869" s="199" t="n"/>
      <c r="M869" s="235" t="n"/>
      <c r="N869" s="235" t="n"/>
      <c r="O869" s="235" t="n"/>
    </row>
    <row r="870">
      <c r="B870" s="199" t="n">
        <v>841</v>
      </c>
      <c r="C870" s="199" t="n"/>
      <c r="D870" s="312" t="n"/>
      <c r="E870" s="312" t="n"/>
      <c r="F870" s="312" t="n"/>
      <c r="G870" s="312" t="n"/>
      <c r="H870" s="312" t="n"/>
      <c r="I870" s="313" t="n"/>
      <c r="J870" s="319" t="n"/>
      <c r="K870" s="199" t="n"/>
      <c r="L870" s="199" t="n"/>
      <c r="M870" s="235" t="n"/>
      <c r="N870" s="235" t="n"/>
      <c r="O870" s="235" t="n"/>
    </row>
    <row r="871">
      <c r="B871" s="199" t="n">
        <v>842</v>
      </c>
      <c r="C871" s="199" t="n"/>
      <c r="D871" s="312" t="n"/>
      <c r="E871" s="312" t="n"/>
      <c r="F871" s="312" t="n"/>
      <c r="G871" s="312" t="n"/>
      <c r="H871" s="312" t="n"/>
      <c r="I871" s="313" t="n"/>
      <c r="J871" s="319" t="n"/>
      <c r="K871" s="199" t="n"/>
      <c r="L871" s="199" t="n"/>
      <c r="M871" s="235" t="n"/>
      <c r="N871" s="235" t="n"/>
      <c r="O871" s="235" t="n"/>
    </row>
    <row r="872">
      <c r="B872" s="199" t="n">
        <v>843</v>
      </c>
      <c r="C872" s="199" t="n"/>
      <c r="D872" s="312" t="n"/>
      <c r="E872" s="312" t="n"/>
      <c r="F872" s="312" t="n"/>
      <c r="G872" s="312" t="n"/>
      <c r="H872" s="312" t="n"/>
      <c r="I872" s="313" t="n"/>
      <c r="J872" s="319" t="n"/>
      <c r="K872" s="199" t="n"/>
      <c r="L872" s="199" t="n"/>
      <c r="M872" s="235" t="n"/>
      <c r="N872" s="235" t="n"/>
      <c r="O872" s="235" t="n"/>
    </row>
    <row r="873">
      <c r="B873" s="199" t="n">
        <v>844</v>
      </c>
      <c r="C873" s="199" t="n"/>
      <c r="D873" s="312" t="n"/>
      <c r="E873" s="312" t="n"/>
      <c r="F873" s="312" t="n"/>
      <c r="G873" s="312" t="n"/>
      <c r="H873" s="312" t="n"/>
      <c r="I873" s="313" t="n"/>
      <c r="J873" s="319" t="n"/>
      <c r="K873" s="199" t="n"/>
      <c r="L873" s="199" t="n"/>
      <c r="M873" s="235" t="n"/>
      <c r="N873" s="235" t="n"/>
      <c r="O873" s="235" t="n"/>
    </row>
    <row r="874">
      <c r="B874" s="199" t="n">
        <v>845</v>
      </c>
      <c r="C874" s="199" t="n"/>
      <c r="D874" s="312" t="n"/>
      <c r="E874" s="312" t="n"/>
      <c r="F874" s="312" t="n"/>
      <c r="G874" s="312" t="n"/>
      <c r="H874" s="312" t="n"/>
      <c r="I874" s="313" t="n"/>
      <c r="J874" s="319" t="n"/>
      <c r="K874" s="199" t="n"/>
      <c r="L874" s="199" t="n"/>
      <c r="M874" s="235" t="n"/>
      <c r="N874" s="235" t="n"/>
      <c r="O874" s="235" t="n"/>
    </row>
    <row r="875">
      <c r="B875" s="199" t="n">
        <v>846</v>
      </c>
      <c r="C875" s="199" t="n"/>
      <c r="D875" s="312" t="n"/>
      <c r="E875" s="312" t="n"/>
      <c r="F875" s="312" t="n"/>
      <c r="G875" s="312" t="n"/>
      <c r="H875" s="312" t="n"/>
      <c r="I875" s="313" t="n"/>
      <c r="J875" s="319" t="n"/>
      <c r="K875" s="199" t="n"/>
      <c r="L875" s="199" t="n"/>
      <c r="M875" s="235" t="n"/>
      <c r="N875" s="235" t="n"/>
      <c r="O875" s="235" t="n"/>
    </row>
    <row r="876">
      <c r="B876" s="199" t="n">
        <v>847</v>
      </c>
      <c r="C876" s="199" t="n"/>
      <c r="D876" s="312" t="n"/>
      <c r="E876" s="312" t="n"/>
      <c r="F876" s="312" t="n"/>
      <c r="G876" s="312" t="n"/>
      <c r="H876" s="312" t="n"/>
      <c r="I876" s="313" t="n"/>
      <c r="J876" s="319" t="n"/>
      <c r="K876" s="199" t="n"/>
      <c r="L876" s="199" t="n"/>
      <c r="M876" s="235" t="n"/>
      <c r="N876" s="235" t="n"/>
      <c r="O876" s="235" t="n"/>
    </row>
    <row r="877">
      <c r="B877" s="199" t="n">
        <v>848</v>
      </c>
      <c r="C877" s="199" t="n"/>
      <c r="D877" s="312" t="n"/>
      <c r="E877" s="312" t="n"/>
      <c r="F877" s="312" t="n"/>
      <c r="G877" s="312" t="n"/>
      <c r="H877" s="312" t="n"/>
      <c r="I877" s="313" t="n"/>
      <c r="J877" s="319" t="n"/>
      <c r="K877" s="199" t="n"/>
      <c r="L877" s="199" t="n"/>
      <c r="M877" s="235" t="n"/>
      <c r="N877" s="235" t="n"/>
      <c r="O877" s="235" t="n"/>
    </row>
    <row r="878">
      <c r="B878" s="199" t="n">
        <v>849</v>
      </c>
      <c r="C878" s="199" t="n"/>
      <c r="D878" s="312" t="n"/>
      <c r="E878" s="312" t="n"/>
      <c r="F878" s="312" t="n"/>
      <c r="G878" s="312" t="n"/>
      <c r="H878" s="312" t="n"/>
      <c r="I878" s="313" t="n"/>
      <c r="J878" s="319" t="n"/>
      <c r="K878" s="199" t="n"/>
      <c r="L878" s="199" t="n"/>
      <c r="M878" s="235" t="n"/>
      <c r="N878" s="235" t="n"/>
      <c r="O878" s="235" t="n"/>
    </row>
    <row r="879">
      <c r="B879" s="199" t="n">
        <v>850</v>
      </c>
      <c r="C879" s="199" t="n"/>
      <c r="D879" s="312" t="n"/>
      <c r="E879" s="312" t="n"/>
      <c r="F879" s="312" t="n"/>
      <c r="G879" s="312" t="n"/>
      <c r="H879" s="312" t="n"/>
      <c r="I879" s="313" t="n"/>
      <c r="J879" s="319" t="n"/>
      <c r="K879" s="199" t="n"/>
      <c r="L879" s="199" t="n"/>
      <c r="M879" s="235" t="n"/>
      <c r="N879" s="235" t="n"/>
      <c r="O879" s="235" t="n"/>
    </row>
    <row r="880">
      <c r="B880" s="199" t="n">
        <v>851</v>
      </c>
      <c r="C880" s="199" t="n"/>
      <c r="D880" s="312" t="n"/>
      <c r="E880" s="312" t="n"/>
      <c r="F880" s="312" t="n"/>
      <c r="G880" s="312" t="n"/>
      <c r="H880" s="312" t="n"/>
      <c r="I880" s="313" t="n"/>
      <c r="J880" s="319" t="n"/>
      <c r="K880" s="199" t="n"/>
      <c r="L880" s="199" t="n"/>
      <c r="M880" s="235" t="n"/>
      <c r="N880" s="235" t="n"/>
      <c r="O880" s="235" t="n"/>
    </row>
    <row r="881">
      <c r="B881" s="199" t="n">
        <v>852</v>
      </c>
      <c r="C881" s="199" t="n"/>
      <c r="D881" s="312" t="n"/>
      <c r="E881" s="312" t="n"/>
      <c r="F881" s="312" t="n"/>
      <c r="G881" s="312" t="n"/>
      <c r="H881" s="312" t="n"/>
      <c r="I881" s="313" t="n"/>
      <c r="J881" s="319" t="n"/>
      <c r="K881" s="199" t="n"/>
      <c r="L881" s="199" t="n"/>
      <c r="M881" s="235" t="n"/>
      <c r="N881" s="235" t="n"/>
      <c r="O881" s="235" t="n"/>
    </row>
    <row r="882">
      <c r="B882" s="199" t="n">
        <v>853</v>
      </c>
      <c r="C882" s="199" t="n"/>
      <c r="D882" s="312" t="n"/>
      <c r="E882" s="312" t="n"/>
      <c r="F882" s="312" t="n"/>
      <c r="G882" s="312" t="n"/>
      <c r="H882" s="312" t="n"/>
      <c r="I882" s="313" t="n"/>
      <c r="J882" s="319" t="n"/>
      <c r="K882" s="199" t="n"/>
      <c r="L882" s="199" t="n"/>
      <c r="M882" s="235" t="n"/>
      <c r="N882" s="235" t="n"/>
      <c r="O882" s="235" t="n"/>
    </row>
    <row r="883">
      <c r="B883" s="199" t="n">
        <v>854</v>
      </c>
      <c r="C883" s="199" t="n"/>
      <c r="D883" s="312" t="n"/>
      <c r="E883" s="312" t="n"/>
      <c r="F883" s="312" t="n"/>
      <c r="G883" s="312" t="n"/>
      <c r="H883" s="312" t="n"/>
      <c r="I883" s="313" t="n"/>
      <c r="J883" s="319" t="n"/>
      <c r="K883" s="199" t="n"/>
      <c r="L883" s="199" t="n"/>
      <c r="M883" s="235" t="n"/>
      <c r="N883" s="235" t="n"/>
      <c r="O883" s="235" t="n"/>
    </row>
    <row r="884">
      <c r="B884" s="199" t="n">
        <v>855</v>
      </c>
      <c r="C884" s="199" t="n"/>
      <c r="D884" s="312" t="n"/>
      <c r="E884" s="312" t="n"/>
      <c r="F884" s="312" t="n"/>
      <c r="G884" s="312" t="n"/>
      <c r="H884" s="312" t="n"/>
      <c r="I884" s="313" t="n"/>
      <c r="J884" s="319" t="n"/>
      <c r="K884" s="199" t="n"/>
      <c r="L884" s="199" t="n"/>
      <c r="M884" s="235" t="n"/>
      <c r="N884" s="235" t="n"/>
      <c r="O884" s="235" t="n"/>
    </row>
    <row r="885">
      <c r="B885" s="199" t="n">
        <v>856</v>
      </c>
      <c r="C885" s="199" t="n"/>
      <c r="D885" s="312" t="n"/>
      <c r="E885" s="312" t="n"/>
      <c r="F885" s="312" t="n"/>
      <c r="G885" s="312" t="n"/>
      <c r="H885" s="312" t="n"/>
      <c r="I885" s="313" t="n"/>
      <c r="J885" s="319" t="n"/>
      <c r="K885" s="199" t="n"/>
      <c r="L885" s="199" t="n"/>
      <c r="M885" s="235" t="n"/>
      <c r="N885" s="235" t="n"/>
      <c r="O885" s="235" t="n"/>
    </row>
    <row r="886">
      <c r="B886" s="199" t="n">
        <v>857</v>
      </c>
      <c r="C886" s="199" t="n"/>
      <c r="D886" s="312" t="n"/>
      <c r="E886" s="312" t="n"/>
      <c r="F886" s="312" t="n"/>
      <c r="G886" s="312" t="n"/>
      <c r="H886" s="312" t="n"/>
      <c r="I886" s="313" t="n"/>
      <c r="J886" s="319" t="n"/>
      <c r="K886" s="199" t="n"/>
      <c r="L886" s="199" t="n"/>
      <c r="M886" s="235" t="n"/>
      <c r="N886" s="235" t="n"/>
      <c r="O886" s="235" t="n"/>
    </row>
    <row r="887">
      <c r="B887" s="199" t="n">
        <v>858</v>
      </c>
      <c r="C887" s="199" t="n"/>
      <c r="D887" s="312" t="n"/>
      <c r="E887" s="312" t="n"/>
      <c r="F887" s="312" t="n"/>
      <c r="G887" s="312" t="n"/>
      <c r="H887" s="312" t="n"/>
      <c r="I887" s="313" t="n"/>
      <c r="J887" s="319" t="n"/>
      <c r="K887" s="199" t="n"/>
      <c r="L887" s="199" t="n"/>
      <c r="M887" s="235" t="n"/>
      <c r="N887" s="235" t="n"/>
      <c r="O887" s="235" t="n"/>
    </row>
    <row r="888">
      <c r="B888" s="199" t="n">
        <v>859</v>
      </c>
      <c r="C888" s="199" t="n"/>
      <c r="D888" s="312" t="n"/>
      <c r="E888" s="312" t="n"/>
      <c r="F888" s="312" t="n"/>
      <c r="G888" s="312" t="n"/>
      <c r="H888" s="312" t="n"/>
      <c r="I888" s="313" t="n"/>
      <c r="J888" s="319" t="n"/>
      <c r="K888" s="199" t="n"/>
      <c r="L888" s="199" t="n"/>
      <c r="M888" s="235" t="n"/>
      <c r="N888" s="235" t="n"/>
      <c r="O888" s="235" t="n"/>
    </row>
    <row r="889">
      <c r="B889" s="199" t="n">
        <v>860</v>
      </c>
      <c r="C889" s="199" t="n"/>
      <c r="D889" s="312" t="n"/>
      <c r="E889" s="312" t="n"/>
      <c r="F889" s="312" t="n"/>
      <c r="G889" s="312" t="n"/>
      <c r="H889" s="312" t="n"/>
      <c r="I889" s="313" t="n"/>
      <c r="J889" s="319" t="n"/>
      <c r="K889" s="199" t="n"/>
      <c r="L889" s="199" t="n"/>
      <c r="M889" s="235" t="n"/>
      <c r="N889" s="235" t="n"/>
      <c r="O889" s="235" t="n"/>
    </row>
    <row r="890">
      <c r="B890" s="199" t="n">
        <v>861</v>
      </c>
      <c r="C890" s="199" t="n"/>
      <c r="D890" s="312" t="n"/>
      <c r="E890" s="312" t="n"/>
      <c r="F890" s="312" t="n"/>
      <c r="G890" s="312" t="n"/>
      <c r="H890" s="312" t="n"/>
      <c r="I890" s="313" t="n"/>
      <c r="J890" s="319" t="n"/>
      <c r="K890" s="199" t="n"/>
      <c r="L890" s="199" t="n"/>
      <c r="M890" s="235" t="n"/>
      <c r="N890" s="235" t="n"/>
      <c r="O890" s="235" t="n"/>
    </row>
    <row r="891">
      <c r="B891" s="199" t="n">
        <v>862</v>
      </c>
      <c r="C891" s="199" t="n"/>
      <c r="D891" s="312" t="n"/>
      <c r="E891" s="312" t="n"/>
      <c r="F891" s="312" t="n"/>
      <c r="G891" s="312" t="n"/>
      <c r="H891" s="312" t="n"/>
      <c r="I891" s="313" t="n"/>
      <c r="J891" s="319" t="n"/>
      <c r="K891" s="199" t="n"/>
      <c r="L891" s="199" t="n"/>
      <c r="M891" s="235" t="n"/>
      <c r="N891" s="235" t="n"/>
      <c r="O891" s="235" t="n"/>
    </row>
    <row r="892">
      <c r="B892" s="199" t="n">
        <v>863</v>
      </c>
      <c r="C892" s="199" t="n"/>
      <c r="D892" s="312" t="n"/>
      <c r="E892" s="312" t="n"/>
      <c r="F892" s="312" t="n"/>
      <c r="G892" s="312" t="n"/>
      <c r="H892" s="312" t="n"/>
      <c r="I892" s="313" t="n"/>
      <c r="J892" s="319" t="n"/>
      <c r="K892" s="199" t="n"/>
      <c r="L892" s="199" t="n"/>
      <c r="M892" s="235" t="n"/>
      <c r="N892" s="235" t="n"/>
      <c r="O892" s="235" t="n"/>
    </row>
    <row r="893">
      <c r="B893" s="199" t="n">
        <v>864</v>
      </c>
      <c r="C893" s="199" t="n"/>
      <c r="D893" s="312" t="n"/>
      <c r="E893" s="312" t="n"/>
      <c r="F893" s="312" t="n"/>
      <c r="G893" s="312" t="n"/>
      <c r="H893" s="312" t="n"/>
      <c r="I893" s="313" t="n"/>
      <c r="J893" s="319" t="n"/>
      <c r="K893" s="199" t="n"/>
      <c r="L893" s="199" t="n"/>
      <c r="M893" s="235" t="n"/>
      <c r="N893" s="235" t="n"/>
      <c r="O893" s="235" t="n"/>
    </row>
    <row r="894">
      <c r="B894" s="199" t="n">
        <v>865</v>
      </c>
      <c r="C894" s="199" t="n"/>
      <c r="D894" s="312" t="n"/>
      <c r="E894" s="312" t="n"/>
      <c r="F894" s="312" t="n"/>
      <c r="G894" s="312" t="n"/>
      <c r="H894" s="312" t="n"/>
      <c r="I894" s="313" t="n"/>
      <c r="J894" s="319" t="n"/>
      <c r="K894" s="199" t="n"/>
      <c r="L894" s="199" t="n"/>
      <c r="M894" s="235" t="n"/>
      <c r="N894" s="235" t="n"/>
      <c r="O894" s="235" t="n"/>
    </row>
    <row r="895">
      <c r="B895" s="199" t="n">
        <v>866</v>
      </c>
      <c r="C895" s="199" t="n"/>
      <c r="D895" s="312" t="n"/>
      <c r="E895" s="312" t="n"/>
      <c r="F895" s="312" t="n"/>
      <c r="G895" s="312" t="n"/>
      <c r="H895" s="312" t="n"/>
      <c r="I895" s="313" t="n"/>
      <c r="J895" s="319" t="n"/>
      <c r="K895" s="199" t="n"/>
      <c r="L895" s="199" t="n"/>
      <c r="M895" s="235" t="n"/>
      <c r="N895" s="235" t="n"/>
      <c r="O895" s="235" t="n"/>
    </row>
    <row r="896">
      <c r="B896" s="199" t="n">
        <v>867</v>
      </c>
      <c r="C896" s="199" t="n"/>
      <c r="D896" s="312" t="n"/>
      <c r="E896" s="312" t="n"/>
      <c r="F896" s="312" t="n"/>
      <c r="G896" s="312" t="n"/>
      <c r="H896" s="312" t="n"/>
      <c r="I896" s="313" t="n"/>
      <c r="J896" s="319" t="n"/>
      <c r="K896" s="199" t="n"/>
      <c r="L896" s="199" t="n"/>
      <c r="M896" s="235" t="n"/>
      <c r="N896" s="235" t="n"/>
      <c r="O896" s="235" t="n"/>
    </row>
    <row r="897">
      <c r="B897" s="199" t="n">
        <v>868</v>
      </c>
      <c r="C897" s="199" t="n"/>
      <c r="D897" s="312" t="n"/>
      <c r="E897" s="312" t="n"/>
      <c r="F897" s="312" t="n"/>
      <c r="G897" s="312" t="n"/>
      <c r="H897" s="312" t="n"/>
      <c r="I897" s="313" t="n"/>
      <c r="J897" s="319" t="n"/>
      <c r="K897" s="199" t="n"/>
      <c r="L897" s="199" t="n"/>
      <c r="M897" s="235" t="n"/>
      <c r="N897" s="235" t="n"/>
      <c r="O897" s="235" t="n"/>
    </row>
    <row r="898">
      <c r="B898" s="199" t="n">
        <v>869</v>
      </c>
      <c r="C898" s="199" t="n"/>
      <c r="D898" s="312" t="n"/>
      <c r="E898" s="312" t="n"/>
      <c r="F898" s="312" t="n"/>
      <c r="G898" s="312" t="n"/>
      <c r="H898" s="312" t="n"/>
      <c r="I898" s="313" t="n"/>
      <c r="J898" s="319" t="n"/>
      <c r="K898" s="199" t="n"/>
      <c r="L898" s="199" t="n"/>
      <c r="M898" s="235" t="n"/>
      <c r="N898" s="235" t="n"/>
      <c r="O898" s="235" t="n"/>
    </row>
    <row r="899">
      <c r="B899" s="199" t="n">
        <v>870</v>
      </c>
      <c r="C899" s="199" t="n"/>
      <c r="D899" s="312" t="n"/>
      <c r="E899" s="312" t="n"/>
      <c r="F899" s="312" t="n"/>
      <c r="G899" s="312" t="n"/>
      <c r="H899" s="312" t="n"/>
      <c r="I899" s="313" t="n"/>
      <c r="J899" s="319" t="n"/>
      <c r="K899" s="199" t="n"/>
      <c r="L899" s="199" t="n"/>
      <c r="M899" s="235" t="n"/>
      <c r="N899" s="235" t="n"/>
      <c r="O899" s="235" t="n"/>
    </row>
    <row r="900">
      <c r="B900" s="199" t="n">
        <v>871</v>
      </c>
      <c r="C900" s="199" t="n"/>
      <c r="D900" s="312" t="n"/>
      <c r="E900" s="312" t="n"/>
      <c r="F900" s="312" t="n"/>
      <c r="G900" s="312" t="n"/>
      <c r="H900" s="312" t="n"/>
      <c r="I900" s="313" t="n"/>
      <c r="J900" s="319" t="n"/>
      <c r="K900" s="199" t="n"/>
      <c r="L900" s="199" t="n"/>
      <c r="M900" s="235" t="n"/>
      <c r="N900" s="235" t="n"/>
      <c r="O900" s="235" t="n"/>
    </row>
    <row r="901">
      <c r="B901" s="199" t="n">
        <v>872</v>
      </c>
      <c r="C901" s="199" t="n"/>
      <c r="D901" s="312" t="n"/>
      <c r="E901" s="312" t="n"/>
      <c r="F901" s="312" t="n"/>
      <c r="G901" s="312" t="n"/>
      <c r="H901" s="312" t="n"/>
      <c r="I901" s="313" t="n"/>
      <c r="J901" s="319" t="n"/>
      <c r="K901" s="199" t="n"/>
      <c r="L901" s="199" t="n"/>
      <c r="M901" s="235" t="n"/>
      <c r="N901" s="235" t="n"/>
      <c r="O901" s="235" t="n"/>
    </row>
    <row r="902">
      <c r="B902" s="199" t="n">
        <v>873</v>
      </c>
      <c r="C902" s="199" t="n"/>
      <c r="D902" s="312" t="n"/>
      <c r="E902" s="312" t="n"/>
      <c r="F902" s="312" t="n"/>
      <c r="G902" s="312" t="n"/>
      <c r="H902" s="312" t="n"/>
      <c r="I902" s="313" t="n"/>
      <c r="J902" s="319" t="n"/>
      <c r="K902" s="199" t="n"/>
      <c r="L902" s="199" t="n"/>
      <c r="M902" s="235" t="n"/>
      <c r="N902" s="235" t="n"/>
      <c r="O902" s="235" t="n"/>
    </row>
    <row r="903">
      <c r="B903" s="199" t="n">
        <v>874</v>
      </c>
      <c r="C903" s="199" t="n"/>
      <c r="D903" s="312" t="n"/>
      <c r="E903" s="312" t="n"/>
      <c r="F903" s="312" t="n"/>
      <c r="G903" s="312" t="n"/>
      <c r="H903" s="312" t="n"/>
      <c r="I903" s="313" t="n"/>
      <c r="J903" s="319" t="n"/>
      <c r="K903" s="199" t="n"/>
      <c r="L903" s="199" t="n"/>
      <c r="M903" s="235" t="n"/>
      <c r="N903" s="235" t="n"/>
      <c r="O903" s="235" t="n"/>
    </row>
    <row r="904">
      <c r="B904" s="199" t="n">
        <v>875</v>
      </c>
      <c r="C904" s="199" t="n"/>
      <c r="D904" s="312" t="n"/>
      <c r="E904" s="312" t="n"/>
      <c r="F904" s="312" t="n"/>
      <c r="G904" s="312" t="n"/>
      <c r="H904" s="312" t="n"/>
      <c r="I904" s="313" t="n"/>
      <c r="J904" s="319" t="n"/>
      <c r="K904" s="199" t="n"/>
      <c r="L904" s="199" t="n"/>
      <c r="M904" s="235" t="n"/>
      <c r="N904" s="235" t="n"/>
      <c r="O904" s="235" t="n"/>
    </row>
    <row r="905">
      <c r="B905" s="199" t="n">
        <v>876</v>
      </c>
      <c r="C905" s="199" t="n"/>
      <c r="D905" s="312" t="n"/>
      <c r="E905" s="312" t="n"/>
      <c r="F905" s="312" t="n"/>
      <c r="G905" s="312" t="n"/>
      <c r="H905" s="312" t="n"/>
      <c r="I905" s="313" t="n"/>
      <c r="J905" s="319" t="n"/>
      <c r="K905" s="199" t="n"/>
      <c r="L905" s="199" t="n"/>
      <c r="M905" s="235" t="n"/>
      <c r="N905" s="235" t="n"/>
      <c r="O905" s="235" t="n"/>
    </row>
    <row r="906">
      <c r="B906" s="199" t="n">
        <v>877</v>
      </c>
      <c r="C906" s="199" t="n"/>
      <c r="D906" s="312" t="n"/>
      <c r="E906" s="312" t="n"/>
      <c r="F906" s="312" t="n"/>
      <c r="G906" s="312" t="n"/>
      <c r="H906" s="312" t="n"/>
      <c r="I906" s="313" t="n"/>
      <c r="J906" s="319" t="n"/>
      <c r="K906" s="199" t="n"/>
      <c r="L906" s="199" t="n"/>
      <c r="M906" s="235" t="n"/>
      <c r="N906" s="235" t="n"/>
      <c r="O906" s="235" t="n"/>
    </row>
    <row r="907">
      <c r="B907" s="199" t="n">
        <v>878</v>
      </c>
      <c r="C907" s="199" t="n"/>
      <c r="D907" s="312" t="n"/>
      <c r="E907" s="312" t="n"/>
      <c r="F907" s="312" t="n"/>
      <c r="G907" s="312" t="n"/>
      <c r="H907" s="312" t="n"/>
      <c r="I907" s="313" t="n"/>
      <c r="J907" s="319" t="n"/>
      <c r="K907" s="199" t="n"/>
      <c r="L907" s="199" t="n"/>
      <c r="M907" s="235" t="n"/>
      <c r="N907" s="235" t="n"/>
      <c r="O907" s="235" t="n"/>
    </row>
    <row r="908">
      <c r="B908" s="199" t="n">
        <v>879</v>
      </c>
      <c r="C908" s="199" t="n"/>
      <c r="D908" s="312" t="n"/>
      <c r="E908" s="312" t="n"/>
      <c r="F908" s="312" t="n"/>
      <c r="G908" s="312" t="n"/>
      <c r="H908" s="312" t="n"/>
      <c r="I908" s="313" t="n"/>
      <c r="J908" s="319" t="n"/>
      <c r="K908" s="199" t="n"/>
      <c r="L908" s="199" t="n"/>
      <c r="M908" s="235" t="n"/>
      <c r="N908" s="235" t="n"/>
      <c r="O908" s="235" t="n"/>
    </row>
    <row r="909">
      <c r="B909" s="199" t="n">
        <v>880</v>
      </c>
      <c r="C909" s="199" t="n"/>
      <c r="D909" s="312" t="n"/>
      <c r="E909" s="312" t="n"/>
      <c r="F909" s="312" t="n"/>
      <c r="G909" s="312" t="n"/>
      <c r="H909" s="312" t="n"/>
      <c r="I909" s="313" t="n"/>
      <c r="J909" s="319" t="n"/>
      <c r="K909" s="199" t="n"/>
      <c r="L909" s="199" t="n"/>
      <c r="M909" s="235" t="n"/>
      <c r="N909" s="235" t="n"/>
      <c r="O909" s="235" t="n"/>
    </row>
    <row r="910">
      <c r="B910" s="199" t="n">
        <v>881</v>
      </c>
      <c r="C910" s="199" t="n"/>
      <c r="D910" s="312" t="n"/>
      <c r="E910" s="312" t="n"/>
      <c r="F910" s="312" t="n"/>
      <c r="G910" s="312" t="n"/>
      <c r="H910" s="312" t="n"/>
      <c r="I910" s="313" t="n"/>
      <c r="J910" s="319" t="n"/>
      <c r="K910" s="199" t="n"/>
      <c r="L910" s="199" t="n"/>
      <c r="M910" s="235" t="n"/>
      <c r="N910" s="235" t="n"/>
      <c r="O910" s="235" t="n"/>
    </row>
    <row r="911">
      <c r="B911" s="199" t="n">
        <v>882</v>
      </c>
      <c r="C911" s="199" t="n"/>
      <c r="D911" s="312" t="n"/>
      <c r="E911" s="312" t="n"/>
      <c r="F911" s="312" t="n"/>
      <c r="G911" s="312" t="n"/>
      <c r="H911" s="312" t="n"/>
      <c r="I911" s="313" t="n"/>
      <c r="J911" s="319" t="n"/>
      <c r="K911" s="199" t="n"/>
      <c r="L911" s="199" t="n"/>
      <c r="M911" s="235" t="n"/>
      <c r="N911" s="235" t="n"/>
      <c r="O911" s="235" t="n"/>
    </row>
    <row r="912">
      <c r="B912" s="199" t="n">
        <v>883</v>
      </c>
      <c r="C912" s="199" t="n"/>
      <c r="D912" s="312" t="n"/>
      <c r="E912" s="312" t="n"/>
      <c r="F912" s="312" t="n"/>
      <c r="G912" s="312" t="n"/>
      <c r="H912" s="312" t="n"/>
      <c r="I912" s="313" t="n"/>
      <c r="J912" s="319" t="n"/>
      <c r="K912" s="199" t="n"/>
      <c r="L912" s="199" t="n"/>
      <c r="M912" s="235" t="n"/>
      <c r="N912" s="235" t="n"/>
      <c r="O912" s="235" t="n"/>
    </row>
    <row r="913">
      <c r="B913" s="199" t="n">
        <v>884</v>
      </c>
      <c r="C913" s="199" t="n"/>
      <c r="D913" s="312" t="n"/>
      <c r="E913" s="312" t="n"/>
      <c r="F913" s="312" t="n"/>
      <c r="G913" s="312" t="n"/>
      <c r="H913" s="312" t="n"/>
      <c r="I913" s="313" t="n"/>
      <c r="J913" s="319" t="n"/>
      <c r="K913" s="199" t="n"/>
      <c r="L913" s="199" t="n"/>
      <c r="M913" s="235" t="n"/>
      <c r="N913" s="235" t="n"/>
      <c r="O913" s="235" t="n"/>
    </row>
    <row r="914">
      <c r="B914" s="199" t="n">
        <v>885</v>
      </c>
      <c r="C914" s="199" t="n"/>
      <c r="D914" s="312" t="n"/>
      <c r="E914" s="312" t="n"/>
      <c r="F914" s="312" t="n"/>
      <c r="G914" s="312" t="n"/>
      <c r="H914" s="312" t="n"/>
      <c r="I914" s="313" t="n"/>
      <c r="J914" s="319" t="n"/>
      <c r="K914" s="199" t="n"/>
      <c r="L914" s="199" t="n"/>
      <c r="M914" s="235" t="n"/>
      <c r="N914" s="235" t="n"/>
      <c r="O914" s="235" t="n"/>
    </row>
    <row r="915">
      <c r="B915" s="199" t="n">
        <v>886</v>
      </c>
      <c r="C915" s="199" t="n"/>
      <c r="D915" s="312" t="n"/>
      <c r="E915" s="312" t="n"/>
      <c r="F915" s="312" t="n"/>
      <c r="G915" s="312" t="n"/>
      <c r="H915" s="312" t="n"/>
      <c r="I915" s="313" t="n"/>
      <c r="J915" s="319" t="n"/>
      <c r="K915" s="199" t="n"/>
      <c r="L915" s="199" t="n"/>
      <c r="M915" s="235" t="n"/>
      <c r="N915" s="235" t="n"/>
      <c r="O915" s="235" t="n"/>
    </row>
    <row r="916">
      <c r="B916" s="199" t="n">
        <v>887</v>
      </c>
      <c r="C916" s="199" t="n"/>
      <c r="D916" s="312" t="n"/>
      <c r="E916" s="312" t="n"/>
      <c r="F916" s="312" t="n"/>
      <c r="G916" s="312" t="n"/>
      <c r="H916" s="312" t="n"/>
      <c r="I916" s="313" t="n"/>
      <c r="J916" s="319" t="n"/>
      <c r="K916" s="199" t="n"/>
      <c r="L916" s="199" t="n"/>
      <c r="M916" s="235" t="n"/>
      <c r="N916" s="235" t="n"/>
      <c r="O916" s="235" t="n"/>
    </row>
    <row r="917">
      <c r="B917" s="199" t="n">
        <v>888</v>
      </c>
      <c r="C917" s="199" t="n"/>
      <c r="D917" s="312" t="n"/>
      <c r="E917" s="312" t="n"/>
      <c r="F917" s="312" t="n"/>
      <c r="G917" s="312" t="n"/>
      <c r="H917" s="312" t="n"/>
      <c r="I917" s="313" t="n"/>
      <c r="J917" s="319" t="n"/>
      <c r="K917" s="199" t="n"/>
      <c r="L917" s="199" t="n"/>
      <c r="M917" s="235" t="n"/>
      <c r="N917" s="235" t="n"/>
      <c r="O917" s="235" t="n"/>
    </row>
    <row r="918">
      <c r="B918" s="199" t="n">
        <v>889</v>
      </c>
      <c r="C918" s="199" t="n"/>
      <c r="D918" s="312" t="n"/>
      <c r="E918" s="312" t="n"/>
      <c r="F918" s="312" t="n"/>
      <c r="G918" s="312" t="n"/>
      <c r="H918" s="312" t="n"/>
      <c r="I918" s="313" t="n"/>
      <c r="J918" s="319" t="n"/>
      <c r="K918" s="199" t="n"/>
      <c r="L918" s="199" t="n"/>
      <c r="M918" s="235" t="n"/>
      <c r="N918" s="235" t="n"/>
      <c r="O918" s="235" t="n"/>
    </row>
    <row r="919">
      <c r="B919" s="199" t="n">
        <v>890</v>
      </c>
      <c r="C919" s="199" t="n"/>
      <c r="D919" s="312" t="n"/>
      <c r="E919" s="312" t="n"/>
      <c r="F919" s="312" t="n"/>
      <c r="G919" s="312" t="n"/>
      <c r="H919" s="312" t="n"/>
      <c r="I919" s="313" t="n"/>
      <c r="J919" s="319" t="n"/>
      <c r="K919" s="199" t="n"/>
      <c r="L919" s="199" t="n"/>
      <c r="M919" s="235" t="n"/>
      <c r="N919" s="235" t="n"/>
      <c r="O919" s="235" t="n"/>
    </row>
    <row r="920">
      <c r="B920" s="199" t="n">
        <v>891</v>
      </c>
      <c r="C920" s="199" t="n"/>
      <c r="D920" s="312" t="n"/>
      <c r="E920" s="312" t="n"/>
      <c r="F920" s="312" t="n"/>
      <c r="G920" s="312" t="n"/>
      <c r="H920" s="312" t="n"/>
      <c r="I920" s="313" t="n"/>
      <c r="J920" s="319" t="n"/>
      <c r="K920" s="199" t="n"/>
      <c r="L920" s="199" t="n"/>
      <c r="M920" s="235" t="n"/>
      <c r="N920" s="235" t="n"/>
      <c r="O920" s="235" t="n"/>
    </row>
    <row r="921">
      <c r="B921" s="199" t="n">
        <v>892</v>
      </c>
      <c r="C921" s="199" t="n"/>
      <c r="D921" s="312" t="n"/>
      <c r="E921" s="312" t="n"/>
      <c r="F921" s="312" t="n"/>
      <c r="G921" s="312" t="n"/>
      <c r="H921" s="312" t="n"/>
      <c r="I921" s="313" t="n"/>
      <c r="J921" s="319" t="n"/>
      <c r="K921" s="199" t="n"/>
      <c r="L921" s="199" t="n"/>
      <c r="M921" s="235" t="n"/>
      <c r="N921" s="235" t="n"/>
      <c r="O921" s="235" t="n"/>
    </row>
    <row r="922">
      <c r="B922" s="199" t="n">
        <v>893</v>
      </c>
      <c r="C922" s="199" t="n"/>
      <c r="D922" s="312" t="n"/>
      <c r="E922" s="312" t="n"/>
      <c r="F922" s="312" t="n"/>
      <c r="G922" s="312" t="n"/>
      <c r="H922" s="312" t="n"/>
      <c r="I922" s="313" t="n"/>
      <c r="J922" s="319" t="n"/>
      <c r="K922" s="199" t="n"/>
      <c r="L922" s="199" t="n"/>
      <c r="M922" s="235" t="n"/>
      <c r="N922" s="235" t="n"/>
      <c r="O922" s="235" t="n"/>
    </row>
    <row r="923">
      <c r="B923" s="199" t="n">
        <v>894</v>
      </c>
      <c r="C923" s="199" t="n"/>
      <c r="D923" s="312" t="n"/>
      <c r="E923" s="312" t="n"/>
      <c r="F923" s="312" t="n"/>
      <c r="G923" s="312" t="n"/>
      <c r="H923" s="312" t="n"/>
      <c r="I923" s="313" t="n"/>
      <c r="J923" s="319" t="n"/>
      <c r="K923" s="199" t="n"/>
      <c r="L923" s="199" t="n"/>
      <c r="M923" s="235" t="n"/>
      <c r="N923" s="235" t="n"/>
      <c r="O923" s="235" t="n"/>
    </row>
    <row r="924">
      <c r="B924" s="199" t="n">
        <v>895</v>
      </c>
      <c r="C924" s="199" t="n"/>
      <c r="D924" s="312" t="n"/>
      <c r="E924" s="312" t="n"/>
      <c r="F924" s="312" t="n"/>
      <c r="G924" s="312" t="n"/>
      <c r="H924" s="312" t="n"/>
      <c r="I924" s="313" t="n"/>
      <c r="J924" s="319" t="n"/>
      <c r="K924" s="199" t="n"/>
      <c r="L924" s="199" t="n"/>
      <c r="M924" s="235" t="n"/>
      <c r="N924" s="235" t="n"/>
      <c r="O924" s="235" t="n"/>
    </row>
    <row r="925">
      <c r="B925" s="199" t="n">
        <v>896</v>
      </c>
      <c r="C925" s="199" t="n"/>
      <c r="D925" s="312" t="n"/>
      <c r="E925" s="312" t="n"/>
      <c r="F925" s="312" t="n"/>
      <c r="G925" s="312" t="n"/>
      <c r="H925" s="312" t="n"/>
      <c r="I925" s="313" t="n"/>
      <c r="J925" s="319" t="n"/>
      <c r="K925" s="199" t="n"/>
      <c r="L925" s="199" t="n"/>
      <c r="M925" s="235" t="n"/>
      <c r="N925" s="235" t="n"/>
      <c r="O925" s="235" t="n"/>
    </row>
    <row r="926">
      <c r="B926" s="199" t="n">
        <v>897</v>
      </c>
      <c r="C926" s="199" t="n"/>
      <c r="D926" s="312" t="n"/>
      <c r="E926" s="312" t="n"/>
      <c r="F926" s="312" t="n"/>
      <c r="G926" s="312" t="n"/>
      <c r="H926" s="312" t="n"/>
      <c r="I926" s="313" t="n"/>
      <c r="J926" s="319" t="n"/>
      <c r="K926" s="199" t="n"/>
      <c r="L926" s="199" t="n"/>
      <c r="M926" s="235" t="n"/>
      <c r="N926" s="235" t="n"/>
      <c r="O926" s="235" t="n"/>
    </row>
    <row r="927">
      <c r="B927" s="199" t="n">
        <v>898</v>
      </c>
      <c r="C927" s="199" t="n"/>
      <c r="D927" s="312" t="n"/>
      <c r="E927" s="312" t="n"/>
      <c r="F927" s="312" t="n"/>
      <c r="G927" s="312" t="n"/>
      <c r="H927" s="312" t="n"/>
      <c r="I927" s="313" t="n"/>
      <c r="J927" s="319" t="n"/>
      <c r="K927" s="199" t="n"/>
      <c r="L927" s="199" t="n"/>
      <c r="M927" s="235" t="n"/>
      <c r="N927" s="235" t="n"/>
      <c r="O927" s="235" t="n"/>
    </row>
    <row r="928">
      <c r="B928" s="199" t="n">
        <v>899</v>
      </c>
      <c r="C928" s="199" t="n"/>
      <c r="D928" s="312" t="n"/>
      <c r="E928" s="312" t="n"/>
      <c r="F928" s="312" t="n"/>
      <c r="G928" s="312" t="n"/>
      <c r="H928" s="312" t="n"/>
      <c r="I928" s="313" t="n"/>
      <c r="J928" s="319" t="n"/>
      <c r="K928" s="199" t="n"/>
      <c r="L928" s="199" t="n"/>
      <c r="M928" s="235" t="n"/>
      <c r="N928" s="235" t="n"/>
      <c r="O928" s="235" t="n"/>
    </row>
    <row r="929">
      <c r="B929" s="199" t="n">
        <v>900</v>
      </c>
      <c r="C929" s="199" t="n"/>
      <c r="D929" s="312" t="n"/>
      <c r="E929" s="312" t="n"/>
      <c r="F929" s="312" t="n"/>
      <c r="G929" s="312" t="n"/>
      <c r="H929" s="312" t="n"/>
      <c r="I929" s="313" t="n"/>
      <c r="J929" s="319" t="n"/>
      <c r="K929" s="199" t="n"/>
      <c r="L929" s="199" t="n"/>
      <c r="M929" s="235" t="n"/>
      <c r="N929" s="235" t="n"/>
      <c r="O929" s="235" t="n"/>
    </row>
    <row r="930">
      <c r="B930" s="199" t="n">
        <v>901</v>
      </c>
      <c r="C930" s="199" t="n"/>
      <c r="D930" s="312" t="n"/>
      <c r="E930" s="312" t="n"/>
      <c r="F930" s="312" t="n"/>
      <c r="G930" s="312" t="n"/>
      <c r="H930" s="312" t="n"/>
      <c r="I930" s="313" t="n"/>
      <c r="J930" s="319" t="n"/>
      <c r="K930" s="199" t="n"/>
      <c r="L930" s="199" t="n"/>
      <c r="M930" s="235" t="n"/>
      <c r="N930" s="235" t="n"/>
      <c r="O930" s="235" t="n"/>
    </row>
    <row r="931">
      <c r="B931" s="199" t="n">
        <v>902</v>
      </c>
      <c r="C931" s="199" t="n"/>
      <c r="D931" s="312" t="n"/>
      <c r="E931" s="312" t="n"/>
      <c r="F931" s="312" t="n"/>
      <c r="G931" s="312" t="n"/>
      <c r="H931" s="312" t="n"/>
      <c r="I931" s="313" t="n"/>
      <c r="J931" s="319" t="n"/>
      <c r="K931" s="199" t="n"/>
      <c r="L931" s="199" t="n"/>
      <c r="M931" s="235" t="n"/>
      <c r="N931" s="235" t="n"/>
      <c r="O931" s="235" t="n"/>
    </row>
    <row r="932">
      <c r="B932" s="199" t="n">
        <v>903</v>
      </c>
      <c r="C932" s="199" t="n"/>
      <c r="D932" s="312" t="n"/>
      <c r="E932" s="312" t="n"/>
      <c r="F932" s="312" t="n"/>
      <c r="G932" s="312" t="n"/>
      <c r="H932" s="312" t="n"/>
      <c r="I932" s="313" t="n"/>
      <c r="J932" s="319" t="n"/>
      <c r="K932" s="199" t="n"/>
      <c r="L932" s="199" t="n"/>
      <c r="M932" s="235" t="n"/>
      <c r="N932" s="235" t="n"/>
      <c r="O932" s="235" t="n"/>
    </row>
    <row r="933">
      <c r="B933" s="199" t="n">
        <v>904</v>
      </c>
      <c r="C933" s="199" t="n"/>
      <c r="D933" s="312" t="n"/>
      <c r="E933" s="312" t="n"/>
      <c r="F933" s="312" t="n"/>
      <c r="G933" s="312" t="n"/>
      <c r="H933" s="312" t="n"/>
      <c r="I933" s="313" t="n"/>
      <c r="J933" s="319" t="n"/>
      <c r="K933" s="199" t="n"/>
      <c r="L933" s="199" t="n"/>
      <c r="M933" s="235" t="n"/>
      <c r="N933" s="235" t="n"/>
      <c r="O933" s="235" t="n"/>
    </row>
    <row r="934">
      <c r="B934" s="199" t="n">
        <v>905</v>
      </c>
      <c r="C934" s="199" t="n"/>
      <c r="D934" s="312" t="n"/>
      <c r="E934" s="312" t="n"/>
      <c r="F934" s="312" t="n"/>
      <c r="G934" s="312" t="n"/>
      <c r="H934" s="312" t="n"/>
      <c r="I934" s="313" t="n"/>
      <c r="J934" s="319" t="n"/>
      <c r="K934" s="199" t="n"/>
      <c r="L934" s="199" t="n"/>
      <c r="M934" s="235" t="n"/>
      <c r="N934" s="235" t="n"/>
      <c r="O934" s="235" t="n"/>
    </row>
    <row r="935">
      <c r="B935" s="199" t="n">
        <v>906</v>
      </c>
      <c r="C935" s="199" t="n"/>
      <c r="D935" s="312" t="n"/>
      <c r="E935" s="312" t="n"/>
      <c r="F935" s="312" t="n"/>
      <c r="G935" s="312" t="n"/>
      <c r="H935" s="312" t="n"/>
      <c r="I935" s="313" t="n"/>
      <c r="J935" s="319" t="n"/>
      <c r="K935" s="199" t="n"/>
      <c r="L935" s="199" t="n"/>
      <c r="M935" s="235" t="n"/>
      <c r="N935" s="235" t="n"/>
      <c r="O935" s="235" t="n"/>
    </row>
    <row r="936">
      <c r="B936" s="199" t="n">
        <v>907</v>
      </c>
      <c r="C936" s="199" t="n"/>
      <c r="D936" s="312" t="n"/>
      <c r="E936" s="312" t="n"/>
      <c r="F936" s="312" t="n"/>
      <c r="G936" s="312" t="n"/>
      <c r="H936" s="312" t="n"/>
      <c r="I936" s="313" t="n"/>
      <c r="J936" s="319" t="n"/>
      <c r="K936" s="199" t="n"/>
      <c r="L936" s="199" t="n"/>
      <c r="M936" s="235" t="n"/>
      <c r="N936" s="235" t="n"/>
      <c r="O936" s="235" t="n"/>
    </row>
    <row r="937">
      <c r="B937" s="199" t="n">
        <v>908</v>
      </c>
      <c r="C937" s="199" t="n"/>
      <c r="D937" s="312" t="n"/>
      <c r="E937" s="312" t="n"/>
      <c r="F937" s="312" t="n"/>
      <c r="G937" s="312" t="n"/>
      <c r="H937" s="312" t="n"/>
      <c r="I937" s="313" t="n"/>
      <c r="J937" s="319" t="n"/>
      <c r="K937" s="199" t="n"/>
      <c r="L937" s="199" t="n"/>
      <c r="M937" s="235" t="n"/>
      <c r="N937" s="235" t="n"/>
      <c r="O937" s="235" t="n"/>
    </row>
    <row r="938">
      <c r="B938" s="199" t="n">
        <v>909</v>
      </c>
      <c r="C938" s="199" t="n"/>
      <c r="D938" s="312" t="n"/>
      <c r="E938" s="312" t="n"/>
      <c r="F938" s="312" t="n"/>
      <c r="G938" s="312" t="n"/>
      <c r="H938" s="312" t="n"/>
      <c r="I938" s="313" t="n"/>
      <c r="J938" s="319" t="n"/>
      <c r="K938" s="199" t="n"/>
      <c r="L938" s="199" t="n"/>
      <c r="M938" s="235" t="n"/>
      <c r="N938" s="235" t="n"/>
      <c r="O938" s="235" t="n"/>
    </row>
    <row r="939">
      <c r="B939" s="199" t="n">
        <v>910</v>
      </c>
      <c r="C939" s="199" t="n"/>
      <c r="D939" s="312" t="n"/>
      <c r="E939" s="312" t="n"/>
      <c r="F939" s="312" t="n"/>
      <c r="G939" s="312" t="n"/>
      <c r="H939" s="312" t="n"/>
      <c r="I939" s="313" t="n"/>
      <c r="J939" s="319" t="n"/>
      <c r="K939" s="199" t="n"/>
      <c r="L939" s="199" t="n"/>
      <c r="M939" s="235" t="n"/>
      <c r="N939" s="235" t="n"/>
      <c r="O939" s="235" t="n"/>
    </row>
    <row r="940">
      <c r="B940" s="199" t="n">
        <v>911</v>
      </c>
      <c r="C940" s="199" t="n"/>
      <c r="D940" s="312" t="n"/>
      <c r="E940" s="312" t="n"/>
      <c r="F940" s="312" t="n"/>
      <c r="G940" s="312" t="n"/>
      <c r="H940" s="312" t="n"/>
      <c r="I940" s="313" t="n"/>
      <c r="J940" s="319" t="n"/>
      <c r="K940" s="199" t="n"/>
      <c r="L940" s="199" t="n"/>
      <c r="M940" s="235" t="n"/>
      <c r="N940" s="235" t="n"/>
      <c r="O940" s="235" t="n"/>
    </row>
    <row r="941">
      <c r="B941" s="199" t="n">
        <v>912</v>
      </c>
      <c r="C941" s="199" t="n"/>
      <c r="D941" s="312" t="n"/>
      <c r="E941" s="312" t="n"/>
      <c r="F941" s="312" t="n"/>
      <c r="G941" s="312" t="n"/>
      <c r="H941" s="312" t="n"/>
      <c r="I941" s="313" t="n"/>
      <c r="J941" s="319" t="n"/>
      <c r="K941" s="199" t="n"/>
      <c r="L941" s="199" t="n"/>
      <c r="M941" s="235" t="n"/>
      <c r="N941" s="235" t="n"/>
      <c r="O941" s="235" t="n"/>
    </row>
    <row r="942">
      <c r="B942" s="199" t="n">
        <v>913</v>
      </c>
      <c r="C942" s="199" t="n"/>
      <c r="D942" s="312" t="n"/>
      <c r="E942" s="312" t="n"/>
      <c r="F942" s="312" t="n"/>
      <c r="G942" s="312" t="n"/>
      <c r="H942" s="312" t="n"/>
      <c r="I942" s="313" t="n"/>
      <c r="J942" s="319" t="n"/>
      <c r="K942" s="199" t="n"/>
      <c r="L942" s="199" t="n"/>
      <c r="M942" s="235" t="n"/>
      <c r="N942" s="235" t="n"/>
      <c r="O942" s="235" t="n"/>
    </row>
    <row r="943">
      <c r="B943" s="199" t="n">
        <v>914</v>
      </c>
      <c r="C943" s="199" t="n"/>
      <c r="D943" s="312" t="n"/>
      <c r="E943" s="312" t="n"/>
      <c r="F943" s="312" t="n"/>
      <c r="G943" s="312" t="n"/>
      <c r="H943" s="312" t="n"/>
      <c r="I943" s="313" t="n"/>
      <c r="J943" s="319" t="n"/>
      <c r="K943" s="199" t="n"/>
      <c r="L943" s="199" t="n"/>
      <c r="M943" s="235" t="n"/>
      <c r="N943" s="235" t="n"/>
      <c r="O943" s="235" t="n"/>
    </row>
    <row r="944">
      <c r="B944" s="199" t="n">
        <v>915</v>
      </c>
      <c r="C944" s="199" t="n"/>
      <c r="D944" s="312" t="n"/>
      <c r="E944" s="312" t="n"/>
      <c r="F944" s="312" t="n"/>
      <c r="G944" s="312" t="n"/>
      <c r="H944" s="312" t="n"/>
      <c r="I944" s="313" t="n"/>
      <c r="J944" s="319" t="n"/>
      <c r="K944" s="199" t="n"/>
      <c r="L944" s="199" t="n"/>
      <c r="M944" s="235" t="n"/>
      <c r="N944" s="235" t="n"/>
      <c r="O944" s="235" t="n"/>
    </row>
    <row r="945">
      <c r="B945" s="199" t="n">
        <v>916</v>
      </c>
      <c r="C945" s="199" t="n"/>
      <c r="D945" s="312" t="n"/>
      <c r="E945" s="312" t="n"/>
      <c r="F945" s="312" t="n"/>
      <c r="G945" s="312" t="n"/>
      <c r="H945" s="312" t="n"/>
      <c r="I945" s="313" t="n"/>
      <c r="J945" s="319" t="n"/>
      <c r="K945" s="199" t="n"/>
      <c r="L945" s="199" t="n"/>
      <c r="M945" s="235" t="n"/>
      <c r="N945" s="235" t="n"/>
      <c r="O945" s="235" t="n"/>
    </row>
    <row r="946">
      <c r="B946" s="199" t="n">
        <v>917</v>
      </c>
      <c r="C946" s="199" t="n"/>
      <c r="D946" s="312" t="n"/>
      <c r="E946" s="312" t="n"/>
      <c r="F946" s="312" t="n"/>
      <c r="G946" s="312" t="n"/>
      <c r="H946" s="312" t="n"/>
      <c r="I946" s="313" t="n"/>
      <c r="J946" s="319" t="n"/>
      <c r="K946" s="199" t="n"/>
      <c r="L946" s="199" t="n"/>
      <c r="M946" s="235" t="n"/>
      <c r="N946" s="235" t="n"/>
      <c r="O946" s="235" t="n"/>
    </row>
    <row r="947">
      <c r="B947" s="199" t="n">
        <v>918</v>
      </c>
      <c r="C947" s="199" t="n"/>
      <c r="D947" s="312" t="n"/>
      <c r="E947" s="312" t="n"/>
      <c r="F947" s="312" t="n"/>
      <c r="G947" s="312" t="n"/>
      <c r="H947" s="312" t="n"/>
      <c r="I947" s="313" t="n"/>
      <c r="J947" s="319" t="n"/>
      <c r="K947" s="199" t="n"/>
      <c r="L947" s="199" t="n"/>
      <c r="M947" s="235" t="n"/>
      <c r="N947" s="235" t="n"/>
      <c r="O947" s="235" t="n"/>
    </row>
    <row r="948">
      <c r="B948" s="199" t="n">
        <v>919</v>
      </c>
      <c r="C948" s="199" t="n"/>
      <c r="D948" s="312" t="n"/>
      <c r="E948" s="312" t="n"/>
      <c r="F948" s="312" t="n"/>
      <c r="G948" s="312" t="n"/>
      <c r="H948" s="312" t="n"/>
      <c r="I948" s="313" t="n"/>
      <c r="J948" s="319" t="n"/>
      <c r="K948" s="199" t="n"/>
      <c r="L948" s="199" t="n"/>
      <c r="M948" s="235" t="n"/>
      <c r="N948" s="235" t="n"/>
      <c r="O948" s="235" t="n"/>
    </row>
    <row r="949">
      <c r="B949" s="199" t="n">
        <v>920</v>
      </c>
      <c r="C949" s="199" t="n"/>
      <c r="D949" s="312" t="n"/>
      <c r="E949" s="312" t="n"/>
      <c r="F949" s="312" t="n"/>
      <c r="G949" s="312" t="n"/>
      <c r="H949" s="312" t="n"/>
      <c r="I949" s="313" t="n"/>
      <c r="J949" s="319" t="n"/>
      <c r="K949" s="199" t="n"/>
      <c r="L949" s="199" t="n"/>
      <c r="M949" s="235" t="n"/>
      <c r="N949" s="235" t="n"/>
      <c r="O949" s="235" t="n"/>
    </row>
    <row r="950">
      <c r="B950" s="199" t="n">
        <v>921</v>
      </c>
      <c r="C950" s="199" t="n"/>
      <c r="D950" s="312" t="n"/>
      <c r="E950" s="312" t="n"/>
      <c r="F950" s="312" t="n"/>
      <c r="G950" s="312" t="n"/>
      <c r="H950" s="312" t="n"/>
      <c r="I950" s="313" t="n"/>
      <c r="J950" s="319" t="n"/>
      <c r="K950" s="199" t="n"/>
      <c r="L950" s="199" t="n"/>
      <c r="M950" s="235" t="n"/>
      <c r="N950" s="235" t="n"/>
      <c r="O950" s="235" t="n"/>
    </row>
    <row r="951">
      <c r="B951" s="199" t="n">
        <v>922</v>
      </c>
      <c r="C951" s="199" t="n"/>
      <c r="D951" s="312" t="n"/>
      <c r="E951" s="312" t="n"/>
      <c r="F951" s="312" t="n"/>
      <c r="G951" s="312" t="n"/>
      <c r="H951" s="312" t="n"/>
      <c r="I951" s="313" t="n"/>
      <c r="J951" s="319" t="n"/>
      <c r="K951" s="199" t="n"/>
      <c r="L951" s="199" t="n"/>
      <c r="M951" s="235" t="n"/>
      <c r="N951" s="235" t="n"/>
      <c r="O951" s="235" t="n"/>
    </row>
    <row r="952">
      <c r="B952" s="199" t="n">
        <v>923</v>
      </c>
      <c r="C952" s="199" t="n"/>
      <c r="D952" s="312" t="n"/>
      <c r="E952" s="312" t="n"/>
      <c r="F952" s="312" t="n"/>
      <c r="G952" s="312" t="n"/>
      <c r="H952" s="312" t="n"/>
      <c r="I952" s="313" t="n"/>
      <c r="J952" s="319" t="n"/>
      <c r="K952" s="199" t="n"/>
      <c r="L952" s="199" t="n"/>
      <c r="M952" s="235" t="n"/>
      <c r="N952" s="235" t="n"/>
      <c r="O952" s="235" t="n"/>
    </row>
    <row r="953">
      <c r="B953" s="199" t="n">
        <v>924</v>
      </c>
      <c r="C953" s="199" t="n"/>
      <c r="D953" s="312" t="n"/>
      <c r="E953" s="312" t="n"/>
      <c r="F953" s="312" t="n"/>
      <c r="G953" s="312" t="n"/>
      <c r="H953" s="312" t="n"/>
      <c r="I953" s="313" t="n"/>
      <c r="J953" s="319" t="n"/>
      <c r="K953" s="199" t="n"/>
      <c r="L953" s="199" t="n"/>
      <c r="M953" s="235" t="n"/>
      <c r="N953" s="235" t="n"/>
      <c r="O953" s="235" t="n"/>
    </row>
    <row r="954">
      <c r="B954" s="199" t="n">
        <v>925</v>
      </c>
      <c r="C954" s="199" t="n"/>
      <c r="D954" s="312" t="n"/>
      <c r="E954" s="312" t="n"/>
      <c r="F954" s="312" t="n"/>
      <c r="G954" s="312" t="n"/>
      <c r="H954" s="312" t="n"/>
      <c r="I954" s="313" t="n"/>
      <c r="J954" s="319" t="n"/>
      <c r="K954" s="199" t="n"/>
      <c r="L954" s="199" t="n"/>
      <c r="M954" s="235" t="n"/>
      <c r="N954" s="235" t="n"/>
      <c r="O954" s="235" t="n"/>
    </row>
    <row r="955">
      <c r="B955" s="199" t="n">
        <v>926</v>
      </c>
      <c r="C955" s="199" t="n"/>
      <c r="D955" s="312" t="n"/>
      <c r="E955" s="312" t="n"/>
      <c r="F955" s="312" t="n"/>
      <c r="G955" s="312" t="n"/>
      <c r="H955" s="312" t="n"/>
      <c r="I955" s="313" t="n"/>
      <c r="J955" s="319" t="n"/>
      <c r="K955" s="199" t="n"/>
      <c r="L955" s="199" t="n"/>
      <c r="M955" s="235" t="n"/>
      <c r="N955" s="235" t="n"/>
      <c r="O955" s="235" t="n"/>
    </row>
    <row r="956">
      <c r="B956" s="199" t="n">
        <v>927</v>
      </c>
      <c r="C956" s="199" t="n"/>
      <c r="D956" s="312" t="n"/>
      <c r="E956" s="312" t="n"/>
      <c r="F956" s="312" t="n"/>
      <c r="G956" s="312" t="n"/>
      <c r="H956" s="312" t="n"/>
      <c r="I956" s="313" t="n"/>
      <c r="J956" s="319" t="n"/>
      <c r="K956" s="199" t="n"/>
      <c r="L956" s="199" t="n"/>
      <c r="M956" s="235" t="n"/>
      <c r="N956" s="235" t="n"/>
      <c r="O956" s="235" t="n"/>
    </row>
    <row r="957">
      <c r="B957" s="199" t="n">
        <v>928</v>
      </c>
      <c r="C957" s="199" t="n"/>
      <c r="D957" s="312" t="n"/>
      <c r="E957" s="312" t="n"/>
      <c r="F957" s="312" t="n"/>
      <c r="G957" s="312" t="n"/>
      <c r="H957" s="312" t="n"/>
      <c r="I957" s="313" t="n"/>
      <c r="J957" s="319" t="n"/>
      <c r="K957" s="199" t="n"/>
      <c r="L957" s="199" t="n"/>
      <c r="M957" s="235" t="n"/>
      <c r="N957" s="235" t="n"/>
      <c r="O957" s="235" t="n"/>
    </row>
    <row r="958">
      <c r="B958" s="199" t="n">
        <v>929</v>
      </c>
      <c r="C958" s="199" t="n"/>
      <c r="D958" s="312" t="n"/>
      <c r="E958" s="312" t="n"/>
      <c r="F958" s="312" t="n"/>
      <c r="G958" s="312" t="n"/>
      <c r="H958" s="312" t="n"/>
      <c r="I958" s="313" t="n"/>
      <c r="J958" s="319" t="n"/>
      <c r="K958" s="199" t="n"/>
      <c r="L958" s="199" t="n"/>
      <c r="M958" s="235" t="n"/>
      <c r="N958" s="235" t="n"/>
      <c r="O958" s="235" t="n"/>
    </row>
    <row r="959">
      <c r="B959" s="199" t="n">
        <v>930</v>
      </c>
      <c r="C959" s="199" t="n"/>
      <c r="D959" s="312" t="n"/>
      <c r="E959" s="312" t="n"/>
      <c r="F959" s="312" t="n"/>
      <c r="G959" s="312" t="n"/>
      <c r="H959" s="312" t="n"/>
      <c r="I959" s="313" t="n"/>
      <c r="J959" s="319" t="n"/>
      <c r="K959" s="199" t="n"/>
      <c r="L959" s="199" t="n"/>
      <c r="M959" s="235" t="n"/>
      <c r="N959" s="235" t="n"/>
      <c r="O959" s="235" t="n"/>
    </row>
    <row r="960">
      <c r="B960" s="199" t="n">
        <v>931</v>
      </c>
      <c r="C960" s="199" t="n"/>
      <c r="D960" s="312" t="n"/>
      <c r="E960" s="312" t="n"/>
      <c r="F960" s="312" t="n"/>
      <c r="G960" s="312" t="n"/>
      <c r="H960" s="312" t="n"/>
      <c r="I960" s="313" t="n"/>
      <c r="J960" s="319" t="n"/>
      <c r="K960" s="199" t="n"/>
      <c r="L960" s="199" t="n"/>
      <c r="M960" s="235" t="n"/>
      <c r="N960" s="235" t="n"/>
      <c r="O960" s="235" t="n"/>
    </row>
    <row r="961">
      <c r="B961" s="199" t="n">
        <v>932</v>
      </c>
      <c r="C961" s="199" t="n"/>
      <c r="D961" s="312" t="n"/>
      <c r="E961" s="312" t="n"/>
      <c r="F961" s="312" t="n"/>
      <c r="G961" s="312" t="n"/>
      <c r="H961" s="312" t="n"/>
      <c r="I961" s="313" t="n"/>
      <c r="J961" s="319" t="n"/>
      <c r="K961" s="199" t="n"/>
      <c r="L961" s="199" t="n"/>
      <c r="M961" s="235" t="n"/>
      <c r="N961" s="235" t="n"/>
      <c r="O961" s="235" t="n"/>
    </row>
    <row r="962">
      <c r="B962" s="199" t="n">
        <v>933</v>
      </c>
      <c r="C962" s="199" t="n"/>
      <c r="D962" s="312" t="n"/>
      <c r="E962" s="312" t="n"/>
      <c r="F962" s="312" t="n"/>
      <c r="G962" s="312" t="n"/>
      <c r="H962" s="312" t="n"/>
      <c r="I962" s="313" t="n"/>
      <c r="J962" s="319" t="n"/>
      <c r="K962" s="199" t="n"/>
      <c r="L962" s="199" t="n"/>
      <c r="M962" s="235" t="n"/>
      <c r="N962" s="235" t="n"/>
      <c r="O962" s="235" t="n"/>
    </row>
    <row r="963">
      <c r="B963" s="199" t="n">
        <v>934</v>
      </c>
      <c r="C963" s="199" t="n"/>
      <c r="D963" s="312" t="n"/>
      <c r="E963" s="312" t="n"/>
      <c r="F963" s="312" t="n"/>
      <c r="G963" s="312" t="n"/>
      <c r="H963" s="312" t="n"/>
      <c r="I963" s="313" t="n"/>
      <c r="J963" s="319" t="n"/>
      <c r="K963" s="199" t="n"/>
      <c r="L963" s="199" t="n"/>
      <c r="M963" s="235" t="n"/>
      <c r="N963" s="235" t="n"/>
      <c r="O963" s="235" t="n"/>
    </row>
    <row r="964">
      <c r="B964" s="199" t="n">
        <v>935</v>
      </c>
      <c r="C964" s="199" t="n"/>
      <c r="D964" s="312" t="n"/>
      <c r="E964" s="312" t="n"/>
      <c r="F964" s="312" t="n"/>
      <c r="G964" s="312" t="n"/>
      <c r="H964" s="312" t="n"/>
      <c r="I964" s="313" t="n"/>
      <c r="J964" s="319" t="n"/>
      <c r="K964" s="199" t="n"/>
      <c r="L964" s="199" t="n"/>
      <c r="M964" s="235" t="n"/>
      <c r="N964" s="235" t="n"/>
      <c r="O964" s="235" t="n"/>
    </row>
    <row r="965">
      <c r="B965" s="199" t="n">
        <v>936</v>
      </c>
      <c r="C965" s="199" t="n"/>
      <c r="D965" s="312" t="n"/>
      <c r="E965" s="312" t="n"/>
      <c r="F965" s="312" t="n"/>
      <c r="G965" s="312" t="n"/>
      <c r="H965" s="312" t="n"/>
      <c r="I965" s="313" t="n"/>
      <c r="J965" s="319" t="n"/>
      <c r="K965" s="199" t="n"/>
      <c r="L965" s="199" t="n"/>
      <c r="M965" s="235" t="n"/>
      <c r="N965" s="235" t="n"/>
      <c r="O965" s="235" t="n"/>
    </row>
    <row r="966">
      <c r="B966" s="199" t="n">
        <v>937</v>
      </c>
      <c r="C966" s="199" t="n"/>
      <c r="D966" s="312" t="n"/>
      <c r="E966" s="312" t="n"/>
      <c r="F966" s="312" t="n"/>
      <c r="G966" s="312" t="n"/>
      <c r="H966" s="312" t="n"/>
      <c r="I966" s="313" t="n"/>
      <c r="J966" s="319" t="n"/>
      <c r="K966" s="199" t="n"/>
      <c r="L966" s="199" t="n"/>
      <c r="M966" s="235" t="n"/>
      <c r="N966" s="235" t="n"/>
      <c r="O966" s="235" t="n"/>
    </row>
    <row r="967">
      <c r="B967" s="199" t="n">
        <v>938</v>
      </c>
      <c r="C967" s="199" t="n"/>
      <c r="D967" s="312" t="n"/>
      <c r="E967" s="312" t="n"/>
      <c r="F967" s="312" t="n"/>
      <c r="G967" s="312" t="n"/>
      <c r="H967" s="312" t="n"/>
      <c r="I967" s="313" t="n"/>
      <c r="J967" s="319" t="n"/>
      <c r="K967" s="199" t="n"/>
      <c r="L967" s="199" t="n"/>
      <c r="M967" s="235" t="n"/>
      <c r="N967" s="235" t="n"/>
      <c r="O967" s="235" t="n"/>
    </row>
    <row r="968">
      <c r="B968" s="199" t="n">
        <v>939</v>
      </c>
      <c r="C968" s="199" t="n"/>
      <c r="D968" s="312" t="n"/>
      <c r="E968" s="312" t="n"/>
      <c r="F968" s="312" t="n"/>
      <c r="G968" s="312" t="n"/>
      <c r="H968" s="312" t="n"/>
      <c r="I968" s="313" t="n"/>
      <c r="J968" s="319" t="n"/>
      <c r="K968" s="199" t="n"/>
      <c r="L968" s="199" t="n"/>
      <c r="M968" s="235" t="n"/>
      <c r="N968" s="235" t="n"/>
      <c r="O968" s="235" t="n"/>
    </row>
    <row r="969">
      <c r="B969" s="199" t="n">
        <v>940</v>
      </c>
      <c r="C969" s="199" t="n"/>
      <c r="D969" s="312" t="n"/>
      <c r="E969" s="312" t="n"/>
      <c r="F969" s="312" t="n"/>
      <c r="G969" s="312" t="n"/>
      <c r="H969" s="312" t="n"/>
      <c r="I969" s="313" t="n"/>
      <c r="J969" s="319" t="n"/>
      <c r="K969" s="199" t="n"/>
      <c r="L969" s="199" t="n"/>
      <c r="M969" s="235" t="n"/>
      <c r="N969" s="235" t="n"/>
      <c r="O969" s="235" t="n"/>
    </row>
    <row r="970">
      <c r="B970" s="199" t="n">
        <v>941</v>
      </c>
      <c r="C970" s="199" t="n"/>
      <c r="D970" s="312" t="n"/>
      <c r="E970" s="312" t="n"/>
      <c r="F970" s="312" t="n"/>
      <c r="G970" s="312" t="n"/>
      <c r="H970" s="312" t="n"/>
      <c r="I970" s="313" t="n"/>
      <c r="J970" s="319" t="n"/>
      <c r="K970" s="199" t="n"/>
      <c r="L970" s="199" t="n"/>
      <c r="M970" s="235" t="n"/>
      <c r="N970" s="235" t="n"/>
      <c r="O970" s="235" t="n"/>
    </row>
    <row r="971">
      <c r="B971" s="199" t="n">
        <v>942</v>
      </c>
      <c r="C971" s="199" t="n"/>
      <c r="D971" s="312" t="n"/>
      <c r="E971" s="312" t="n"/>
      <c r="F971" s="312" t="n"/>
      <c r="G971" s="312" t="n"/>
      <c r="H971" s="312" t="n"/>
      <c r="I971" s="313" t="n"/>
      <c r="J971" s="319" t="n"/>
      <c r="K971" s="199" t="n"/>
      <c r="L971" s="199" t="n"/>
      <c r="M971" s="235" t="n"/>
      <c r="N971" s="235" t="n"/>
      <c r="O971" s="235" t="n"/>
    </row>
    <row r="972">
      <c r="B972" s="199" t="n">
        <v>943</v>
      </c>
      <c r="C972" s="199" t="n"/>
      <c r="D972" s="312" t="n"/>
      <c r="E972" s="312" t="n"/>
      <c r="F972" s="312" t="n"/>
      <c r="G972" s="312" t="n"/>
      <c r="H972" s="312" t="n"/>
      <c r="I972" s="313" t="n"/>
      <c r="J972" s="319" t="n"/>
      <c r="K972" s="199" t="n"/>
      <c r="L972" s="199" t="n"/>
      <c r="M972" s="235" t="n"/>
      <c r="N972" s="235" t="n"/>
      <c r="O972" s="235" t="n"/>
    </row>
    <row r="973">
      <c r="B973" s="199" t="n">
        <v>944</v>
      </c>
      <c r="C973" s="199" t="n"/>
      <c r="D973" s="312" t="n"/>
      <c r="E973" s="312" t="n"/>
      <c r="F973" s="312" t="n"/>
      <c r="G973" s="312" t="n"/>
      <c r="H973" s="312" t="n"/>
      <c r="I973" s="313" t="n"/>
      <c r="J973" s="319" t="n"/>
      <c r="K973" s="199" t="n"/>
      <c r="L973" s="199" t="n"/>
      <c r="M973" s="235" t="n"/>
      <c r="N973" s="235" t="n"/>
      <c r="O973" s="235" t="n"/>
    </row>
    <row r="974">
      <c r="B974" s="199" t="n">
        <v>945</v>
      </c>
      <c r="C974" s="199" t="n"/>
      <c r="D974" s="312" t="n"/>
      <c r="E974" s="312" t="n"/>
      <c r="F974" s="312" t="n"/>
      <c r="G974" s="312" t="n"/>
      <c r="H974" s="312" t="n"/>
      <c r="I974" s="313" t="n"/>
      <c r="J974" s="319" t="n"/>
      <c r="K974" s="199" t="n"/>
      <c r="L974" s="199" t="n"/>
      <c r="M974" s="235" t="n"/>
      <c r="N974" s="235" t="n"/>
      <c r="O974" s="235" t="n"/>
    </row>
    <row r="975">
      <c r="B975" s="199" t="n">
        <v>946</v>
      </c>
      <c r="C975" s="199" t="n"/>
      <c r="D975" s="312" t="n"/>
      <c r="E975" s="312" t="n"/>
      <c r="F975" s="312" t="n"/>
      <c r="G975" s="312" t="n"/>
      <c r="H975" s="312" t="n"/>
      <c r="I975" s="313" t="n"/>
      <c r="J975" s="319" t="n"/>
      <c r="K975" s="199" t="n"/>
      <c r="L975" s="199" t="n"/>
      <c r="M975" s="235" t="n"/>
      <c r="N975" s="235" t="n"/>
      <c r="O975" s="235" t="n"/>
    </row>
    <row r="976">
      <c r="B976" s="199" t="n">
        <v>947</v>
      </c>
      <c r="C976" s="199" t="n"/>
      <c r="D976" s="312" t="n"/>
      <c r="E976" s="312" t="n"/>
      <c r="F976" s="312" t="n"/>
      <c r="G976" s="312" t="n"/>
      <c r="H976" s="312" t="n"/>
      <c r="I976" s="313" t="n"/>
      <c r="J976" s="319" t="n"/>
      <c r="K976" s="199" t="n"/>
      <c r="L976" s="199" t="n"/>
      <c r="M976" s="235" t="n"/>
      <c r="N976" s="235" t="n"/>
      <c r="O976" s="235" t="n"/>
    </row>
    <row r="977">
      <c r="B977" s="199" t="n">
        <v>948</v>
      </c>
      <c r="C977" s="199" t="n"/>
      <c r="D977" s="312" t="n"/>
      <c r="E977" s="312" t="n"/>
      <c r="F977" s="312" t="n"/>
      <c r="G977" s="312" t="n"/>
      <c r="H977" s="312" t="n"/>
      <c r="I977" s="313" t="n"/>
      <c r="J977" s="319" t="n"/>
      <c r="K977" s="199" t="n"/>
      <c r="L977" s="199" t="n"/>
      <c r="M977" s="235" t="n"/>
      <c r="N977" s="235" t="n"/>
      <c r="O977" s="235" t="n"/>
    </row>
    <row r="978">
      <c r="B978" s="199" t="n">
        <v>949</v>
      </c>
      <c r="C978" s="199" t="n"/>
      <c r="D978" s="312" t="n"/>
      <c r="E978" s="312" t="n"/>
      <c r="F978" s="312" t="n"/>
      <c r="G978" s="312" t="n"/>
      <c r="H978" s="312" t="n"/>
      <c r="I978" s="313" t="n"/>
      <c r="J978" s="319" t="n"/>
      <c r="K978" s="199" t="n"/>
      <c r="L978" s="199" t="n"/>
      <c r="M978" s="235" t="n"/>
      <c r="N978" s="235" t="n"/>
      <c r="O978" s="235" t="n"/>
    </row>
    <row r="979">
      <c r="B979" s="199" t="n">
        <v>950</v>
      </c>
      <c r="C979" s="199" t="n"/>
      <c r="D979" s="312" t="n"/>
      <c r="E979" s="312" t="n"/>
      <c r="F979" s="312" t="n"/>
      <c r="G979" s="312" t="n"/>
      <c r="H979" s="312" t="n"/>
      <c r="I979" s="313" t="n"/>
      <c r="J979" s="319" t="n"/>
      <c r="K979" s="199" t="n"/>
      <c r="L979" s="199" t="n"/>
      <c r="M979" s="235" t="n"/>
      <c r="N979" s="235" t="n"/>
      <c r="O979" s="235" t="n"/>
    </row>
    <row r="980">
      <c r="B980" s="199" t="n">
        <v>951</v>
      </c>
      <c r="C980" s="199" t="n"/>
      <c r="D980" s="312" t="n"/>
      <c r="E980" s="312" t="n"/>
      <c r="F980" s="312" t="n"/>
      <c r="G980" s="312" t="n"/>
      <c r="H980" s="312" t="n"/>
      <c r="I980" s="313" t="n"/>
      <c r="J980" s="319" t="n"/>
      <c r="K980" s="199" t="n"/>
      <c r="L980" s="199" t="n"/>
      <c r="M980" s="235" t="n"/>
      <c r="N980" s="235" t="n"/>
      <c r="O980" s="235" t="n"/>
    </row>
    <row r="981">
      <c r="B981" s="199" t="n">
        <v>952</v>
      </c>
      <c r="C981" s="199" t="n"/>
      <c r="D981" s="312" t="n"/>
      <c r="E981" s="312" t="n"/>
      <c r="F981" s="312" t="n"/>
      <c r="G981" s="312" t="n"/>
      <c r="H981" s="312" t="n"/>
      <c r="I981" s="313" t="n"/>
      <c r="J981" s="319" t="n"/>
      <c r="K981" s="199" t="n"/>
      <c r="L981" s="199" t="n"/>
      <c r="M981" s="235" t="n"/>
      <c r="N981" s="235" t="n"/>
      <c r="O981" s="235" t="n"/>
    </row>
    <row r="982">
      <c r="B982" s="199" t="n">
        <v>953</v>
      </c>
      <c r="C982" s="199" t="n"/>
      <c r="D982" s="312" t="n"/>
      <c r="E982" s="312" t="n"/>
      <c r="F982" s="312" t="n"/>
      <c r="G982" s="312" t="n"/>
      <c r="H982" s="312" t="n"/>
      <c r="I982" s="313" t="n"/>
      <c r="J982" s="319" t="n"/>
      <c r="K982" s="199" t="n"/>
      <c r="L982" s="199" t="n"/>
      <c r="M982" s="235" t="n"/>
      <c r="N982" s="235" t="n"/>
      <c r="O982" s="235" t="n"/>
    </row>
    <row r="983">
      <c r="B983" s="199" t="n">
        <v>954</v>
      </c>
      <c r="C983" s="199" t="n"/>
      <c r="D983" s="312" t="n"/>
      <c r="E983" s="312" t="n"/>
      <c r="F983" s="312" t="n"/>
      <c r="G983" s="312" t="n"/>
      <c r="H983" s="312" t="n"/>
      <c r="I983" s="313" t="n"/>
      <c r="J983" s="319" t="n"/>
      <c r="K983" s="199" t="n"/>
      <c r="L983" s="199" t="n"/>
      <c r="M983" s="235" t="n"/>
      <c r="N983" s="235" t="n"/>
      <c r="O983" s="235" t="n"/>
    </row>
    <row r="984">
      <c r="B984" s="199" t="n">
        <v>955</v>
      </c>
      <c r="C984" s="199" t="n"/>
      <c r="D984" s="312" t="n"/>
      <c r="E984" s="312" t="n"/>
      <c r="F984" s="312" t="n"/>
      <c r="G984" s="312" t="n"/>
      <c r="H984" s="312" t="n"/>
      <c r="I984" s="313" t="n"/>
      <c r="J984" s="319" t="n"/>
      <c r="K984" s="199" t="n"/>
      <c r="L984" s="199" t="n"/>
      <c r="M984" s="235" t="n"/>
      <c r="N984" s="235" t="n"/>
      <c r="O984" s="235" t="n"/>
    </row>
    <row r="985">
      <c r="B985" s="199" t="n">
        <v>956</v>
      </c>
      <c r="C985" s="199" t="n"/>
      <c r="D985" s="312" t="n"/>
      <c r="E985" s="312" t="n"/>
      <c r="F985" s="312" t="n"/>
      <c r="G985" s="312" t="n"/>
      <c r="H985" s="312" t="n"/>
      <c r="I985" s="313" t="n"/>
      <c r="J985" s="319" t="n"/>
      <c r="K985" s="199" t="n"/>
      <c r="L985" s="199" t="n"/>
      <c r="M985" s="235" t="n"/>
      <c r="N985" s="235" t="n"/>
      <c r="O985" s="235" t="n"/>
    </row>
    <row r="986">
      <c r="B986" s="199" t="n">
        <v>957</v>
      </c>
      <c r="C986" s="199" t="n"/>
      <c r="D986" s="312" t="n"/>
      <c r="E986" s="312" t="n"/>
      <c r="F986" s="312" t="n"/>
      <c r="G986" s="312" t="n"/>
      <c r="H986" s="312" t="n"/>
      <c r="I986" s="313" t="n"/>
      <c r="J986" s="319" t="n"/>
      <c r="K986" s="199" t="n"/>
      <c r="L986" s="199" t="n"/>
      <c r="M986" s="235" t="n"/>
      <c r="N986" s="235" t="n"/>
      <c r="O986" s="235" t="n"/>
    </row>
    <row r="987">
      <c r="B987" s="199" t="n">
        <v>958</v>
      </c>
      <c r="C987" s="199" t="n"/>
      <c r="D987" s="312" t="n"/>
      <c r="E987" s="312" t="n"/>
      <c r="F987" s="312" t="n"/>
      <c r="G987" s="312" t="n"/>
      <c r="H987" s="312" t="n"/>
      <c r="I987" s="313" t="n"/>
      <c r="J987" s="319" t="n"/>
      <c r="K987" s="199" t="n"/>
      <c r="L987" s="199" t="n"/>
      <c r="M987" s="235" t="n"/>
      <c r="N987" s="235" t="n"/>
      <c r="O987" s="235" t="n"/>
    </row>
    <row r="988">
      <c r="B988" s="199" t="n">
        <v>959</v>
      </c>
      <c r="C988" s="199" t="n"/>
      <c r="D988" s="312" t="n"/>
      <c r="E988" s="312" t="n"/>
      <c r="F988" s="312" t="n"/>
      <c r="G988" s="312" t="n"/>
      <c r="H988" s="312" t="n"/>
      <c r="I988" s="313" t="n"/>
      <c r="J988" s="319" t="n"/>
      <c r="K988" s="199" t="n"/>
      <c r="L988" s="199" t="n"/>
      <c r="M988" s="235" t="n"/>
      <c r="N988" s="235" t="n"/>
      <c r="O988" s="235" t="n"/>
    </row>
    <row r="989">
      <c r="B989" s="199" t="n">
        <v>960</v>
      </c>
      <c r="C989" s="199" t="n"/>
      <c r="D989" s="312" t="n"/>
      <c r="E989" s="312" t="n"/>
      <c r="F989" s="312" t="n"/>
      <c r="G989" s="312" t="n"/>
      <c r="H989" s="312" t="n"/>
      <c r="I989" s="313" t="n"/>
      <c r="J989" s="319" t="n"/>
      <c r="K989" s="199" t="n"/>
      <c r="L989" s="199" t="n"/>
      <c r="M989" s="235" t="n"/>
      <c r="N989" s="235" t="n"/>
      <c r="O989" s="235" t="n"/>
    </row>
    <row r="990">
      <c r="B990" s="199" t="n">
        <v>961</v>
      </c>
      <c r="C990" s="199" t="n"/>
      <c r="D990" s="312" t="n"/>
      <c r="E990" s="312" t="n"/>
      <c r="F990" s="312" t="n"/>
      <c r="G990" s="312" t="n"/>
      <c r="H990" s="312" t="n"/>
      <c r="I990" s="313" t="n"/>
      <c r="J990" s="319" t="n"/>
      <c r="K990" s="199" t="n"/>
      <c r="L990" s="199" t="n"/>
      <c r="M990" s="235" t="n"/>
      <c r="N990" s="235" t="n"/>
      <c r="O990" s="235" t="n"/>
    </row>
    <row r="991">
      <c r="B991" s="199" t="n">
        <v>962</v>
      </c>
      <c r="C991" s="199" t="n"/>
      <c r="D991" s="312" t="n"/>
      <c r="E991" s="312" t="n"/>
      <c r="F991" s="312" t="n"/>
      <c r="G991" s="312" t="n"/>
      <c r="H991" s="312" t="n"/>
      <c r="I991" s="313" t="n"/>
      <c r="J991" s="319" t="n"/>
      <c r="K991" s="199" t="n"/>
      <c r="L991" s="199" t="n"/>
      <c r="M991" s="235" t="n"/>
      <c r="N991" s="235" t="n"/>
      <c r="O991" s="235" t="n"/>
    </row>
    <row r="992">
      <c r="B992" s="199" t="n">
        <v>963</v>
      </c>
      <c r="C992" s="199" t="n"/>
      <c r="D992" s="312" t="n"/>
      <c r="E992" s="312" t="n"/>
      <c r="F992" s="312" t="n"/>
      <c r="G992" s="312" t="n"/>
      <c r="H992" s="312" t="n"/>
      <c r="I992" s="313" t="n"/>
      <c r="J992" s="319" t="n"/>
      <c r="K992" s="199" t="n"/>
      <c r="L992" s="199" t="n"/>
      <c r="M992" s="235" t="n"/>
      <c r="N992" s="235" t="n"/>
      <c r="O992" s="235" t="n"/>
    </row>
    <row r="993">
      <c r="B993" s="199" t="n">
        <v>964</v>
      </c>
      <c r="C993" s="199" t="n"/>
      <c r="D993" s="312" t="n"/>
      <c r="E993" s="312" t="n"/>
      <c r="F993" s="312" t="n"/>
      <c r="G993" s="312" t="n"/>
      <c r="H993" s="312" t="n"/>
      <c r="I993" s="313" t="n"/>
      <c r="J993" s="319" t="n"/>
      <c r="K993" s="199" t="n"/>
      <c r="L993" s="199" t="n"/>
      <c r="M993" s="235" t="n"/>
      <c r="N993" s="235" t="n"/>
      <c r="O993" s="235" t="n"/>
    </row>
    <row r="994">
      <c r="B994" s="199" t="n">
        <v>965</v>
      </c>
      <c r="C994" s="199" t="n"/>
      <c r="D994" s="312" t="n"/>
      <c r="E994" s="312" t="n"/>
      <c r="F994" s="312" t="n"/>
      <c r="G994" s="312" t="n"/>
      <c r="H994" s="312" t="n"/>
      <c r="I994" s="313" t="n"/>
      <c r="J994" s="319" t="n"/>
      <c r="K994" s="199" t="n"/>
      <c r="L994" s="199" t="n"/>
      <c r="M994" s="235" t="n"/>
      <c r="N994" s="235" t="n"/>
      <c r="O994" s="235" t="n"/>
    </row>
    <row r="995">
      <c r="B995" s="199" t="n">
        <v>966</v>
      </c>
      <c r="C995" s="199" t="n"/>
      <c r="D995" s="312" t="n"/>
      <c r="E995" s="312" t="n"/>
      <c r="F995" s="312" t="n"/>
      <c r="G995" s="312" t="n"/>
      <c r="H995" s="312" t="n"/>
      <c r="I995" s="313" t="n"/>
      <c r="J995" s="319" t="n"/>
      <c r="K995" s="199" t="n"/>
      <c r="L995" s="199" t="n"/>
      <c r="M995" s="235" t="n"/>
      <c r="N995" s="235" t="n"/>
      <c r="O995" s="235" t="n"/>
    </row>
    <row r="996">
      <c r="B996" s="199" t="n">
        <v>967</v>
      </c>
      <c r="C996" s="199" t="n"/>
      <c r="D996" s="312" t="n"/>
      <c r="E996" s="312" t="n"/>
      <c r="F996" s="312" t="n"/>
      <c r="G996" s="312" t="n"/>
      <c r="H996" s="312" t="n"/>
      <c r="I996" s="313" t="n"/>
      <c r="J996" s="319" t="n"/>
      <c r="K996" s="199" t="n"/>
      <c r="L996" s="199" t="n"/>
      <c r="M996" s="235" t="n"/>
      <c r="N996" s="235" t="n"/>
      <c r="O996" s="235" t="n"/>
    </row>
    <row r="997">
      <c r="B997" s="199" t="n">
        <v>968</v>
      </c>
      <c r="C997" s="199" t="n"/>
      <c r="D997" s="312" t="n"/>
      <c r="E997" s="312" t="n"/>
      <c r="F997" s="312" t="n"/>
      <c r="G997" s="312" t="n"/>
      <c r="H997" s="312" t="n"/>
      <c r="I997" s="313" t="n"/>
      <c r="J997" s="319" t="n"/>
      <c r="K997" s="199" t="n"/>
      <c r="L997" s="199" t="n"/>
      <c r="M997" s="235" t="n"/>
      <c r="N997" s="235" t="n"/>
      <c r="O997" s="235" t="n"/>
    </row>
    <row r="998">
      <c r="B998" s="199" t="n">
        <v>969</v>
      </c>
      <c r="C998" s="199" t="n"/>
      <c r="D998" s="312" t="n"/>
      <c r="E998" s="312" t="n"/>
      <c r="F998" s="312" t="n"/>
      <c r="G998" s="312" t="n"/>
      <c r="H998" s="312" t="n"/>
      <c r="I998" s="313" t="n"/>
      <c r="J998" s="319" t="n"/>
      <c r="K998" s="199" t="n"/>
      <c r="L998" s="199" t="n"/>
      <c r="M998" s="235" t="n"/>
      <c r="N998" s="235" t="n"/>
      <c r="O998" s="235" t="n"/>
    </row>
    <row r="999">
      <c r="B999" s="199" t="n">
        <v>970</v>
      </c>
      <c r="C999" s="199" t="n"/>
      <c r="D999" s="312" t="n"/>
      <c r="E999" s="312" t="n"/>
      <c r="F999" s="312" t="n"/>
      <c r="G999" s="312" t="n"/>
      <c r="H999" s="312" t="n"/>
      <c r="I999" s="313" t="n"/>
      <c r="J999" s="319" t="n"/>
      <c r="K999" s="199" t="n"/>
      <c r="L999" s="199" t="n"/>
      <c r="M999" s="235" t="n"/>
      <c r="N999" s="235" t="n"/>
      <c r="O999" s="235" t="n"/>
    </row>
    <row r="1000">
      <c r="B1000" s="199" t="n">
        <v>971</v>
      </c>
      <c r="C1000" s="199" t="n"/>
      <c r="D1000" s="312" t="n"/>
      <c r="E1000" s="312" t="n"/>
      <c r="F1000" s="312" t="n"/>
      <c r="G1000" s="312" t="n"/>
      <c r="H1000" s="312" t="n"/>
      <c r="I1000" s="313" t="n"/>
      <c r="J1000" s="319" t="n"/>
      <c r="K1000" s="199" t="n"/>
      <c r="L1000" s="199" t="n"/>
      <c r="M1000" s="235" t="n"/>
      <c r="N1000" s="235" t="n"/>
      <c r="O1000" s="235" t="n"/>
    </row>
    <row r="1001">
      <c r="B1001" s="199" t="n">
        <v>972</v>
      </c>
      <c r="C1001" s="199" t="n"/>
      <c r="D1001" s="312" t="n"/>
      <c r="E1001" s="312" t="n"/>
      <c r="F1001" s="312" t="n"/>
      <c r="G1001" s="312" t="n"/>
      <c r="H1001" s="312" t="n"/>
      <c r="I1001" s="313" t="n"/>
      <c r="J1001" s="319" t="n"/>
      <c r="K1001" s="199" t="n"/>
      <c r="L1001" s="199" t="n"/>
      <c r="M1001" s="235" t="n"/>
      <c r="N1001" s="235" t="n"/>
      <c r="O1001" s="235" t="n"/>
    </row>
    <row r="1002">
      <c r="B1002" s="199" t="n">
        <v>973</v>
      </c>
      <c r="C1002" s="199" t="n"/>
      <c r="D1002" s="312" t="n"/>
      <c r="E1002" s="312" t="n"/>
      <c r="F1002" s="312" t="n"/>
      <c r="G1002" s="312" t="n"/>
      <c r="H1002" s="312" t="n"/>
      <c r="I1002" s="313" t="n"/>
      <c r="J1002" s="319" t="n"/>
      <c r="K1002" s="199" t="n"/>
      <c r="L1002" s="199" t="n"/>
      <c r="M1002" s="235" t="n"/>
      <c r="N1002" s="235" t="n"/>
      <c r="O1002" s="235" t="n"/>
    </row>
    <row r="1003">
      <c r="B1003" s="199" t="n">
        <v>974</v>
      </c>
      <c r="C1003" s="199" t="n"/>
      <c r="D1003" s="312" t="n"/>
      <c r="E1003" s="312" t="n"/>
      <c r="F1003" s="312" t="n"/>
      <c r="G1003" s="312" t="n"/>
      <c r="H1003" s="312" t="n"/>
      <c r="I1003" s="313" t="n"/>
      <c r="J1003" s="319" t="n"/>
      <c r="K1003" s="199" t="n"/>
      <c r="L1003" s="199" t="n"/>
      <c r="M1003" s="235" t="n"/>
      <c r="N1003" s="235" t="n"/>
      <c r="O1003" s="235" t="n"/>
    </row>
    <row r="1004">
      <c r="B1004" s="199" t="n">
        <v>975</v>
      </c>
      <c r="C1004" s="199" t="n"/>
      <c r="D1004" s="312" t="n"/>
      <c r="E1004" s="312" t="n"/>
      <c r="F1004" s="312" t="n"/>
      <c r="G1004" s="312" t="n"/>
      <c r="H1004" s="312" t="n"/>
      <c r="I1004" s="313" t="n"/>
      <c r="J1004" s="319" t="n"/>
      <c r="K1004" s="199" t="n"/>
      <c r="L1004" s="199" t="n"/>
      <c r="M1004" s="235" t="n"/>
      <c r="N1004" s="235" t="n"/>
      <c r="O1004" s="235" t="n"/>
    </row>
    <row r="1005">
      <c r="B1005" s="199" t="n">
        <v>976</v>
      </c>
      <c r="C1005" s="199" t="n"/>
      <c r="D1005" s="312" t="n"/>
      <c r="E1005" s="312" t="n"/>
      <c r="F1005" s="312" t="n"/>
      <c r="G1005" s="312" t="n"/>
      <c r="H1005" s="312" t="n"/>
      <c r="I1005" s="313" t="n"/>
      <c r="J1005" s="319" t="n"/>
      <c r="K1005" s="199" t="n"/>
      <c r="L1005" s="199" t="n"/>
      <c r="M1005" s="235" t="n"/>
      <c r="N1005" s="235" t="n"/>
      <c r="O1005" s="235" t="n"/>
    </row>
    <row r="1006">
      <c r="B1006" s="199" t="n">
        <v>977</v>
      </c>
      <c r="C1006" s="199" t="n"/>
      <c r="D1006" s="312" t="n"/>
      <c r="E1006" s="312" t="n"/>
      <c r="F1006" s="312" t="n"/>
      <c r="G1006" s="312" t="n"/>
      <c r="H1006" s="312" t="n"/>
      <c r="I1006" s="313" t="n"/>
      <c r="J1006" s="319" t="n"/>
      <c r="K1006" s="199" t="n"/>
      <c r="L1006" s="199" t="n"/>
      <c r="M1006" s="235" t="n"/>
      <c r="N1006" s="235" t="n"/>
      <c r="O1006" s="235" t="n"/>
    </row>
    <row r="1007">
      <c r="B1007" s="199" t="n">
        <v>978</v>
      </c>
      <c r="C1007" s="199" t="n"/>
      <c r="D1007" s="312" t="n"/>
      <c r="E1007" s="312" t="n"/>
      <c r="F1007" s="312" t="n"/>
      <c r="G1007" s="312" t="n"/>
      <c r="H1007" s="312" t="n"/>
      <c r="I1007" s="313" t="n"/>
      <c r="J1007" s="319" t="n"/>
      <c r="K1007" s="199" t="n"/>
      <c r="L1007" s="199" t="n"/>
      <c r="M1007" s="235" t="n"/>
      <c r="N1007" s="235" t="n"/>
      <c r="O1007" s="235" t="n"/>
    </row>
    <row r="1008">
      <c r="B1008" s="199" t="n">
        <v>979</v>
      </c>
      <c r="C1008" s="199" t="n"/>
      <c r="D1008" s="312" t="n"/>
      <c r="E1008" s="312" t="n"/>
      <c r="F1008" s="312" t="n"/>
      <c r="G1008" s="312" t="n"/>
      <c r="H1008" s="312" t="n"/>
      <c r="I1008" s="313" t="n"/>
      <c r="J1008" s="319" t="n"/>
      <c r="K1008" s="199" t="n"/>
      <c r="L1008" s="199" t="n"/>
      <c r="M1008" s="235" t="n"/>
      <c r="N1008" s="235" t="n"/>
      <c r="O1008" s="235" t="n"/>
    </row>
    <row r="1009">
      <c r="B1009" s="199" t="n">
        <v>980</v>
      </c>
      <c r="C1009" s="199" t="n"/>
      <c r="D1009" s="312" t="n"/>
      <c r="E1009" s="312" t="n"/>
      <c r="F1009" s="312" t="n"/>
      <c r="G1009" s="312" t="n"/>
      <c r="H1009" s="312" t="n"/>
      <c r="I1009" s="313" t="n"/>
      <c r="J1009" s="319" t="n"/>
      <c r="K1009" s="199" t="n"/>
      <c r="L1009" s="199" t="n"/>
      <c r="M1009" s="235" t="n"/>
      <c r="N1009" s="235" t="n"/>
      <c r="O1009" s="235" t="n"/>
    </row>
    <row r="1010">
      <c r="B1010" s="199" t="n">
        <v>981</v>
      </c>
      <c r="C1010" s="199" t="n"/>
      <c r="D1010" s="312" t="n"/>
      <c r="E1010" s="312" t="n"/>
      <c r="F1010" s="312" t="n"/>
      <c r="G1010" s="312" t="n"/>
      <c r="H1010" s="312" t="n"/>
      <c r="I1010" s="313" t="n"/>
      <c r="J1010" s="319" t="n"/>
      <c r="K1010" s="199" t="n"/>
      <c r="L1010" s="199" t="n"/>
      <c r="M1010" s="235" t="n"/>
      <c r="N1010" s="235" t="n"/>
      <c r="O1010" s="235" t="n"/>
    </row>
    <row r="1011">
      <c r="B1011" s="199" t="n">
        <v>982</v>
      </c>
      <c r="C1011" s="199" t="n"/>
      <c r="D1011" s="312" t="n"/>
      <c r="E1011" s="312" t="n"/>
      <c r="F1011" s="312" t="n"/>
      <c r="G1011" s="312" t="n"/>
      <c r="H1011" s="312" t="n"/>
      <c r="I1011" s="313" t="n"/>
      <c r="J1011" s="319" t="n"/>
      <c r="K1011" s="199" t="n"/>
      <c r="L1011" s="199" t="n"/>
      <c r="M1011" s="235" t="n"/>
      <c r="N1011" s="235" t="n"/>
      <c r="O1011" s="235" t="n"/>
    </row>
    <row r="1012">
      <c r="B1012" s="199" t="n">
        <v>983</v>
      </c>
      <c r="C1012" s="199" t="n"/>
      <c r="D1012" s="312" t="n"/>
      <c r="E1012" s="312" t="n"/>
      <c r="F1012" s="312" t="n"/>
      <c r="G1012" s="312" t="n"/>
      <c r="H1012" s="312" t="n"/>
      <c r="I1012" s="313" t="n"/>
      <c r="J1012" s="319" t="n"/>
      <c r="K1012" s="199" t="n"/>
      <c r="L1012" s="199" t="n"/>
      <c r="M1012" s="235" t="n"/>
      <c r="N1012" s="235" t="n"/>
      <c r="O1012" s="235" t="n"/>
    </row>
    <row r="1013">
      <c r="B1013" s="199" t="n">
        <v>984</v>
      </c>
      <c r="C1013" s="199" t="n"/>
      <c r="D1013" s="312" t="n"/>
      <c r="E1013" s="312" t="n"/>
      <c r="F1013" s="312" t="n"/>
      <c r="G1013" s="312" t="n"/>
      <c r="H1013" s="312" t="n"/>
      <c r="I1013" s="313" t="n"/>
      <c r="J1013" s="319" t="n"/>
      <c r="K1013" s="199" t="n"/>
      <c r="L1013" s="199" t="n"/>
      <c r="M1013" s="235" t="n"/>
      <c r="N1013" s="235" t="n"/>
      <c r="O1013" s="235" t="n"/>
    </row>
    <row r="1014">
      <c r="B1014" s="199" t="n">
        <v>985</v>
      </c>
      <c r="C1014" s="199" t="n"/>
      <c r="D1014" s="312" t="n"/>
      <c r="E1014" s="312" t="n"/>
      <c r="F1014" s="312" t="n"/>
      <c r="G1014" s="312" t="n"/>
      <c r="H1014" s="312" t="n"/>
      <c r="I1014" s="313" t="n"/>
      <c r="J1014" s="319" t="n"/>
      <c r="K1014" s="199" t="n"/>
      <c r="L1014" s="199" t="n"/>
      <c r="M1014" s="235" t="n"/>
      <c r="N1014" s="235" t="n"/>
      <c r="O1014" s="235" t="n"/>
    </row>
    <row r="1015">
      <c r="B1015" s="199" t="n">
        <v>986</v>
      </c>
      <c r="C1015" s="199" t="n"/>
      <c r="D1015" s="312" t="n"/>
      <c r="E1015" s="312" t="n"/>
      <c r="F1015" s="312" t="n"/>
      <c r="G1015" s="312" t="n"/>
      <c r="H1015" s="312" t="n"/>
      <c r="I1015" s="313" t="n"/>
      <c r="J1015" s="319" t="n"/>
      <c r="K1015" s="199" t="n"/>
      <c r="L1015" s="199" t="n"/>
      <c r="M1015" s="235" t="n"/>
      <c r="N1015" s="235" t="n"/>
      <c r="O1015" s="235" t="n"/>
    </row>
    <row r="1016">
      <c r="B1016" s="199" t="n">
        <v>987</v>
      </c>
      <c r="C1016" s="199" t="n"/>
      <c r="D1016" s="312" t="n"/>
      <c r="E1016" s="312" t="n"/>
      <c r="F1016" s="312" t="n"/>
      <c r="G1016" s="312" t="n"/>
      <c r="H1016" s="312" t="n"/>
      <c r="I1016" s="313" t="n"/>
      <c r="J1016" s="319" t="n"/>
      <c r="K1016" s="199" t="n"/>
      <c r="L1016" s="199" t="n"/>
      <c r="M1016" s="235" t="n"/>
      <c r="N1016" s="235" t="n"/>
      <c r="O1016" s="235" t="n"/>
    </row>
    <row r="1017">
      <c r="B1017" s="199" t="n">
        <v>988</v>
      </c>
      <c r="C1017" s="199" t="n"/>
      <c r="D1017" s="312" t="n"/>
      <c r="E1017" s="312" t="n"/>
      <c r="F1017" s="312" t="n"/>
      <c r="G1017" s="312" t="n"/>
      <c r="H1017" s="312" t="n"/>
      <c r="I1017" s="313" t="n"/>
      <c r="J1017" s="319" t="n"/>
      <c r="K1017" s="199" t="n"/>
      <c r="L1017" s="199" t="n"/>
      <c r="M1017" s="235" t="n"/>
      <c r="N1017" s="235" t="n"/>
      <c r="O1017" s="235" t="n"/>
    </row>
    <row r="1018">
      <c r="B1018" s="199" t="n">
        <v>989</v>
      </c>
      <c r="C1018" s="199" t="n"/>
      <c r="D1018" s="312" t="n"/>
      <c r="E1018" s="312" t="n"/>
      <c r="F1018" s="312" t="n"/>
      <c r="G1018" s="312" t="n"/>
      <c r="H1018" s="312" t="n"/>
      <c r="I1018" s="313" t="n"/>
      <c r="J1018" s="319" t="n"/>
      <c r="K1018" s="199" t="n"/>
      <c r="L1018" s="199" t="n"/>
      <c r="M1018" s="235" t="n"/>
      <c r="N1018" s="235" t="n"/>
      <c r="O1018" s="235" t="n"/>
    </row>
    <row r="1019">
      <c r="B1019" s="199" t="n">
        <v>990</v>
      </c>
      <c r="C1019" s="199" t="n"/>
      <c r="D1019" s="312" t="n"/>
      <c r="E1019" s="312" t="n"/>
      <c r="F1019" s="312" t="n"/>
      <c r="G1019" s="312" t="n"/>
      <c r="H1019" s="312" t="n"/>
      <c r="I1019" s="313" t="n"/>
      <c r="J1019" s="319" t="n"/>
      <c r="K1019" s="199" t="n"/>
      <c r="L1019" s="199" t="n"/>
      <c r="M1019" s="235" t="n"/>
      <c r="N1019" s="235" t="n"/>
      <c r="O1019" s="235" t="n"/>
    </row>
    <row r="1020">
      <c r="B1020" s="199" t="n">
        <v>991</v>
      </c>
      <c r="C1020" s="199" t="n"/>
      <c r="D1020" s="312" t="n"/>
      <c r="E1020" s="312" t="n"/>
      <c r="F1020" s="312" t="n"/>
      <c r="G1020" s="312" t="n"/>
      <c r="H1020" s="312" t="n"/>
      <c r="I1020" s="313" t="n"/>
      <c r="J1020" s="319" t="n"/>
      <c r="K1020" s="199" t="n"/>
      <c r="L1020" s="199" t="n"/>
      <c r="M1020" s="235" t="n"/>
      <c r="N1020" s="235" t="n"/>
      <c r="O1020" s="235" t="n"/>
    </row>
    <row r="1021">
      <c r="B1021" s="199" t="n">
        <v>992</v>
      </c>
      <c r="C1021" s="199" t="n"/>
      <c r="D1021" s="312" t="n"/>
      <c r="E1021" s="312" t="n"/>
      <c r="F1021" s="312" t="n"/>
      <c r="G1021" s="312" t="n"/>
      <c r="H1021" s="312" t="n"/>
      <c r="I1021" s="313" t="n"/>
      <c r="J1021" s="319" t="n"/>
      <c r="K1021" s="199" t="n"/>
      <c r="L1021" s="199" t="n"/>
      <c r="M1021" s="235" t="n"/>
      <c r="N1021" s="235" t="n"/>
      <c r="O1021" s="235" t="n"/>
    </row>
    <row r="1022">
      <c r="B1022" s="199" t="n">
        <v>993</v>
      </c>
      <c r="C1022" s="199" t="n"/>
      <c r="D1022" s="312" t="n"/>
      <c r="E1022" s="312" t="n"/>
      <c r="F1022" s="312" t="n"/>
      <c r="G1022" s="312" t="n"/>
      <c r="H1022" s="312" t="n"/>
      <c r="I1022" s="313" t="n"/>
      <c r="J1022" s="319" t="n"/>
      <c r="K1022" s="199" t="n"/>
      <c r="L1022" s="199" t="n"/>
      <c r="M1022" s="235" t="n"/>
      <c r="N1022" s="235" t="n"/>
      <c r="O1022" s="235" t="n"/>
    </row>
    <row r="1023">
      <c r="B1023" s="199" t="n">
        <v>994</v>
      </c>
      <c r="C1023" s="199" t="n"/>
      <c r="D1023" s="312" t="n"/>
      <c r="E1023" s="312" t="n"/>
      <c r="F1023" s="312" t="n"/>
      <c r="G1023" s="312" t="n"/>
      <c r="H1023" s="312" t="n"/>
      <c r="I1023" s="313" t="n"/>
      <c r="J1023" s="319" t="n"/>
      <c r="K1023" s="199" t="n"/>
      <c r="L1023" s="199" t="n"/>
      <c r="M1023" s="235" t="n"/>
      <c r="N1023" s="235" t="n"/>
      <c r="O1023" s="235" t="n"/>
    </row>
    <row r="1024">
      <c r="B1024" s="199" t="n">
        <v>995</v>
      </c>
      <c r="C1024" s="199" t="n"/>
      <c r="D1024" s="312" t="n"/>
      <c r="E1024" s="312" t="n"/>
      <c r="F1024" s="312" t="n"/>
      <c r="G1024" s="312" t="n"/>
      <c r="H1024" s="312" t="n"/>
      <c r="I1024" s="313" t="n"/>
      <c r="J1024" s="319" t="n"/>
      <c r="K1024" s="199" t="n"/>
      <c r="L1024" s="199" t="n"/>
      <c r="M1024" s="235" t="n"/>
      <c r="N1024" s="235" t="n"/>
      <c r="O1024" s="235" t="n"/>
    </row>
    <row r="1025">
      <c r="B1025" s="199" t="n">
        <v>996</v>
      </c>
      <c r="C1025" s="199" t="n"/>
      <c r="D1025" s="312" t="n"/>
      <c r="E1025" s="312" t="n"/>
      <c r="F1025" s="312" t="n"/>
      <c r="G1025" s="312" t="n"/>
      <c r="H1025" s="312" t="n"/>
      <c r="I1025" s="313" t="n"/>
      <c r="J1025" s="319" t="n"/>
      <c r="K1025" s="199" t="n"/>
      <c r="L1025" s="199" t="n"/>
      <c r="M1025" s="235" t="n"/>
      <c r="N1025" s="235" t="n"/>
      <c r="O1025" s="235" t="n"/>
    </row>
    <row r="1026">
      <c r="B1026" s="199" t="n">
        <v>997</v>
      </c>
      <c r="C1026" s="199" t="n"/>
      <c r="D1026" s="312" t="n"/>
      <c r="E1026" s="312" t="n"/>
      <c r="F1026" s="312" t="n"/>
      <c r="G1026" s="312" t="n"/>
      <c r="H1026" s="312" t="n"/>
      <c r="I1026" s="313" t="n"/>
      <c r="J1026" s="319" t="n"/>
      <c r="K1026" s="199" t="n"/>
      <c r="L1026" s="199" t="n"/>
      <c r="M1026" s="235" t="n"/>
      <c r="N1026" s="235" t="n"/>
      <c r="O1026" s="235" t="n"/>
    </row>
    <row r="1027">
      <c r="B1027" s="199" t="n">
        <v>998</v>
      </c>
      <c r="C1027" s="199" t="n"/>
      <c r="D1027" s="312" t="n"/>
      <c r="E1027" s="312" t="n"/>
      <c r="F1027" s="312" t="n"/>
      <c r="G1027" s="312" t="n"/>
      <c r="H1027" s="312" t="n"/>
      <c r="I1027" s="313" t="n"/>
      <c r="J1027" s="319" t="n"/>
      <c r="K1027" s="199" t="n"/>
      <c r="L1027" s="199" t="n"/>
      <c r="M1027" s="235" t="n"/>
      <c r="N1027" s="235" t="n"/>
      <c r="O1027" s="235" t="n"/>
    </row>
    <row r="1028">
      <c r="B1028" s="232" t="n"/>
      <c r="C1028" s="232" t="n"/>
      <c r="J1028" s="232" t="n"/>
      <c r="K1028" s="232" t="n"/>
      <c r="L1028" s="232" t="n"/>
    </row>
  </sheetData>
  <mergeCells count="1027">
    <mergeCell ref="C1023:I1023"/>
    <mergeCell ref="C852:I852"/>
    <mergeCell ref="C262:I262"/>
    <mergeCell ref="C529:I529"/>
    <mergeCell ref="C700:I700"/>
    <mergeCell ref="C998:I998"/>
    <mergeCell ref="C802:I802"/>
    <mergeCell ref="C827:I827"/>
    <mergeCell ref="C765:I765"/>
    <mergeCell ref="C237:I237"/>
    <mergeCell ref="C547:I547"/>
    <mergeCell ref="C783:I783"/>
    <mergeCell ref="C53:I53"/>
    <mergeCell ref="C28:I28"/>
    <mergeCell ref="C351:I351"/>
    <mergeCell ref="C326:I326"/>
    <mergeCell ref="C593:I593"/>
    <mergeCell ref="B12:L12"/>
    <mergeCell ref="C1000:I1000"/>
    <mergeCell ref="C829:I829"/>
    <mergeCell ref="C239:I239"/>
    <mergeCell ref="C310:I310"/>
    <mergeCell ref="C847:I847"/>
    <mergeCell ref="C608:I608"/>
    <mergeCell ref="C92:I92"/>
    <mergeCell ref="C30:I30"/>
    <mergeCell ref="C695:I695"/>
    <mergeCell ref="C524:I524"/>
    <mergeCell ref="C766:I766"/>
    <mergeCell ref="C595:I595"/>
    <mergeCell ref="C893:I893"/>
    <mergeCell ref="C97:I97"/>
    <mergeCell ref="C290:I290"/>
    <mergeCell ref="C624:I624"/>
    <mergeCell ref="C384:I384"/>
    <mergeCell ref="C918:I918"/>
    <mergeCell ref="C321:I321"/>
    <mergeCell ref="C255:I255"/>
    <mergeCell ref="C413:I413"/>
    <mergeCell ref="C684:I684"/>
    <mergeCell ref="C242:I242"/>
    <mergeCell ref="C982:I982"/>
    <mergeCell ref="C478:I478"/>
    <mergeCell ref="C842:I842"/>
    <mergeCell ref="C776:I776"/>
    <mergeCell ref="C192:I192"/>
    <mergeCell ref="C969:I969"/>
    <mergeCell ref="C252:I252"/>
    <mergeCell ref="C21:I21"/>
    <mergeCell ref="C550:I550"/>
    <mergeCell ref="C379:I379"/>
    <mergeCell ref="C621:I621"/>
    <mergeCell ref="C615:I615"/>
    <mergeCell ref="C919:I919"/>
    <mergeCell ref="C415:I415"/>
    <mergeCell ref="C857:I857"/>
    <mergeCell ref="C664:I664"/>
    <mergeCell ref="C542:I542"/>
    <mergeCell ref="C713:I713"/>
    <mergeCell ref="C840:I840"/>
    <mergeCell ref="C123:I123"/>
    <mergeCell ref="C949:I949"/>
    <mergeCell ref="C23:I23"/>
    <mergeCell ref="C316:I316"/>
    <mergeCell ref="C194:I194"/>
    <mergeCell ref="C492:I492"/>
    <mergeCell ref="C906:I906"/>
    <mergeCell ref="C552:I552"/>
    <mergeCell ref="C181:I181"/>
    <mergeCell ref="C408:I408"/>
    <mergeCell ref="C623:I623"/>
    <mergeCell ref="C850:I850"/>
    <mergeCell ref="C679:I679"/>
    <mergeCell ref="C921:I921"/>
    <mergeCell ref="C650:I650"/>
    <mergeCell ref="C777:I777"/>
    <mergeCell ref="C606:I606"/>
    <mergeCell ref="C715:I715"/>
    <mergeCell ref="C544:I544"/>
    <mergeCell ref="C908:I908"/>
    <mergeCell ref="C1013:I1013"/>
    <mergeCell ref="C473:I473"/>
    <mergeCell ref="C423:I423"/>
    <mergeCell ref="C174:I174"/>
    <mergeCell ref="C616:I616"/>
    <mergeCell ref="C10:I11"/>
    <mergeCell ref="C410:I410"/>
    <mergeCell ref="C481:I481"/>
    <mergeCell ref="C950:I950"/>
    <mergeCell ref="C779:I779"/>
    <mergeCell ref="C189:I189"/>
    <mergeCell ref="C456:I456"/>
    <mergeCell ref="C18:I18"/>
    <mergeCell ref="C34:I34"/>
    <mergeCell ref="C568:I568"/>
    <mergeCell ref="C397:I397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29:I29"/>
    <mergeCell ref="C855:I855"/>
    <mergeCell ref="C100:I100"/>
    <mergeCell ref="C205:I205"/>
    <mergeCell ref="C265:I265"/>
    <mergeCell ref="C94:I94"/>
    <mergeCell ref="C336:I336"/>
    <mergeCell ref="C563:I563"/>
    <mergeCell ref="C830:I830"/>
    <mergeCell ref="C634:I634"/>
    <mergeCell ref="C901:I901"/>
    <mergeCell ref="C65:I65"/>
    <mergeCell ref="C428:I428"/>
    <mergeCell ref="C311:I311"/>
    <mergeCell ref="C44:I44"/>
    <mergeCell ref="C167:I167"/>
    <mergeCell ref="C609:I609"/>
    <mergeCell ref="C142:I142"/>
    <mergeCell ref="C80:I80"/>
    <mergeCell ref="C403:I403"/>
    <mergeCell ref="C645:I645"/>
    <mergeCell ref="C701:I701"/>
    <mergeCell ref="C129:I129"/>
    <mergeCell ref="C1003:I1003"/>
    <mergeCell ref="C832:I832"/>
    <mergeCell ref="C365:I365"/>
    <mergeCell ref="C924:I924"/>
    <mergeCell ref="C169:I169"/>
    <mergeCell ref="C611:I611"/>
    <mergeCell ref="C467:I467"/>
    <mergeCell ref="J10:J11"/>
    <mergeCell ref="C598:I598"/>
    <mergeCell ref="C703:I703"/>
    <mergeCell ref="C896:I896"/>
    <mergeCell ref="C665:I665"/>
    <mergeCell ref="C233:I233"/>
    <mergeCell ref="C640:I640"/>
    <mergeCell ref="C710:I710"/>
    <mergeCell ref="C469:I469"/>
    <mergeCell ref="C1019:I1019"/>
    <mergeCell ref="C848:I848"/>
    <mergeCell ref="C131:I131"/>
    <mergeCell ref="C258:I258"/>
    <mergeCell ref="C500:I500"/>
    <mergeCell ref="C556:I556"/>
    <mergeCell ref="C494:I494"/>
    <mergeCell ref="C245:I245"/>
    <mergeCell ref="C858:I858"/>
    <mergeCell ref="C49:I49"/>
    <mergeCell ref="C714:I714"/>
    <mergeCell ref="C543:I543"/>
    <mergeCell ref="C785:I785"/>
    <mergeCell ref="C614:I614"/>
    <mergeCell ref="C195:I195"/>
    <mergeCell ref="C1021:I1021"/>
    <mergeCell ref="C266:I266"/>
    <mergeCell ref="C493:I493"/>
    <mergeCell ref="C322:I322"/>
    <mergeCell ref="C431:I431"/>
    <mergeCell ref="C260:I260"/>
    <mergeCell ref="C116:I116"/>
    <mergeCell ref="C558:I558"/>
    <mergeCell ref="C24:I24"/>
    <mergeCell ref="C922:I922"/>
    <mergeCell ref="C800:I800"/>
    <mergeCell ref="C716:I716"/>
    <mergeCell ref="C545:I545"/>
    <mergeCell ref="C958:I958"/>
    <mergeCell ref="C1014:I1014"/>
    <mergeCell ref="C843:I843"/>
    <mergeCell ref="C914:I914"/>
    <mergeCell ref="C787:I787"/>
    <mergeCell ref="C259:I259"/>
    <mergeCell ref="C197:I197"/>
    <mergeCell ref="C495:I495"/>
    <mergeCell ref="C324:I324"/>
    <mergeCell ref="C126:I126"/>
    <mergeCell ref="C88:I88"/>
    <mergeCell ref="C26:I26"/>
    <mergeCell ref="C482:I482"/>
    <mergeCell ref="C416:I416"/>
    <mergeCell ref="C780:I780"/>
    <mergeCell ref="C1016:I1016"/>
    <mergeCell ref="C845:I845"/>
    <mergeCell ref="C432:I432"/>
    <mergeCell ref="C261:I261"/>
    <mergeCell ref="C117:I117"/>
    <mergeCell ref="C55:I55"/>
    <mergeCell ref="K10:K11"/>
    <mergeCell ref="C795:I795"/>
    <mergeCell ref="C546:I546"/>
    <mergeCell ref="C782:I782"/>
    <mergeCell ref="C447:I447"/>
    <mergeCell ref="C115:I115"/>
    <mergeCell ref="C213:I213"/>
    <mergeCell ref="C479:I479"/>
    <mergeCell ref="C273:I273"/>
    <mergeCell ref="C571:I571"/>
    <mergeCell ref="C400:I400"/>
    <mergeCell ref="C869:I869"/>
    <mergeCell ref="C698:I698"/>
    <mergeCell ref="C940:I940"/>
    <mergeCell ref="C52:I52"/>
    <mergeCell ref="C734:I734"/>
    <mergeCell ref="C150:I150"/>
    <mergeCell ref="C927:I927"/>
    <mergeCell ref="C39:I39"/>
    <mergeCell ref="C144:I144"/>
    <mergeCell ref="C337:I337"/>
    <mergeCell ref="C442:I442"/>
    <mergeCell ref="C635:I635"/>
    <mergeCell ref="C513:I513"/>
    <mergeCell ref="C877:I877"/>
    <mergeCell ref="C573:I573"/>
    <mergeCell ref="C429:I429"/>
    <mergeCell ref="C871:I871"/>
    <mergeCell ref="C671:I671"/>
    <mergeCell ref="C942:I942"/>
    <mergeCell ref="C727:I727"/>
    <mergeCell ref="C798:I798"/>
    <mergeCell ref="C932:I932"/>
    <mergeCell ref="C548:I548"/>
    <mergeCell ref="C414:I414"/>
    <mergeCell ref="C352:I352"/>
    <mergeCell ref="C208:I208"/>
    <mergeCell ref="C917:I917"/>
    <mergeCell ref="C37:I37"/>
    <mergeCell ref="C339:I339"/>
    <mergeCell ref="C81:I81"/>
    <mergeCell ref="C686:I686"/>
    <mergeCell ref="C637:I637"/>
    <mergeCell ref="C437:I437"/>
    <mergeCell ref="C935:I935"/>
    <mergeCell ref="C735:I735"/>
    <mergeCell ref="C419:I419"/>
    <mergeCell ref="C729:I729"/>
    <mergeCell ref="C145:I145"/>
    <mergeCell ref="C971:I971"/>
    <mergeCell ref="C406:I406"/>
    <mergeCell ref="C381:I381"/>
    <mergeCell ref="C210:I210"/>
    <mergeCell ref="C946:I946"/>
    <mergeCell ref="C185:I185"/>
    <mergeCell ref="C937:I937"/>
    <mergeCell ref="C564:I564"/>
    <mergeCell ref="C63:I63"/>
    <mergeCell ref="C330:I330"/>
    <mergeCell ref="C305:I305"/>
    <mergeCell ref="C134:I134"/>
    <mergeCell ref="C566:I566"/>
    <mergeCell ref="C50:I50"/>
    <mergeCell ref="C864:I864"/>
    <mergeCell ref="C286:I286"/>
    <mergeCell ref="C553:I553"/>
    <mergeCell ref="C584:I584"/>
    <mergeCell ref="C1022:I1022"/>
    <mergeCell ref="C851:I851"/>
    <mergeCell ref="C826:I826"/>
    <mergeCell ref="C90:I90"/>
    <mergeCell ref="C503:I503"/>
    <mergeCell ref="C388:I388"/>
    <mergeCell ref="C332:I332"/>
    <mergeCell ref="C801:I801"/>
    <mergeCell ref="C630:I630"/>
    <mergeCell ref="C861:I861"/>
    <mergeCell ref="C163:I163"/>
    <mergeCell ref="C350:I350"/>
    <mergeCell ref="C866:I866"/>
    <mergeCell ref="C617:I617"/>
    <mergeCell ref="C138:I138"/>
    <mergeCell ref="C915:I915"/>
    <mergeCell ref="C27:I27"/>
    <mergeCell ref="C132:I132"/>
    <mergeCell ref="C1024:I1024"/>
    <mergeCell ref="C76:I76"/>
    <mergeCell ref="C853:I853"/>
    <mergeCell ref="C567:I567"/>
    <mergeCell ref="C119:I119"/>
    <mergeCell ref="C865:I865"/>
    <mergeCell ref="C732:I732"/>
    <mergeCell ref="C803:I803"/>
    <mergeCell ref="C632:I632"/>
    <mergeCell ref="C561:I561"/>
    <mergeCell ref="C930:I930"/>
    <mergeCell ref="C361:I361"/>
    <mergeCell ref="C790:I790"/>
    <mergeCell ref="C498:I498"/>
    <mergeCell ref="C327:I327"/>
    <mergeCell ref="C425:I425"/>
    <mergeCell ref="C723:I723"/>
    <mergeCell ref="C661:I661"/>
    <mergeCell ref="C264:I264"/>
    <mergeCell ref="C450:I450"/>
    <mergeCell ref="C279:I279"/>
    <mergeCell ref="C643:I643"/>
    <mergeCell ref="C748:I748"/>
    <mergeCell ref="C819:I819"/>
    <mergeCell ref="C879:I879"/>
    <mergeCell ref="C387:I387"/>
    <mergeCell ref="C216:I216"/>
    <mergeCell ref="C45:I45"/>
    <mergeCell ref="C685:I685"/>
    <mergeCell ref="C514:I514"/>
    <mergeCell ref="C756:I756"/>
    <mergeCell ref="C452:I452"/>
    <mergeCell ref="C343:I343"/>
    <mergeCell ref="C750:I750"/>
    <mergeCell ref="C501:I501"/>
    <mergeCell ref="C943:I943"/>
    <mergeCell ref="C281:I281"/>
    <mergeCell ref="C737:I737"/>
    <mergeCell ref="C353:I353"/>
    <mergeCell ref="C109:I109"/>
    <mergeCell ref="C451:I451"/>
    <mergeCell ref="C280:I280"/>
    <mergeCell ref="C218:I218"/>
    <mergeCell ref="C445:I445"/>
    <mergeCell ref="C274:I274"/>
    <mergeCell ref="C687:I687"/>
    <mergeCell ref="C516:I516"/>
    <mergeCell ref="C1010:I1010"/>
    <mergeCell ref="C985:I985"/>
    <mergeCell ref="C814:I814"/>
    <mergeCell ref="C47:I47"/>
    <mergeCell ref="C345:I345"/>
    <mergeCell ref="C972:I972"/>
    <mergeCell ref="C244:I244"/>
    <mergeCell ref="C211:I211"/>
    <mergeCell ref="C40:I40"/>
    <mergeCell ref="C453:I453"/>
    <mergeCell ref="C282:I282"/>
    <mergeCell ref="C751:I751"/>
    <mergeCell ref="C580:I580"/>
    <mergeCell ref="C1012:I1012"/>
    <mergeCell ref="C987:I987"/>
    <mergeCell ref="C974:I974"/>
    <mergeCell ref="C778:I778"/>
    <mergeCell ref="C71:I71"/>
    <mergeCell ref="C592:I592"/>
    <mergeCell ref="C890:I890"/>
    <mergeCell ref="C371:I371"/>
    <mergeCell ref="C165:I165"/>
    <mergeCell ref="C358:I358"/>
    <mergeCell ref="C656:I656"/>
    <mergeCell ref="C66:I66"/>
    <mergeCell ref="C892:I892"/>
    <mergeCell ref="C308:I308"/>
    <mergeCell ref="C631:I631"/>
    <mergeCell ref="C990:I990"/>
    <mergeCell ref="C569:I569"/>
    <mergeCell ref="C102:I102"/>
    <mergeCell ref="C867:I867"/>
    <mergeCell ref="C229:I229"/>
    <mergeCell ref="C965:I965"/>
    <mergeCell ref="C77:I77"/>
    <mergeCell ref="C658:I658"/>
    <mergeCell ref="C375:I375"/>
    <mergeCell ref="C179:I179"/>
    <mergeCell ref="C956:I956"/>
    <mergeCell ref="C446:I446"/>
    <mergeCell ref="C68:I68"/>
    <mergeCell ref="C804:I804"/>
    <mergeCell ref="C682:I682"/>
    <mergeCell ref="C633:I633"/>
    <mergeCell ref="C489:I489"/>
    <mergeCell ref="C464:I464"/>
    <mergeCell ref="C427:I427"/>
    <mergeCell ref="C402:I402"/>
    <mergeCell ref="C725:I725"/>
    <mergeCell ref="C166:I166"/>
    <mergeCell ref="C967:I967"/>
    <mergeCell ref="C160:I160"/>
    <mergeCell ref="C141:I141"/>
    <mergeCell ref="C377:I377"/>
    <mergeCell ref="C206:I206"/>
    <mergeCell ref="C662:I662"/>
    <mergeCell ref="C933:I933"/>
    <mergeCell ref="C143:I143"/>
    <mergeCell ref="C1025:I1025"/>
    <mergeCell ref="C441:I441"/>
    <mergeCell ref="C270:I270"/>
    <mergeCell ref="C506:I506"/>
    <mergeCell ref="C870:I870"/>
    <mergeCell ref="C522:I522"/>
    <mergeCell ref="C59:I59"/>
    <mergeCell ref="C295:I295"/>
    <mergeCell ref="C46:I46"/>
    <mergeCell ref="C380:I380"/>
    <mergeCell ref="C822:I822"/>
    <mergeCell ref="C882:I882"/>
    <mergeCell ref="C61:I61"/>
    <mergeCell ref="C359:I359"/>
    <mergeCell ref="C159:I159"/>
    <mergeCell ref="C219:I219"/>
    <mergeCell ref="C153:I153"/>
    <mergeCell ref="C48:I48"/>
    <mergeCell ref="C346:I346"/>
    <mergeCell ref="C688:I688"/>
    <mergeCell ref="C517:I517"/>
    <mergeCell ref="C759:I759"/>
    <mergeCell ref="C588:I588"/>
    <mergeCell ref="C395:I395"/>
    <mergeCell ref="C753:I753"/>
    <mergeCell ref="C582:I582"/>
    <mergeCell ref="C995:I995"/>
    <mergeCell ref="C824:I824"/>
    <mergeCell ref="C680:I680"/>
    <mergeCell ref="C653:I653"/>
    <mergeCell ref="C740:I740"/>
    <mergeCell ref="C296:I296"/>
    <mergeCell ref="C125:I125"/>
    <mergeCell ref="C283:I283"/>
    <mergeCell ref="C217:I217"/>
    <mergeCell ref="C161:I161"/>
    <mergeCell ref="C690:I690"/>
    <mergeCell ref="C519:I519"/>
    <mergeCell ref="C348:I348"/>
    <mergeCell ref="C988:I988"/>
    <mergeCell ref="C817:I817"/>
    <mergeCell ref="C646:I646"/>
    <mergeCell ref="C110:I110"/>
    <mergeCell ref="C298:I298"/>
    <mergeCell ref="C154:I154"/>
    <mergeCell ref="C980:I980"/>
    <mergeCell ref="C285:I285"/>
    <mergeCell ref="C390:I390"/>
    <mergeCell ref="C754:I754"/>
    <mergeCell ref="C583:I583"/>
    <mergeCell ref="C648:I648"/>
    <mergeCell ref="C677:I677"/>
    <mergeCell ref="C156:I156"/>
    <mergeCell ref="C769:I769"/>
    <mergeCell ref="C74:I74"/>
    <mergeCell ref="C372:I372"/>
    <mergeCell ref="C250:I250"/>
    <mergeCell ref="C875:I875"/>
    <mergeCell ref="C706:I706"/>
    <mergeCell ref="C535:I535"/>
    <mergeCell ref="C16:I16"/>
    <mergeCell ref="C964:I964"/>
    <mergeCell ref="C374:I374"/>
    <mergeCell ref="C401:I401"/>
    <mergeCell ref="C672:I672"/>
    <mergeCell ref="C472:I472"/>
    <mergeCell ref="C301:I301"/>
    <mergeCell ref="C230:I230"/>
    <mergeCell ref="C466:I466"/>
    <mergeCell ref="C168:I168"/>
    <mergeCell ref="C708:I708"/>
    <mergeCell ref="C764:I764"/>
    <mergeCell ref="C659:I659"/>
    <mergeCell ref="C1006:I1006"/>
    <mergeCell ref="C537:I537"/>
    <mergeCell ref="C895:I895"/>
    <mergeCell ref="C180:I180"/>
    <mergeCell ref="C118:I118"/>
    <mergeCell ref="C993:I993"/>
    <mergeCell ref="C238:I238"/>
    <mergeCell ref="C232:I232"/>
    <mergeCell ref="C674:I674"/>
    <mergeCell ref="C474:I474"/>
    <mergeCell ref="C530:I530"/>
    <mergeCell ref="C303:I303"/>
    <mergeCell ref="C772:I772"/>
    <mergeCell ref="C601:I601"/>
    <mergeCell ref="C207:I207"/>
    <mergeCell ref="C182:I182"/>
    <mergeCell ref="C959:I959"/>
    <mergeCell ref="C1008:I1008"/>
    <mergeCell ref="C747:I747"/>
    <mergeCell ref="C983:I983"/>
    <mergeCell ref="C532:I532"/>
    <mergeCell ref="C970:I970"/>
    <mergeCell ref="C799:I799"/>
    <mergeCell ref="C911:I911"/>
    <mergeCell ref="C69:I69"/>
    <mergeCell ref="C96:I96"/>
    <mergeCell ref="C87:I87"/>
    <mergeCell ref="C354:I354"/>
    <mergeCell ref="C823:I823"/>
    <mergeCell ref="C652:I652"/>
    <mergeCell ref="C894:I894"/>
    <mergeCell ref="C761:I761"/>
    <mergeCell ref="C627:I627"/>
    <mergeCell ref="C888:I888"/>
    <mergeCell ref="C590:I590"/>
    <mergeCell ref="C421:I421"/>
    <mergeCell ref="C62:I62"/>
    <mergeCell ref="C986:I986"/>
    <mergeCell ref="C98:I98"/>
    <mergeCell ref="C369:I369"/>
    <mergeCell ref="C396:I396"/>
    <mergeCell ref="C667:I667"/>
    <mergeCell ref="C89:I89"/>
    <mergeCell ref="C527:I527"/>
    <mergeCell ref="C996:I996"/>
    <mergeCell ref="C825:I825"/>
    <mergeCell ref="C681:I681"/>
    <mergeCell ref="C952:I952"/>
    <mergeCell ref="C64:I64"/>
    <mergeCell ref="C752:I752"/>
    <mergeCell ref="C654:I654"/>
    <mergeCell ref="C629:I629"/>
    <mergeCell ref="C619:I619"/>
    <mergeCell ref="C485:I485"/>
    <mergeCell ref="C368:I368"/>
    <mergeCell ref="C306:I306"/>
    <mergeCell ref="C460:I460"/>
    <mergeCell ref="C162:I162"/>
    <mergeCell ref="C398:I398"/>
    <mergeCell ref="C349:I349"/>
    <mergeCell ref="C591:I591"/>
    <mergeCell ref="C696:I696"/>
    <mergeCell ref="C889:I889"/>
    <mergeCell ref="C683:I683"/>
    <mergeCell ref="C954:I954"/>
    <mergeCell ref="C177:I177"/>
    <mergeCell ref="C981:I981"/>
    <mergeCell ref="C226:I226"/>
    <mergeCell ref="C364:I364"/>
    <mergeCell ref="C335:I335"/>
    <mergeCell ref="C164:I164"/>
    <mergeCell ref="C93:I93"/>
    <mergeCell ref="C462:I462"/>
    <mergeCell ref="C760:I760"/>
    <mergeCell ref="C891:I891"/>
    <mergeCell ref="C222:I222"/>
    <mergeCell ref="C251:I251"/>
    <mergeCell ref="C487:I487"/>
    <mergeCell ref="C920:I920"/>
    <mergeCell ref="C916:I916"/>
    <mergeCell ref="C17:I17"/>
    <mergeCell ref="C903:I903"/>
    <mergeCell ref="C253:I253"/>
    <mergeCell ref="C82:I82"/>
    <mergeCell ref="C551:I551"/>
    <mergeCell ref="C622:I622"/>
    <mergeCell ref="C411:I411"/>
    <mergeCell ref="C240:I240"/>
    <mergeCell ref="C709:I709"/>
    <mergeCell ref="C538:I538"/>
    <mergeCell ref="C1007:I1007"/>
    <mergeCell ref="C945:I945"/>
    <mergeCell ref="C774:I774"/>
    <mergeCell ref="C190:I190"/>
    <mergeCell ref="C19:I19"/>
    <mergeCell ref="C317:I317"/>
    <mergeCell ref="C111:I111"/>
    <mergeCell ref="C304:I304"/>
    <mergeCell ref="C773:I773"/>
    <mergeCell ref="C602:I602"/>
    <mergeCell ref="C711:I711"/>
    <mergeCell ref="C540:I540"/>
    <mergeCell ref="C480:I480"/>
    <mergeCell ref="C1009:I1009"/>
    <mergeCell ref="C838:I838"/>
    <mergeCell ref="C254:I254"/>
    <mergeCell ref="C83:I83"/>
    <mergeCell ref="C248:I248"/>
    <mergeCell ref="C515:I515"/>
    <mergeCell ref="C490:I490"/>
    <mergeCell ref="C319:I319"/>
    <mergeCell ref="C175:I175"/>
    <mergeCell ref="C235:I235"/>
    <mergeCell ref="C477:I477"/>
    <mergeCell ref="C775:I775"/>
    <mergeCell ref="C604:I604"/>
    <mergeCell ref="C902:I902"/>
    <mergeCell ref="C14:I14"/>
    <mergeCell ref="C579:I579"/>
    <mergeCell ref="C815:I815"/>
    <mergeCell ref="C475:I475"/>
    <mergeCell ref="C393:I393"/>
    <mergeCell ref="C137:I137"/>
    <mergeCell ref="B2:D9"/>
    <mergeCell ref="C702:I702"/>
    <mergeCell ref="C124:I124"/>
    <mergeCell ref="C422:I422"/>
    <mergeCell ref="C693:I693"/>
    <mergeCell ref="C925:I925"/>
    <mergeCell ref="C668:I668"/>
    <mergeCell ref="C1027:I1027"/>
    <mergeCell ref="C201:I201"/>
    <mergeCell ref="C139:I139"/>
    <mergeCell ref="C704:I704"/>
    <mergeCell ref="C188:I188"/>
    <mergeCell ref="C1002:I1002"/>
    <mergeCell ref="C424:I424"/>
    <mergeCell ref="C722:I722"/>
    <mergeCell ref="C793:I793"/>
    <mergeCell ref="C399:I399"/>
    <mergeCell ref="C203:I203"/>
    <mergeCell ref="C470:I470"/>
    <mergeCell ref="C526:I526"/>
    <mergeCell ref="C228:I228"/>
    <mergeCell ref="C939:I939"/>
    <mergeCell ref="C768:I768"/>
    <mergeCell ref="C762:I762"/>
    <mergeCell ref="C1004:I1004"/>
    <mergeCell ref="C488:I488"/>
    <mergeCell ref="C724:I724"/>
    <mergeCell ref="C991:I991"/>
    <mergeCell ref="C607:I607"/>
    <mergeCell ref="C292:I292"/>
    <mergeCell ref="C699:I699"/>
    <mergeCell ref="C528:I528"/>
    <mergeCell ref="C941:I941"/>
    <mergeCell ref="C788:I788"/>
    <mergeCell ref="C636:I636"/>
    <mergeCell ref="C907:I907"/>
    <mergeCell ref="C465:I465"/>
    <mergeCell ref="C828:I828"/>
    <mergeCell ref="C559:I559"/>
    <mergeCell ref="C108:I108"/>
    <mergeCell ref="C1015:I1015"/>
    <mergeCell ref="C844:I844"/>
    <mergeCell ref="C909:I909"/>
    <mergeCell ref="C325:I325"/>
    <mergeCell ref="C417:I417"/>
    <mergeCell ref="C859:I859"/>
    <mergeCell ref="C20:I20"/>
    <mergeCell ref="C1017:I1017"/>
    <mergeCell ref="C846:I846"/>
    <mergeCell ref="C318:I318"/>
    <mergeCell ref="C973:I973"/>
    <mergeCell ref="C560:I560"/>
    <mergeCell ref="C389:I389"/>
    <mergeCell ref="C256:I256"/>
    <mergeCell ref="C554:I554"/>
    <mergeCell ref="C383:I383"/>
    <mergeCell ref="C625:I625"/>
    <mergeCell ref="C196:I196"/>
    <mergeCell ref="C183:I183"/>
    <mergeCell ref="C923:I923"/>
    <mergeCell ref="C541:I541"/>
    <mergeCell ref="C112:I112"/>
    <mergeCell ref="C612:I612"/>
    <mergeCell ref="C839:I839"/>
    <mergeCell ref="C84:I84"/>
    <mergeCell ref="C717:I717"/>
    <mergeCell ref="C910:I910"/>
    <mergeCell ref="C127:I127"/>
    <mergeCell ref="C193:I193"/>
    <mergeCell ref="C133:I133"/>
    <mergeCell ref="C904:I904"/>
    <mergeCell ref="C491:I491"/>
    <mergeCell ref="C320:I320"/>
    <mergeCell ref="C198:I198"/>
    <mergeCell ref="C176:I176"/>
    <mergeCell ref="C418:I418"/>
    <mergeCell ref="C247:I247"/>
    <mergeCell ref="C356:I356"/>
    <mergeCell ref="C412:I412"/>
    <mergeCell ref="C854:I854"/>
    <mergeCell ref="C605:I605"/>
    <mergeCell ref="C483:I483"/>
    <mergeCell ref="C114:I114"/>
    <mergeCell ref="C781:I781"/>
    <mergeCell ref="C841:I841"/>
    <mergeCell ref="C719:I719"/>
    <mergeCell ref="C912:I912"/>
    <mergeCell ref="C257:I257"/>
    <mergeCell ref="C51:I51"/>
    <mergeCell ref="C178:I178"/>
    <mergeCell ref="C791:I791"/>
    <mergeCell ref="C1011:I1011"/>
    <mergeCell ref="C620:I620"/>
    <mergeCell ref="C443:I443"/>
    <mergeCell ref="C272:I272"/>
    <mergeCell ref="C872:I872"/>
    <mergeCell ref="C209:I209"/>
    <mergeCell ref="C38:I38"/>
    <mergeCell ref="C743:I743"/>
    <mergeCell ref="C936:I936"/>
    <mergeCell ref="C730:I730"/>
    <mergeCell ref="C140:I140"/>
    <mergeCell ref="C438:I438"/>
    <mergeCell ref="C267:I267"/>
    <mergeCell ref="C509:I509"/>
    <mergeCell ref="C338:I338"/>
    <mergeCell ref="C496:I496"/>
    <mergeCell ref="C938:I938"/>
    <mergeCell ref="C994:I994"/>
    <mergeCell ref="C794:I794"/>
    <mergeCell ref="C147:I147"/>
    <mergeCell ref="C204:I204"/>
    <mergeCell ref="C33:I33"/>
    <mergeCell ref="C275:I275"/>
    <mergeCell ref="C104:I104"/>
    <mergeCell ref="C440:I440"/>
    <mergeCell ref="C707:I707"/>
    <mergeCell ref="C511:I511"/>
    <mergeCell ref="C738:I738"/>
    <mergeCell ref="C1005:I1005"/>
    <mergeCell ref="C809:I809"/>
    <mergeCell ref="C340:I340"/>
    <mergeCell ref="C269:I269"/>
    <mergeCell ref="C796:I796"/>
    <mergeCell ref="C231:I231"/>
    <mergeCell ref="C35:I35"/>
    <mergeCell ref="C504:I504"/>
    <mergeCell ref="C771:I771"/>
    <mergeCell ref="C333:I333"/>
    <mergeCell ref="C85:I85"/>
    <mergeCell ref="C99:I99"/>
    <mergeCell ref="C835:I835"/>
    <mergeCell ref="C885:I885"/>
    <mergeCell ref="C130:I130"/>
    <mergeCell ref="C562:I562"/>
    <mergeCell ref="C860:I860"/>
    <mergeCell ref="C689:I689"/>
    <mergeCell ref="C931:I931"/>
    <mergeCell ref="C409:I409"/>
    <mergeCell ref="C651:I651"/>
    <mergeCell ref="C135:I135"/>
    <mergeCell ref="C328:I328"/>
    <mergeCell ref="C433:I433"/>
    <mergeCell ref="C626:I626"/>
    <mergeCell ref="C430:I430"/>
    <mergeCell ref="C122:I122"/>
    <mergeCell ref="C420:I420"/>
    <mergeCell ref="C862:I862"/>
    <mergeCell ref="C224:I224"/>
    <mergeCell ref="C718:I718"/>
    <mergeCell ref="C989:I989"/>
    <mergeCell ref="C960:I960"/>
    <mergeCell ref="C789:I789"/>
    <mergeCell ref="C849:I849"/>
    <mergeCell ref="C72:I72"/>
    <mergeCell ref="C199:I199"/>
    <mergeCell ref="C497:I497"/>
    <mergeCell ref="C557:I557"/>
    <mergeCell ref="C435:I435"/>
    <mergeCell ref="C628:I628"/>
    <mergeCell ref="C186:I186"/>
    <mergeCell ref="C655:I655"/>
    <mergeCell ref="C926:I926"/>
    <mergeCell ref="C484:I484"/>
    <mergeCell ref="C720:I720"/>
    <mergeCell ref="C136:I136"/>
    <mergeCell ref="C962:I962"/>
    <mergeCell ref="C1018:I1018"/>
    <mergeCell ref="C913:I913"/>
    <mergeCell ref="C434:I434"/>
    <mergeCell ref="C323:I323"/>
    <mergeCell ref="C263:I263"/>
    <mergeCell ref="C499:I499"/>
    <mergeCell ref="C863:I863"/>
    <mergeCell ref="C657:I657"/>
    <mergeCell ref="C928:I928"/>
    <mergeCell ref="C486:I486"/>
    <mergeCell ref="C955:I955"/>
    <mergeCell ref="C784:I784"/>
    <mergeCell ref="L10:L11"/>
    <mergeCell ref="C1020:I1020"/>
    <mergeCell ref="N10:N11"/>
    <mergeCell ref="C957:I957"/>
    <mergeCell ref="C786:I786"/>
    <mergeCell ref="C54:I54"/>
    <mergeCell ref="C212:I212"/>
    <mergeCell ref="C41:I41"/>
    <mergeCell ref="O10:O11"/>
    <mergeCell ref="C510:I510"/>
    <mergeCell ref="C146:I146"/>
    <mergeCell ref="C581:I581"/>
    <mergeCell ref="C448:I448"/>
    <mergeCell ref="C277:I277"/>
    <mergeCell ref="C746:I746"/>
    <mergeCell ref="C575:I575"/>
    <mergeCell ref="C404:I404"/>
    <mergeCell ref="C873:I873"/>
    <mergeCell ref="C944:I944"/>
    <mergeCell ref="C733:I733"/>
    <mergeCell ref="C56:I56"/>
    <mergeCell ref="C276:I276"/>
    <mergeCell ref="C105:I105"/>
    <mergeCell ref="C214:I214"/>
    <mergeCell ref="C43:I43"/>
    <mergeCell ref="C512:I512"/>
    <mergeCell ref="C341:I341"/>
    <mergeCell ref="C810:I810"/>
    <mergeCell ref="C639:I639"/>
    <mergeCell ref="C577:I577"/>
    <mergeCell ref="C439:I439"/>
    <mergeCell ref="C797:I797"/>
    <mergeCell ref="C731:I731"/>
    <mergeCell ref="C675:I675"/>
    <mergeCell ref="C120:I120"/>
    <mergeCell ref="C36:I36"/>
    <mergeCell ref="C278:I278"/>
    <mergeCell ref="C576:I576"/>
    <mergeCell ref="C405:I405"/>
    <mergeCell ref="C837:I837"/>
    <mergeCell ref="C812:I812"/>
    <mergeCell ref="C641:I641"/>
    <mergeCell ref="C370:I370"/>
    <mergeCell ref="C149:I149"/>
    <mergeCell ref="C385:I385"/>
    <mergeCell ref="C67:I67"/>
    <mergeCell ref="C670:I670"/>
    <mergeCell ref="C367:I367"/>
    <mergeCell ref="C603:I603"/>
    <mergeCell ref="C459:I459"/>
    <mergeCell ref="C726:I726"/>
    <mergeCell ref="C288:I288"/>
    <mergeCell ref="C505:I505"/>
    <mergeCell ref="C741:I741"/>
    <mergeCell ref="C225:I225"/>
    <mergeCell ref="C461:I461"/>
    <mergeCell ref="C728:I728"/>
    <mergeCell ref="C200:I200"/>
    <mergeCell ref="C1026:I1026"/>
    <mergeCell ref="C1001:I1001"/>
    <mergeCell ref="C271:I271"/>
    <mergeCell ref="C436:I436"/>
    <mergeCell ref="C507:I507"/>
    <mergeCell ref="C805:I805"/>
    <mergeCell ref="C227:I227"/>
    <mergeCell ref="C721:I721"/>
    <mergeCell ref="C525:I525"/>
    <mergeCell ref="C792:I792"/>
    <mergeCell ref="C373:I373"/>
    <mergeCell ref="C1028:I1028"/>
    <mergeCell ref="C444:I444"/>
    <mergeCell ref="C329:I329"/>
    <mergeCell ref="C202:I202"/>
    <mergeCell ref="C31:I31"/>
    <mergeCell ref="C736:I736"/>
    <mergeCell ref="C565:I565"/>
    <mergeCell ref="C807:I807"/>
    <mergeCell ref="C291:I291"/>
    <mergeCell ref="C589:I589"/>
    <mergeCell ref="C856:I856"/>
    <mergeCell ref="C95:I95"/>
    <mergeCell ref="C60:I60"/>
    <mergeCell ref="C673:I673"/>
    <mergeCell ref="C502:I502"/>
    <mergeCell ref="C331:I331"/>
    <mergeCell ref="C347:I347"/>
    <mergeCell ref="C268:I268"/>
    <mergeCell ref="C881:I881"/>
    <mergeCell ref="C360:I360"/>
    <mergeCell ref="C91:I91"/>
    <mergeCell ref="C868:I868"/>
    <mergeCell ref="C362:I362"/>
    <mergeCell ref="C454:I454"/>
    <mergeCell ref="C818:I818"/>
    <mergeCell ref="C647:I647"/>
    <mergeCell ref="C57:I57"/>
    <mergeCell ref="M10:M11"/>
    <mergeCell ref="C883:I883"/>
    <mergeCell ref="C739:I739"/>
    <mergeCell ref="C355:I355"/>
    <mergeCell ref="C293:I293"/>
    <mergeCell ref="C155:I155"/>
    <mergeCell ref="C975:I975"/>
    <mergeCell ref="C391:I391"/>
    <mergeCell ref="C342:I342"/>
    <mergeCell ref="C220:I220"/>
    <mergeCell ref="C518:I518"/>
    <mergeCell ref="C749:I749"/>
    <mergeCell ref="C578:I578"/>
    <mergeCell ref="C820:I820"/>
    <mergeCell ref="C876:I876"/>
    <mergeCell ref="C676:I676"/>
    <mergeCell ref="C947:I947"/>
    <mergeCell ref="C649:I649"/>
    <mergeCell ref="C86:I86"/>
    <mergeCell ref="C357:I357"/>
    <mergeCell ref="C157:I157"/>
    <mergeCell ref="C42:I42"/>
    <mergeCell ref="C455:I455"/>
    <mergeCell ref="C284:I284"/>
    <mergeCell ref="C344:I344"/>
    <mergeCell ref="C449:I449"/>
    <mergeCell ref="C586:I586"/>
    <mergeCell ref="C813:I813"/>
    <mergeCell ref="C691:I691"/>
    <mergeCell ref="C884:I884"/>
    <mergeCell ref="C642:I642"/>
    <mergeCell ref="C520:I520"/>
    <mergeCell ref="C878:I878"/>
    <mergeCell ref="C678:I678"/>
    <mergeCell ref="C294:I294"/>
    <mergeCell ref="C58:I58"/>
    <mergeCell ref="C976:I976"/>
    <mergeCell ref="C386:I386"/>
    <mergeCell ref="C215:I215"/>
    <mergeCell ref="C951:I951"/>
    <mergeCell ref="C151:I151"/>
    <mergeCell ref="C644:I644"/>
    <mergeCell ref="C152:I152"/>
    <mergeCell ref="C978:I978"/>
    <mergeCell ref="C953:I953"/>
    <mergeCell ref="C75:I75"/>
    <mergeCell ref="C531:I531"/>
    <mergeCell ref="C767:I767"/>
    <mergeCell ref="C596:I596"/>
    <mergeCell ref="C297:I297"/>
    <mergeCell ref="C533:I533"/>
    <mergeCell ref="C831:I831"/>
    <mergeCell ref="C660:I660"/>
    <mergeCell ref="C241:I241"/>
    <mergeCell ref="C508:I508"/>
    <mergeCell ref="C312:I312"/>
    <mergeCell ref="C70:I70"/>
    <mergeCell ref="C806:I806"/>
    <mergeCell ref="C610:I610"/>
    <mergeCell ref="C744:I744"/>
    <mergeCell ref="C106:I106"/>
    <mergeCell ref="C299:I299"/>
    <mergeCell ref="C597:I597"/>
    <mergeCell ref="C32:I32"/>
    <mergeCell ref="C833:I833"/>
    <mergeCell ref="C572:I572"/>
    <mergeCell ref="C243:I243"/>
    <mergeCell ref="C366:I366"/>
    <mergeCell ref="C808:I808"/>
    <mergeCell ref="C170:I170"/>
    <mergeCell ref="C468:I468"/>
    <mergeCell ref="C307:I307"/>
    <mergeCell ref="C745:I745"/>
    <mergeCell ref="C574:I574"/>
    <mergeCell ref="C101:I101"/>
    <mergeCell ref="C666:I666"/>
    <mergeCell ref="C187:I187"/>
    <mergeCell ref="C966:I966"/>
    <mergeCell ref="C697:I697"/>
    <mergeCell ref="E2:O9"/>
    <mergeCell ref="C246:I246"/>
    <mergeCell ref="C392:I392"/>
    <mergeCell ref="C221:I221"/>
    <mergeCell ref="C463:I463"/>
    <mergeCell ref="C22:I22"/>
    <mergeCell ref="C25:I25"/>
    <mergeCell ref="C457:I457"/>
    <mergeCell ref="C755:I755"/>
    <mergeCell ref="C997:I997"/>
    <mergeCell ref="C948:I948"/>
    <mergeCell ref="C886:I886"/>
    <mergeCell ref="C742:I742"/>
    <mergeCell ref="C236:I236"/>
    <mergeCell ref="C984:I984"/>
    <mergeCell ref="C594:I594"/>
    <mergeCell ref="C394:I394"/>
    <mergeCell ref="C223:I223"/>
    <mergeCell ref="C692:I692"/>
    <mergeCell ref="C963:I963"/>
    <mergeCell ref="C763:I763"/>
    <mergeCell ref="C521:I521"/>
    <mergeCell ref="C757:I757"/>
    <mergeCell ref="C999:I999"/>
    <mergeCell ref="C977:I977"/>
    <mergeCell ref="C300:I300"/>
    <mergeCell ref="C458:I458"/>
    <mergeCell ref="C287:I287"/>
    <mergeCell ref="C585:I585"/>
    <mergeCell ref="C694:I694"/>
    <mergeCell ref="C523:I523"/>
    <mergeCell ref="C887:I887"/>
    <mergeCell ref="C992:I992"/>
    <mergeCell ref="C821:I821"/>
    <mergeCell ref="C979:I979"/>
    <mergeCell ref="C158:I158"/>
    <mergeCell ref="C289:I289"/>
    <mergeCell ref="C929:I929"/>
    <mergeCell ref="C758:I758"/>
    <mergeCell ref="C587:I587"/>
    <mergeCell ref="C13:I13"/>
    <mergeCell ref="C249:I249"/>
    <mergeCell ref="C78:I78"/>
    <mergeCell ref="C376:I376"/>
    <mergeCell ref="C618:I618"/>
    <mergeCell ref="C314:I314"/>
    <mergeCell ref="C534:I534"/>
    <mergeCell ref="C363:I363"/>
    <mergeCell ref="C539:I539"/>
    <mergeCell ref="C770:I770"/>
    <mergeCell ref="C599:I599"/>
    <mergeCell ref="C15:I15"/>
    <mergeCell ref="C897:I897"/>
    <mergeCell ref="C313:I313"/>
    <mergeCell ref="C968:I968"/>
    <mergeCell ref="C191:I191"/>
    <mergeCell ref="B10:B11"/>
    <mergeCell ref="C107:I107"/>
    <mergeCell ref="C549:I549"/>
    <mergeCell ref="C816:I816"/>
    <mergeCell ref="C378:I378"/>
    <mergeCell ref="C234:I234"/>
    <mergeCell ref="C476:I476"/>
    <mergeCell ref="C172:I172"/>
    <mergeCell ref="C536:I536"/>
    <mergeCell ref="C834:I834"/>
    <mergeCell ref="C79:I79"/>
    <mergeCell ref="C712:I712"/>
    <mergeCell ref="C905:I905"/>
    <mergeCell ref="C73:I73"/>
    <mergeCell ref="C961:I961"/>
    <mergeCell ref="C663:I663"/>
    <mergeCell ref="C899:I899"/>
    <mergeCell ref="C315:I315"/>
    <mergeCell ref="C184:I184"/>
    <mergeCell ref="C638:I638"/>
    <mergeCell ref="C613:I613"/>
    <mergeCell ref="C880:I880"/>
    <mergeCell ref="C171:I171"/>
    <mergeCell ref="C302:I302"/>
    <mergeCell ref="C874:I874"/>
    <mergeCell ref="C407:I407"/>
    <mergeCell ref="C600:I600"/>
    <mergeCell ref="C705:I705"/>
    <mergeCell ref="C121:I121"/>
    <mergeCell ref="C898:I898"/>
    <mergeCell ref="C836:I836"/>
    <mergeCell ref="C382:I382"/>
    <mergeCell ref="C934:I934"/>
    <mergeCell ref="C811:I811"/>
    <mergeCell ref="C173:I173"/>
    <mergeCell ref="C471:I471"/>
    <mergeCell ref="C148:I148"/>
    <mergeCell ref="C900:I900"/>
    <mergeCell ref="C669:I669"/>
  </mergeCell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14"/>
  <sheetViews>
    <sheetView topLeftCell="A164" zoomScale="85" zoomScaleNormal="85" workbookViewId="0">
      <selection activeCell="N186" sqref="N186:P186"/>
    </sheetView>
  </sheetViews>
  <sheetFormatPr baseColWidth="10" defaultColWidth="11.44140625" defaultRowHeight="14.4"/>
  <cols>
    <col width="2.88671875" customWidth="1" style="207" min="1" max="1"/>
    <col width="12.44140625" customWidth="1" style="176" min="2" max="2"/>
    <col width="11.44140625" customWidth="1" style="207" min="3" max="4"/>
    <col width="14.44140625" customWidth="1" style="207" min="5" max="5"/>
    <col width="14.88671875" customWidth="1" style="207" min="6" max="7"/>
    <col width="10.88671875" customWidth="1" style="207" min="8" max="8"/>
    <col width="58.88671875" customWidth="1" style="207" min="9" max="9"/>
    <col width="32.109375" bestFit="1" customWidth="1" style="176" min="10" max="10"/>
    <col width="14.109375" bestFit="1" customWidth="1" style="176" min="11" max="11"/>
    <col width="20.5546875" bestFit="1" customWidth="1" style="176" min="12" max="12"/>
    <col width="12.88671875" customWidth="1" style="176" min="13" max="13"/>
    <col width="11.88671875" customWidth="1" style="176" min="14" max="14"/>
    <col width="28.109375" customWidth="1" style="176" min="15" max="15"/>
    <col width="30.88671875" customWidth="1" style="176" min="16" max="16"/>
    <col width="2.109375" customWidth="1" style="207" min="17" max="17"/>
    <col width="3.109375" customWidth="1" style="207" min="18" max="18"/>
    <col width="20.109375" bestFit="1" customWidth="1" style="207" min="19" max="19"/>
    <col width="11.44140625" customWidth="1" style="207" min="20" max="16384"/>
  </cols>
  <sheetData>
    <row r="1" ht="15" customHeight="1" thickBot="1">
      <c r="H1" s="207" t="inlineStr">
        <is>
          <t>COTIZACION REVISIÓN Y CONSULTORÍA DEL SISTEMA DE EXTINCIÓN DE INCENDIOS ENTREPINOS</t>
        </is>
      </c>
    </row>
    <row r="2" ht="15" customHeight="1">
      <c r="B2" s="318" t="n"/>
      <c r="C2" s="296" t="n"/>
      <c r="D2" s="296" t="n"/>
      <c r="E2" s="297" t="inlineStr">
        <is>
          <t>SEGUIMIENTO A COTIZACIONES</t>
        </is>
      </c>
      <c r="F2" s="296" t="n"/>
      <c r="G2" s="296" t="n"/>
      <c r="H2" s="296" t="n"/>
      <c r="I2" s="296" t="n"/>
      <c r="J2" s="296" t="n"/>
      <c r="K2" s="296" t="n"/>
      <c r="L2" s="296" t="n"/>
      <c r="M2" s="296" t="n"/>
      <c r="N2" s="296" t="n"/>
      <c r="O2" s="296" t="n"/>
      <c r="P2" s="298" t="n"/>
      <c r="Q2" s="8" t="n"/>
    </row>
    <row r="3" ht="15" customHeight="1">
      <c r="B3" s="299" t="n"/>
      <c r="E3" s="299" t="n"/>
      <c r="P3" s="300" t="n"/>
      <c r="Q3" s="8" t="n"/>
    </row>
    <row r="4" ht="15" customHeight="1">
      <c r="B4" s="299" t="n"/>
      <c r="E4" s="299" t="n"/>
      <c r="P4" s="300" t="n"/>
      <c r="Q4" s="8" t="n"/>
    </row>
    <row r="5" ht="15" customHeight="1">
      <c r="B5" s="299" t="n"/>
      <c r="E5" s="299" t="n"/>
      <c r="P5" s="300" t="n"/>
      <c r="Q5" s="8" t="n"/>
      <c r="R5" s="9" t="n"/>
      <c r="S5" s="207" t="inlineStr">
        <is>
          <t>Consecutivo repetido</t>
        </is>
      </c>
    </row>
    <row r="6" ht="15" customHeight="1">
      <c r="B6" s="299" t="n"/>
      <c r="E6" s="299" t="n"/>
      <c r="P6" s="300" t="n"/>
      <c r="Q6" s="8" t="n"/>
      <c r="R6" s="26" t="n"/>
      <c r="S6" s="207" t="inlineStr">
        <is>
          <t>No encontre informacion</t>
        </is>
      </c>
    </row>
    <row r="7" ht="15" customHeight="1">
      <c r="B7" s="299" t="n"/>
      <c r="E7" s="299" t="n"/>
      <c r="P7" s="300" t="n"/>
      <c r="Q7" s="8" t="n"/>
    </row>
    <row r="8" ht="15" customHeight="1">
      <c r="B8" s="299" t="n"/>
      <c r="E8" s="299" t="n"/>
      <c r="P8" s="300" t="n"/>
      <c r="Q8" s="8" t="n"/>
    </row>
    <row r="9" ht="15.75" customHeight="1" thickBot="1">
      <c r="B9" s="301" t="n"/>
      <c r="C9" s="302" t="n"/>
      <c r="D9" s="302" t="n"/>
      <c r="E9" s="301" t="n"/>
      <c r="F9" s="302" t="n"/>
      <c r="G9" s="302" t="n"/>
      <c r="H9" s="302" t="n"/>
      <c r="I9" s="302" t="n"/>
      <c r="J9" s="302" t="n"/>
      <c r="K9" s="302" t="n"/>
      <c r="L9" s="302" t="n"/>
      <c r="M9" s="302" t="n"/>
      <c r="N9" s="302" t="n"/>
      <c r="O9" s="302" t="n"/>
      <c r="P9" s="303" t="n"/>
      <c r="Q9" s="8" t="n"/>
    </row>
    <row r="10" ht="15" customHeight="1">
      <c r="B10" s="179" t="inlineStr">
        <is>
          <t>Número de cotización</t>
        </is>
      </c>
      <c r="C10" s="236" t="inlineStr">
        <is>
          <t>Descripción de la cotización</t>
        </is>
      </c>
      <c r="D10" s="296" t="n"/>
      <c r="E10" s="296" t="n"/>
      <c r="F10" s="296" t="n"/>
      <c r="G10" s="296" t="n"/>
      <c r="H10" s="296" t="n"/>
      <c r="I10" s="304" t="n"/>
      <c r="J10" s="305" t="inlineStr">
        <is>
          <t>Cliente</t>
        </is>
      </c>
      <c r="K10" s="191" t="inlineStr">
        <is>
          <t>Valor sin IVA</t>
        </is>
      </c>
      <c r="L10" s="193" t="inlineStr">
        <is>
          <t>Fecha de cotización</t>
        </is>
      </c>
      <c r="M10" s="193" t="inlineStr">
        <is>
          <t>Fecha de aprobación</t>
        </is>
      </c>
      <c r="N10" s="305" t="inlineStr">
        <is>
          <t>Telefono</t>
        </is>
      </c>
      <c r="O10" s="305" t="inlineStr">
        <is>
          <t>Persona Encargada</t>
        </is>
      </c>
      <c r="P10" s="305" t="inlineStr">
        <is>
          <t>Correo</t>
        </is>
      </c>
      <c r="Q10" s="10" t="n"/>
    </row>
    <row r="11" ht="15" customHeight="1" thickBot="1">
      <c r="B11" s="307" t="n"/>
      <c r="C11" s="307" t="n"/>
      <c r="D11" s="308" t="n"/>
      <c r="E11" s="308" t="n"/>
      <c r="F11" s="308" t="n"/>
      <c r="G11" s="308" t="n"/>
      <c r="H11" s="308" t="n"/>
      <c r="I11" s="309" t="n"/>
      <c r="J11" s="311" t="n"/>
      <c r="K11" s="308" t="n"/>
      <c r="L11" s="310" t="n"/>
      <c r="M11" s="310" t="n"/>
      <c r="N11" s="311" t="n"/>
      <c r="O11" s="311" t="n"/>
      <c r="P11" s="311" t="n"/>
      <c r="Q11" s="10" t="n"/>
    </row>
    <row r="12" ht="9" customHeight="1">
      <c r="B12" s="203" t="n"/>
      <c r="C12" s="296" t="n"/>
      <c r="D12" s="296" t="n"/>
      <c r="E12" s="296" t="n"/>
      <c r="F12" s="296" t="n"/>
      <c r="G12" s="296" t="n"/>
      <c r="H12" s="296" t="n"/>
      <c r="I12" s="296" t="n"/>
      <c r="J12" s="296" t="n"/>
      <c r="K12" s="296" t="n"/>
      <c r="L12" s="296" t="n"/>
      <c r="M12" s="296" t="n"/>
      <c r="N12" s="42" t="n"/>
    </row>
    <row r="13">
      <c r="B13" s="31" t="n">
        <v>1</v>
      </c>
      <c r="C13" s="199" t="inlineStr">
        <is>
          <t>COTIZACION DEL DISEÑO DE EXTINCIÓN DE INCENDIOS - OLIVE</t>
        </is>
      </c>
      <c r="D13" s="312" t="n"/>
      <c r="E13" s="312" t="n"/>
      <c r="F13" s="312" t="n"/>
      <c r="G13" s="312" t="n"/>
      <c r="H13" s="312" t="n"/>
      <c r="I13" s="313" t="n"/>
      <c r="J13" s="170" t="inlineStr">
        <is>
          <t xml:space="preserve">Scala </t>
        </is>
      </c>
      <c r="K13" s="314" t="n">
        <v>8127000</v>
      </c>
      <c r="L13" s="2" t="n">
        <v>43837</v>
      </c>
      <c r="M13" s="170" t="n"/>
      <c r="N13" s="170" t="n">
        <v>3006195142</v>
      </c>
      <c r="O13" s="172" t="inlineStr">
        <is>
          <t>Jose Ignacio Echeverri</t>
        </is>
      </c>
      <c r="P13" s="52" t="inlineStr">
        <is>
          <t>interventoriaolive@gmail.com</t>
        </is>
      </c>
    </row>
    <row r="14">
      <c r="B14" s="31" t="n">
        <v>2</v>
      </c>
      <c r="C14" s="199" t="inlineStr">
        <is>
          <t>COTIZACION DEL DISEÑO DE EXTINCIÓN DE INCENDIOS - MEDICOA PISO 1 URGENCIAS</t>
        </is>
      </c>
      <c r="D14" s="312" t="n"/>
      <c r="E14" s="312" t="n"/>
      <c r="F14" s="312" t="n"/>
      <c r="G14" s="312" t="n"/>
      <c r="H14" s="312" t="n"/>
      <c r="I14" s="313" t="n"/>
      <c r="J14" s="170" t="inlineStr">
        <is>
          <t>SPCI</t>
        </is>
      </c>
      <c r="K14" s="314" t="n">
        <v>2130000</v>
      </c>
      <c r="L14" s="2" t="n">
        <v>43837</v>
      </c>
      <c r="M14" s="170" t="n"/>
      <c r="N14" s="170" t="n">
        <v>3104680508</v>
      </c>
      <c r="O14" s="172" t="inlineStr">
        <is>
          <t>Juan Pablo Grajales</t>
        </is>
      </c>
      <c r="P14" s="52" t="inlineStr">
        <is>
          <t>juan.grajales@spci.com.co</t>
        </is>
      </c>
    </row>
    <row r="15">
      <c r="B15" s="31" t="n">
        <v>3</v>
      </c>
      <c r="C15" s="199" t="inlineStr">
        <is>
          <t>COTIZACION DE LOS DISEÑOS DE SEÑALIZACION DE EMERGENCIA Y EXTINTORES PORTÁTILES - BIKE HOUSE</t>
        </is>
      </c>
      <c r="D15" s="312" t="n"/>
      <c r="E15" s="312" t="n"/>
      <c r="F15" s="312" t="n"/>
      <c r="G15" s="312" t="n"/>
      <c r="H15" s="312" t="n"/>
      <c r="I15" s="313" t="n"/>
      <c r="J15" s="170" t="inlineStr">
        <is>
          <t>HyM</t>
        </is>
      </c>
      <c r="K15" s="314" t="n">
        <v>1500000</v>
      </c>
      <c r="L15" s="2" t="n">
        <v>43838</v>
      </c>
      <c r="M15" s="170" t="n"/>
      <c r="N15" s="170" t="n">
        <v>3014487912</v>
      </c>
      <c r="O15" s="172" t="inlineStr">
        <is>
          <t>Evelin Rojas</t>
        </is>
      </c>
      <c r="P15" s="52" t="inlineStr">
        <is>
          <t>hidraulicaymontajes@gmail.com</t>
        </is>
      </c>
    </row>
    <row r="16">
      <c r="B16" s="34" t="n">
        <v>4</v>
      </c>
      <c r="C16" s="199" t="inlineStr">
        <is>
          <t>COTIZACION DE LOS DISEÑOS DE PROTECCIÓN CONTRA INCENDIOS Y SEGURIDAD HUMANA PARA EL PROYECTO SELVA TORRE 1</t>
        </is>
      </c>
      <c r="D16" s="312" t="n"/>
      <c r="E16" s="312" t="n"/>
      <c r="F16" s="312" t="n"/>
      <c r="G16" s="312" t="n"/>
      <c r="H16" s="312" t="n"/>
      <c r="I16" s="313" t="n"/>
      <c r="J16" s="170" t="inlineStr">
        <is>
          <t>SPCI</t>
        </is>
      </c>
      <c r="K16" s="314" t="n">
        <v>10660000</v>
      </c>
      <c r="L16" s="2" t="n">
        <v>43838</v>
      </c>
      <c r="M16" s="170" t="n"/>
      <c r="N16" s="170" t="n">
        <v>3104680508</v>
      </c>
      <c r="O16" s="172" t="inlineStr">
        <is>
          <t>Juan Pablo Grajales</t>
        </is>
      </c>
      <c r="P16" s="52" t="inlineStr">
        <is>
          <t>juan.grajales@spci.com.co</t>
        </is>
      </c>
    </row>
    <row r="17">
      <c r="B17" s="34" t="n">
        <v>5</v>
      </c>
      <c r="C17" s="199" t="inlineStr">
        <is>
          <t>COTIZACION DE LOS DISEÑOS DE PROTECCIÓN CONTRA INCENDIOS Y SEGURIDAD HUMANA PARA EL PROYECTO SELVA COMPLETO</t>
        </is>
      </c>
      <c r="D17" s="312" t="n"/>
      <c r="E17" s="312" t="n"/>
      <c r="F17" s="312" t="n"/>
      <c r="G17" s="312" t="n"/>
      <c r="H17" s="312" t="n"/>
      <c r="I17" s="313" t="n"/>
      <c r="J17" s="170" t="inlineStr">
        <is>
          <t>SPCI</t>
        </is>
      </c>
      <c r="K17" s="314" t="n">
        <v>16935000</v>
      </c>
      <c r="L17" s="2" t="n">
        <v>43838</v>
      </c>
      <c r="M17" s="170" t="n"/>
      <c r="N17" s="170" t="n">
        <v>3104680508</v>
      </c>
      <c r="O17" s="172" t="inlineStr">
        <is>
          <t>Juan Pablo Grajales</t>
        </is>
      </c>
      <c r="P17" s="52" t="inlineStr">
        <is>
          <t>juan.grajales@spci.com.co</t>
        </is>
      </c>
    </row>
    <row r="18">
      <c r="B18" s="31" t="n">
        <v>6</v>
      </c>
      <c r="C18" s="199" t="inlineStr">
        <is>
          <t>COTIZACION DEL DISEÑO DE EXTINCIÓN DE INCENDIOS - GRUPO DIANA</t>
        </is>
      </c>
      <c r="D18" s="312" t="n"/>
      <c r="E18" s="312" t="n"/>
      <c r="F18" s="312" t="n"/>
      <c r="G18" s="312" t="n"/>
      <c r="H18" s="312" t="n"/>
      <c r="I18" s="313" t="n"/>
      <c r="J18" s="170" t="inlineStr">
        <is>
          <t>SPCI</t>
        </is>
      </c>
      <c r="K18" s="314" t="n">
        <v>43900000</v>
      </c>
      <c r="L18" s="2" t="n">
        <v>43840</v>
      </c>
      <c r="M18" s="170" t="n"/>
      <c r="N18" s="170" t="n">
        <v>3104680508</v>
      </c>
      <c r="O18" s="172" t="inlineStr">
        <is>
          <t>Juan Pablo Grajales</t>
        </is>
      </c>
      <c r="P18" s="52" t="inlineStr">
        <is>
          <t>juan.grajales@spci.com.co</t>
        </is>
      </c>
    </row>
    <row r="19">
      <c r="B19" s="31" t="n">
        <v>7</v>
      </c>
      <c r="C19" s="199" t="inlineStr">
        <is>
          <t>COTIZACION DE LOS DISEÑOS DE PROTECCIÓN CONTRA  INCENDIOS - CONSULTORIO 405 CITY MEDICA</t>
        </is>
      </c>
      <c r="D19" s="312" t="n"/>
      <c r="E19" s="312" t="n"/>
      <c r="F19" s="312" t="n"/>
      <c r="G19" s="312" t="n"/>
      <c r="H19" s="312" t="n"/>
      <c r="I19" s="313" t="n"/>
      <c r="J19" s="170" t="inlineStr">
        <is>
          <t>SOCOMES</t>
        </is>
      </c>
      <c r="K19" s="314" t="n">
        <v>900000</v>
      </c>
      <c r="L19" s="2" t="n">
        <v>43843</v>
      </c>
      <c r="M19" s="170" t="n"/>
      <c r="N19" s="170" t="n">
        <v>3137851941</v>
      </c>
      <c r="O19" s="172" t="inlineStr">
        <is>
          <t>David Lopera</t>
        </is>
      </c>
      <c r="P19" s="52" t="inlineStr">
        <is>
          <t>david.lopera@socomes.com</t>
        </is>
      </c>
    </row>
    <row r="20">
      <c r="B20" s="31" t="n">
        <v>8</v>
      </c>
      <c r="C20" s="199" t="inlineStr">
        <is>
          <t>COTIZACION DEL DISEÑO DE EXTINCIÓN DE INCENDIOS - SALA DE LACTANCIA VIVA BARRANQUILLA</t>
        </is>
      </c>
      <c r="D20" s="312" t="n"/>
      <c r="E20" s="312" t="n"/>
      <c r="F20" s="312" t="n"/>
      <c r="G20" s="312" t="n"/>
      <c r="H20" s="312" t="n"/>
      <c r="I20" s="313" t="n"/>
      <c r="J20" s="170" t="inlineStr">
        <is>
          <t>SPCI</t>
        </is>
      </c>
      <c r="K20" s="314" t="n">
        <v>900000</v>
      </c>
      <c r="L20" s="2" t="n">
        <v>43843</v>
      </c>
      <c r="M20" s="170" t="inlineStr">
        <is>
          <t>X</t>
        </is>
      </c>
      <c r="N20" s="170" t="n">
        <v>3104680508</v>
      </c>
      <c r="O20" s="172" t="inlineStr">
        <is>
          <t>Juan Pablo Grajales</t>
        </is>
      </c>
      <c r="P20" s="52" t="inlineStr">
        <is>
          <t>juan.grajales@spci.com.co</t>
        </is>
      </c>
    </row>
    <row r="21">
      <c r="B21" s="33" t="n">
        <v>9</v>
      </c>
      <c r="C21" s="198" t="inlineStr">
        <is>
          <t>COTIZACION DEL DISEÑO DE EXTINCIÓN DE INCENDIOS - PUNTO CERO HYM VIVA BARRANQUILLA</t>
        </is>
      </c>
      <c r="D21" s="312" t="n"/>
      <c r="E21" s="312" t="n"/>
      <c r="F21" s="312" t="n"/>
      <c r="G21" s="312" t="n"/>
      <c r="H21" s="312" t="n"/>
      <c r="I21" s="313" t="n"/>
      <c r="J21" s="170" t="inlineStr">
        <is>
          <t>SPCI</t>
        </is>
      </c>
      <c r="K21" s="314" t="n">
        <v>1200000</v>
      </c>
      <c r="L21" s="2" t="n">
        <v>43843</v>
      </c>
      <c r="M21" s="35" t="inlineStr">
        <is>
          <t>X</t>
        </is>
      </c>
      <c r="N21" s="170" t="n">
        <v>3104680508</v>
      </c>
      <c r="O21" s="172" t="inlineStr">
        <is>
          <t>Juan Pablo Grajales</t>
        </is>
      </c>
      <c r="P21" s="52" t="inlineStr">
        <is>
          <t>juan.grajales@spci.com.co</t>
        </is>
      </c>
    </row>
    <row r="22">
      <c r="B22" s="31" t="n">
        <v>10</v>
      </c>
      <c r="C22" s="199" t="inlineStr">
        <is>
          <t>COTIZACION DE LOS DISEÑOS DE SEGURIDAD HUMANA Y PROTECCIÓN CONTRA  INCENDIOS - ADECUACIÓN OFICINA ISA 300 M2</t>
        </is>
      </c>
      <c r="D22" s="312" t="n"/>
      <c r="E22" s="312" t="n"/>
      <c r="F22" s="312" t="n"/>
      <c r="G22" s="312" t="n"/>
      <c r="H22" s="312" t="n"/>
      <c r="I22" s="313" t="n"/>
      <c r="J22" s="170" t="inlineStr">
        <is>
          <t>ENSAMBLE</t>
        </is>
      </c>
      <c r="K22" s="314" t="n">
        <v>3670000</v>
      </c>
      <c r="L22" s="2" t="n">
        <v>43844</v>
      </c>
      <c r="M22" s="170" t="inlineStr">
        <is>
          <t>X</t>
        </is>
      </c>
      <c r="N22" s="170" t="n"/>
      <c r="O22" s="172" t="inlineStr">
        <is>
          <t>Paola A. López Cadavid</t>
        </is>
      </c>
      <c r="P22" s="172" t="n"/>
    </row>
    <row r="23">
      <c r="B23" s="31" t="n">
        <v>11</v>
      </c>
      <c r="C23" s="199" t="inlineStr">
        <is>
          <t>COTIZACION DE LOS DISEÑOS DE PROTECCIÓN CONTRA INCENDIOS Y SEGURIDAD HUMANA PARA EL PROYECTO BODEGA CALDAS PRIMAVERA</t>
        </is>
      </c>
      <c r="D23" s="312" t="n"/>
      <c r="E23" s="312" t="n"/>
      <c r="F23" s="312" t="n"/>
      <c r="G23" s="312" t="n"/>
      <c r="H23" s="312" t="n"/>
      <c r="I23" s="313" t="n"/>
      <c r="J23" s="170" t="inlineStr">
        <is>
          <t>SPCI</t>
        </is>
      </c>
      <c r="K23" s="314" t="n">
        <v>19460000</v>
      </c>
      <c r="L23" s="2" t="n">
        <v>43846</v>
      </c>
      <c r="M23" s="170" t="n"/>
      <c r="N23" s="170" t="n">
        <v>3104680508</v>
      </c>
      <c r="O23" s="172" t="inlineStr">
        <is>
          <t>Juan Pablo Grajales</t>
        </is>
      </c>
      <c r="P23" s="52" t="inlineStr">
        <is>
          <t>juan.grajales@spci.com.co</t>
        </is>
      </c>
    </row>
    <row r="24">
      <c r="B24" s="31" t="n">
        <v>12</v>
      </c>
      <c r="C24" s="199" t="inlineStr">
        <is>
          <t>REVISIÓN DE LOS DISEÑOS DE EXTINCIÓN DE INCENDIOS PARA EL PROYECTO WE WORK ANTEJARDIN</t>
        </is>
      </c>
      <c r="D24" s="312" t="n"/>
      <c r="E24" s="312" t="n"/>
      <c r="F24" s="312" t="n"/>
      <c r="G24" s="312" t="n"/>
      <c r="H24" s="312" t="n"/>
      <c r="I24" s="313" t="n"/>
      <c r="J24" s="170" t="inlineStr">
        <is>
          <t>SPCI</t>
        </is>
      </c>
      <c r="K24" s="314" t="n">
        <v>1500000</v>
      </c>
      <c r="L24" s="2" t="n">
        <v>43967</v>
      </c>
      <c r="M24" s="2" t="n"/>
      <c r="N24" s="170" t="n">
        <v>3104680508</v>
      </c>
      <c r="O24" s="172" t="inlineStr">
        <is>
          <t>Juan Pablo Grajales</t>
        </is>
      </c>
      <c r="P24" s="52" t="inlineStr">
        <is>
          <t>juan.grajales@spci.com.co</t>
        </is>
      </c>
    </row>
    <row r="25">
      <c r="B25" s="31" t="n">
        <v>13</v>
      </c>
      <c r="C25" s="199" t="inlineStr">
        <is>
          <t>COTIZACION DE LOS DISEÑOS DE PROTECCIÓN CONTRA INCENDIOS Y SEGURIDAD HUMANA PARA EL PROYECTO VALLE CENTRAL</t>
        </is>
      </c>
      <c r="D25" s="312" t="n"/>
      <c r="E25" s="312" t="n"/>
      <c r="F25" s="312" t="n"/>
      <c r="G25" s="312" t="n"/>
      <c r="H25" s="312" t="n"/>
      <c r="I25" s="313" t="n"/>
      <c r="J25" s="170" t="inlineStr">
        <is>
          <t>SAHA</t>
        </is>
      </c>
      <c r="K25" s="314" t="n">
        <v>8780000</v>
      </c>
      <c r="L25" s="2" t="n">
        <v>43851</v>
      </c>
      <c r="M25" s="2" t="n"/>
      <c r="N25" s="2" t="n"/>
      <c r="O25" s="39" t="inlineStr">
        <is>
          <t>Carlos Darío Mejía</t>
        </is>
      </c>
      <c r="P25" s="172" t="n"/>
    </row>
    <row r="26">
      <c r="B26" s="31" t="n">
        <v>14</v>
      </c>
      <c r="C26" s="199" t="inlineStr">
        <is>
          <t>COTIZACION DE LOS DISEÑOS DE SEGURIDAD HUMANA Y PROTECCIÓN CONTRA  INCENDIOS - IE VILLAS DE ARANJUEZ</t>
        </is>
      </c>
      <c r="D26" s="312" t="n"/>
      <c r="E26" s="312" t="n"/>
      <c r="F26" s="312" t="n"/>
      <c r="G26" s="312" t="n"/>
      <c r="H26" s="312" t="n"/>
      <c r="I26" s="313" t="n"/>
      <c r="J26" s="170" t="inlineStr">
        <is>
          <t>ESTUDIO CENTRAL</t>
        </is>
      </c>
      <c r="K26" s="314" t="n">
        <v>16000000</v>
      </c>
      <c r="L26" s="2" t="n">
        <v>43851</v>
      </c>
      <c r="M26" s="2" t="inlineStr">
        <is>
          <t>X</t>
        </is>
      </c>
      <c r="N26" s="2" t="n"/>
      <c r="O26" s="172" t="inlineStr">
        <is>
          <t>Alejandro Restrepo Montoya</t>
        </is>
      </c>
      <c r="P26" s="172" t="n"/>
    </row>
    <row r="27">
      <c r="B27" s="31" t="n">
        <v>15</v>
      </c>
      <c r="C27" s="199" t="inlineStr">
        <is>
          <t>COTIZACION DE LOS DISEÑOS DE SEGURIDAD HUMANA Y PROTECCIÓN CONTRA  INCENDIOS - PALACIO MUNICIPAL ENVIGADO</t>
        </is>
      </c>
      <c r="D27" s="312" t="n"/>
      <c r="E27" s="312" t="n"/>
      <c r="F27" s="312" t="n"/>
      <c r="G27" s="312" t="n"/>
      <c r="H27" s="312" t="n"/>
      <c r="I27" s="313" t="n"/>
      <c r="J27" s="170" t="inlineStr">
        <is>
          <t>LAUREANO FORERO</t>
        </is>
      </c>
      <c r="K27" s="314" t="n">
        <v>19435000</v>
      </c>
      <c r="L27" s="2" t="n">
        <v>43854</v>
      </c>
      <c r="M27" s="2" t="n"/>
      <c r="N27" s="2" t="n"/>
      <c r="O27" s="172" t="inlineStr">
        <is>
          <t>David Gómez</t>
        </is>
      </c>
      <c r="P27" s="172" t="n"/>
    </row>
    <row r="28">
      <c r="B28" s="31" t="n">
        <v>16</v>
      </c>
      <c r="C28" s="199" t="inlineStr">
        <is>
          <t>COTIZACION DE LOS DISEÑOS DE SEGURIDAD HUMANA Y PROTECCIÓN CONTRA  INCENDIOS - PAJARO LIMON</t>
        </is>
      </c>
      <c r="D28" s="312" t="n"/>
      <c r="E28" s="312" t="n"/>
      <c r="F28" s="312" t="n"/>
      <c r="G28" s="312" t="n"/>
      <c r="H28" s="312" t="n"/>
      <c r="I28" s="313" t="n"/>
      <c r="J28" s="170" t="inlineStr">
        <is>
          <t>PAJARO LIMON</t>
        </is>
      </c>
      <c r="K28" s="314" t="n">
        <v>1305000</v>
      </c>
      <c r="L28" s="2" t="n">
        <v>43489</v>
      </c>
      <c r="M28" s="170" t="n"/>
      <c r="N28" s="170" t="n"/>
      <c r="O28" s="40" t="inlineStr">
        <is>
          <t>Pájaro limón</t>
        </is>
      </c>
      <c r="P28" s="172" t="n"/>
    </row>
    <row r="29">
      <c r="B29" s="31" t="n">
        <v>17</v>
      </c>
      <c r="C29" s="199" t="inlineStr">
        <is>
          <t>COTIZACION DE LOS DISEÑOS DE PROTECCIÓN CONTRA INCENDIOS Y SEGURIDAD HUMANA PARA EL PROYECTO PORTAL DE CANEY</t>
        </is>
      </c>
      <c r="D29" s="312" t="n"/>
      <c r="E29" s="312" t="n"/>
      <c r="F29" s="312" t="n"/>
      <c r="G29" s="312" t="n"/>
      <c r="H29" s="312" t="n"/>
      <c r="I29" s="313" t="n"/>
      <c r="J29" s="170" t="inlineStr">
        <is>
          <t>ESTEVAN CASTAÑO</t>
        </is>
      </c>
      <c r="K29" s="314" t="n">
        <v>7940000</v>
      </c>
      <c r="L29" s="2" t="n">
        <v>43493</v>
      </c>
      <c r="M29" s="2" t="n"/>
      <c r="N29" s="2" t="n"/>
      <c r="O29" s="172" t="inlineStr">
        <is>
          <t>Estevan Castaño</t>
        </is>
      </c>
      <c r="P29" s="172" t="n"/>
    </row>
    <row r="30">
      <c r="B30" s="31" t="n">
        <v>18</v>
      </c>
      <c r="C30" s="199" t="inlineStr">
        <is>
          <t>COTIZACION DE LOS DISEÑOS DE PROTECCIÓN CONTRA INCENDIOS Y SEGURIDAD HUMANA PARA EL PROYECTO PARTEQUIPOS</t>
        </is>
      </c>
      <c r="D30" s="312" t="n"/>
      <c r="E30" s="312" t="n"/>
      <c r="F30" s="312" t="n"/>
      <c r="G30" s="312" t="n"/>
      <c r="H30" s="312" t="n"/>
      <c r="I30" s="313" t="n"/>
      <c r="J30" s="170" t="inlineStr">
        <is>
          <t>JORGE COLORADO</t>
        </is>
      </c>
      <c r="K30" s="314" t="n">
        <v>25710000</v>
      </c>
      <c r="L30" s="2" t="n">
        <v>43859</v>
      </c>
      <c r="M30" s="2" t="n"/>
      <c r="N30" s="2" t="n"/>
      <c r="O30" s="172" t="inlineStr">
        <is>
          <t>Jorge Humberto Colorado</t>
        </is>
      </c>
      <c r="P30" s="172" t="n"/>
    </row>
    <row r="31">
      <c r="B31" s="31" t="n">
        <v>19</v>
      </c>
      <c r="C31" s="199" t="inlineStr">
        <is>
          <t>COTIZACION DEL DISEÑO DE EXTINCIÓN DE INCENDIOS - TINKKO</t>
        </is>
      </c>
      <c r="D31" s="312" t="n"/>
      <c r="E31" s="312" t="n"/>
      <c r="F31" s="312" t="n"/>
      <c r="G31" s="312" t="n"/>
      <c r="H31" s="312" t="n"/>
      <c r="I31" s="313" t="n"/>
      <c r="J31" s="170" t="inlineStr">
        <is>
          <t>HYM</t>
        </is>
      </c>
      <c r="K31" s="314" t="n">
        <v>2500000</v>
      </c>
      <c r="L31" s="2" t="n">
        <v>43860</v>
      </c>
      <c r="M31" s="170" t="n"/>
      <c r="N31" s="170" t="n"/>
      <c r="O31" s="172" t="inlineStr">
        <is>
          <t>Evelin Rojas</t>
        </is>
      </c>
      <c r="P31" s="172" t="n"/>
    </row>
    <row r="32">
      <c r="B32" s="31" t="n">
        <v>20</v>
      </c>
      <c r="C32" s="199" t="inlineStr">
        <is>
          <t>COTIZACIÓN DE LOS PLANOS AS-BUILT DE LA RED GENERAL DE EXTINCIÓN DE INCENDIOS DEL PROYECTO PIZARRA</t>
        </is>
      </c>
      <c r="D32" s="312" t="n"/>
      <c r="E32" s="312" t="n"/>
      <c r="F32" s="312" t="n"/>
      <c r="G32" s="312" t="n"/>
      <c r="H32" s="312" t="n"/>
      <c r="I32" s="313" t="n"/>
      <c r="J32" s="170" t="inlineStr">
        <is>
          <t>SPCI</t>
        </is>
      </c>
      <c r="K32" s="314" t="n">
        <v>675000</v>
      </c>
      <c r="L32" s="2" t="n">
        <v>43860</v>
      </c>
      <c r="M32" s="170" t="n"/>
      <c r="N32" s="170" t="n">
        <v>3137546144</v>
      </c>
      <c r="O32" s="172" t="inlineStr">
        <is>
          <t>Juan Camilo Quintero</t>
        </is>
      </c>
      <c r="P32" s="52" t="inlineStr">
        <is>
          <t>proyectos1spci@gmail.com</t>
        </is>
      </c>
    </row>
    <row r="33">
      <c r="B33" s="31" t="n">
        <v>21</v>
      </c>
      <c r="C33" s="199" t="inlineStr">
        <is>
          <t>COTIZACION DE LOS DISEÑOS DE PROTECCIÓN CONTRA INCENDIOS PARA EL PROYECTO CASA DE LA CULTURA JARDÍN</t>
        </is>
      </c>
      <c r="D33" s="312" t="n"/>
      <c r="E33" s="312" t="n"/>
      <c r="F33" s="312" t="n"/>
      <c r="G33" s="312" t="n"/>
      <c r="H33" s="312" t="n"/>
      <c r="I33" s="313" t="n"/>
      <c r="J33" s="170" t="inlineStr">
        <is>
          <t>CIVILSA</t>
        </is>
      </c>
      <c r="K33" s="314" t="n">
        <v>4140000</v>
      </c>
      <c r="L33" s="2" t="n">
        <v>43861</v>
      </c>
      <c r="M33" s="170" t="n"/>
      <c r="N33" s="170" t="n"/>
      <c r="O33" s="172" t="inlineStr">
        <is>
          <t>Julio Alzate</t>
        </is>
      </c>
      <c r="P33" s="172" t="n"/>
    </row>
    <row r="34">
      <c r="B34" s="31" t="n">
        <v>22</v>
      </c>
      <c r="C34" s="199" t="inlineStr">
        <is>
          <t>COTIZACION DE LOS DISEÑOS DE PROTECCIÓN CONTRA INCENDIOS Y SEGURIDAD HUMANA PARA EL PROYECTO VECINO PATIO</t>
        </is>
      </c>
      <c r="D34" s="312" t="n"/>
      <c r="E34" s="312" t="n"/>
      <c r="F34" s="312" t="n"/>
      <c r="G34" s="312" t="n"/>
      <c r="H34" s="312" t="n"/>
      <c r="I34" s="313" t="n"/>
      <c r="J34" s="170" t="inlineStr">
        <is>
          <t>ALG PROYECTOS</t>
        </is>
      </c>
      <c r="K34" s="314" t="n">
        <v>3700000</v>
      </c>
      <c r="L34" s="2" t="n">
        <v>43861</v>
      </c>
      <c r="M34" s="170" t="n"/>
      <c r="N34" s="170" t="n"/>
      <c r="O34" s="172" t="inlineStr">
        <is>
          <t>Juan Londoño</t>
        </is>
      </c>
      <c r="P34" s="172" t="n"/>
    </row>
    <row r="35">
      <c r="B35" s="31" t="n">
        <v>23</v>
      </c>
      <c r="C35" s="199" t="inlineStr">
        <is>
          <t>DISEÑOS DE EXTINTORES PORTÁTILES CONTRA INCENDIOS PARA BANCOLOMBIA FLORIDA PARQUE</t>
        </is>
      </c>
      <c r="D35" s="312" t="n"/>
      <c r="E35" s="312" t="n"/>
      <c r="F35" s="312" t="n"/>
      <c r="G35" s="312" t="n"/>
      <c r="H35" s="312" t="n"/>
      <c r="I35" s="313" t="n"/>
      <c r="J35" s="170" t="inlineStr">
        <is>
          <t>CONDISEÑO</t>
        </is>
      </c>
      <c r="K35" s="314" t="n">
        <v>1000000</v>
      </c>
      <c r="L35" s="2" t="n">
        <v>43833</v>
      </c>
      <c r="M35" s="170" t="n"/>
      <c r="N35" s="170" t="n">
        <v>3175594091</v>
      </c>
      <c r="O35" s="172" t="inlineStr">
        <is>
          <t>Nakary García Romero</t>
        </is>
      </c>
      <c r="P35" s="52" t="inlineStr">
        <is>
          <t>n.garcia@condiseno.co</t>
        </is>
      </c>
    </row>
    <row r="36">
      <c r="B36" s="31" t="n">
        <v>24</v>
      </c>
      <c r="C36" s="199" t="inlineStr">
        <is>
          <t>COTIZACION DISEÑO DETECCION HOTEL TEQUENDAMA</t>
        </is>
      </c>
      <c r="D36" s="312" t="n"/>
      <c r="E36" s="312" t="n"/>
      <c r="F36" s="312" t="n"/>
      <c r="G36" s="312" t="n"/>
      <c r="H36" s="312" t="n"/>
      <c r="I36" s="313" t="n"/>
      <c r="J36" s="170" t="inlineStr">
        <is>
          <t>RAPIDO</t>
        </is>
      </c>
      <c r="K36" s="314" t="inlineStr">
        <is>
          <t>VARIABLE</t>
        </is>
      </c>
      <c r="L36" s="2" t="n">
        <v>43864</v>
      </c>
      <c r="M36" s="170" t="n"/>
      <c r="N36" s="170" t="n"/>
      <c r="O36" s="172" t="inlineStr">
        <is>
          <t>Álvaro Manosalva</t>
        </is>
      </c>
      <c r="P36" s="172" t="n"/>
    </row>
    <row r="37">
      <c r="B37" s="31" t="n">
        <v>25</v>
      </c>
      <c r="C37" s="199" t="inlineStr">
        <is>
          <t>COTIZACION DEL DISEÑO DE DETECCIÓN DE INCENDIOS - TORRE 2 UNIVERSIDAD REMINGTON</t>
        </is>
      </c>
      <c r="D37" s="312" t="n"/>
      <c r="E37" s="312" t="n"/>
      <c r="F37" s="312" t="n"/>
      <c r="G37" s="312" t="n"/>
      <c r="H37" s="312" t="n"/>
      <c r="I37" s="313" t="n"/>
      <c r="J37" s="170" t="inlineStr">
        <is>
          <t>SERVICIOS IPM</t>
        </is>
      </c>
      <c r="K37" s="314" t="n">
        <v>4990000</v>
      </c>
      <c r="L37" s="2" t="n">
        <v>43865</v>
      </c>
      <c r="M37" s="170" t="n"/>
      <c r="N37" s="170" t="n"/>
      <c r="O37" s="172" t="inlineStr">
        <is>
          <t>Juan Santiago Londoño Quiceno</t>
        </is>
      </c>
      <c r="P37" s="172" t="n"/>
    </row>
    <row r="38">
      <c r="B38" s="31" t="n">
        <v>25</v>
      </c>
      <c r="C38" s="199" t="inlineStr">
        <is>
          <t>DISEÑO DE DETECCIÓN DE INCENDIOS PARA EL PROYECTO TORRE 2 UNIVERSIDAD REMINGTON</t>
        </is>
      </c>
      <c r="D38" s="312" t="n"/>
      <c r="E38" s="312" t="n"/>
      <c r="F38" s="312" t="n"/>
      <c r="G38" s="312" t="n"/>
      <c r="H38" s="312" t="n"/>
      <c r="I38" s="313" t="n"/>
      <c r="J38" s="170" t="inlineStr">
        <is>
          <t>UNIREMINGTON</t>
        </is>
      </c>
      <c r="K38" s="314" t="n">
        <v>5590000</v>
      </c>
      <c r="L38" s="2" t="n">
        <v>43881</v>
      </c>
      <c r="M38" s="170" t="n"/>
      <c r="N38" s="170" t="n"/>
      <c r="O38" s="172" t="inlineStr">
        <is>
          <t>Gloria María González Villa</t>
        </is>
      </c>
      <c r="P38" s="172" t="n"/>
    </row>
    <row r="39">
      <c r="B39" s="31" t="n">
        <v>26</v>
      </c>
      <c r="C39" s="199" t="inlineStr">
        <is>
          <t>COTIZACION DE LOS DISEÑOS DE SEGURIDAD HUMANA Y PROTECCIÓN CONTRA  INCENDIOS - COMEDOR CLÍNICA LAS AMÉRICAS</t>
        </is>
      </c>
      <c r="D39" s="312" t="n"/>
      <c r="E39" s="312" t="n"/>
      <c r="F39" s="312" t="n"/>
      <c r="G39" s="312" t="n"/>
      <c r="H39" s="312" t="n"/>
      <c r="I39" s="313" t="n"/>
      <c r="J39" s="170" t="inlineStr">
        <is>
          <t>INTERVÉ</t>
        </is>
      </c>
      <c r="K39" s="314" t="n">
        <v>3765000</v>
      </c>
      <c r="L39" s="2" t="n">
        <v>43866</v>
      </c>
      <c r="M39" s="170" t="n"/>
      <c r="N39" s="170" t="n"/>
      <c r="O39" s="172" t="inlineStr">
        <is>
          <t>Martha Lucía Ferrer</t>
        </is>
      </c>
      <c r="P39" s="172" t="n"/>
    </row>
    <row r="40">
      <c r="B40" s="31" t="n">
        <v>27</v>
      </c>
      <c r="C40" s="199" t="inlineStr">
        <is>
          <t>COTIZACION DE LOS DISEÑOS DE PROTECCIÓN CONTRA INCENDIOS Y SEGURIDAD HUMANA PARA EL PROYECTO CITADELLA JERUSALEN</t>
        </is>
      </c>
      <c r="D40" s="312" t="n"/>
      <c r="E40" s="312" t="n"/>
      <c r="F40" s="312" t="n"/>
      <c r="G40" s="312" t="n"/>
      <c r="H40" s="312" t="n"/>
      <c r="I40" s="313" t="n"/>
      <c r="J40" s="170" t="inlineStr">
        <is>
          <t>SOCOMES</t>
        </is>
      </c>
      <c r="K40" s="314" t="n">
        <v>13920000</v>
      </c>
      <c r="L40" s="2" t="n">
        <v>43867</v>
      </c>
      <c r="M40" s="170" t="n"/>
      <c r="N40" s="170" t="n">
        <v>3137851941</v>
      </c>
      <c r="O40" s="172" t="inlineStr">
        <is>
          <t>David Lopera</t>
        </is>
      </c>
      <c r="P40" s="52" t="inlineStr">
        <is>
          <t>david.lopera@socomes.com</t>
        </is>
      </c>
    </row>
    <row r="41">
      <c r="B41" s="31" t="n">
        <v>28</v>
      </c>
      <c r="C41" s="199" t="inlineStr">
        <is>
          <t>COTIZACION DEL DISEÑO DE DETECCIÓN DE INCENDIOS - ALMACENAMIENTO DE 60.000 BRLS CHACHAGÜI – NARIÑO</t>
        </is>
      </c>
      <c r="D41" s="312" t="n"/>
      <c r="E41" s="312" t="n"/>
      <c r="F41" s="312" t="n"/>
      <c r="G41" s="312" t="n"/>
      <c r="H41" s="312" t="n"/>
      <c r="I41" s="313" t="n"/>
      <c r="J41" s="170" t="inlineStr">
        <is>
          <t>SPCI</t>
        </is>
      </c>
      <c r="K41" s="314" t="n">
        <v>6915000</v>
      </c>
      <c r="L41" s="2" t="n">
        <v>43869</v>
      </c>
      <c r="M41" s="170" t="n"/>
      <c r="N41" s="170" t="inlineStr">
        <is>
          <t>310 4278593</t>
        </is>
      </c>
      <c r="O41" s="172" t="inlineStr">
        <is>
          <t>Daniel Uribe</t>
        </is>
      </c>
      <c r="P41" s="52" t="inlineStr">
        <is>
          <t>duribe86@gmail.com</t>
        </is>
      </c>
    </row>
    <row r="42">
      <c r="B42" s="31" t="n">
        <v>29</v>
      </c>
      <c r="C42" s="199" t="inlineStr">
        <is>
          <t>COTIZACION DEL DISEÑO DE EXTINCIÓN DE INCENDIOS - TUGO</t>
        </is>
      </c>
      <c r="D42" s="312" t="n"/>
      <c r="E42" s="312" t="n"/>
      <c r="F42" s="312" t="n"/>
      <c r="G42" s="312" t="n"/>
      <c r="H42" s="312" t="n"/>
      <c r="I42" s="313" t="n"/>
      <c r="J42" s="170" t="inlineStr">
        <is>
          <t>TUGO</t>
        </is>
      </c>
      <c r="K42" s="314" t="n">
        <v>13550000</v>
      </c>
      <c r="L42" s="2" t="n">
        <v>43869</v>
      </c>
      <c r="M42" s="2" t="n"/>
      <c r="N42" s="2" t="n"/>
      <c r="O42" s="172" t="inlineStr">
        <is>
          <t>Leidy Johana Alarcón</t>
        </is>
      </c>
      <c r="P42" s="172" t="n"/>
    </row>
    <row r="43">
      <c r="B43" s="31" t="n">
        <v>30</v>
      </c>
      <c r="C43" s="199" t="inlineStr">
        <is>
          <t>COTIZACION DE LOS DISEÑOS DE PROTECCIÓN CONTRA INCENDIOS Y SEGURIDAD HUMANA PARA EL PROYECTO MANOS ACTIVAS</t>
        </is>
      </c>
      <c r="D43" s="312" t="n"/>
      <c r="E43" s="312" t="n"/>
      <c r="F43" s="312" t="n"/>
      <c r="G43" s="312" t="n"/>
      <c r="H43" s="312" t="n"/>
      <c r="I43" s="313" t="n"/>
      <c r="J43" s="170" t="inlineStr">
        <is>
          <t>ESTEVAN CASTAÑO</t>
        </is>
      </c>
      <c r="K43" s="314" t="n">
        <v>6270000</v>
      </c>
      <c r="L43" s="2" t="n">
        <v>43873</v>
      </c>
      <c r="M43" s="170" t="n"/>
      <c r="N43" s="170" t="n"/>
      <c r="O43" s="172" t="inlineStr">
        <is>
          <t>Estevan Castaño</t>
        </is>
      </c>
      <c r="P43" s="172" t="n"/>
    </row>
    <row r="44">
      <c r="B44" s="31" t="n">
        <v>31</v>
      </c>
      <c r="C44" s="199" t="inlineStr">
        <is>
          <t>COTIZACION DEL DISEÑO DE EXTINCIÓN DE INCENDIOS - TH EL TESORO</t>
        </is>
      </c>
      <c r="D44" s="312" t="n"/>
      <c r="E44" s="312" t="n"/>
      <c r="F44" s="312" t="n"/>
      <c r="G44" s="312" t="n"/>
      <c r="H44" s="312" t="n"/>
      <c r="I44" s="313" t="n"/>
      <c r="J44" s="170" t="inlineStr">
        <is>
          <t>SERVICIOS BYR</t>
        </is>
      </c>
      <c r="K44" s="314" t="n">
        <v>1055000</v>
      </c>
      <c r="L44" s="2" t="n">
        <v>43873</v>
      </c>
      <c r="M44" s="170" t="n"/>
      <c r="N44" s="170" t="n"/>
      <c r="O44" s="172" t="inlineStr">
        <is>
          <t>Sergio Andrés Ramos Carmona</t>
        </is>
      </c>
      <c r="P44" s="172" t="n"/>
    </row>
    <row r="45">
      <c r="B45" s="31" t="n">
        <v>32</v>
      </c>
      <c r="C45" s="199" t="inlineStr">
        <is>
          <t>COTIZACION DEL DISEÑO DE DETECCIÓN DE INCENDIOS - PROYECTO GO</t>
        </is>
      </c>
      <c r="D45" s="312" t="n"/>
      <c r="E45" s="312" t="n"/>
      <c r="F45" s="312" t="n"/>
      <c r="G45" s="312" t="n"/>
      <c r="H45" s="312" t="n"/>
      <c r="I45" s="313" t="n"/>
      <c r="J45" s="170" t="inlineStr">
        <is>
          <t>FCR SAS</t>
        </is>
      </c>
      <c r="K45" s="314" t="n">
        <v>5500000</v>
      </c>
      <c r="L45" s="2" t="n">
        <v>43874</v>
      </c>
      <c r="M45" s="170" t="inlineStr">
        <is>
          <t>X</t>
        </is>
      </c>
      <c r="N45" s="170" t="n"/>
      <c r="O45" s="172" t="inlineStr">
        <is>
          <t>Judith Elena Trujillo R</t>
        </is>
      </c>
      <c r="P45" s="172" t="n"/>
    </row>
    <row r="46">
      <c r="B46" s="31" t="n">
        <v>33</v>
      </c>
      <c r="C46" s="199" t="inlineStr">
        <is>
          <t>COTIZACION DE LOS DISEÑOS DE PROTECCIÓN CONTRA INCENDIOS EXTERIORES PARA EL PROYECTO FIC-NORTE</t>
        </is>
      </c>
      <c r="D46" s="312" t="n"/>
      <c r="E46" s="312" t="n"/>
      <c r="F46" s="312" t="n"/>
      <c r="G46" s="312" t="n"/>
      <c r="H46" s="312" t="n"/>
      <c r="I46" s="313" t="n"/>
      <c r="J46" s="170" t="inlineStr">
        <is>
          <t>AIA</t>
        </is>
      </c>
      <c r="K46" s="314" t="n">
        <v>21320000</v>
      </c>
      <c r="L46" s="2" t="n">
        <v>43875</v>
      </c>
      <c r="M46" s="170" t="n"/>
      <c r="N46" s="170" t="n"/>
      <c r="O46" s="172" t="inlineStr">
        <is>
          <t>Francisco Posada</t>
        </is>
      </c>
      <c r="P46" s="172" t="n"/>
    </row>
    <row r="47">
      <c r="B47" s="31" t="n">
        <v>34</v>
      </c>
      <c r="C47" s="199" t="inlineStr">
        <is>
          <t>COTIZACION DE LOS DISEÑOS DE PROTECCIÓN CONTRA  INCENDIOS - EDIFICIO CARMEN VIBORAL CONCIVELSA</t>
        </is>
      </c>
      <c r="D47" s="312" t="n"/>
      <c r="E47" s="312" t="n"/>
      <c r="F47" s="312" t="n"/>
      <c r="G47" s="312" t="n"/>
      <c r="H47" s="312" t="n"/>
      <c r="I47" s="313" t="n"/>
      <c r="J47" s="170" t="inlineStr">
        <is>
          <t>MAKROHABITAT</t>
        </is>
      </c>
      <c r="K47" s="314" t="n">
        <v>7605000</v>
      </c>
      <c r="L47" s="2" t="n">
        <v>43875</v>
      </c>
      <c r="M47" s="170" t="n"/>
      <c r="N47" s="170" t="n"/>
      <c r="O47" s="172" t="inlineStr">
        <is>
          <t>David Vélez</t>
        </is>
      </c>
      <c r="P47" s="172" t="n"/>
    </row>
    <row r="48">
      <c r="B48" s="31" t="n">
        <v>35</v>
      </c>
      <c r="C48" s="199" t="inlineStr">
        <is>
          <t>COTIZACION DE LOS DISEÑOS DE SEGURIDAD HUMANA Y DETECCIÓN DE INCENDIOS - HOTEL LLERAS</t>
        </is>
      </c>
      <c r="D48" s="312" t="n"/>
      <c r="E48" s="312" t="n"/>
      <c r="F48" s="312" t="n"/>
      <c r="G48" s="312" t="n"/>
      <c r="H48" s="312" t="n"/>
      <c r="I48" s="313" t="n"/>
      <c r="J48" s="170" t="inlineStr">
        <is>
          <t>ORLANDO DELGADO</t>
        </is>
      </c>
      <c r="K48" s="314" t="n">
        <v>3470000</v>
      </c>
      <c r="L48" s="2" t="n">
        <v>43878</v>
      </c>
      <c r="M48" s="170" t="n"/>
      <c r="N48" s="170" t="n"/>
      <c r="O48" s="172" t="inlineStr">
        <is>
          <t>Orlando Delgado Ghunaim</t>
        </is>
      </c>
      <c r="P48" s="172" t="n"/>
    </row>
    <row r="49">
      <c r="B49" s="31" t="n">
        <v>36</v>
      </c>
      <c r="C49" s="199" t="inlineStr">
        <is>
          <t>COTIZACION DE LOS DISEÑOS DE SEGURIDAD HUMANA Y PROTECCIÓN CONTRA  INCENDIOS - MIRADOR DEL SUR</t>
        </is>
      </c>
      <c r="D49" s="312" t="n"/>
      <c r="E49" s="312" t="n"/>
      <c r="F49" s="312" t="n"/>
      <c r="G49" s="312" t="n"/>
      <c r="H49" s="312" t="n"/>
      <c r="I49" s="313" t="n"/>
      <c r="J49" s="170" t="inlineStr">
        <is>
          <t>MIRADOR DEL SUR</t>
        </is>
      </c>
      <c r="K49" s="314" t="n">
        <v>12870000</v>
      </c>
      <c r="L49" s="2" t="n">
        <v>43878</v>
      </c>
      <c r="M49" s="170" t="n"/>
      <c r="N49" s="170" t="n"/>
      <c r="O49" s="172" t="inlineStr">
        <is>
          <t>Juan Diego León Toro</t>
        </is>
      </c>
      <c r="P49" s="172" t="n"/>
    </row>
    <row r="50">
      <c r="B50" s="31" t="n">
        <v>37</v>
      </c>
      <c r="C50" s="199" t="inlineStr">
        <is>
          <t>COTIZACION DEL DISEÑO DE DETECCIÓN DE INCENDIOS PARA EL PROYECTO PLAY TIME ARKADIA</t>
        </is>
      </c>
      <c r="D50" s="312" t="n"/>
      <c r="E50" s="312" t="n"/>
      <c r="F50" s="312" t="n"/>
      <c r="G50" s="312" t="n"/>
      <c r="H50" s="312" t="n"/>
      <c r="I50" s="313" t="n"/>
      <c r="J50" s="170" t="inlineStr">
        <is>
          <t>SPCI</t>
        </is>
      </c>
      <c r="K50" s="314" t="n">
        <v>1500000</v>
      </c>
      <c r="L50" s="2" t="n">
        <v>43879</v>
      </c>
      <c r="M50" s="170" t="n"/>
      <c r="N50" s="170" t="n"/>
      <c r="O50" s="172" t="inlineStr">
        <is>
          <t>Mauricio Gutiérrez B.</t>
        </is>
      </c>
      <c r="P50" s="172" t="n"/>
    </row>
    <row r="51">
      <c r="B51" s="31" t="n">
        <v>38</v>
      </c>
      <c r="C51" s="199" t="inlineStr">
        <is>
          <t>COTIZACION DE LOS DISEÑOS DE SEGURIDAD HUMANA Y PROTECCIÓN CONTRA  INCENDIOS - BOSCO SILVESTRE</t>
        </is>
      </c>
      <c r="D51" s="312" t="n"/>
      <c r="E51" s="312" t="n"/>
      <c r="F51" s="312" t="n"/>
      <c r="G51" s="312" t="n"/>
      <c r="H51" s="312" t="n"/>
      <c r="I51" s="313" t="n"/>
      <c r="J51" s="170" t="inlineStr">
        <is>
          <t>DBG</t>
        </is>
      </c>
      <c r="K51" s="314" t="n">
        <v>7215000</v>
      </c>
      <c r="L51" s="2" t="n">
        <v>43880</v>
      </c>
      <c r="M51" s="2" t="n"/>
      <c r="N51" s="2" t="n"/>
      <c r="O51" s="172" t="inlineStr">
        <is>
          <t>Andrés Sierra</t>
        </is>
      </c>
      <c r="P51" s="172" t="n"/>
    </row>
    <row r="52">
      <c r="B52" s="31" t="n">
        <v>39</v>
      </c>
      <c r="C52" s="199" t="inlineStr">
        <is>
          <t>COTIZACION DE LOS DISEÑOS DE SEGURIDAD HUMANA Y PROTECCIÓN CONTRA  INCENDIOS - AWA LIVING</t>
        </is>
      </c>
      <c r="D52" s="312" t="n"/>
      <c r="E52" s="312" t="n"/>
      <c r="F52" s="312" t="n"/>
      <c r="G52" s="312" t="n"/>
      <c r="H52" s="312" t="n"/>
      <c r="I52" s="313" t="n"/>
      <c r="J52" s="170" t="inlineStr">
        <is>
          <t>SAHA</t>
        </is>
      </c>
      <c r="K52" s="314" t="n">
        <v>21960000</v>
      </c>
      <c r="L52" s="2" t="n">
        <v>43880</v>
      </c>
      <c r="M52" s="170" t="inlineStr">
        <is>
          <t>X</t>
        </is>
      </c>
      <c r="N52" s="170" t="n"/>
      <c r="O52" s="172" t="inlineStr">
        <is>
          <t>Juan Carlos Martínez P.</t>
        </is>
      </c>
      <c r="P52" s="172" t="n"/>
    </row>
    <row r="53">
      <c r="B53" s="31" t="n">
        <v>40</v>
      </c>
      <c r="C53" s="199" t="inlineStr">
        <is>
          <t>COTIZACION DEL ANÁLISIS DE SEGURIDAD HUMANA - LABORATORIO CIB UNIVERSIDAD NACIONAL</t>
        </is>
      </c>
      <c r="D53" s="312" t="n"/>
      <c r="E53" s="312" t="n"/>
      <c r="F53" s="312" t="n"/>
      <c r="G53" s="312" t="n"/>
      <c r="H53" s="312" t="n"/>
      <c r="I53" s="313" t="n"/>
      <c r="J53" s="170" t="inlineStr">
        <is>
          <t>CONDISEÑO</t>
        </is>
      </c>
      <c r="K53" s="314" t="n">
        <v>4610000</v>
      </c>
      <c r="L53" s="2" t="n">
        <v>43880</v>
      </c>
      <c r="M53" s="170" t="n"/>
      <c r="N53" s="170" t="n"/>
      <c r="O53" s="172" t="inlineStr">
        <is>
          <t>Santiago Arroyave López</t>
        </is>
      </c>
      <c r="P53" s="172" t="n"/>
    </row>
    <row r="54">
      <c r="B54" s="31" t="n">
        <v>41</v>
      </c>
      <c r="C54" s="199" t="inlineStr">
        <is>
          <t>COTIZACION DE LOS DISEÑOS DE PROTECCIÓN CONTRA  INCENDIOS - BOEGA NUEVA APIX</t>
        </is>
      </c>
      <c r="D54" s="312" t="n"/>
      <c r="E54" s="312" t="n"/>
      <c r="F54" s="312" t="n"/>
      <c r="G54" s="312" t="n"/>
      <c r="H54" s="312" t="n"/>
      <c r="I54" s="313" t="n"/>
      <c r="J54" s="170" t="inlineStr">
        <is>
          <t>APIX</t>
        </is>
      </c>
      <c r="K54" s="314" t="n">
        <v>14360000</v>
      </c>
      <c r="L54" s="43" t="n">
        <v>43881</v>
      </c>
      <c r="M54" s="170" t="n"/>
      <c r="N54" s="170" t="n"/>
      <c r="O54" s="172" t="inlineStr">
        <is>
          <t>Yennifer Tatiana Rico</t>
        </is>
      </c>
      <c r="P54" s="172" t="n"/>
    </row>
    <row r="55">
      <c r="B55" s="31" t="n">
        <v>42</v>
      </c>
      <c r="C55" s="199" t="inlineStr">
        <is>
          <t>COTIZACION DE LOS DISEÑOS DE PROTECCIÓN CONTRA  INCENDIOS - BODEGA ARARY</t>
        </is>
      </c>
      <c r="D55" s="312" t="n"/>
      <c r="E55" s="312" t="n"/>
      <c r="F55" s="312" t="n"/>
      <c r="G55" s="312" t="n"/>
      <c r="H55" s="312" t="n"/>
      <c r="I55" s="313" t="n"/>
      <c r="J55" s="170" t="inlineStr">
        <is>
          <t>JUAN CARLOS RAMIREZ</t>
        </is>
      </c>
      <c r="K55" s="314" t="n">
        <v>13170000</v>
      </c>
      <c r="L55" s="2" t="n">
        <v>43881</v>
      </c>
      <c r="M55" s="170" t="n"/>
      <c r="N55" s="170" t="n"/>
      <c r="O55" s="172" t="inlineStr">
        <is>
          <t>Juan Carlos Ramírez</t>
        </is>
      </c>
      <c r="P55" s="172" t="n"/>
    </row>
    <row r="56">
      <c r="B56" s="31" t="n">
        <v>43</v>
      </c>
      <c r="C56" s="199" t="inlineStr">
        <is>
          <t>COTIZACION DE LOS DISEÑOS DE SEGURIDAD HUMANA Y PROTECCIÓN CONTRA  INCENDIOS - BLOQUE 41 UNIVERSIDAD NACIONAL</t>
        </is>
      </c>
      <c r="D56" s="312" t="n"/>
      <c r="E56" s="312" t="n"/>
      <c r="F56" s="312" t="n"/>
      <c r="G56" s="312" t="n"/>
      <c r="H56" s="312" t="n"/>
      <c r="I56" s="313" t="n"/>
      <c r="J56" s="170" t="inlineStr">
        <is>
          <t>CONDISEÑO</t>
        </is>
      </c>
      <c r="K56" s="314" t="n">
        <v>4955000</v>
      </c>
      <c r="L56" s="2" t="n">
        <v>43881</v>
      </c>
      <c r="M56" s="2" t="inlineStr">
        <is>
          <t>X</t>
        </is>
      </c>
      <c r="N56" s="170" t="n">
        <v>3175594091</v>
      </c>
      <c r="O56" s="172" t="inlineStr">
        <is>
          <t>Nakary García Romero</t>
        </is>
      </c>
      <c r="P56" s="52" t="inlineStr">
        <is>
          <t>n.garcia@condiseno.co</t>
        </is>
      </c>
    </row>
    <row r="57">
      <c r="B57" s="31" t="n">
        <v>44</v>
      </c>
      <c r="C57" s="199" t="inlineStr">
        <is>
          <t>COTIZACION DE LOS DISEÑOS DE PROTECCIÓN CONTRA  INCENDIOS - EDIFICIO DEL CAFÉ</t>
        </is>
      </c>
      <c r="D57" s="312" t="n"/>
      <c r="E57" s="312" t="n"/>
      <c r="F57" s="312" t="n"/>
      <c r="G57" s="312" t="n"/>
      <c r="H57" s="312" t="n"/>
      <c r="I57" s="313" t="n"/>
      <c r="J57" s="170" t="inlineStr">
        <is>
          <t>SOCOMES</t>
        </is>
      </c>
      <c r="K57" s="314" t="n">
        <v>3430000</v>
      </c>
      <c r="L57" s="2" t="n">
        <v>43881</v>
      </c>
      <c r="M57" s="2" t="n"/>
      <c r="N57" s="170" t="n">
        <v>3137851941</v>
      </c>
      <c r="O57" s="172" t="inlineStr">
        <is>
          <t>David Lopera</t>
        </is>
      </c>
      <c r="P57" s="52" t="inlineStr">
        <is>
          <t>david.lopera@socomes.com</t>
        </is>
      </c>
    </row>
    <row r="58">
      <c r="B58" s="31" t="n">
        <v>45</v>
      </c>
      <c r="C58" s="199" t="inlineStr">
        <is>
          <t>COTIZACION DE LOS DISEÑOS DE PROTECCIÓN CONTRA  INCENDIOS - EDIFICIO DEL CAFÉ</t>
        </is>
      </c>
      <c r="D58" s="312" t="n"/>
      <c r="E58" s="312" t="n"/>
      <c r="F58" s="312" t="n"/>
      <c r="G58" s="312" t="n"/>
      <c r="H58" s="312" t="n"/>
      <c r="I58" s="313" t="n"/>
      <c r="J58" s="170" t="inlineStr">
        <is>
          <t>PROCOI</t>
        </is>
      </c>
      <c r="K58" s="314" t="n">
        <v>3760000</v>
      </c>
      <c r="L58" s="2" t="n">
        <v>43882</v>
      </c>
      <c r="M58" s="2" t="n"/>
      <c r="N58" s="2" t="n"/>
      <c r="O58" s="172" t="inlineStr">
        <is>
          <t>Brayan Agudelo</t>
        </is>
      </c>
      <c r="P58" s="317" t="n"/>
      <c r="Q58" s="324" t="n"/>
    </row>
    <row r="59">
      <c r="B59" s="33" t="n">
        <v>46</v>
      </c>
      <c r="C59" s="198" t="inlineStr">
        <is>
          <t>COTIZACION DE LOS DISEÑOS DE PROTECCIÓN CONTRA  INCENDIOS - FLEXIWORK</t>
        </is>
      </c>
      <c r="D59" s="312" t="n"/>
      <c r="E59" s="312" t="n"/>
      <c r="F59" s="312" t="n"/>
      <c r="G59" s="312" t="n"/>
      <c r="H59" s="312" t="n"/>
      <c r="I59" s="313" t="n"/>
      <c r="J59" s="33" t="inlineStr">
        <is>
          <t>MENSULA</t>
        </is>
      </c>
      <c r="K59" s="325" t="n">
        <v>6900000</v>
      </c>
      <c r="L59" s="44" t="n">
        <v>43883</v>
      </c>
      <c r="M59" s="33" t="n"/>
      <c r="N59" s="33" t="n"/>
      <c r="O59" s="40" t="n"/>
      <c r="P59" s="172" t="n"/>
    </row>
    <row r="60">
      <c r="B60" s="31" t="n">
        <v>47</v>
      </c>
      <c r="C60" s="199" t="inlineStr">
        <is>
          <t>COTIZACION DEL ANÁLISIS DE SEGURIDAD HUMANA - FLEXIWORK</t>
        </is>
      </c>
      <c r="D60" s="312" t="n"/>
      <c r="E60" s="312" t="n"/>
      <c r="F60" s="312" t="n"/>
      <c r="G60" s="312" t="n"/>
      <c r="H60" s="312" t="n"/>
      <c r="I60" s="313" t="n"/>
      <c r="J60" s="170" t="inlineStr">
        <is>
          <t>MENSULA</t>
        </is>
      </c>
      <c r="K60" s="314" t="n">
        <v>1380000</v>
      </c>
      <c r="L60" s="2" t="n">
        <v>43885</v>
      </c>
      <c r="M60" s="2" t="n"/>
      <c r="N60" s="2" t="n"/>
      <c r="O60" s="172" t="inlineStr">
        <is>
          <t>Sebastián Giraldo Hoyos</t>
        </is>
      </c>
      <c r="P60" s="172" t="n"/>
    </row>
    <row r="61">
      <c r="B61" s="31" t="n">
        <v>48</v>
      </c>
      <c r="C61" s="199" t="inlineStr">
        <is>
          <t>COTIZACION DE LOS DISEÑOS DE PROTECCIÓN CONTRA INCENDIOS Y SEGURIDAD HUMANA PARA EL PROYECTO ANTALYA</t>
        </is>
      </c>
      <c r="D61" s="312" t="n"/>
      <c r="E61" s="312" t="n"/>
      <c r="F61" s="312" t="n"/>
      <c r="G61" s="312" t="n"/>
      <c r="H61" s="312" t="n"/>
      <c r="I61" s="313" t="n"/>
      <c r="J61" s="170" t="inlineStr">
        <is>
          <t>GISAICO</t>
        </is>
      </c>
      <c r="K61" s="314" t="n">
        <v>16210000</v>
      </c>
      <c r="L61" s="2" t="n">
        <v>43886</v>
      </c>
      <c r="M61" s="2" t="n"/>
      <c r="N61" s="2" t="n"/>
      <c r="O61" s="172" t="inlineStr">
        <is>
          <t>Claudia Ramírez</t>
        </is>
      </c>
      <c r="P61" s="172" t="n"/>
    </row>
    <row r="62">
      <c r="B62" s="31" t="n">
        <v>49</v>
      </c>
      <c r="C62" s="199" t="inlineStr">
        <is>
          <t>COTIZACION DEL DISEÑO DE EXTINCIÓN DE INCENDIOS - CONEXIONES DE MANGUERA TODA LA PLANTA</t>
        </is>
      </c>
      <c r="D62" s="312" t="n"/>
      <c r="E62" s="312" t="n"/>
      <c r="F62" s="312" t="n"/>
      <c r="G62" s="312" t="n"/>
      <c r="H62" s="312" t="n"/>
      <c r="I62" s="313" t="n"/>
      <c r="J62" s="170" t="inlineStr">
        <is>
          <t>HyM</t>
        </is>
      </c>
      <c r="K62" s="314" t="n">
        <v>12290000</v>
      </c>
      <c r="L62" s="2" t="n">
        <v>43886</v>
      </c>
      <c r="M62" s="2" t="n"/>
      <c r="N62" s="170" t="n">
        <v>3014487912</v>
      </c>
      <c r="O62" s="39" t="inlineStr">
        <is>
          <t>Evelin Rojas</t>
        </is>
      </c>
      <c r="P62" s="52" t="inlineStr">
        <is>
          <t>hidraulicaymontajes@gmail.com</t>
        </is>
      </c>
    </row>
    <row r="63">
      <c r="B63" s="170" t="n">
        <v>50</v>
      </c>
      <c r="C63" s="199" t="inlineStr">
        <is>
          <t>COTIZACION DEL DISEÑO DE EXTINCIÓN DE INCENDIOS - CONEXIONES DE MANGUERA CDI</t>
        </is>
      </c>
      <c r="D63" s="312" t="n"/>
      <c r="E63" s="312" t="n"/>
      <c r="F63" s="312" t="n"/>
      <c r="G63" s="312" t="n"/>
      <c r="H63" s="312" t="n"/>
      <c r="I63" s="313" t="n"/>
      <c r="J63" s="170" t="inlineStr">
        <is>
          <t>HyM</t>
        </is>
      </c>
      <c r="K63" s="314" t="n">
        <v>5020000</v>
      </c>
      <c r="L63" s="2" t="n">
        <v>43886</v>
      </c>
      <c r="M63" s="170" t="n"/>
      <c r="N63" s="170" t="n">
        <v>3014487912</v>
      </c>
      <c r="O63" s="39" t="inlineStr">
        <is>
          <t>Evelin Rojas</t>
        </is>
      </c>
      <c r="P63" s="52" t="inlineStr">
        <is>
          <t>hidraulicaymontajes@gmail.com</t>
        </is>
      </c>
    </row>
    <row r="64">
      <c r="B64" s="31" t="n">
        <v>51</v>
      </c>
      <c r="C64" s="199" t="inlineStr">
        <is>
          <t>DISEÑO DE SEGURIDAD HUMANA Y EXTINCIÓN DE INCENDIOS  - EDIFICIO CONQUISTADORES</t>
        </is>
      </c>
      <c r="D64" s="312" t="n"/>
      <c r="E64" s="312" t="n"/>
      <c r="F64" s="312" t="n"/>
      <c r="G64" s="312" t="n"/>
      <c r="H64" s="312" t="n"/>
      <c r="I64" s="313" t="n"/>
      <c r="J64" s="170" t="inlineStr">
        <is>
          <t>ALEJANDRO GOMEZ</t>
        </is>
      </c>
      <c r="K64" s="314" t="n">
        <v>6575000</v>
      </c>
      <c r="L64" s="2" t="n">
        <v>43886</v>
      </c>
      <c r="M64" s="170" t="n"/>
      <c r="N64" s="170" t="n"/>
      <c r="O64" s="172" t="inlineStr">
        <is>
          <t>Alejandro Gómez</t>
        </is>
      </c>
      <c r="P64" s="172" t="n"/>
    </row>
    <row r="65">
      <c r="B65" s="31" t="n">
        <v>52</v>
      </c>
      <c r="C65" s="199" t="inlineStr">
        <is>
          <t>COTIZACION DE LOS DISEÑOS DE PROTECCIÓN CONTRA  INCENDIOS - RACKETBALL EL TESORO</t>
        </is>
      </c>
      <c r="D65" s="312" t="n"/>
      <c r="E65" s="312" t="n"/>
      <c r="F65" s="312" t="n"/>
      <c r="G65" s="312" t="n"/>
      <c r="H65" s="312" t="n"/>
      <c r="I65" s="313" t="n"/>
      <c r="J65" s="170" t="inlineStr">
        <is>
          <t>MAKROHABITAT</t>
        </is>
      </c>
      <c r="K65" s="314" t="n">
        <v>1260000</v>
      </c>
      <c r="L65" s="2" t="n">
        <v>43886</v>
      </c>
      <c r="M65" s="170" t="n"/>
      <c r="N65" s="170" t="n"/>
      <c r="O65" s="172" t="inlineStr">
        <is>
          <t>David Vélez</t>
        </is>
      </c>
      <c r="P65" s="172" t="n"/>
    </row>
    <row r="66">
      <c r="B66" s="31" t="n">
        <v>53</v>
      </c>
      <c r="C66" s="199" t="inlineStr">
        <is>
          <t>COTIZACION DE LOS DISEÑOS DE PROTECCIÓN CONTRA INCENDIOS Y SEGURIDAD HUMANA PARA EL PROYECTO EDIFICIO WEDSTON</t>
        </is>
      </c>
      <c r="D66" s="312" t="n"/>
      <c r="E66" s="312" t="n"/>
      <c r="F66" s="312" t="n"/>
      <c r="G66" s="312" t="n"/>
      <c r="H66" s="312" t="n"/>
      <c r="I66" s="313" t="n"/>
      <c r="J66" s="170" t="inlineStr">
        <is>
          <t>Ingeniería y Espacios Arquitectos</t>
        </is>
      </c>
      <c r="K66" s="314" t="n">
        <v>8780000</v>
      </c>
      <c r="L66" s="2" t="n">
        <v>43889</v>
      </c>
      <c r="M66" s="170" t="n"/>
      <c r="N66" s="170" t="n"/>
      <c r="O66" s="172" t="inlineStr">
        <is>
          <t>José David Román</t>
        </is>
      </c>
      <c r="P66" s="172" t="n"/>
    </row>
    <row r="67">
      <c r="B67" s="31" t="n">
        <v>54</v>
      </c>
      <c r="C67" s="199" t="inlineStr">
        <is>
          <t>COTIZACION DEL MODELO EN REVIT DE PROTECCIÓN CONTRA  INCENDIOS - CENTRO DE NEGOCIOS MANGA</t>
        </is>
      </c>
      <c r="D67" s="312" t="n"/>
      <c r="E67" s="312" t="n"/>
      <c r="F67" s="312" t="n"/>
      <c r="G67" s="312" t="n"/>
      <c r="H67" s="312" t="n"/>
      <c r="I67" s="313" t="n"/>
      <c r="J67" s="170" t="inlineStr">
        <is>
          <t>Inversiones Arbo</t>
        </is>
      </c>
      <c r="K67" s="314" t="n">
        <v>5270000</v>
      </c>
      <c r="L67" s="2" t="n">
        <v>43889</v>
      </c>
      <c r="M67" s="170" t="n"/>
      <c r="N67" s="170" t="n"/>
      <c r="O67" s="172" t="inlineStr">
        <is>
          <t>Juan Camilo Aristizabal</t>
        </is>
      </c>
      <c r="P67" s="172" t="n"/>
    </row>
    <row r="68">
      <c r="B68" s="31" t="n">
        <v>55</v>
      </c>
      <c r="C68" s="199" t="inlineStr">
        <is>
          <t>COTIZACION DE LOS DISEÑOS DE SEGURIDAD HUMANA Y PROTECCIÓN CONTRA  INCENDIOS - PUNTOS COLOMBIA</t>
        </is>
      </c>
      <c r="D68" s="312" t="n"/>
      <c r="E68" s="312" t="n"/>
      <c r="F68" s="312" t="n"/>
      <c r="G68" s="312" t="n"/>
      <c r="H68" s="312" t="n"/>
      <c r="I68" s="313" t="n"/>
      <c r="J68" s="170" t="inlineStr">
        <is>
          <t>GERENCIA INTEGRAL</t>
        </is>
      </c>
      <c r="K68" s="314" t="n">
        <v>3955000</v>
      </c>
      <c r="L68" s="2" t="n">
        <v>43889</v>
      </c>
      <c r="M68" s="170" t="n"/>
      <c r="N68" s="170" t="n"/>
      <c r="O68" s="172" t="inlineStr">
        <is>
          <t>Humberto Duque</t>
        </is>
      </c>
      <c r="P68" s="172" t="n"/>
    </row>
    <row r="69">
      <c r="B69" s="31" t="n">
        <v>56</v>
      </c>
      <c r="C69" s="199" t="inlineStr">
        <is>
          <t>COTIZACION DE LA INGENIERÍA DE DETALLE DE LA EXTINCIÓN DE INCENDIOS - TELEPERFORMANCE</t>
        </is>
      </c>
      <c r="D69" s="312" t="n"/>
      <c r="E69" s="312" t="n"/>
      <c r="F69" s="312" t="n"/>
      <c r="G69" s="312" t="n"/>
      <c r="H69" s="312" t="n"/>
      <c r="I69" s="313" t="n"/>
      <c r="J69" s="170" t="inlineStr">
        <is>
          <t>TELEPERFORMANCE</t>
        </is>
      </c>
      <c r="K69" s="314" t="n">
        <v>12950000</v>
      </c>
      <c r="L69" s="2" t="n">
        <v>43889</v>
      </c>
      <c r="M69" s="170" t="n"/>
      <c r="N69" s="170" t="n"/>
      <c r="O69" s="172" t="inlineStr">
        <is>
          <t>Javier Bohorquez Poveda</t>
        </is>
      </c>
      <c r="P69" s="172" t="n"/>
    </row>
    <row r="70">
      <c r="B70" s="31" t="n">
        <v>57</v>
      </c>
      <c r="C70" s="199" t="inlineStr">
        <is>
          <t>COTIZACION DE LOS DISEÑOS DE PROTECCIÓN CONTRA  INCENDIOS - PISO 3 PLAZA FABRICATO REVIT</t>
        </is>
      </c>
      <c r="D70" s="312" t="n"/>
      <c r="E70" s="312" t="n"/>
      <c r="F70" s="312" t="n"/>
      <c r="G70" s="312" t="n"/>
      <c r="H70" s="312" t="n"/>
      <c r="I70" s="313" t="n"/>
      <c r="J70" s="170" t="inlineStr">
        <is>
          <t>INTERVÉ</t>
        </is>
      </c>
      <c r="K70" s="314" t="n">
        <v>3500000</v>
      </c>
      <c r="L70" s="2" t="n">
        <v>43892</v>
      </c>
      <c r="M70" s="170" t="n"/>
      <c r="N70" s="170" t="n"/>
      <c r="O70" s="172" t="inlineStr">
        <is>
          <t>Darío Saldarriaga</t>
        </is>
      </c>
      <c r="P70" s="172" t="n"/>
    </row>
    <row r="71">
      <c r="A71" s="207" t="n">
        <v>59</v>
      </c>
      <c r="B71" s="34" t="n">
        <v>58</v>
      </c>
      <c r="C71" s="226" t="inlineStr">
        <is>
          <t>COTIZACION DEL DISEÑO DE EXTINCIÓN DE INCENDIOS - BODEGA 500 700 EXITO</t>
        </is>
      </c>
      <c r="D71" s="312" t="n"/>
      <c r="E71" s="312" t="n"/>
      <c r="F71" s="312" t="n"/>
      <c r="G71" s="312" t="n"/>
      <c r="H71" s="312" t="n"/>
      <c r="I71" s="313" t="n"/>
      <c r="J71" s="170" t="inlineStr">
        <is>
          <t>JOMARK</t>
        </is>
      </c>
      <c r="K71" s="314" t="n">
        <v>46115000</v>
      </c>
      <c r="L71" s="2" t="n">
        <v>43892</v>
      </c>
      <c r="M71" s="170" t="n"/>
      <c r="N71" s="170" t="n"/>
      <c r="O71" s="172" t="n"/>
      <c r="P71" s="172" t="n"/>
    </row>
    <row r="72">
      <c r="B72" s="34" t="n">
        <v>59</v>
      </c>
      <c r="C72" s="199" t="inlineStr">
        <is>
          <t>COTIZACION DE LOS DISEÑOS DE PROTECCIÓN CONTRA  INCENDIOS - BLOQUE 2 ESUMER</t>
        </is>
      </c>
      <c r="D72" s="312" t="n"/>
      <c r="E72" s="312" t="n"/>
      <c r="F72" s="312" t="n"/>
      <c r="G72" s="312" t="n"/>
      <c r="H72" s="312" t="n"/>
      <c r="I72" s="313" t="n"/>
      <c r="J72" s="170" t="inlineStr">
        <is>
          <t>JOMARK</t>
        </is>
      </c>
      <c r="K72" s="314" t="n">
        <v>7950000</v>
      </c>
      <c r="L72" s="2" t="n">
        <v>43892</v>
      </c>
      <c r="M72" s="2" t="n"/>
      <c r="N72" s="2" t="n"/>
      <c r="O72" s="172" t="inlineStr">
        <is>
          <t>Angélica Montoya</t>
        </is>
      </c>
      <c r="P72" s="172" t="n"/>
    </row>
    <row r="73">
      <c r="B73" s="31" t="n">
        <v>60</v>
      </c>
      <c r="C73" s="199" t="inlineStr">
        <is>
          <t>COTIZACION DE LOS DISEÑOS DE SEGURIDAD HUMANA Y PROTECCIÓN CONTRA  INCENDIOS - LIBERTE</t>
        </is>
      </c>
      <c r="D73" s="312" t="n"/>
      <c r="E73" s="312" t="n"/>
      <c r="F73" s="312" t="n"/>
      <c r="G73" s="312" t="n"/>
      <c r="H73" s="312" t="n"/>
      <c r="I73" s="313" t="n"/>
      <c r="J73" s="170" t="inlineStr">
        <is>
          <t>IAC</t>
        </is>
      </c>
      <c r="K73" s="314" t="n">
        <v>34575000</v>
      </c>
      <c r="L73" s="2" t="n">
        <v>43894</v>
      </c>
      <c r="M73" s="170" t="n"/>
      <c r="N73" s="170" t="n"/>
      <c r="O73" s="172" t="inlineStr">
        <is>
          <t>David Álvarez.</t>
        </is>
      </c>
      <c r="P73" s="172" t="n"/>
    </row>
    <row r="74">
      <c r="B74" s="31" t="n">
        <v>61</v>
      </c>
      <c r="C74" s="199" t="inlineStr">
        <is>
          <t>COTIZACION DEL DISEÑO DE DETECCIÓN DE INCENDIOS - BODEGA INDUSTRIAS KENT</t>
        </is>
      </c>
      <c r="D74" s="312" t="n"/>
      <c r="E74" s="312" t="n"/>
      <c r="F74" s="312" t="n"/>
      <c r="G74" s="312" t="n"/>
      <c r="H74" s="312" t="n"/>
      <c r="I74" s="313" t="n"/>
      <c r="J74" s="170" t="inlineStr">
        <is>
          <t>INDUSTRIAS KENT</t>
        </is>
      </c>
      <c r="K74" s="314" t="n">
        <v>3200000</v>
      </c>
      <c r="L74" s="2" t="n">
        <v>43896</v>
      </c>
      <c r="M74" s="2" t="n"/>
      <c r="N74" s="2" t="n"/>
      <c r="O74" s="172" t="inlineStr">
        <is>
          <t>Vanesa Muñoz</t>
        </is>
      </c>
      <c r="P74" s="172" t="n"/>
    </row>
    <row r="75">
      <c r="B75" s="31" t="n">
        <v>62</v>
      </c>
      <c r="C75" s="199" t="inlineStr">
        <is>
          <t>COTIZACION DEL DISEÑO DE EXTINCIÓN DE INCENDIOS - NEUROMÉDICA PLAZA CENTRAL</t>
        </is>
      </c>
      <c r="D75" s="312" t="n"/>
      <c r="E75" s="312" t="n"/>
      <c r="F75" s="312" t="n"/>
      <c r="G75" s="312" t="n"/>
      <c r="H75" s="312" t="n"/>
      <c r="I75" s="313" t="n"/>
      <c r="J75" s="170" t="inlineStr">
        <is>
          <t>JOMARK</t>
        </is>
      </c>
      <c r="K75" s="314" t="n">
        <v>2031000</v>
      </c>
      <c r="L75" s="2" t="n">
        <v>43899</v>
      </c>
      <c r="M75" s="170" t="n"/>
      <c r="N75" s="170" t="n"/>
      <c r="O75" s="172" t="inlineStr">
        <is>
          <t>Angélica Montoya</t>
        </is>
      </c>
      <c r="P75" s="172" t="n"/>
    </row>
    <row r="76">
      <c r="B76" s="31" t="n">
        <v>63</v>
      </c>
      <c r="C76" s="199" t="inlineStr">
        <is>
          <t xml:space="preserve">COTIZACION DEL DISEÑO DE DETECCIÓN DE INCENDIOS - HANGAR 28 X 25 </t>
        </is>
      </c>
      <c r="D76" s="312" t="n"/>
      <c r="E76" s="312" t="n"/>
      <c r="F76" s="312" t="n"/>
      <c r="G76" s="312" t="n"/>
      <c r="H76" s="312" t="n"/>
      <c r="I76" s="313" t="n"/>
      <c r="J76" s="170" t="inlineStr">
        <is>
          <t>CONSTRUCCIONES SAFEST</t>
        </is>
      </c>
      <c r="K76" s="314" t="n">
        <v>2630000</v>
      </c>
      <c r="L76" s="2" t="n">
        <v>43899</v>
      </c>
      <c r="M76" s="2" t="n"/>
      <c r="N76" s="170" t="n">
        <v>3004827270</v>
      </c>
      <c r="O76" s="39" t="inlineStr">
        <is>
          <t>Gabriel Jaime Sánchez</t>
        </is>
      </c>
      <c r="P76" s="52" t="inlineStr">
        <is>
          <t>gerencia@construccionessafest.com</t>
        </is>
      </c>
    </row>
    <row r="77">
      <c r="B77" s="31" t="n">
        <v>64</v>
      </c>
      <c r="C77" s="199" t="inlineStr">
        <is>
          <t>COTIZACION DEL DISEÑO DE DETECCIÓN DE INCENDIOS PARA EL PROYECTO 4 TORRES DEL PROYECTO ÍNDIGO</t>
        </is>
      </c>
      <c r="D77" s="312" t="n"/>
      <c r="E77" s="312" t="n"/>
      <c r="F77" s="312" t="n"/>
      <c r="G77" s="312" t="n"/>
      <c r="H77" s="312" t="n"/>
      <c r="I77" s="313" t="n"/>
      <c r="J77" s="170" t="inlineStr">
        <is>
          <t>SOCOMES</t>
        </is>
      </c>
      <c r="K77" s="314" t="n">
        <v>4330000</v>
      </c>
      <c r="L77" s="2" t="n">
        <v>43899</v>
      </c>
      <c r="M77" s="2" t="n"/>
      <c r="N77" s="2" t="n"/>
      <c r="O77" s="172" t="inlineStr">
        <is>
          <t>Jhon Anderson Gómez</t>
        </is>
      </c>
      <c r="P77" s="172" t="n"/>
    </row>
    <row r="78">
      <c r="B78" s="31" t="n">
        <v>65</v>
      </c>
      <c r="C78" s="199" t="inlineStr">
        <is>
          <t>COTIZACION DE LOS DISEÑOS DE SEGURIDAD HUMANA Y PROTECCIÓN CONTRA  INCENDIOS - LA CUMBRE</t>
        </is>
      </c>
      <c r="D78" s="312" t="n"/>
      <c r="E78" s="312" t="n"/>
      <c r="F78" s="312" t="n"/>
      <c r="G78" s="312" t="n"/>
      <c r="H78" s="312" t="n"/>
      <c r="I78" s="313" t="n"/>
      <c r="J78" s="170" t="inlineStr">
        <is>
          <t>I+CONSTRUCTORA</t>
        </is>
      </c>
      <c r="K78" s="314" t="n">
        <v>23560000</v>
      </c>
      <c r="L78" s="2" t="n">
        <v>43900</v>
      </c>
      <c r="M78" s="2" t="n"/>
      <c r="N78" s="2" t="n"/>
      <c r="O78" s="172" t="inlineStr">
        <is>
          <t>William Londoño</t>
        </is>
      </c>
      <c r="P78" s="172" t="n"/>
    </row>
    <row r="79">
      <c r="B79" s="31" t="n">
        <v>66</v>
      </c>
      <c r="C79" s="199" t="inlineStr">
        <is>
          <t>COTIZACION DEL DISEÑO DE DETECCIÓN DE INCENDIOS - HOTEL SAN JOAQUIN</t>
        </is>
      </c>
      <c r="D79" s="312" t="n"/>
      <c r="E79" s="312" t="n"/>
      <c r="F79" s="312" t="n"/>
      <c r="G79" s="312" t="n"/>
      <c r="H79" s="312" t="n"/>
      <c r="I79" s="313" t="n"/>
      <c r="J79" s="170" t="inlineStr">
        <is>
          <t>SPCI</t>
        </is>
      </c>
      <c r="K79" s="314" t="n">
        <v>3950000</v>
      </c>
      <c r="L79" s="2" t="n">
        <v>43907</v>
      </c>
      <c r="M79" s="170" t="n"/>
      <c r="N79" s="170" t="n">
        <v>3104278593</v>
      </c>
      <c r="O79" s="172" t="inlineStr">
        <is>
          <t>Daniel Uribe</t>
        </is>
      </c>
      <c r="P79" s="52" t="inlineStr">
        <is>
          <t>duribe86@gmail.com</t>
        </is>
      </c>
    </row>
    <row r="80">
      <c r="B80" s="31" t="n">
        <v>67</v>
      </c>
      <c r="C80" s="199" t="inlineStr">
        <is>
          <t>COTIZACIÓN REDISEÑO PISO 5 ARKADIA CLÍNICA LAS AMÉRICAS</t>
        </is>
      </c>
      <c r="D80" s="312" t="n"/>
      <c r="E80" s="312" t="n"/>
      <c r="F80" s="312" t="n"/>
      <c r="G80" s="312" t="n"/>
      <c r="H80" s="312" t="n"/>
      <c r="I80" s="313" t="n"/>
      <c r="J80" s="170" t="inlineStr">
        <is>
          <t>INTERVÉ</t>
        </is>
      </c>
      <c r="K80" s="314" t="n">
        <v>439000</v>
      </c>
      <c r="L80" s="2" t="n">
        <v>43907</v>
      </c>
      <c r="M80" s="2" t="inlineStr">
        <is>
          <t>X</t>
        </is>
      </c>
      <c r="N80" s="2" t="n"/>
      <c r="O80" s="172" t="inlineStr">
        <is>
          <t>Martha Lucía Ferrer</t>
        </is>
      </c>
      <c r="P80" s="172" t="n"/>
    </row>
    <row r="81">
      <c r="B81" s="31" t="n">
        <v>68</v>
      </c>
      <c r="C81" s="199" t="inlineStr">
        <is>
          <t>COTIZACION DE LOS DISEÑOS DE SEGURIDAD HUMANA Y PROTECCIÓN CONTRA  INCENDIOS - LA CUMBRE</t>
        </is>
      </c>
      <c r="D81" s="312" t="n"/>
      <c r="E81" s="312" t="n"/>
      <c r="F81" s="312" t="n"/>
      <c r="G81" s="312" t="n"/>
      <c r="H81" s="312" t="n"/>
      <c r="I81" s="313" t="n"/>
      <c r="J81" s="170" t="inlineStr">
        <is>
          <t>SPCI</t>
        </is>
      </c>
      <c r="K81" s="314" t="n">
        <v>23560000</v>
      </c>
      <c r="L81" s="2" t="n">
        <v>43908</v>
      </c>
      <c r="M81" s="170" t="n"/>
      <c r="N81" s="170" t="n">
        <v>3104680508</v>
      </c>
      <c r="O81" s="172" t="inlineStr">
        <is>
          <t>Juan Pablo Grajales</t>
        </is>
      </c>
      <c r="P81" s="52" t="inlineStr">
        <is>
          <t>juan.grajales@spci.com.co</t>
        </is>
      </c>
    </row>
    <row r="82">
      <c r="B82" s="34" t="n">
        <v>69</v>
      </c>
      <c r="C82" s="199" t="inlineStr">
        <is>
          <t>COTIZACION DE LOS DISEÑOS DE SEGURIDAD HUMANA Y PROTECCIÓN CONTRA  INCENDIOS - LA CUMBRE</t>
        </is>
      </c>
      <c r="D82" s="312" t="n"/>
      <c r="E82" s="312" t="n"/>
      <c r="F82" s="312" t="n"/>
      <c r="G82" s="312" t="n"/>
      <c r="H82" s="312" t="n"/>
      <c r="I82" s="313" t="n"/>
      <c r="J82" s="170" t="inlineStr">
        <is>
          <t>SECURETEC</t>
        </is>
      </c>
      <c r="K82" s="314" t="n">
        <v>23560000</v>
      </c>
      <c r="L82" s="2" t="n">
        <v>43917</v>
      </c>
      <c r="M82" s="170" t="inlineStr">
        <is>
          <t>X</t>
        </is>
      </c>
      <c r="N82" s="170" t="n"/>
      <c r="O82" s="172" t="inlineStr">
        <is>
          <t>Jhonny Castro</t>
        </is>
      </c>
      <c r="P82" s="172" t="n"/>
    </row>
    <row r="83">
      <c r="A83" s="207" t="n">
        <v>69</v>
      </c>
      <c r="B83" s="34" t="n">
        <v>70</v>
      </c>
      <c r="C83" s="226" t="inlineStr">
        <is>
          <t>COTIZACION DE LOS DISEÑOS DE PROTECCIÓN CONTRA INCENDIOS PARA EL PROYECTO PARCELACIÓN MONTESOL VILLAS DE VERANO</t>
        </is>
      </c>
      <c r="D83" s="312" t="n"/>
      <c r="E83" s="312" t="n"/>
      <c r="F83" s="312" t="n"/>
      <c r="G83" s="312" t="n"/>
      <c r="H83" s="312" t="n"/>
      <c r="I83" s="313" t="n"/>
      <c r="J83" s="170" t="inlineStr">
        <is>
          <t>SOCOMES</t>
        </is>
      </c>
      <c r="K83" s="314" t="n">
        <v>3980000</v>
      </c>
      <c r="L83" s="2" t="n">
        <v>43917</v>
      </c>
      <c r="M83" s="170" t="n"/>
      <c r="N83" s="170" t="n">
        <v>3137851941</v>
      </c>
      <c r="O83" s="172" t="inlineStr">
        <is>
          <t>David Lopera</t>
        </is>
      </c>
      <c r="P83" s="52" t="inlineStr">
        <is>
          <t>david.lopera@socomes.com</t>
        </is>
      </c>
    </row>
    <row r="84">
      <c r="B84" s="31" t="n">
        <v>71</v>
      </c>
      <c r="C84" s="199" t="inlineStr">
        <is>
          <t>COTIZACION DE LOS DISEÑOS DE SEGURIDAD HUMANA Y PROTECCIÓN CONTRA  INCENDIOS - ASOCIA</t>
        </is>
      </c>
      <c r="D84" s="312" t="n"/>
      <c r="E84" s="312" t="n"/>
      <c r="F84" s="312" t="n"/>
      <c r="G84" s="312" t="n"/>
      <c r="H84" s="312" t="n"/>
      <c r="I84" s="313" t="n"/>
      <c r="J84" s="170" t="inlineStr">
        <is>
          <t>ALBERTO ALVAREZ</t>
        </is>
      </c>
      <c r="K84" s="314" t="n">
        <v>7905000</v>
      </c>
      <c r="L84" s="2" t="n">
        <v>43920</v>
      </c>
      <c r="M84" s="170" t="n"/>
      <c r="N84" s="170" t="n"/>
      <c r="O84" s="172" t="inlineStr">
        <is>
          <t>Juliana Valencia</t>
        </is>
      </c>
      <c r="P84" s="172" t="n"/>
    </row>
    <row r="85">
      <c r="B85" s="31" t="n">
        <v>72</v>
      </c>
      <c r="C85" s="199" t="inlineStr">
        <is>
          <t>COTIZACION DEL REDISEÑO DE EXTINCIÓN DE INCENDIOS - APTOS ACUARELA DEL PARQUE</t>
        </is>
      </c>
      <c r="D85" s="312" t="n"/>
      <c r="E85" s="312" t="n"/>
      <c r="F85" s="312" t="n"/>
      <c r="G85" s="312" t="n"/>
      <c r="H85" s="312" t="n"/>
      <c r="I85" s="313" t="n"/>
      <c r="J85" s="170" t="inlineStr">
        <is>
          <t>ARQUITECTURA Y CONCRETO</t>
        </is>
      </c>
      <c r="K85" s="314" t="n">
        <v>990000</v>
      </c>
      <c r="L85" s="2" t="n">
        <v>43922</v>
      </c>
      <c r="M85" s="170" t="inlineStr">
        <is>
          <t>X</t>
        </is>
      </c>
      <c r="N85" s="170" t="n"/>
      <c r="O85" s="172" t="inlineStr">
        <is>
          <t>David Velásquez</t>
        </is>
      </c>
      <c r="P85" s="172" t="n"/>
    </row>
    <row r="86">
      <c r="B86" s="31" t="n">
        <v>73</v>
      </c>
      <c r="C86" s="199" t="inlineStr">
        <is>
          <t>COTIZACION DE LOS DISEÑOS DE SEGURIDAD HUMANA Y PROTECCIÓN CONTRA  INCENDIOS - VERTICALL</t>
        </is>
      </c>
      <c r="D86" s="312" t="n"/>
      <c r="E86" s="312" t="n"/>
      <c r="F86" s="312" t="n"/>
      <c r="G86" s="312" t="n"/>
      <c r="H86" s="312" t="n"/>
      <c r="I86" s="313" t="n"/>
      <c r="J86" s="170" t="inlineStr">
        <is>
          <t>PVG</t>
        </is>
      </c>
      <c r="K86" s="314" t="n">
        <v>24170000</v>
      </c>
      <c r="L86" s="2" t="n">
        <v>43923</v>
      </c>
      <c r="M86" s="170" t="n"/>
      <c r="N86" s="170" t="n"/>
      <c r="O86" s="172" t="inlineStr">
        <is>
          <t>Verónica Lopera Aguirre</t>
        </is>
      </c>
      <c r="P86" s="172" t="n"/>
    </row>
    <row r="87">
      <c r="B87" s="31" t="n">
        <v>74</v>
      </c>
      <c r="C87" s="199" t="inlineStr">
        <is>
          <t>COTIZACION DE LOS DISEÑOS DE SEGURIDAD HUMANA Y EXTINCIÓN DE INCENDIOS - SAN NICOLAS ETAPA 3</t>
        </is>
      </c>
      <c r="D87" s="312" t="n"/>
      <c r="E87" s="312" t="n"/>
      <c r="F87" s="312" t="n"/>
      <c r="G87" s="312" t="n"/>
      <c r="H87" s="312" t="n"/>
      <c r="I87" s="313" t="n"/>
      <c r="J87" s="170" t="inlineStr">
        <is>
          <t>HIDRO F SALILNAS</t>
        </is>
      </c>
      <c r="K87" s="314" t="n">
        <v>26960000</v>
      </c>
      <c r="L87" s="2" t="n">
        <v>43923</v>
      </c>
      <c r="M87" s="170" t="inlineStr">
        <is>
          <t>X</t>
        </is>
      </c>
      <c r="N87" s="170" t="n"/>
      <c r="O87" s="172" t="inlineStr">
        <is>
          <t>Carolina Volkmar</t>
        </is>
      </c>
      <c r="P87" s="172" t="n"/>
    </row>
    <row r="88">
      <c r="B88" s="31" t="n">
        <v>75</v>
      </c>
      <c r="C88" s="199" t="inlineStr">
        <is>
          <t>COTIZACION DEL DISEÑO DE EXTINCIÓN DE INCENDIOS - MADELO</t>
        </is>
      </c>
      <c r="D88" s="312" t="n"/>
      <c r="E88" s="312" t="n"/>
      <c r="F88" s="312" t="n"/>
      <c r="G88" s="312" t="n"/>
      <c r="H88" s="312" t="n"/>
      <c r="I88" s="313" t="n"/>
      <c r="J88" s="170" t="inlineStr">
        <is>
          <t>JOMARK</t>
        </is>
      </c>
      <c r="K88" s="314" t="n">
        <v>1000000</v>
      </c>
      <c r="L88" s="2" t="n">
        <v>43923</v>
      </c>
      <c r="M88" s="170" t="n"/>
      <c r="N88" s="170" t="n"/>
      <c r="O88" s="172" t="inlineStr">
        <is>
          <t>Angélica Montoya</t>
        </is>
      </c>
      <c r="P88" s="172" t="n"/>
    </row>
    <row r="89">
      <c r="B89" s="31" t="n">
        <v>76</v>
      </c>
      <c r="C89" s="199" t="inlineStr">
        <is>
          <t>COTIZACION DE LOS DISEÑOS DE SEGURIDAD HUMANA - ASOCIA</t>
        </is>
      </c>
      <c r="D89" s="312" t="n"/>
      <c r="E89" s="312" t="n"/>
      <c r="F89" s="312" t="n"/>
      <c r="G89" s="312" t="n"/>
      <c r="H89" s="312" t="n"/>
      <c r="I89" s="313" t="n"/>
      <c r="J89" s="170" t="inlineStr">
        <is>
          <t>ALBERTO ALVAREZ</t>
        </is>
      </c>
      <c r="K89" s="314" t="n">
        <v>2195000</v>
      </c>
      <c r="L89" s="2" t="n">
        <v>43924</v>
      </c>
      <c r="M89" s="2" t="n">
        <v>44124</v>
      </c>
      <c r="N89" s="170" t="n"/>
      <c r="O89" s="172" t="inlineStr">
        <is>
          <t>Juliana Valencia</t>
        </is>
      </c>
      <c r="P89" s="172" t="n"/>
    </row>
    <row r="90">
      <c r="B90" s="31" t="n">
        <v>77</v>
      </c>
      <c r="C90" s="199" t="inlineStr">
        <is>
          <t>COTIZACION DE LOS DISEÑOS DE PROTECCIÓN CONTRA INCENDIOS Y SEGURIDAD HUMANA PARA EL PROYECTO REFORMA DE 3 PISOS UNIVERSIDAD DEL ROSARIO</t>
        </is>
      </c>
      <c r="D90" s="312" t="n"/>
      <c r="E90" s="312" t="n"/>
      <c r="F90" s="312" t="n"/>
      <c r="G90" s="312" t="n"/>
      <c r="H90" s="312" t="n"/>
      <c r="I90" s="313" t="n"/>
      <c r="J90" s="170" t="inlineStr">
        <is>
          <t>SPCI</t>
        </is>
      </c>
      <c r="K90" s="314" t="n">
        <v>11850000</v>
      </c>
      <c r="L90" s="2" t="n">
        <v>43924</v>
      </c>
      <c r="M90" s="170" t="n"/>
      <c r="N90" s="170" t="n">
        <v>3104680508</v>
      </c>
      <c r="O90" s="172" t="inlineStr">
        <is>
          <t>Juan Pablo Grajales</t>
        </is>
      </c>
      <c r="P90" s="52" t="inlineStr">
        <is>
          <t>juan.grajales@spci.com.co</t>
        </is>
      </c>
    </row>
    <row r="91">
      <c r="B91" s="31" t="n">
        <v>78</v>
      </c>
      <c r="C91" s="199" t="inlineStr">
        <is>
          <t>REDISEÑOS ARAGUA</t>
        </is>
      </c>
      <c r="D91" s="312" t="n"/>
      <c r="E91" s="312" t="n"/>
      <c r="F91" s="312" t="n"/>
      <c r="G91" s="312" t="n"/>
      <c r="H91" s="312" t="n"/>
      <c r="I91" s="313" t="n"/>
      <c r="J91" s="170" t="inlineStr">
        <is>
          <t>SPCI</t>
        </is>
      </c>
      <c r="K91" s="314" t="n">
        <v>1820000</v>
      </c>
      <c r="L91" s="2" t="n">
        <v>43928</v>
      </c>
      <c r="M91" s="170" t="inlineStr">
        <is>
          <t>X</t>
        </is>
      </c>
      <c r="N91" s="170" t="n">
        <v>3104680508</v>
      </c>
      <c r="O91" s="172" t="inlineStr">
        <is>
          <t>Juan Pablo Grajales</t>
        </is>
      </c>
      <c r="P91" s="52" t="inlineStr">
        <is>
          <t>juan.grajales@spci.com.co</t>
        </is>
      </c>
    </row>
    <row r="92">
      <c r="B92" s="31" t="n">
        <v>79</v>
      </c>
      <c r="C92" s="199" t="inlineStr">
        <is>
          <t>COTIZACION DE LOS DISEÑOS DE SEGURIDAD HUMANA Y PROTECCIÓN CONTRA  INCENDIOS - CERVECERÍA GUARDIAN</t>
        </is>
      </c>
      <c r="D92" s="312" t="n"/>
      <c r="E92" s="312" t="n"/>
      <c r="F92" s="312" t="n"/>
      <c r="G92" s="312" t="n"/>
      <c r="H92" s="312" t="n"/>
      <c r="I92" s="313" t="n"/>
      <c r="J92" s="170" t="inlineStr">
        <is>
          <t>CERVECERIA GUARDIAN</t>
        </is>
      </c>
      <c r="K92" s="314" t="n">
        <v>8480000</v>
      </c>
      <c r="L92" s="2" t="n">
        <v>43936</v>
      </c>
      <c r="M92" s="170" t="n"/>
      <c r="N92" s="170" t="n"/>
      <c r="O92" s="172" t="inlineStr">
        <is>
          <t>Oscar Contreras / Manuel Contreras</t>
        </is>
      </c>
      <c r="P92" s="172" t="n"/>
    </row>
    <row r="93">
      <c r="B93" s="31" t="n">
        <v>80</v>
      </c>
      <c r="C93" s="226" t="inlineStr">
        <is>
          <t>COTIZACION DE LOS DISEÑOS DE SEGURIDAD HUMANA Y PROTECCIÓN CONTRA  INCENDIOS - OZ</t>
        </is>
      </c>
      <c r="D93" s="312" t="n"/>
      <c r="E93" s="312" t="n"/>
      <c r="F93" s="312" t="n"/>
      <c r="G93" s="312" t="n"/>
      <c r="H93" s="312" t="n"/>
      <c r="I93" s="313" t="n"/>
      <c r="J93" s="31" t="inlineStr">
        <is>
          <t>RRP</t>
        </is>
      </c>
      <c r="K93" s="326" t="n">
        <v>15985000</v>
      </c>
      <c r="L93" s="45" t="n">
        <v>43936</v>
      </c>
      <c r="M93" s="36" t="inlineStr">
        <is>
          <t>X</t>
        </is>
      </c>
      <c r="N93" s="31" t="n">
        <v>3104300137</v>
      </c>
      <c r="O93" s="41" t="inlineStr">
        <is>
          <t>Roberto Pineda</t>
        </is>
      </c>
      <c r="P93" s="52" t="inlineStr">
        <is>
          <t>roberto.pineda@rrp.com.co</t>
        </is>
      </c>
    </row>
    <row r="94">
      <c r="B94" s="33" t="n">
        <v>81</v>
      </c>
      <c r="C94" s="198" t="inlineStr">
        <is>
          <t>COTIZACION DE LOS DISEÑOS DE SEGURIDAD HUMANA Y PROTECCIÓN CONTRA  INCENDIOS - BODEGA PRIMAVERA RED GRAL</t>
        </is>
      </c>
      <c r="D94" s="312" t="n"/>
      <c r="E94" s="312" t="n"/>
      <c r="F94" s="312" t="n"/>
      <c r="G94" s="312" t="n"/>
      <c r="H94" s="312" t="n"/>
      <c r="I94" s="313" t="n"/>
      <c r="J94" s="33" t="inlineStr">
        <is>
          <t>MENSULA</t>
        </is>
      </c>
      <c r="K94" s="325" t="n">
        <v>22370000</v>
      </c>
      <c r="L94" s="44" t="n">
        <v>43944</v>
      </c>
      <c r="M94" s="33" t="n"/>
      <c r="N94" s="33" t="n"/>
      <c r="O94" s="40" t="n"/>
      <c r="P94" s="172" t="n"/>
      <c r="S94" s="321" t="n"/>
    </row>
    <row r="95">
      <c r="B95" s="31" t="n">
        <v>82</v>
      </c>
      <c r="C95" s="199" t="inlineStr">
        <is>
          <t>COTIZACION DE LOS DISEÑOS DE SEGURIDAD HUMANA Y PROTECCIÓN CONTRA  INCENDIOS - BODEGA PRIMAVERA TOTAL</t>
        </is>
      </c>
      <c r="D95" s="312" t="n"/>
      <c r="E95" s="312" t="n"/>
      <c r="F95" s="312" t="n"/>
      <c r="G95" s="312" t="n"/>
      <c r="H95" s="312" t="n"/>
      <c r="I95" s="313" t="n"/>
      <c r="J95" s="170" t="inlineStr">
        <is>
          <t>MENSULA</t>
        </is>
      </c>
      <c r="K95" s="314" t="n">
        <v>49955000</v>
      </c>
      <c r="L95" s="2" t="n">
        <v>43944</v>
      </c>
      <c r="M95" s="170" t="n"/>
      <c r="N95" s="170" t="n"/>
      <c r="O95" s="172" t="inlineStr">
        <is>
          <t>María Eugenia Ospina A</t>
        </is>
      </c>
      <c r="P95" s="172" t="n"/>
      <c r="S95" s="321" t="n"/>
    </row>
    <row r="96">
      <c r="B96" s="31" t="n">
        <v>83</v>
      </c>
      <c r="C96" s="199" t="inlineStr">
        <is>
          <t>COTIZACION DE INTERVENTORÍA A LA INSTALACIÓN DE LOS SISTEMAS DE PROTECCIÓN CONTRA INCENDIOS PARA LA PLANTA RIDUCO</t>
        </is>
      </c>
      <c r="D96" s="312" t="n"/>
      <c r="E96" s="312" t="n"/>
      <c r="F96" s="312" t="n"/>
      <c r="G96" s="312" t="n"/>
      <c r="H96" s="312" t="n"/>
      <c r="I96" s="313" t="n"/>
      <c r="J96" s="170" t="inlineStr">
        <is>
          <t>RIDUCO</t>
        </is>
      </c>
      <c r="K96" s="314" t="n">
        <v>1100000</v>
      </c>
      <c r="L96" s="2" t="n">
        <v>43955</v>
      </c>
      <c r="M96" s="170" t="n"/>
      <c r="N96" s="170" t="n"/>
      <c r="O96" s="172" t="inlineStr">
        <is>
          <t>Luis Felipe Pérez</t>
        </is>
      </c>
      <c r="P96" s="172" t="n"/>
    </row>
    <row r="97">
      <c r="B97" s="31" t="n">
        <v>84</v>
      </c>
      <c r="C97" s="199" t="inlineStr">
        <is>
          <t>COTIZACION DE LOS DISEÑOS DE SEGURIDAD HUMANA Y PROTECCIÓN CONTRA  INCENDIOS - MARSH &amp; MCLENNAN</t>
        </is>
      </c>
      <c r="D97" s="312" t="n"/>
      <c r="E97" s="312" t="n"/>
      <c r="F97" s="312" t="n"/>
      <c r="G97" s="312" t="n"/>
      <c r="H97" s="312" t="n"/>
      <c r="I97" s="313" t="n"/>
      <c r="J97" s="170" t="inlineStr">
        <is>
          <t>STUDIO SUR</t>
        </is>
      </c>
      <c r="K97" s="314" t="n">
        <v>19780000</v>
      </c>
      <c r="L97" s="2" t="n">
        <v>43951</v>
      </c>
      <c r="M97" s="170" t="n"/>
      <c r="N97" s="170" t="n"/>
      <c r="O97" s="172" t="inlineStr">
        <is>
          <t>Andrea Pineda</t>
        </is>
      </c>
      <c r="P97" s="172" t="n"/>
    </row>
    <row r="98">
      <c r="B98" s="31" t="n">
        <v>85</v>
      </c>
      <c r="C98" s="226" t="inlineStr">
        <is>
          <t>COTIZACION DEL ANÁLISIS DE SEGURIDAD HUMANA PARA EL PROYECTO OFICINAS MARSH &amp; MCLENNAN BOGOTÁ</t>
        </is>
      </c>
      <c r="D98" s="312" t="n"/>
      <c r="E98" s="312" t="n"/>
      <c r="F98" s="312" t="n"/>
      <c r="G98" s="312" t="n"/>
      <c r="H98" s="312" t="n"/>
      <c r="I98" s="313" t="n"/>
      <c r="J98" s="31" t="inlineStr">
        <is>
          <t>STUDIO SUR</t>
        </is>
      </c>
      <c r="K98" s="326" t="n">
        <v>3525000</v>
      </c>
      <c r="L98" s="45" t="n">
        <v>43951</v>
      </c>
      <c r="M98" s="31" t="inlineStr">
        <is>
          <t>X</t>
        </is>
      </c>
      <c r="N98" s="31" t="n"/>
      <c r="O98" s="41" t="inlineStr">
        <is>
          <t>Andrea Pineda</t>
        </is>
      </c>
      <c r="P98" s="172" t="n"/>
    </row>
    <row r="99">
      <c r="B99" s="31" t="n">
        <v>86</v>
      </c>
      <c r="C99" s="199" t="inlineStr">
        <is>
          <t>COTIZACION DE LOS DISEÑOS DE PROTECCIÓN CONTRA INCENDIOS PARA EL PROYECTO FRUTOS VERDES</t>
        </is>
      </c>
      <c r="D99" s="312" t="n"/>
      <c r="E99" s="312" t="n"/>
      <c r="F99" s="312" t="n"/>
      <c r="G99" s="312" t="n"/>
      <c r="H99" s="312" t="n"/>
      <c r="I99" s="313" t="n"/>
      <c r="J99" s="170" t="inlineStr">
        <is>
          <t>CONINTEL</t>
        </is>
      </c>
      <c r="K99" s="314" t="n">
        <v>14990000</v>
      </c>
      <c r="L99" s="2" t="n">
        <v>43957</v>
      </c>
      <c r="M99" s="170" t="n"/>
      <c r="N99" s="170" t="n"/>
      <c r="O99" s="172" t="inlineStr">
        <is>
          <t>Doris Duarte</t>
        </is>
      </c>
      <c r="P99" s="172" t="n"/>
    </row>
    <row r="100">
      <c r="B100" s="31" t="n">
        <v>87</v>
      </c>
      <c r="C100" s="199" t="inlineStr">
        <is>
          <t>COTIZACION DE LOS DISEÑOS DE PROTECCIÓN CONTRA INCENDIOS Y SEGURIDAD HUMANA PARA EL PROYECTO COLEGIO JHON F KENNEDY</t>
        </is>
      </c>
      <c r="D100" s="312" t="n"/>
      <c r="E100" s="312" t="n"/>
      <c r="F100" s="312" t="n"/>
      <c r="G100" s="312" t="n"/>
      <c r="H100" s="312" t="n"/>
      <c r="I100" s="313" t="n"/>
      <c r="J100" s="170" t="inlineStr">
        <is>
          <t>RRP</t>
        </is>
      </c>
      <c r="K100" s="314" t="n">
        <v>13990000</v>
      </c>
      <c r="L100" s="2" t="n">
        <v>43958</v>
      </c>
      <c r="M100" s="170" t="n"/>
      <c r="N100" s="170" t="n"/>
      <c r="O100" s="172" t="inlineStr">
        <is>
          <t>Álvaro Rojas</t>
        </is>
      </c>
      <c r="P100" s="172" t="n"/>
    </row>
    <row r="101">
      <c r="B101" s="31" t="n">
        <v>88</v>
      </c>
      <c r="C101" s="199" t="inlineStr">
        <is>
          <t>COTIZACION DE LOS DISEÑOS DE PROTECCIÓN CONTRA INCENDIOS Y SEGURIDAD HUMANA PARA EL PROYECTO CDI ENVIGADO</t>
        </is>
      </c>
      <c r="D101" s="312" t="n"/>
      <c r="E101" s="312" t="n"/>
      <c r="F101" s="312" t="n"/>
      <c r="G101" s="312" t="n"/>
      <c r="H101" s="312" t="n"/>
      <c r="I101" s="313" t="n"/>
      <c r="J101" s="170" t="inlineStr">
        <is>
          <t>RRP</t>
        </is>
      </c>
      <c r="K101" s="314" t="n">
        <v>7520000</v>
      </c>
      <c r="L101" s="2" t="n">
        <v>43958</v>
      </c>
      <c r="M101" s="170" t="n"/>
      <c r="N101" s="170" t="n"/>
      <c r="O101" s="172" t="inlineStr">
        <is>
          <t>Álvaro Rojas</t>
        </is>
      </c>
      <c r="P101" s="172" t="n"/>
    </row>
    <row r="102">
      <c r="B102" s="31" t="n">
        <v>89</v>
      </c>
      <c r="C102" s="199" t="inlineStr">
        <is>
          <t>COTIZACION DE LOS DISEÑOS DE PROTECCIÓN CONTRA INCENDIOS Y SEGURIDAD HUMANA PARA EL PROYECTO TERRAZZINO SUR</t>
        </is>
      </c>
      <c r="D102" s="312" t="n"/>
      <c r="E102" s="312" t="n"/>
      <c r="F102" s="312" t="n"/>
      <c r="G102" s="312" t="n"/>
      <c r="H102" s="312" t="n"/>
      <c r="I102" s="313" t="n"/>
      <c r="J102" s="170" t="inlineStr">
        <is>
          <t>GINO</t>
        </is>
      </c>
      <c r="K102" s="314" t="inlineStr">
        <is>
          <t>VARIABLE</t>
        </is>
      </c>
      <c r="L102" s="2" t="n">
        <v>43959</v>
      </c>
      <c r="M102" s="170" t="n"/>
      <c r="N102" s="170" t="n"/>
      <c r="O102" s="172" t="inlineStr">
        <is>
          <t>Lina Gonzáles</t>
        </is>
      </c>
      <c r="P102" s="172" t="n"/>
    </row>
    <row r="103">
      <c r="B103" s="31" t="n">
        <v>90</v>
      </c>
      <c r="C103" s="199" t="inlineStr">
        <is>
          <t>COTIZACION DE LOS DISEÑOS DE SEGURIDAD HUMANA Y PROTECCIÓN CONTRA  INCENDIOS - BOSQUE SAGRADO</t>
        </is>
      </c>
      <c r="D103" s="312" t="n"/>
      <c r="E103" s="312" t="n"/>
      <c r="F103" s="312" t="n"/>
      <c r="G103" s="312" t="n"/>
      <c r="H103" s="312" t="n"/>
      <c r="I103" s="313" t="n"/>
      <c r="J103" s="170" t="inlineStr">
        <is>
          <t>GINO</t>
        </is>
      </c>
      <c r="K103" s="314" t="n">
        <v>14240000</v>
      </c>
      <c r="L103" s="2" t="n">
        <v>43960</v>
      </c>
      <c r="M103" s="170" t="n"/>
      <c r="N103" s="170" t="inlineStr">
        <is>
          <t>310 4242961</t>
        </is>
      </c>
      <c r="O103" s="39" t="inlineStr">
        <is>
          <t>Ana Maria Escobar</t>
        </is>
      </c>
      <c r="P103" s="172" t="n"/>
    </row>
    <row r="104">
      <c r="B104" s="31" t="n">
        <v>91</v>
      </c>
      <c r="C104" s="199" t="inlineStr">
        <is>
          <t>COTIZACION DE LOS DISEÑOS DE PROTECCIÓN CONTRA INCENDIOS Y SEGURIDAD HUMANA PARA EL PROYECTO BLOQUES 42 Y  42A UNAL</t>
        </is>
      </c>
      <c r="D104" s="312" t="n"/>
      <c r="E104" s="312" t="n"/>
      <c r="F104" s="312" t="n"/>
      <c r="G104" s="312" t="n"/>
      <c r="H104" s="312" t="n"/>
      <c r="I104" s="313" t="n"/>
      <c r="J104" s="170" t="inlineStr">
        <is>
          <t>GINO</t>
        </is>
      </c>
      <c r="K104" s="314" t="n">
        <v>9055000</v>
      </c>
      <c r="L104" s="2" t="n">
        <v>43962</v>
      </c>
      <c r="M104" s="170" t="n"/>
      <c r="N104" s="170" t="n"/>
      <c r="O104" s="172" t="inlineStr">
        <is>
          <t>Johan Ferney Tamayo</t>
        </is>
      </c>
      <c r="P104" s="172" t="n"/>
    </row>
    <row r="105">
      <c r="B105" s="31" t="n">
        <v>92</v>
      </c>
      <c r="C105" s="199" t="inlineStr">
        <is>
          <t>COTIZACION DE LOS DISEÑOS DE PROTECCIÓN CONTRA INCENDIOS Y SEGURIDAD HUMANA PARA EL PROYECTO RESIDENCIAL PINARES</t>
        </is>
      </c>
      <c r="D105" s="312" t="n"/>
      <c r="E105" s="312" t="n"/>
      <c r="F105" s="312" t="n"/>
      <c r="G105" s="312" t="n"/>
      <c r="H105" s="312" t="n"/>
      <c r="I105" s="313" t="n"/>
      <c r="J105" s="170" t="inlineStr">
        <is>
          <t>GINO</t>
        </is>
      </c>
      <c r="K105" s="314" t="n">
        <v>14895000</v>
      </c>
      <c r="L105" s="2" t="n">
        <v>43962</v>
      </c>
      <c r="M105" s="170" t="n"/>
      <c r="N105" s="170" t="inlineStr">
        <is>
          <t>310 4242961</t>
        </is>
      </c>
      <c r="O105" s="172" t="inlineStr">
        <is>
          <t>Ana Maria Escobar</t>
        </is>
      </c>
      <c r="P105" s="172" t="n"/>
    </row>
    <row r="106">
      <c r="B106" s="170" t="n">
        <v>93</v>
      </c>
      <c r="C106" s="199" t="inlineStr">
        <is>
          <t>COTIZACION DEL RE-DISEÑO DE EXTINCIÓN DE INCENDIOS PARA EL PROYECTO PLEXA</t>
        </is>
      </c>
      <c r="D106" s="312" t="n"/>
      <c r="E106" s="312" t="n"/>
      <c r="F106" s="312" t="n"/>
      <c r="G106" s="312" t="n"/>
      <c r="H106" s="312" t="n"/>
      <c r="I106" s="313" t="n"/>
      <c r="J106" s="170" t="inlineStr">
        <is>
          <t>SPCI</t>
        </is>
      </c>
      <c r="K106" s="314" t="n">
        <v>5400000</v>
      </c>
      <c r="L106" s="2" t="n">
        <v>43964</v>
      </c>
      <c r="M106" s="2" t="inlineStr">
        <is>
          <t>X</t>
        </is>
      </c>
      <c r="N106" s="170" t="inlineStr">
        <is>
          <t>310 4278593</t>
        </is>
      </c>
      <c r="O106" s="172" t="inlineStr">
        <is>
          <t>Daniel Uribe</t>
        </is>
      </c>
      <c r="P106" s="52" t="inlineStr">
        <is>
          <t>duribe86@gmail.com</t>
        </is>
      </c>
      <c r="Q106" s="19" t="n"/>
    </row>
    <row r="107">
      <c r="B107" s="170" t="n">
        <v>94</v>
      </c>
      <c r="C107" s="199" t="inlineStr">
        <is>
          <t>COTIZACION DEL ANÁLISIS DE SEGURIDAD HUMANA PARA EL PROYECTO AUDITORIO</t>
        </is>
      </c>
      <c r="D107" s="312" t="n"/>
      <c r="E107" s="312" t="n"/>
      <c r="F107" s="312" t="n"/>
      <c r="G107" s="312" t="n"/>
      <c r="H107" s="312" t="n"/>
      <c r="I107" s="313" t="n"/>
      <c r="J107" s="170" t="inlineStr">
        <is>
          <t>JOMARK</t>
        </is>
      </c>
      <c r="K107" s="314" t="n">
        <v>1945000</v>
      </c>
      <c r="L107" s="2" t="n">
        <v>43964</v>
      </c>
      <c r="M107" s="170" t="n"/>
      <c r="N107" s="170" t="inlineStr">
        <is>
          <t>319 4913179</t>
        </is>
      </c>
      <c r="O107" s="172" t="inlineStr">
        <is>
          <t>Carlos Almanya</t>
        </is>
      </c>
      <c r="P107" s="172" t="n"/>
    </row>
    <row r="108">
      <c r="B108" s="170" t="n">
        <v>95</v>
      </c>
      <c r="C108" s="199" t="inlineStr">
        <is>
          <t>COTIZACION DEL DISEÑO DE DETECCIÓN DE INCENDIOS - TIPALMA</t>
        </is>
      </c>
      <c r="D108" s="312" t="n"/>
      <c r="E108" s="312" t="n"/>
      <c r="F108" s="312" t="n"/>
      <c r="G108" s="312" t="n"/>
      <c r="H108" s="312" t="n"/>
      <c r="I108" s="313" t="n"/>
      <c r="J108" s="170" t="inlineStr">
        <is>
          <t>SPCI</t>
        </is>
      </c>
      <c r="K108" s="314" t="n">
        <v>3725000</v>
      </c>
      <c r="L108" s="2" t="n">
        <v>43964</v>
      </c>
      <c r="M108" s="170" t="n"/>
      <c r="N108" s="170" t="inlineStr">
        <is>
          <t>310 4278593</t>
        </is>
      </c>
      <c r="O108" s="172" t="inlineStr">
        <is>
          <t>Daniel Uribe</t>
        </is>
      </c>
      <c r="P108" s="52" t="inlineStr">
        <is>
          <t>duribe86@gmail.com</t>
        </is>
      </c>
      <c r="Q108" s="19" t="n"/>
    </row>
    <row r="109">
      <c r="B109" s="170" t="n">
        <v>96</v>
      </c>
      <c r="C109" s="199" t="inlineStr">
        <is>
          <t>COTIZACION DE LOS DISEÑOS DE SEGURIDAD HUMANA Y DETECCIÓN DE INCENDIOS - ETAPA 2 PARADISE LIVING</t>
        </is>
      </c>
      <c r="D109" s="312" t="n"/>
      <c r="E109" s="312" t="n"/>
      <c r="F109" s="312" t="n"/>
      <c r="G109" s="312" t="n"/>
      <c r="H109" s="312" t="n"/>
      <c r="I109" s="313" t="n"/>
      <c r="J109" s="170" t="inlineStr">
        <is>
          <t>DBG</t>
        </is>
      </c>
      <c r="K109" s="314" t="n">
        <v>2195000</v>
      </c>
      <c r="L109" s="2" t="n">
        <v>43965</v>
      </c>
      <c r="M109" s="170" t="inlineStr">
        <is>
          <t>X</t>
        </is>
      </c>
      <c r="N109" s="170" t="n">
        <v>3218179367</v>
      </c>
      <c r="O109" s="172" t="inlineStr">
        <is>
          <t>Isabel Vélez</t>
        </is>
      </c>
      <c r="P109" s="52" t="inlineStr">
        <is>
          <t>ivelez@dgbconstructora.com</t>
        </is>
      </c>
      <c r="Q109" s="19" t="n"/>
    </row>
    <row r="110">
      <c r="B110" s="170" t="n">
        <v>97</v>
      </c>
      <c r="C110" s="199" t="inlineStr">
        <is>
          <t>COTIZACION DE LOS DISEÑOS DE SEGURIDAD HUMANA - ETAPA 2 PARADISE LIVING</t>
        </is>
      </c>
      <c r="D110" s="312" t="n"/>
      <c r="E110" s="312" t="n"/>
      <c r="F110" s="312" t="n"/>
      <c r="G110" s="312" t="n"/>
      <c r="H110" s="312" t="n"/>
      <c r="I110" s="313" t="n"/>
      <c r="J110" s="170" t="inlineStr">
        <is>
          <t>DBG</t>
        </is>
      </c>
      <c r="K110" s="314" t="n">
        <v>2195000</v>
      </c>
      <c r="L110" s="2" t="n">
        <v>43965</v>
      </c>
      <c r="M110" s="170" t="n"/>
      <c r="N110" s="170" t="n">
        <v>3218179367</v>
      </c>
      <c r="O110" s="172" t="inlineStr">
        <is>
          <t>Isabel Vélez</t>
        </is>
      </c>
      <c r="P110" s="52" t="inlineStr">
        <is>
          <t>ivelez@dgbconstructora.com</t>
        </is>
      </c>
    </row>
    <row r="111">
      <c r="B111" s="170" t="n">
        <v>98</v>
      </c>
      <c r="C111" s="199" t="inlineStr">
        <is>
          <t>COTIZACION REVISIÓN INSTALACIÓN DEL SISTEMA DE EXTINCIÓN DE INCENDIOS OHL - ECOCEMENTOS</t>
        </is>
      </c>
      <c r="D111" s="312" t="n"/>
      <c r="E111" s="312" t="n"/>
      <c r="F111" s="312" t="n"/>
      <c r="G111" s="312" t="n"/>
      <c r="H111" s="312" t="n"/>
      <c r="I111" s="313" t="n"/>
      <c r="J111" s="170" t="inlineStr">
        <is>
          <t>SPCI</t>
        </is>
      </c>
      <c r="K111" s="314" t="n">
        <v>6270000</v>
      </c>
      <c r="L111" s="2" t="n">
        <v>43966</v>
      </c>
      <c r="M111" s="170" t="inlineStr">
        <is>
          <t>X</t>
        </is>
      </c>
      <c r="N111" s="170" t="n">
        <v>3104680508</v>
      </c>
      <c r="O111" s="172" t="inlineStr">
        <is>
          <t>Juan Pablo Grajales</t>
        </is>
      </c>
      <c r="P111" s="52" t="inlineStr">
        <is>
          <t>juan.grajales@spci.com.co</t>
        </is>
      </c>
    </row>
    <row r="112">
      <c r="B112" s="170" t="n">
        <v>99</v>
      </c>
      <c r="C112" s="199" t="inlineStr">
        <is>
          <t>COTIZACION DEL DISEÑO DE EXTINCIÓN DE INCENDIOS - PISO DE CONSULTORIOS SALUD VEGAS</t>
        </is>
      </c>
      <c r="D112" s="312" t="n"/>
      <c r="E112" s="312" t="n"/>
      <c r="F112" s="312" t="n"/>
      <c r="G112" s="312" t="n"/>
      <c r="H112" s="312" t="n"/>
      <c r="I112" s="313" t="n"/>
      <c r="J112" s="170" t="inlineStr">
        <is>
          <t>ARQUITECTURA Y CONCRETO</t>
        </is>
      </c>
      <c r="K112" s="314" t="n">
        <v>1050000</v>
      </c>
      <c r="L112" s="2" t="n">
        <v>43969</v>
      </c>
      <c r="M112" s="170" t="n"/>
      <c r="N112" s="170" t="n">
        <v>3113018176</v>
      </c>
      <c r="O112" s="172" t="inlineStr">
        <is>
          <t>David Velasquez</t>
        </is>
      </c>
      <c r="P112" s="52" t="inlineStr">
        <is>
          <t>davidvelasquez@arquitecturayconcreto.com</t>
        </is>
      </c>
    </row>
    <row r="113">
      <c r="B113" s="170" t="n">
        <v>100</v>
      </c>
      <c r="C113" s="199" t="inlineStr">
        <is>
          <t>COTIZACION DEL DISEÑO DE EXTITORES PORTÁTILES CONTRA INCENDIOS PARA EL PROYECTO PARQUEADERO DE BUSES</t>
        </is>
      </c>
      <c r="D113" s="312" t="n"/>
      <c r="E113" s="312" t="n"/>
      <c r="F113" s="312" t="n"/>
      <c r="G113" s="312" t="n"/>
      <c r="H113" s="312" t="n"/>
      <c r="I113" s="313" t="n"/>
      <c r="J113" s="170" t="inlineStr">
        <is>
          <t>SPCI</t>
        </is>
      </c>
      <c r="K113" s="314" t="n">
        <v>1500000</v>
      </c>
      <c r="L113" s="2" t="n">
        <v>43969</v>
      </c>
      <c r="M113" s="170" t="n"/>
      <c r="N113" s="170" t="n">
        <v>3104680508</v>
      </c>
      <c r="O113" s="172" t="inlineStr">
        <is>
          <t>Juan Pablo Grajales</t>
        </is>
      </c>
      <c r="P113" s="52" t="inlineStr">
        <is>
          <t>juan.grajales@spci.com.co</t>
        </is>
      </c>
    </row>
    <row r="114">
      <c r="B114" s="170" t="n">
        <v>101</v>
      </c>
      <c r="C114" s="199" t="inlineStr">
        <is>
          <t>COTIZACION DE LOS DISEÑOS DE PROTECCIÓN CONTRA INCENDIOS PARA EL PROYECTO ESTACIÓN DE SERVICIOS</t>
        </is>
      </c>
      <c r="D114" s="312" t="n"/>
      <c r="E114" s="312" t="n"/>
      <c r="F114" s="312" t="n"/>
      <c r="G114" s="312" t="n"/>
      <c r="H114" s="312" t="n"/>
      <c r="I114" s="313" t="n"/>
      <c r="J114" s="170" t="inlineStr">
        <is>
          <t>SPCI</t>
        </is>
      </c>
      <c r="K114" s="314" t="n">
        <v>2990000</v>
      </c>
      <c r="L114" s="2" t="n">
        <v>43969</v>
      </c>
      <c r="M114" s="170" t="n"/>
      <c r="N114" s="170" t="n">
        <v>3104680509</v>
      </c>
      <c r="O114" s="172" t="inlineStr">
        <is>
          <t>Juan Pablo Grajales</t>
        </is>
      </c>
      <c r="P114" s="52" t="inlineStr">
        <is>
          <t>juan.grajales@spci.com.co</t>
        </is>
      </c>
    </row>
    <row r="115">
      <c r="B115" s="170" t="n">
        <v>102</v>
      </c>
      <c r="C115" s="199" t="inlineStr">
        <is>
          <t>COTIZACION DE LOS DISEÑOS DE PROTECCIÓN CONTRA INCENDIOS Y SEGURIDAD HUMANA PARA EL PROYECTO ZÚÑIGA ESTELAR</t>
        </is>
      </c>
      <c r="D115" s="312" t="n"/>
      <c r="E115" s="312" t="n"/>
      <c r="F115" s="312" t="n"/>
      <c r="G115" s="312" t="n"/>
      <c r="H115" s="312" t="n"/>
      <c r="I115" s="313" t="n"/>
      <c r="J115" s="170" t="inlineStr">
        <is>
          <t>GINO</t>
        </is>
      </c>
      <c r="K115" s="314" t="inlineStr">
        <is>
          <t>Variable</t>
        </is>
      </c>
      <c r="L115" s="2" t="n">
        <v>43978</v>
      </c>
      <c r="M115" s="170" t="inlineStr">
        <is>
          <t>X</t>
        </is>
      </c>
      <c r="N115" s="170" t="n"/>
      <c r="O115" s="172" t="inlineStr">
        <is>
          <t xml:space="preserve">Luis Zuluaga Ramirez </t>
        </is>
      </c>
      <c r="P115" s="52" t="inlineStr">
        <is>
          <t>lzuluagar0626@hotmail.com</t>
        </is>
      </c>
    </row>
    <row r="116">
      <c r="B116" s="170" t="n">
        <v>103</v>
      </c>
      <c r="C116" s="199" t="inlineStr">
        <is>
          <t>COTIZACION DE LA VALIDACIÓN HIDRÁULICA PARA OPTIMIZACIÓN SISTEMAS NIVELES 15 al 18 - TESORO ETAPA 4</t>
        </is>
      </c>
      <c r="D116" s="312" t="n"/>
      <c r="E116" s="312" t="n"/>
      <c r="F116" s="312" t="n"/>
      <c r="G116" s="312" t="n"/>
      <c r="H116" s="312" t="n"/>
      <c r="I116" s="313" t="n"/>
      <c r="J116" s="170" t="inlineStr">
        <is>
          <t>SPCI</t>
        </is>
      </c>
      <c r="K116" s="314" t="n">
        <v>1065000</v>
      </c>
      <c r="L116" s="2" t="n">
        <v>43978</v>
      </c>
      <c r="M116" s="170" t="inlineStr">
        <is>
          <t>X</t>
        </is>
      </c>
      <c r="N116" s="170" t="n">
        <v>3104165783</v>
      </c>
      <c r="O116" s="172" t="inlineStr">
        <is>
          <t>Cristiam Mondragón</t>
        </is>
      </c>
      <c r="P116" s="52" t="inlineStr">
        <is>
          <t>cristiamondragon.spci@gmail.com</t>
        </is>
      </c>
    </row>
    <row r="117">
      <c r="B117" s="170" t="n">
        <v>104</v>
      </c>
      <c r="C117" s="199" t="inlineStr">
        <is>
          <t>COTIZACION DE LOS DISEÑOS DE PROTECCIÓN CONTRA INCENDIOS Y SEGURIDAD HUMANA PARA EL PROYECTO RESIDENCIAL ALLEGRO</t>
        </is>
      </c>
      <c r="D117" s="312" t="n"/>
      <c r="E117" s="312" t="n"/>
      <c r="F117" s="312" t="n"/>
      <c r="G117" s="312" t="n"/>
      <c r="H117" s="312" t="n"/>
      <c r="I117" s="313" t="n"/>
      <c r="J117" s="170" t="inlineStr">
        <is>
          <t>GINO</t>
        </is>
      </c>
      <c r="K117" s="314" t="n">
        <v>10975000</v>
      </c>
      <c r="L117" s="2" t="n">
        <v>43983</v>
      </c>
      <c r="M117" s="170" t="inlineStr">
        <is>
          <t>X</t>
        </is>
      </c>
      <c r="N117" s="170" t="inlineStr">
        <is>
          <t>4480648 ext 122</t>
        </is>
      </c>
      <c r="O117" s="172" t="inlineStr">
        <is>
          <t>Juan Rico Orozco</t>
        </is>
      </c>
      <c r="P117" s="52" t="inlineStr">
        <is>
          <t>juanrico@centrosur.co</t>
        </is>
      </c>
    </row>
    <row r="118">
      <c r="B118" s="170" t="n">
        <v>105</v>
      </c>
      <c r="C118" s="199" t="inlineStr">
        <is>
          <t>COTIZACION DE LOS DISEÑOS DE PROTECCIÓN CONTRA INCENDIOS Y SEGURIDAD HUMANA PARA EL PROYECTO TORRE HIMALAYA</t>
        </is>
      </c>
      <c r="D118" s="312" t="n"/>
      <c r="E118" s="312" t="n"/>
      <c r="F118" s="312" t="n"/>
      <c r="G118" s="312" t="n"/>
      <c r="H118" s="312" t="n"/>
      <c r="I118" s="313" t="n"/>
      <c r="J118" s="170" t="inlineStr">
        <is>
          <t>GINO</t>
        </is>
      </c>
      <c r="K118" s="314" t="n">
        <v>8900000</v>
      </c>
      <c r="L118" s="2" t="n">
        <v>43983</v>
      </c>
      <c r="M118" s="170" t="n"/>
      <c r="N118" s="170" t="n">
        <v>3017571502</v>
      </c>
      <c r="O118" s="172" t="inlineStr">
        <is>
          <t>RAFAEL MALDONADO LINARES</t>
        </is>
      </c>
      <c r="P118" s="52" t="inlineStr">
        <is>
          <t>ramali05@hotmail.com</t>
        </is>
      </c>
    </row>
    <row r="119">
      <c r="B119" s="170" t="n">
        <v>106</v>
      </c>
      <c r="C119" s="199" t="inlineStr">
        <is>
          <t>COTIZACION DE LOS DISEÑOS DE PROTECCIÓN CONTRA  INCENDIOS - UCI CLÍNICA LAS VEGAS</t>
        </is>
      </c>
      <c r="D119" s="312" t="n"/>
      <c r="E119" s="312" t="n"/>
      <c r="F119" s="312" t="n"/>
      <c r="G119" s="312" t="n"/>
      <c r="H119" s="312" t="n"/>
      <c r="I119" s="313" t="n"/>
      <c r="J119" s="170" t="inlineStr">
        <is>
          <t>DCS</t>
        </is>
      </c>
      <c r="K119" s="314" t="n">
        <v>1380000</v>
      </c>
      <c r="L119" s="2" t="n">
        <v>43990</v>
      </c>
      <c r="M119" s="170" t="n"/>
      <c r="N119" s="170" t="inlineStr">
        <is>
          <t>314 615 74 66</t>
        </is>
      </c>
      <c r="O119" s="172" t="inlineStr">
        <is>
          <t>José David Zuleta Muñoz</t>
        </is>
      </c>
      <c r="P119" s="52" t="inlineStr">
        <is>
          <t>comercial@dcs.com.co</t>
        </is>
      </c>
    </row>
    <row r="120">
      <c r="B120" s="170" t="n">
        <v>107</v>
      </c>
      <c r="C120" s="199" t="inlineStr">
        <is>
          <t>COTIZACION DE LOS DISEÑOS DE PROTECCIÓN CONTRA INCENDIOS PARA EL PROYECTO OFICINAS GCG EDIFICIO SAN FRANCISCO</t>
        </is>
      </c>
      <c r="D120" s="312" t="n"/>
      <c r="E120" s="312" t="n"/>
      <c r="F120" s="312" t="n"/>
      <c r="G120" s="312" t="n"/>
      <c r="H120" s="312" t="n"/>
      <c r="I120" s="313" t="n"/>
      <c r="J120" s="170" t="inlineStr">
        <is>
          <t>SOCOMES</t>
        </is>
      </c>
      <c r="K120" s="314" t="n">
        <v>3640000</v>
      </c>
      <c r="L120" s="2" t="n">
        <v>43991</v>
      </c>
      <c r="M120" s="170" t="n"/>
      <c r="N120" s="170" t="n">
        <v>3137851941</v>
      </c>
      <c r="O120" s="172" t="inlineStr">
        <is>
          <t>David Lopera</t>
        </is>
      </c>
      <c r="P120" s="52" t="inlineStr">
        <is>
          <t>david.lopera@socomes.com</t>
        </is>
      </c>
    </row>
    <row r="121">
      <c r="B121" s="170" t="n">
        <v>108</v>
      </c>
      <c r="C121" s="199" t="inlineStr">
        <is>
          <t>COTIZACION DE LA INGENIERÍA CONCEPTUAL DE LOS SISTEMAS DE PROTECCIÓN CONTRA INCENDIOS PARA EL CENTRO COMERCIAL OVIEDO</t>
        </is>
      </c>
      <c r="D121" s="312" t="n"/>
      <c r="E121" s="312" t="n"/>
      <c r="F121" s="312" t="n"/>
      <c r="G121" s="312" t="n"/>
      <c r="H121" s="312" t="n"/>
      <c r="I121" s="313" t="n"/>
      <c r="J121" s="170" t="inlineStr">
        <is>
          <t>PICSO</t>
        </is>
      </c>
      <c r="K121" s="314" t="n">
        <v>6770000</v>
      </c>
      <c r="L121" s="2" t="n">
        <v>43992</v>
      </c>
      <c r="M121" s="170" t="n"/>
      <c r="N121" s="170" t="n">
        <v>3007762642</v>
      </c>
      <c r="O121" s="172" t="inlineStr">
        <is>
          <t>Ernesto Castrillón</t>
        </is>
      </c>
      <c r="P121" s="52" t="inlineStr">
        <is>
          <t>ernesto.castrillon@picso.com.co</t>
        </is>
      </c>
    </row>
    <row r="122">
      <c r="B122" s="170" t="n">
        <v>109</v>
      </c>
      <c r="C122" s="199" t="inlineStr">
        <is>
          <t>COTIZACION DE LA REVISIÓN DE SEGURIDAD HUMANA Y LOS SISTEMAS DE PROTECCIÓN CONTRA INCENIDOS PARA CLÍNICAS</t>
        </is>
      </c>
      <c r="D122" s="312" t="n"/>
      <c r="E122" s="312" t="n"/>
      <c r="F122" s="312" t="n"/>
      <c r="G122" s="312" t="n"/>
      <c r="H122" s="312" t="n"/>
      <c r="I122" s="313" t="n"/>
      <c r="J122" s="170" t="inlineStr">
        <is>
          <t>CONDISEÑO</t>
        </is>
      </c>
      <c r="K122" s="314" t="n">
        <v>15850000</v>
      </c>
      <c r="L122" s="2" t="n">
        <v>43993</v>
      </c>
      <c r="M122" s="2" t="inlineStr">
        <is>
          <t>X</t>
        </is>
      </c>
      <c r="N122" s="170" t="n">
        <v>3175594091</v>
      </c>
      <c r="O122" s="172" t="inlineStr">
        <is>
          <t>Nakary García Romero</t>
        </is>
      </c>
      <c r="P122" s="52" t="inlineStr">
        <is>
          <t>n.garcia@condiseno.co</t>
        </is>
      </c>
    </row>
    <row r="123">
      <c r="B123" s="170" t="n">
        <v>110</v>
      </c>
      <c r="C123" s="199" t="inlineStr">
        <is>
          <t>COTIZACION DE LOS DISEÑOS DE PROTECCIÓN CONTRA INCENDIOS Y SEGURIDAD HUMANA PARA EL PROYECTO PARROQUIA SAN BENITO ABAD</t>
        </is>
      </c>
      <c r="D123" s="312" t="n"/>
      <c r="E123" s="312" t="n"/>
      <c r="F123" s="312" t="n"/>
      <c r="G123" s="312" t="n"/>
      <c r="H123" s="312" t="n"/>
      <c r="I123" s="313" t="n"/>
      <c r="J123" s="170" t="inlineStr">
        <is>
          <t>GINO</t>
        </is>
      </c>
      <c r="K123" s="314" t="n">
        <v>10910000</v>
      </c>
      <c r="L123" s="2" t="n">
        <v>44000</v>
      </c>
      <c r="M123" s="170" t="inlineStr">
        <is>
          <t>X</t>
        </is>
      </c>
      <c r="N123" s="170" t="n">
        <v>3105920150</v>
      </c>
      <c r="O123" s="172" t="inlineStr">
        <is>
          <t>Juan Carlos Muñoz Ramirez</t>
        </is>
      </c>
      <c r="P123" s="52" t="inlineStr">
        <is>
          <t>arquitectojohncarlos@gmail.com</t>
        </is>
      </c>
    </row>
    <row r="124">
      <c r="B124" s="170" t="n">
        <v>111</v>
      </c>
      <c r="C124" s="199" t="inlineStr">
        <is>
          <t>COTIZACION DE LOS DISEÑOS DE SEGURIDAD HUMANA Y PROTECCIÓN CONTRA  INCENDIOS - TRESPALMAS</t>
        </is>
      </c>
      <c r="D124" s="312" t="n"/>
      <c r="E124" s="312" t="n"/>
      <c r="F124" s="312" t="n"/>
      <c r="G124" s="312" t="n"/>
      <c r="H124" s="312" t="n"/>
      <c r="I124" s="313" t="n"/>
      <c r="J124" s="170" t="inlineStr">
        <is>
          <t>TERRAREA</t>
        </is>
      </c>
      <c r="K124" s="314" t="n">
        <v>13485000</v>
      </c>
      <c r="L124" s="2" t="n">
        <v>44000</v>
      </c>
      <c r="M124" s="170" t="n"/>
      <c r="N124" s="170" t="n">
        <v>3146615863</v>
      </c>
      <c r="O124" s="172" t="inlineStr">
        <is>
          <t>Camila Angel</t>
        </is>
      </c>
      <c r="P124" s="52" t="inlineStr">
        <is>
          <t>arquitectura@grupoterrarea.com</t>
        </is>
      </c>
    </row>
    <row r="125">
      <c r="B125" s="170" t="n">
        <v>112</v>
      </c>
      <c r="C125" s="199" t="inlineStr">
        <is>
          <t>COTIZACION DE LOS DISEÑOS DE SEGURIDAD HUMANA Y PROTECCIÓN CONTRA  INCENDIOS - HOTEL BEMINIMAL</t>
        </is>
      </c>
      <c r="D125" s="312" t="n"/>
      <c r="E125" s="312" t="n"/>
      <c r="F125" s="312" t="n"/>
      <c r="G125" s="312" t="n"/>
      <c r="H125" s="312" t="n"/>
      <c r="I125" s="313" t="n"/>
      <c r="J125" s="170" t="inlineStr">
        <is>
          <t>TECNOBIM</t>
        </is>
      </c>
      <c r="K125" s="314" t="inlineStr">
        <is>
          <t>Variable</t>
        </is>
      </c>
      <c r="L125" s="2" t="n">
        <v>44001</v>
      </c>
      <c r="M125" s="2" t="inlineStr">
        <is>
          <t>X</t>
        </is>
      </c>
      <c r="N125" s="170" t="n">
        <v>3192317251</v>
      </c>
      <c r="O125" s="172" t="inlineStr">
        <is>
          <t>Carlos Ramírez</t>
        </is>
      </c>
      <c r="P125" s="52" t="inlineStr">
        <is>
          <t>tecnobimcolombia@gmail.com</t>
        </is>
      </c>
    </row>
    <row r="126">
      <c r="B126" s="170" t="n">
        <v>113</v>
      </c>
      <c r="C126" s="199" t="inlineStr">
        <is>
          <t>COTIZACION DEL DISEÑO SOPORTES TIPO PERA SECURETEC</t>
        </is>
      </c>
      <c r="D126" s="312" t="n"/>
      <c r="E126" s="312" t="n"/>
      <c r="F126" s="312" t="n"/>
      <c r="G126" s="312" t="n"/>
      <c r="H126" s="312" t="n"/>
      <c r="I126" s="313" t="n"/>
      <c r="J126" s="170" t="inlineStr">
        <is>
          <t>SECURETEC</t>
        </is>
      </c>
      <c r="K126" s="314" t="n">
        <v>650000</v>
      </c>
      <c r="L126" s="2" t="n">
        <v>44006</v>
      </c>
      <c r="M126" s="2" t="inlineStr">
        <is>
          <t>X</t>
        </is>
      </c>
      <c r="N126" s="170" t="n">
        <v>3206678830</v>
      </c>
      <c r="O126" s="172" t="inlineStr">
        <is>
          <t>Jhonny Castro</t>
        </is>
      </c>
      <c r="P126" s="52" t="inlineStr">
        <is>
          <t>dirproyectos@securetec.com.co</t>
        </is>
      </c>
    </row>
    <row r="127">
      <c r="B127" s="170" t="n">
        <v>114</v>
      </c>
      <c r="C127" s="199" t="inlineStr">
        <is>
          <t>COTIZACION DEL DISEÑO FICHAS CÁLCULO DE SOPORTERÍA SEGÚN NFPA 13</t>
        </is>
      </c>
      <c r="D127" s="312" t="n"/>
      <c r="E127" s="312" t="n"/>
      <c r="F127" s="312" t="n"/>
      <c r="G127" s="312" t="n"/>
      <c r="H127" s="312" t="n"/>
      <c r="I127" s="313" t="n"/>
      <c r="J127" s="170" t="inlineStr">
        <is>
          <t>SPCI</t>
        </is>
      </c>
      <c r="K127" s="314" t="n">
        <v>1300000</v>
      </c>
      <c r="L127" s="2" t="n">
        <v>44006</v>
      </c>
      <c r="M127" s="2" t="inlineStr">
        <is>
          <t>X</t>
        </is>
      </c>
      <c r="N127" s="170" t="n">
        <v>3104680509</v>
      </c>
      <c r="O127" s="172" t="inlineStr">
        <is>
          <t>Juan Pablo Grajales</t>
        </is>
      </c>
      <c r="P127" s="52" t="inlineStr">
        <is>
          <t>juan.grajales@spci.com.co</t>
        </is>
      </c>
    </row>
    <row r="128">
      <c r="B128" s="170" t="n">
        <v>115</v>
      </c>
      <c r="C128" s="199" t="inlineStr">
        <is>
          <t xml:space="preserve">COTIZACION DE LOS DISEÑOS DE PROTECCIÓN CONTRA INCENDIOS EN REVIT PARA EL PISO 3 DE PLAZA FABRICATO </t>
        </is>
      </c>
      <c r="D128" s="312" t="n"/>
      <c r="E128" s="312" t="n"/>
      <c r="F128" s="312" t="n"/>
      <c r="G128" s="312" t="n"/>
      <c r="H128" s="312" t="n"/>
      <c r="I128" s="313" t="n"/>
      <c r="J128" s="170" t="inlineStr">
        <is>
          <t>SPCI</t>
        </is>
      </c>
      <c r="K128" s="314" t="n">
        <v>3500000</v>
      </c>
      <c r="L128" s="2" t="n">
        <v>44006</v>
      </c>
      <c r="M128" s="2" t="inlineStr">
        <is>
          <t>X</t>
        </is>
      </c>
      <c r="N128" s="170" t="n">
        <v>3104680509</v>
      </c>
      <c r="O128" s="172" t="inlineStr">
        <is>
          <t>Juan Pablo Grajales</t>
        </is>
      </c>
      <c r="P128" s="52" t="inlineStr">
        <is>
          <t>juan.grajales@spci.com.co</t>
        </is>
      </c>
    </row>
    <row r="129">
      <c r="B129" s="170" t="n">
        <v>116</v>
      </c>
      <c r="C129" s="199" t="inlineStr">
        <is>
          <t>COTIZACION DE LA CAPACITACIÓN DE LA SOPORTERÍA PARA LOS SISTEMAS DE EXTINCIÓN DE INCENDIOS CONFORME NFPA 13 Y NSR-10</t>
        </is>
      </c>
      <c r="D129" s="312" t="n"/>
      <c r="E129" s="312" t="n"/>
      <c r="F129" s="312" t="n"/>
      <c r="G129" s="312" t="n"/>
      <c r="H129" s="312" t="n"/>
      <c r="I129" s="313" t="n"/>
      <c r="J129" s="170" t="inlineStr">
        <is>
          <t>SPCI</t>
        </is>
      </c>
      <c r="K129" s="317" t="n">
        <v>1000000</v>
      </c>
      <c r="L129" s="2" t="n">
        <v>44006</v>
      </c>
      <c r="M129" s="170" t="n"/>
      <c r="N129" s="170" t="n">
        <v>3104680509</v>
      </c>
      <c r="O129" s="172" t="inlineStr">
        <is>
          <t>Juan Pablo Grajales</t>
        </is>
      </c>
      <c r="P129" s="52" t="inlineStr">
        <is>
          <t>juan.grajales@spci.com.co</t>
        </is>
      </c>
    </row>
    <row r="130">
      <c r="B130" s="170" t="n">
        <v>117</v>
      </c>
      <c r="C130" s="199" t="inlineStr">
        <is>
          <t>COTIZACION DE LOS DISEÑOS DE SEGURIDAD HUMANA Y PROTECCIÓN CONTRA  INCENDIOS - BODEGA 500 700 ÉXITO</t>
        </is>
      </c>
      <c r="D130" s="312" t="n"/>
      <c r="E130" s="312" t="n"/>
      <c r="F130" s="312" t="n"/>
      <c r="G130" s="312" t="n"/>
      <c r="H130" s="312" t="n"/>
      <c r="I130" s="313" t="n"/>
      <c r="J130" s="170" t="inlineStr">
        <is>
          <t>Soluciones Inmobiliarias</t>
        </is>
      </c>
      <c r="K130" s="317" t="inlineStr">
        <is>
          <t>Variable</t>
        </is>
      </c>
      <c r="L130" s="2" t="n">
        <v>44006</v>
      </c>
      <c r="M130" s="170" t="n"/>
      <c r="N130" s="170" t="n">
        <v>3165295791</v>
      </c>
      <c r="O130" s="172" t="inlineStr">
        <is>
          <t>Juan david Ruiz</t>
        </is>
      </c>
      <c r="P130" s="52" t="inlineStr">
        <is>
          <t>jdruizg@solucionesinmobiliariassas.com</t>
        </is>
      </c>
    </row>
    <row r="131">
      <c r="B131" s="170" t="n">
        <v>118</v>
      </c>
      <c r="C131" s="199" t="inlineStr">
        <is>
          <t>COTIZACION DE LOS DISEÑOS DE PROTECCIÓN CONTRA INCENDIOS Y SEGURIDAD HUMANA PARA EL PROYECTO ROSSET TORRE 3</t>
        </is>
      </c>
      <c r="D131" s="312" t="n"/>
      <c r="E131" s="312" t="n"/>
      <c r="F131" s="312" t="n"/>
      <c r="G131" s="312" t="n"/>
      <c r="H131" s="312" t="n"/>
      <c r="I131" s="313" t="n"/>
      <c r="J131" s="170" t="inlineStr">
        <is>
          <t>MONET</t>
        </is>
      </c>
      <c r="K131" s="314" t="n">
        <v>13000000</v>
      </c>
      <c r="L131" s="2" t="n">
        <v>44006</v>
      </c>
      <c r="M131" s="2" t="inlineStr">
        <is>
          <t>X</t>
        </is>
      </c>
      <c r="N131" s="170" t="n">
        <v>3117461926</v>
      </c>
      <c r="O131" s="172" t="inlineStr">
        <is>
          <t>Víctor Jiménez</t>
        </is>
      </c>
      <c r="P131" s="52" t="inlineStr">
        <is>
          <t>vajjimenez@hotmail.com</t>
        </is>
      </c>
    </row>
    <row r="132">
      <c r="B132" s="170" t="n">
        <v>119</v>
      </c>
      <c r="C132" s="199" t="inlineStr">
        <is>
          <t>COTIZACION DE LA INGENIERÍA CONCEPTUAL DE EXTINCIÓN DE INCENDIOS - PLANTA DE PASTAS CONTINENTAL GOLD</t>
        </is>
      </c>
      <c r="D132" s="312" t="n"/>
      <c r="E132" s="312" t="n"/>
      <c r="F132" s="312" t="n"/>
      <c r="G132" s="312" t="n"/>
      <c r="H132" s="312" t="n"/>
      <c r="I132" s="313" t="n"/>
      <c r="J132" s="170" t="inlineStr">
        <is>
          <t>SOCOMES</t>
        </is>
      </c>
      <c r="K132" s="314" t="n">
        <v>3500000</v>
      </c>
      <c r="L132" s="2" t="n">
        <v>43991</v>
      </c>
      <c r="M132" s="170" t="n"/>
      <c r="N132" s="170" t="n">
        <v>3137851941</v>
      </c>
      <c r="O132" s="172" t="inlineStr">
        <is>
          <t>David Lopera</t>
        </is>
      </c>
      <c r="P132" s="52" t="inlineStr">
        <is>
          <t>david.lopera@socomes.com</t>
        </is>
      </c>
    </row>
    <row r="133">
      <c r="B133" s="170" t="n">
        <v>120</v>
      </c>
      <c r="C133" s="199" t="inlineStr">
        <is>
          <t>COTIZACION DEL DISEÑO DE EXTINCIÓN DE INCENDIOS - TANQUES GLP ALMACAFÉ SOACHA</t>
        </is>
      </c>
      <c r="D133" s="312" t="n"/>
      <c r="E133" s="312" t="n"/>
      <c r="F133" s="312" t="n"/>
      <c r="G133" s="312" t="n"/>
      <c r="H133" s="312" t="n"/>
      <c r="I133" s="313" t="n"/>
      <c r="J133" s="170" t="inlineStr">
        <is>
          <t>SPCI</t>
        </is>
      </c>
      <c r="K133" s="314" t="n">
        <v>4500000</v>
      </c>
      <c r="L133" s="2" t="n">
        <v>44009</v>
      </c>
      <c r="M133" s="170" t="n"/>
      <c r="N133" s="170" t="n">
        <v>3137546144</v>
      </c>
      <c r="O133" s="172" t="inlineStr">
        <is>
          <t>Camilo Quintero</t>
        </is>
      </c>
      <c r="P133" s="52" t="inlineStr">
        <is>
          <t>proyectos1spci@gmail.com</t>
        </is>
      </c>
    </row>
    <row r="134">
      <c r="B134" s="170" t="n">
        <v>121</v>
      </c>
      <c r="C134" s="199" t="inlineStr">
        <is>
          <t>COTIZACION DEL DISEÑO DE EXTINCIÓN DE INCENDIOS - PLANTA COSMÉTICOS WESTQUIMICA</t>
        </is>
      </c>
      <c r="D134" s="312" t="n"/>
      <c r="E134" s="312" t="n"/>
      <c r="F134" s="312" t="n"/>
      <c r="G134" s="312" t="n"/>
      <c r="H134" s="312" t="n"/>
      <c r="I134" s="313" t="n"/>
      <c r="J134" s="170" t="inlineStr">
        <is>
          <t>SPCI</t>
        </is>
      </c>
      <c r="K134" s="314" t="n">
        <v>6270000</v>
      </c>
      <c r="L134" s="2" t="n">
        <v>44009</v>
      </c>
      <c r="M134" s="170" t="n"/>
      <c r="N134" s="170" t="n">
        <v>3137546144</v>
      </c>
      <c r="O134" s="172" t="inlineStr">
        <is>
          <t>Camilo Quintero</t>
        </is>
      </c>
      <c r="P134" s="52" t="inlineStr">
        <is>
          <t>proyectos1spci@gmail.com</t>
        </is>
      </c>
    </row>
    <row r="135">
      <c r="B135" s="170" t="n">
        <v>122</v>
      </c>
      <c r="C135" s="199" t="inlineStr">
        <is>
          <t>COTIZACION DEL DISEÑO DE EXTINCIÓN DE INCENDIOS - CEDI KOBA</t>
        </is>
      </c>
      <c r="D135" s="312" t="n"/>
      <c r="E135" s="312" t="n"/>
      <c r="F135" s="312" t="n"/>
      <c r="G135" s="312" t="n"/>
      <c r="H135" s="312" t="n"/>
      <c r="I135" s="313" t="n"/>
      <c r="J135" s="170" t="inlineStr">
        <is>
          <t>AIA</t>
        </is>
      </c>
      <c r="K135" s="314" t="n"/>
      <c r="L135" s="2" t="n">
        <v>44012</v>
      </c>
      <c r="M135" s="170" t="n"/>
      <c r="N135" s="170" t="inlineStr">
        <is>
          <t>305 221 8498</t>
        </is>
      </c>
      <c r="O135" s="172" t="inlineStr">
        <is>
          <t>Juliana Tamayo</t>
        </is>
      </c>
      <c r="P135" s="52" t="inlineStr">
        <is>
          <t>jmtamayo@aia.com.co</t>
        </is>
      </c>
    </row>
    <row r="136">
      <c r="B136" s="170" t="n">
        <v>123</v>
      </c>
      <c r="C136" s="199" t="inlineStr">
        <is>
          <t>COTIZACION DE LOS DISEÑOS DE PROTECCIÓN CONTRA INCENDIOS Y SEGURIDAD HUMANA PARA EL PROYECTO BANCOLOMBIA LAURELES</t>
        </is>
      </c>
      <c r="D136" s="312" t="n"/>
      <c r="E136" s="312" t="n"/>
      <c r="F136" s="312" t="n"/>
      <c r="G136" s="312" t="n"/>
      <c r="H136" s="312" t="n"/>
      <c r="I136" s="313" t="n"/>
      <c r="J136" s="170" t="inlineStr">
        <is>
          <t>CONDISEÑO</t>
        </is>
      </c>
      <c r="K136" s="314" t="inlineStr">
        <is>
          <t>Por definir</t>
        </is>
      </c>
      <c r="L136" s="2" t="n">
        <v>44013</v>
      </c>
      <c r="M136" s="2" t="inlineStr">
        <is>
          <t>X</t>
        </is>
      </c>
      <c r="N136" s="170" t="n">
        <v>3175594091</v>
      </c>
      <c r="O136" s="172" t="inlineStr">
        <is>
          <t>Nakary García Romero</t>
        </is>
      </c>
      <c r="P136" s="52" t="inlineStr">
        <is>
          <t>n.garcia@condiseno.co</t>
        </is>
      </c>
    </row>
    <row r="137">
      <c r="B137" s="170" t="n">
        <v>124</v>
      </c>
      <c r="C137" s="199" t="inlineStr">
        <is>
          <t>COTIZACION DE LOS DISEÑOS DE PROTECCIÓN CONTRA INCENDIOS PARA EL PROYECTO CEDI INDUCASCOS</t>
        </is>
      </c>
      <c r="D137" s="312" t="n"/>
      <c r="E137" s="312" t="n"/>
      <c r="F137" s="312" t="n"/>
      <c r="G137" s="312" t="n"/>
      <c r="H137" s="312" t="n"/>
      <c r="I137" s="313" t="n"/>
      <c r="J137" s="170" t="inlineStr">
        <is>
          <t>SOCOMES</t>
        </is>
      </c>
      <c r="K137" s="314" t="n">
        <v>18270000</v>
      </c>
      <c r="L137" s="2" t="n">
        <v>44014</v>
      </c>
      <c r="M137" s="170" t="n"/>
      <c r="N137" s="170" t="n">
        <v>3137851941</v>
      </c>
      <c r="O137" s="172" t="inlineStr">
        <is>
          <t>David Lopera</t>
        </is>
      </c>
      <c r="P137" s="52" t="inlineStr">
        <is>
          <t>david.lopera@socomes.com</t>
        </is>
      </c>
    </row>
    <row r="138">
      <c r="B138" s="170" t="n">
        <v>125</v>
      </c>
      <c r="C138" s="199" t="inlineStr">
        <is>
          <t>COTIZACION DE LOS DISEÑOS DE SEGURIDAD HUMANA Y PROTECCIÓN CONTRA  INCENDIOS - CLÍNICA DEL PRADO</t>
        </is>
      </c>
      <c r="D138" s="312" t="n"/>
      <c r="E138" s="312" t="n"/>
      <c r="F138" s="312" t="n"/>
      <c r="G138" s="312" t="n"/>
      <c r="H138" s="312" t="n"/>
      <c r="I138" s="313" t="n"/>
      <c r="J138" s="170" t="inlineStr">
        <is>
          <t>CNV</t>
        </is>
      </c>
      <c r="K138" s="314" t="n">
        <v>3000000</v>
      </c>
      <c r="L138" s="2" t="n">
        <v>44014</v>
      </c>
      <c r="M138" s="2" t="inlineStr">
        <is>
          <t>X</t>
        </is>
      </c>
      <c r="N138" s="170" t="n">
        <v>3052642137</v>
      </c>
      <c r="O138" s="172" t="inlineStr">
        <is>
          <t>Esteban Diaz Garcia</t>
        </is>
      </c>
      <c r="P138" s="52" t="inlineStr">
        <is>
          <t>esteban.diaz@cnv.com.co</t>
        </is>
      </c>
    </row>
    <row r="139">
      <c r="B139" s="170" t="n">
        <v>126</v>
      </c>
      <c r="C139" s="199" t="inlineStr">
        <is>
          <t>COTIZACION DE LA INGENIERÍA CONCEPTUAL DE LOS SISTEMAS DE PROTECCIÓN CONTRA INCENDIOS PARA EL PROYECTO HUMAX</t>
        </is>
      </c>
      <c r="D139" s="312" t="n"/>
      <c r="E139" s="312" t="n"/>
      <c r="F139" s="312" t="n"/>
      <c r="G139" s="312" t="n"/>
      <c r="H139" s="312" t="n"/>
      <c r="I139" s="313" t="n"/>
      <c r="J139" s="170" t="inlineStr">
        <is>
          <t>SOPORTICA</t>
        </is>
      </c>
      <c r="K139" s="314" t="n">
        <v>4950000</v>
      </c>
      <c r="L139" s="2" t="n">
        <v>44015</v>
      </c>
      <c r="M139" s="170" t="n"/>
      <c r="N139" s="170" t="inlineStr">
        <is>
          <t>301 747 7723</t>
        </is>
      </c>
      <c r="O139" s="172" t="inlineStr">
        <is>
          <t>Juan Camilo Piedrahita Mesa</t>
        </is>
      </c>
      <c r="P139" s="52" t="inlineStr">
        <is>
          <t>juan.piedrahita@soportica.com</t>
        </is>
      </c>
    </row>
    <row r="140">
      <c r="B140" s="170" t="n">
        <v>127</v>
      </c>
      <c r="C140" s="199" t="inlineStr">
        <is>
          <t>COTIZACION DEL DISEÑO DE EXTINCIÓN DE INCENDIOS PARA EL PROYECTO HUMAX</t>
        </is>
      </c>
      <c r="D140" s="312" t="n"/>
      <c r="E140" s="312" t="n"/>
      <c r="F140" s="312" t="n"/>
      <c r="G140" s="312" t="n"/>
      <c r="H140" s="312" t="n"/>
      <c r="I140" s="313" t="n"/>
      <c r="J140" s="170" t="inlineStr">
        <is>
          <t>SOPORTICA</t>
        </is>
      </c>
      <c r="K140" s="314" t="n">
        <v>25000000</v>
      </c>
      <c r="L140" s="2" t="n">
        <v>44015</v>
      </c>
      <c r="M140" s="170" t="n"/>
      <c r="N140" s="170" t="inlineStr">
        <is>
          <t>301 747 7723</t>
        </is>
      </c>
      <c r="O140" s="172" t="inlineStr">
        <is>
          <t>Juan Camilo Piedrahita Mesa</t>
        </is>
      </c>
      <c r="P140" s="52" t="inlineStr">
        <is>
          <t>juan.piedrahita@soportica.com</t>
        </is>
      </c>
    </row>
    <row r="141">
      <c r="B141" s="170" t="n">
        <v>128</v>
      </c>
      <c r="C141" s="199" t="inlineStr">
        <is>
          <t>COTIZACIÓN MODIFICACIÓN PLANOS SISTEMA EXTINCIÓN DE INCENDIOS PROYECTO VIVARÉ</t>
        </is>
      </c>
      <c r="D141" s="312" t="n"/>
      <c r="E141" s="312" t="n"/>
      <c r="F141" s="312" t="n"/>
      <c r="G141" s="312" t="n"/>
      <c r="H141" s="312" t="n"/>
      <c r="I141" s="313" t="n"/>
      <c r="J141" s="170" t="inlineStr">
        <is>
          <t>SPCI</t>
        </is>
      </c>
      <c r="K141" s="314" t="n">
        <v>1250000</v>
      </c>
      <c r="L141" s="2" t="n">
        <v>44018</v>
      </c>
      <c r="M141" s="2" t="inlineStr">
        <is>
          <t>X</t>
        </is>
      </c>
      <c r="N141" s="170" t="n">
        <v>3104165783</v>
      </c>
      <c r="O141" s="172" t="inlineStr">
        <is>
          <t>Cristiam Mondragón</t>
        </is>
      </c>
      <c r="P141" s="52" t="inlineStr">
        <is>
          <t>cristiamondragon.spci@gmail.com</t>
        </is>
      </c>
    </row>
    <row r="142">
      <c r="B142" s="170" t="n">
        <v>129</v>
      </c>
      <c r="C142" s="199" t="inlineStr">
        <is>
          <t>COTIZACIÓN DE LOS DISEÑOS DE PROTECCIÓN CONTRA INCENDIOS PARA EL PROYECTO SANTA ANA</t>
        </is>
      </c>
      <c r="D142" s="312" t="n"/>
      <c r="E142" s="312" t="n"/>
      <c r="F142" s="312" t="n"/>
      <c r="G142" s="312" t="n"/>
      <c r="H142" s="312" t="n"/>
      <c r="I142" s="313" t="n"/>
      <c r="J142" s="170" t="inlineStr">
        <is>
          <t>SOCOMES</t>
        </is>
      </c>
      <c r="K142" s="314" t="n">
        <v>5770000</v>
      </c>
      <c r="L142" s="2" t="n">
        <v>44019</v>
      </c>
      <c r="M142" s="170" t="n"/>
      <c r="N142" s="170" t="n">
        <v>3137851941</v>
      </c>
      <c r="O142" s="172" t="inlineStr">
        <is>
          <t>David Lopera</t>
        </is>
      </c>
      <c r="P142" s="52" t="inlineStr">
        <is>
          <t>david.lopera@socomes.com</t>
        </is>
      </c>
    </row>
    <row r="143">
      <c r="B143" s="170" t="n">
        <v>130</v>
      </c>
      <c r="C143" s="199" t="inlineStr">
        <is>
          <t>COTIZACION DE LOS DISEÑOS DE PROTECCIÓN CONTRA INCENDIOS PARA EL PROYECTO HANGAR DE 28 X 25 M</t>
        </is>
      </c>
      <c r="D143" s="312" t="n"/>
      <c r="E143" s="312" t="n"/>
      <c r="F143" s="312" t="n"/>
      <c r="G143" s="312" t="n"/>
      <c r="H143" s="312" t="n"/>
      <c r="I143" s="313" t="n"/>
      <c r="J143" s="170" t="inlineStr">
        <is>
          <t>CONSTRUCCIONES SAFEST</t>
        </is>
      </c>
      <c r="K143" s="314" t="n">
        <v>9220000</v>
      </c>
      <c r="L143" s="2" t="n">
        <v>44019</v>
      </c>
      <c r="M143" s="170" t="n"/>
      <c r="N143" s="170" t="n">
        <v>3004827270</v>
      </c>
      <c r="O143" s="39" t="inlineStr">
        <is>
          <t>Gabriel Jaime Sánchez</t>
        </is>
      </c>
      <c r="P143" s="52" t="inlineStr">
        <is>
          <t>gerencia@construccionessafest.com</t>
        </is>
      </c>
    </row>
    <row r="144">
      <c r="B144" s="170" t="n">
        <v>131</v>
      </c>
      <c r="C144" s="199" t="inlineStr">
        <is>
          <t>COTIZACION DEL DISEÑO DE EXTINCIÓN DE INCENDIOS PARA EL PROYECTO CENTRO COMERCIAL SAN PEDRO PLAZA</t>
        </is>
      </c>
      <c r="D144" s="312" t="n"/>
      <c r="E144" s="312" t="n"/>
      <c r="F144" s="312" t="n"/>
      <c r="G144" s="312" t="n"/>
      <c r="H144" s="312" t="n"/>
      <c r="I144" s="313" t="n"/>
      <c r="J144" s="170" t="inlineStr">
        <is>
          <t>SPCI</t>
        </is>
      </c>
      <c r="K144" s="314" t="n">
        <v>22600000</v>
      </c>
      <c r="L144" s="2" t="n">
        <v>44019</v>
      </c>
      <c r="M144" s="170" t="inlineStr">
        <is>
          <t>X</t>
        </is>
      </c>
      <c r="N144" s="170" t="n">
        <v>3137546144</v>
      </c>
      <c r="O144" s="172" t="inlineStr">
        <is>
          <t>Camilo Quintero</t>
        </is>
      </c>
      <c r="P144" s="52" t="inlineStr">
        <is>
          <t>proyectos1spci@gmail.com</t>
        </is>
      </c>
    </row>
    <row r="145">
      <c r="B145" s="170" t="n">
        <v>132</v>
      </c>
      <c r="C145" s="199" t="inlineStr">
        <is>
          <t>COTIZACION DEL DISEÑO DE EXTINCIÓN DE INCENDIOS PARA LA OFCICINA 313 DEL CCI</t>
        </is>
      </c>
      <c r="D145" s="312" t="n"/>
      <c r="E145" s="312" t="n"/>
      <c r="F145" s="312" t="n"/>
      <c r="G145" s="312" t="n"/>
      <c r="H145" s="312" t="n"/>
      <c r="I145" s="313" t="n"/>
      <c r="J145" s="170" t="inlineStr">
        <is>
          <t>SPCI</t>
        </is>
      </c>
      <c r="K145" s="314" t="n">
        <v>1500000</v>
      </c>
      <c r="L145" s="2" t="n">
        <v>44020</v>
      </c>
      <c r="M145" s="170" t="n"/>
      <c r="N145" s="170" t="n">
        <v>3137546144</v>
      </c>
      <c r="O145" s="172" t="inlineStr">
        <is>
          <t>Camilo Quintero</t>
        </is>
      </c>
      <c r="P145" s="52" t="inlineStr">
        <is>
          <t>proyectos1spci@gmail.com</t>
        </is>
      </c>
    </row>
    <row r="146">
      <c r="B146" s="170" t="n">
        <v>133</v>
      </c>
      <c r="C146" s="199" t="inlineStr">
        <is>
          <t>COTIZACION DE LA INGENIERÍA CONCEPTUAL DE EXTINCIÓN DE INCENDIOS - PABILOPEZ</t>
        </is>
      </c>
      <c r="D146" s="312" t="n"/>
      <c r="E146" s="312" t="n"/>
      <c r="F146" s="312" t="n"/>
      <c r="G146" s="312" t="n"/>
      <c r="H146" s="312" t="n"/>
      <c r="I146" s="313" t="n"/>
      <c r="J146" s="170" t="inlineStr">
        <is>
          <t>PABILOPEZ</t>
        </is>
      </c>
      <c r="K146" s="314" t="n">
        <v>2500000</v>
      </c>
      <c r="L146" s="2" t="n">
        <v>44020</v>
      </c>
      <c r="M146" s="170" t="inlineStr">
        <is>
          <t>X</t>
        </is>
      </c>
      <c r="N146" s="170" t="n">
        <v>3014843289</v>
      </c>
      <c r="O146" s="172" t="inlineStr">
        <is>
          <t>Cristina Gallón</t>
        </is>
      </c>
      <c r="P146" s="52" t="inlineStr">
        <is>
          <t xml:space="preserve">	cristinagallon@hotmail.com</t>
        </is>
      </c>
    </row>
    <row r="147">
      <c r="B147" s="170" t="n">
        <v>134</v>
      </c>
      <c r="C147" s="199" t="inlineStr">
        <is>
          <t>COTIZACION DEL DISEÑO DE EXTINCIÓN DE INCENDIOS - CAMPAMENTO VILLA BLANCA</t>
        </is>
      </c>
      <c r="D147" s="312" t="n"/>
      <c r="E147" s="312" t="n"/>
      <c r="F147" s="312" t="n"/>
      <c r="G147" s="312" t="n"/>
      <c r="H147" s="312" t="n"/>
      <c r="I147" s="313" t="n"/>
      <c r="J147" s="170" t="inlineStr">
        <is>
          <t>GINO</t>
        </is>
      </c>
      <c r="K147" s="314" t="n">
        <v>4950000</v>
      </c>
      <c r="L147" s="2" t="n">
        <v>44022</v>
      </c>
      <c r="M147" s="170" t="n"/>
      <c r="N147" s="170" t="n">
        <v>3113396273</v>
      </c>
      <c r="O147" s="172" t="inlineStr">
        <is>
          <t>Gino Montoya</t>
        </is>
      </c>
      <c r="P147" s="52" t="inlineStr">
        <is>
          <t>gino1037@hotmail.com</t>
        </is>
      </c>
    </row>
    <row r="148">
      <c r="B148" s="170" t="n">
        <v>135</v>
      </c>
      <c r="C148" s="199" t="inlineStr">
        <is>
          <t>COTIZACION DE LOS DISEÑOS DE PROTECCIÓN CONTRA  INCENDIOS - CLÍNICA DEL PRADO</t>
        </is>
      </c>
      <c r="D148" s="312" t="n"/>
      <c r="E148" s="312" t="n"/>
      <c r="F148" s="312" t="n"/>
      <c r="G148" s="312" t="n"/>
      <c r="H148" s="312" t="n"/>
      <c r="I148" s="313" t="n"/>
      <c r="J148" s="170" t="inlineStr">
        <is>
          <t>SOCOMES</t>
        </is>
      </c>
      <c r="K148" s="314" t="n">
        <v>4375000</v>
      </c>
      <c r="L148" s="2" t="n">
        <v>44019</v>
      </c>
      <c r="M148" s="170" t="n"/>
      <c r="N148" s="170" t="n">
        <v>3137851941</v>
      </c>
      <c r="O148" s="172" t="inlineStr">
        <is>
          <t>David Lopera</t>
        </is>
      </c>
      <c r="P148" s="52" t="inlineStr">
        <is>
          <t>david.lopera@socomes.com</t>
        </is>
      </c>
    </row>
    <row r="149">
      <c r="B149" s="170" t="n">
        <v>136</v>
      </c>
      <c r="C149" s="199" t="inlineStr">
        <is>
          <t>COTIZACION DEL DISEÑO DE DETECCIÓN DE INCENDIOS - AUTODICOL</t>
        </is>
      </c>
      <c r="D149" s="312" t="n"/>
      <c r="E149" s="312" t="n"/>
      <c r="F149" s="312" t="n"/>
      <c r="G149" s="312" t="n"/>
      <c r="H149" s="312" t="n"/>
      <c r="I149" s="313" t="n"/>
      <c r="J149" s="170" t="inlineStr">
        <is>
          <t>SECURETEC</t>
        </is>
      </c>
      <c r="K149" s="314" t="n">
        <v>3950000</v>
      </c>
      <c r="L149" s="2" t="n">
        <v>44026</v>
      </c>
      <c r="M149" s="170" t="n"/>
      <c r="N149" s="170" t="n">
        <v>3206678830</v>
      </c>
      <c r="O149" s="172" t="inlineStr">
        <is>
          <t>Jhonny Castro</t>
        </is>
      </c>
      <c r="P149" s="52" t="inlineStr">
        <is>
          <t>dirproyectos@securetec.com.co</t>
        </is>
      </c>
    </row>
    <row r="150">
      <c r="B150" s="49" t="n">
        <v>137</v>
      </c>
      <c r="C150" s="199" t="inlineStr">
        <is>
          <t>COTIZACION DEL DISEÑO DE EXTINCIÓN DE INCENDIOS - ÁREA SOCIAL FELICITY</t>
        </is>
      </c>
      <c r="D150" s="312" t="n"/>
      <c r="E150" s="312" t="n"/>
      <c r="F150" s="312" t="n"/>
      <c r="G150" s="312" t="n"/>
      <c r="H150" s="312" t="n"/>
      <c r="I150" s="313" t="n"/>
      <c r="J150" s="170" t="inlineStr">
        <is>
          <t>DCS</t>
        </is>
      </c>
      <c r="K150" s="314" t="n">
        <v>2970000</v>
      </c>
      <c r="L150" s="2" t="n">
        <v>44029</v>
      </c>
      <c r="M150" s="2" t="inlineStr">
        <is>
          <t>X</t>
        </is>
      </c>
      <c r="N150" s="170" t="n">
        <v>3146157466</v>
      </c>
      <c r="O150" s="172" t="inlineStr">
        <is>
          <t>José David Zuleta Muñoz</t>
        </is>
      </c>
      <c r="P150" s="52" t="inlineStr">
        <is>
          <t>comercial@dcs.com.co</t>
        </is>
      </c>
    </row>
    <row r="151">
      <c r="B151" s="170" t="n">
        <v>138</v>
      </c>
      <c r="C151" s="199" t="inlineStr">
        <is>
          <t>COTIZACION DE LOS DISEÑOS DE SEGURIDAD HUMANA Y PROTECCIÓN CONTRA  INCENDIOS - PLANTA INDUSTRIAL 7000 M2 ZONA LECHERA</t>
        </is>
      </c>
      <c r="D151" s="312" t="n"/>
      <c r="E151" s="312" t="n"/>
      <c r="F151" s="312" t="n"/>
      <c r="G151" s="312" t="n"/>
      <c r="H151" s="312" t="n"/>
      <c r="I151" s="313" t="n"/>
      <c r="J151" s="170" t="inlineStr">
        <is>
          <t>WILLIAM FLOREZ</t>
        </is>
      </c>
      <c r="K151" s="314" t="n">
        <v>29460000</v>
      </c>
      <c r="L151" s="2" t="n">
        <v>44033</v>
      </c>
      <c r="M151" s="170" t="n"/>
      <c r="N151" s="170" t="inlineStr">
        <is>
          <t>300 6186350</t>
        </is>
      </c>
      <c r="O151" s="172" t="inlineStr">
        <is>
          <t>William Florez</t>
        </is>
      </c>
      <c r="P151" s="52" t="inlineStr">
        <is>
          <t>willerf30@hotmail.com</t>
        </is>
      </c>
    </row>
    <row r="152">
      <c r="B152" s="170" t="n">
        <v>139</v>
      </c>
      <c r="C152" s="199" t="inlineStr">
        <is>
          <t>COTIZACION DE LOS DISEÑOS DE PROTECCIÓN CONTRA  INCENDIOS - CENTRO LOGÍSITICO COBERTA</t>
        </is>
      </c>
      <c r="D152" s="312" t="n"/>
      <c r="E152" s="312" t="n"/>
      <c r="F152" s="312" t="n"/>
      <c r="G152" s="312" t="n"/>
      <c r="H152" s="312" t="n"/>
      <c r="I152" s="313" t="n"/>
      <c r="J152" s="170" t="inlineStr">
        <is>
          <t>SPCI</t>
        </is>
      </c>
      <c r="K152" s="314" t="n">
        <v>37830000</v>
      </c>
      <c r="L152" s="2" t="n">
        <v>44033</v>
      </c>
      <c r="M152" s="170" t="n"/>
      <c r="N152" s="170" t="n">
        <v>3104680509</v>
      </c>
      <c r="O152" s="172" t="inlineStr">
        <is>
          <t>Juan Pablo Grajales</t>
        </is>
      </c>
      <c r="P152" s="52" t="inlineStr">
        <is>
          <t>juan.grajales@spci.com.co</t>
        </is>
      </c>
    </row>
    <row r="153">
      <c r="B153" s="170" t="n">
        <v>140</v>
      </c>
      <c r="C153" s="199" t="inlineStr">
        <is>
          <t>COTIZACION DE LOS DISEÑOS DE PROTECCIÓN CONTRA INCENDIOS PARA EL PROYECTO LÍNEA DE ETHANOL Y ALMACENAMIENTO</t>
        </is>
      </c>
      <c r="D153" s="312" t="n"/>
      <c r="E153" s="312" t="n"/>
      <c r="F153" s="312" t="n"/>
      <c r="G153" s="312" t="n"/>
      <c r="H153" s="312" t="n"/>
      <c r="I153" s="313" t="n"/>
      <c r="J153" s="170" t="inlineStr">
        <is>
          <t>SPCI</t>
        </is>
      </c>
      <c r="K153" s="314" t="n">
        <v>14990000</v>
      </c>
      <c r="L153" s="2" t="n">
        <v>44034</v>
      </c>
      <c r="M153" s="2" t="inlineStr">
        <is>
          <t>X</t>
        </is>
      </c>
      <c r="N153" s="170" t="n">
        <v>3104680509</v>
      </c>
      <c r="O153" s="172" t="inlineStr">
        <is>
          <t>Juan Pablo Grajales</t>
        </is>
      </c>
      <c r="P153" s="52" t="inlineStr">
        <is>
          <t>juan.grajales@spci.com.co</t>
        </is>
      </c>
    </row>
    <row r="154">
      <c r="B154" s="170" t="n">
        <v>141</v>
      </c>
      <c r="C154" s="199" t="inlineStr">
        <is>
          <t>COTIZACION DE LOS DISEÑOS DE PROTECCIÓN CONTRA INCENDIOS Y SEGURIDAD HUMANA PARA EL PROYECTO COLEGIO 5.000 M2</t>
        </is>
      </c>
      <c r="D154" s="312" t="n"/>
      <c r="E154" s="312" t="n"/>
      <c r="F154" s="312" t="n"/>
      <c r="G154" s="312" t="n"/>
      <c r="H154" s="312" t="n"/>
      <c r="I154" s="313" t="n"/>
      <c r="J154" s="170" t="inlineStr">
        <is>
          <t>CONDISEÑO</t>
        </is>
      </c>
      <c r="K154" s="314" t="n">
        <v>12000000</v>
      </c>
      <c r="L154" s="2" t="n">
        <v>44034</v>
      </c>
      <c r="M154" s="2" t="inlineStr">
        <is>
          <t>X</t>
        </is>
      </c>
      <c r="N154" s="170" t="n">
        <v>3175594091</v>
      </c>
      <c r="O154" s="172" t="inlineStr">
        <is>
          <t>Nakary García Romero</t>
        </is>
      </c>
      <c r="P154" s="52" t="inlineStr">
        <is>
          <t>n.garcia@condiseno.co</t>
        </is>
      </c>
    </row>
    <row r="155">
      <c r="B155" s="170" t="n">
        <v>142</v>
      </c>
      <c r="C155" s="199" t="inlineStr">
        <is>
          <t>COTIZACION DE LOS DISEÑOS DE PROTECCIÓN CONTRA  INCENDIOS - GOBERNACIÓN DE ANTIOQUIA</t>
        </is>
      </c>
      <c r="D155" s="312" t="n"/>
      <c r="E155" s="312" t="n"/>
      <c r="F155" s="312" t="n"/>
      <c r="G155" s="312" t="n"/>
      <c r="H155" s="312" t="n"/>
      <c r="I155" s="313" t="n"/>
      <c r="J155" s="170" t="inlineStr">
        <is>
          <t>GOBERNACION</t>
        </is>
      </c>
      <c r="K155" s="314" t="n">
        <v>65000000</v>
      </c>
      <c r="L155" s="2" t="n">
        <v>44035</v>
      </c>
      <c r="M155" s="170" t="n"/>
      <c r="N155" s="170" t="n">
        <v>3839394</v>
      </c>
      <c r="O155" s="172" t="inlineStr">
        <is>
          <t>Cristhian Camilo Orguela</t>
        </is>
      </c>
      <c r="P155" s="52" t="inlineStr">
        <is>
          <t>cristhiancamilo.orjuela@antioquia.gov.co</t>
        </is>
      </c>
    </row>
    <row r="156">
      <c r="B156" s="170" t="n">
        <v>143</v>
      </c>
      <c r="C156" s="199" t="inlineStr">
        <is>
          <t>COTIZACION DE LOS DISEÑOS DE PROTECCIÓN CONTRA  INCENDIOS - LA STRADA Y HOTEL ESTELAR</t>
        </is>
      </c>
      <c r="D156" s="312" t="n"/>
      <c r="E156" s="312" t="n"/>
      <c r="F156" s="312" t="n"/>
      <c r="G156" s="312" t="n"/>
      <c r="H156" s="312" t="n"/>
      <c r="I156" s="313" t="n"/>
      <c r="J156" s="170" t="inlineStr">
        <is>
          <t>SPCI</t>
        </is>
      </c>
      <c r="K156" s="314" t="n">
        <v>25000000</v>
      </c>
      <c r="L156" s="2" t="n">
        <v>44035</v>
      </c>
      <c r="M156" s="170" t="inlineStr">
        <is>
          <t>X</t>
        </is>
      </c>
      <c r="N156" s="170" t="n">
        <v>3137546144</v>
      </c>
      <c r="O156" s="172" t="inlineStr">
        <is>
          <t>Camilo Quintero</t>
        </is>
      </c>
      <c r="P156" s="52" t="inlineStr">
        <is>
          <t>proyectos1spci@gmail.com</t>
        </is>
      </c>
    </row>
    <row r="157">
      <c r="B157" s="170" t="n">
        <v>144</v>
      </c>
      <c r="C157" s="199" t="inlineStr">
        <is>
          <t>COTIZACION DE LOS DISEÑOS DE SEGURIDAD HUMANA Y EXTINCIÓN DE INCENDIOS - LA 42</t>
        </is>
      </c>
      <c r="D157" s="312" t="n"/>
      <c r="E157" s="312" t="n"/>
      <c r="F157" s="312" t="n"/>
      <c r="G157" s="312" t="n"/>
      <c r="H157" s="312" t="n"/>
      <c r="I157" s="313" t="n"/>
      <c r="J157" s="170" t="inlineStr">
        <is>
          <t>SEBASTIAN RAMÍREZ</t>
        </is>
      </c>
      <c r="K157" s="314" t="n">
        <v>6575000</v>
      </c>
      <c r="L157" s="2" t="n">
        <v>44035</v>
      </c>
      <c r="M157" s="2" t="inlineStr">
        <is>
          <t>X</t>
        </is>
      </c>
      <c r="N157" s="170" t="n">
        <v>3207273862</v>
      </c>
      <c r="O157" s="172" t="inlineStr">
        <is>
          <t>Sebastián Ramírez</t>
        </is>
      </c>
      <c r="P157" s="52" t="inlineStr">
        <is>
          <t>sradu85@gmail.com</t>
        </is>
      </c>
    </row>
    <row r="158">
      <c r="B158" s="170" t="n">
        <v>145</v>
      </c>
      <c r="C158" s="199" t="inlineStr">
        <is>
          <t>COTIZACION DE LOS DISEÑOS DE SEGURIDAD HUMANA Y EXTINCIÓN DE INCENDIOS - POLITÉCNICO DE COLOMBIA</t>
        </is>
      </c>
      <c r="D158" s="312" t="n"/>
      <c r="E158" s="312" t="n"/>
      <c r="F158" s="312" t="n"/>
      <c r="G158" s="312" t="n"/>
      <c r="H158" s="312" t="n"/>
      <c r="I158" s="313" t="n"/>
      <c r="J158" s="170" t="inlineStr">
        <is>
          <t>SERVICIOS IPM</t>
        </is>
      </c>
      <c r="K158" s="314" t="n">
        <v>7560000</v>
      </c>
      <c r="L158" s="2" t="n">
        <v>44039</v>
      </c>
      <c r="M158" s="170" t="n"/>
      <c r="N158" s="170" t="n"/>
      <c r="O158" s="172" t="inlineStr">
        <is>
          <t>Juan Londoño</t>
        </is>
      </c>
      <c r="P158" s="52" t="inlineStr">
        <is>
          <t>juan.londono@serviciosipm.com</t>
        </is>
      </c>
    </row>
    <row r="159">
      <c r="B159" s="170" t="n">
        <v>146</v>
      </c>
      <c r="C159" s="199" t="inlineStr">
        <is>
          <t>COTIZACION DE LA REVISIÓN DE LOS DISEÑOS DE LOS SISTEMAS DE PROTECCIÓN CONTRA INCENDIOS Y LA SEURIDAD HUMANA - CENTRO COMERCIAL MIXY</t>
        </is>
      </c>
      <c r="D159" s="312" t="n"/>
      <c r="E159" s="312" t="n"/>
      <c r="F159" s="312" t="n"/>
      <c r="G159" s="312" t="n"/>
      <c r="H159" s="312" t="n"/>
      <c r="I159" s="313" t="n"/>
      <c r="J159" s="170" t="inlineStr">
        <is>
          <t>PICSO</t>
        </is>
      </c>
      <c r="K159" s="314" t="n">
        <v>5250000</v>
      </c>
      <c r="L159" s="2" t="n">
        <v>44039</v>
      </c>
      <c r="M159" s="170" t="n"/>
      <c r="N159" s="170" t="n">
        <v>3007762642</v>
      </c>
      <c r="O159" s="172" t="inlineStr">
        <is>
          <t>Ernesto Castrillón</t>
        </is>
      </c>
      <c r="P159" s="52" t="inlineStr">
        <is>
          <t>rnesto.castrillon@picso.com.co</t>
        </is>
      </c>
    </row>
    <row r="160">
      <c r="B160" s="50" t="n">
        <v>147</v>
      </c>
      <c r="C160" s="199" t="inlineStr">
        <is>
          <t>COTIZACION DEL DISEÑO DE EXTINCIÓN DE INCENDIOS - LOCALES 1605 Y 1606 ED CROSS</t>
        </is>
      </c>
      <c r="D160" s="312" t="n"/>
      <c r="E160" s="312" t="n"/>
      <c r="F160" s="312" t="n"/>
      <c r="G160" s="312" t="n"/>
      <c r="H160" s="312" t="n"/>
      <c r="I160" s="313" t="n"/>
      <c r="J160" s="170" t="inlineStr">
        <is>
          <t>SARA FRANCO</t>
        </is>
      </c>
      <c r="K160" s="314" t="n">
        <v>1500000</v>
      </c>
      <c r="L160" s="2" t="n">
        <v>44039</v>
      </c>
      <c r="M160" s="170" t="n"/>
      <c r="N160" s="170" t="n">
        <v>3014695381</v>
      </c>
      <c r="O160" s="172" t="inlineStr">
        <is>
          <t>Sara Franco</t>
        </is>
      </c>
      <c r="P160" s="52" t="inlineStr">
        <is>
          <t>sarafrancorendon@gmail.com</t>
        </is>
      </c>
    </row>
    <row r="161">
      <c r="B161" s="170" t="n">
        <v>148</v>
      </c>
      <c r="C161" s="199" t="inlineStr">
        <is>
          <t>COTIZACION DE LOS DISEÑOS DE PROTECCIÓN CONTRA INCENDIOS Y SEGURIDAD HUMANA PARA EL PROYECTO BUENAVISTA</t>
        </is>
      </c>
      <c r="D161" s="312" t="n"/>
      <c r="E161" s="312" t="n"/>
      <c r="F161" s="312" t="n"/>
      <c r="G161" s="312" t="n"/>
      <c r="H161" s="312" t="n"/>
      <c r="I161" s="313" t="n"/>
      <c r="J161" s="170" t="inlineStr">
        <is>
          <t>RRP</t>
        </is>
      </c>
      <c r="K161" s="314" t="n">
        <v>19990000</v>
      </c>
      <c r="L161" s="2" t="n">
        <v>44039</v>
      </c>
      <c r="M161" s="2" t="inlineStr">
        <is>
          <t>X</t>
        </is>
      </c>
      <c r="N161" s="31" t="n">
        <v>3104300137</v>
      </c>
      <c r="O161" s="41" t="inlineStr">
        <is>
          <t>Roberto Pineda</t>
        </is>
      </c>
      <c r="P161" s="52" t="inlineStr">
        <is>
          <t>roberto.pineda@rrp.com.co</t>
        </is>
      </c>
    </row>
    <row r="162">
      <c r="B162" s="170" t="n">
        <v>149</v>
      </c>
      <c r="C162" s="199" t="inlineStr">
        <is>
          <t>COTIZACION DE LOS DISEÑOS DE PROTECCIÓN CONTRA INCENDIOS Y SEGURIDAD HUMANA PARA EL PROYECTO ON LIVING</t>
        </is>
      </c>
      <c r="D162" s="312" t="n"/>
      <c r="E162" s="312" t="n"/>
      <c r="F162" s="312" t="n"/>
      <c r="G162" s="312" t="n"/>
      <c r="H162" s="312" t="n"/>
      <c r="I162" s="313" t="n"/>
      <c r="J162" s="170" t="inlineStr">
        <is>
          <t>RRP</t>
        </is>
      </c>
      <c r="K162" s="314" t="n">
        <v>17310000</v>
      </c>
      <c r="L162" s="2" t="n">
        <v>44039</v>
      </c>
      <c r="M162" s="170" t="inlineStr">
        <is>
          <t>X</t>
        </is>
      </c>
      <c r="N162" s="31" t="n">
        <v>3104300137</v>
      </c>
      <c r="O162" s="41" t="inlineStr">
        <is>
          <t>Roberto Pineda</t>
        </is>
      </c>
      <c r="P162" s="52" t="inlineStr">
        <is>
          <t>roberto.pineda@rrp.com.co</t>
        </is>
      </c>
    </row>
    <row r="163">
      <c r="B163" s="170" t="n">
        <v>150</v>
      </c>
      <c r="C163" s="199" t="inlineStr">
        <is>
          <t>COTIZACION DE LOS DISEÑOS DE PROTECCIÓN CONTRA INCENDIOS Y SEGURIDAD HUMANA PARA EL PROYECTO KARDINAL 42</t>
        </is>
      </c>
      <c r="D163" s="312" t="n"/>
      <c r="E163" s="312" t="n"/>
      <c r="F163" s="312" t="n"/>
      <c r="G163" s="312" t="n"/>
      <c r="H163" s="312" t="n"/>
      <c r="I163" s="313" t="n"/>
      <c r="J163" s="170" t="inlineStr">
        <is>
          <t>RRP</t>
        </is>
      </c>
      <c r="K163" s="314" t="n">
        <v>15430000</v>
      </c>
      <c r="L163" s="2" t="n">
        <v>44039</v>
      </c>
      <c r="M163" s="170" t="inlineStr">
        <is>
          <t>X</t>
        </is>
      </c>
      <c r="N163" s="31" t="n">
        <v>3104300137</v>
      </c>
      <c r="O163" s="41" t="inlineStr">
        <is>
          <t>Roberto Pineda</t>
        </is>
      </c>
      <c r="P163" s="52" t="inlineStr">
        <is>
          <t>roberto.pineda@rrp.com.co</t>
        </is>
      </c>
    </row>
    <row r="164">
      <c r="B164" s="170" t="n">
        <v>151</v>
      </c>
      <c r="C164" s="199" t="inlineStr">
        <is>
          <t>COTIZACION DEL DISEÑO DE EXTINCIÓN DE INCENDIOS - CLÍNICA ASTORGA SALUD VEGAS</t>
        </is>
      </c>
      <c r="D164" s="312" t="n"/>
      <c r="E164" s="312" t="n"/>
      <c r="F164" s="312" t="n"/>
      <c r="G164" s="312" t="n"/>
      <c r="H164" s="312" t="n"/>
      <c r="I164" s="313" t="n"/>
      <c r="J164" s="170" t="inlineStr">
        <is>
          <t>INTERVÉ</t>
        </is>
      </c>
      <c r="K164" s="314" t="n">
        <v>6890000</v>
      </c>
      <c r="L164" s="2" t="n">
        <v>44042</v>
      </c>
      <c r="M164" s="2" t="inlineStr">
        <is>
          <t>X</t>
        </is>
      </c>
      <c r="N164" s="170" t="n">
        <v>3012409366</v>
      </c>
      <c r="O164" s="172" t="inlineStr">
        <is>
          <t>Humberto Acevedo</t>
        </is>
      </c>
      <c r="P164" s="52" t="inlineStr">
        <is>
          <t>hacevedo@interve.co</t>
        </is>
      </c>
    </row>
    <row r="165">
      <c r="B165" s="49" t="n">
        <v>152</v>
      </c>
      <c r="C165" s="199" t="inlineStr">
        <is>
          <t>COTIZACION EVALUACIÓN DEL SISTEMA DE BOMBA CONTRA INCENDIOS - POLITÉCNICO DE COLOMBIA</t>
        </is>
      </c>
      <c r="D165" s="312" t="n"/>
      <c r="E165" s="312" t="n"/>
      <c r="F165" s="312" t="n"/>
      <c r="G165" s="312" t="n"/>
      <c r="H165" s="312" t="n"/>
      <c r="I165" s="313" t="n"/>
      <c r="J165" s="170" t="inlineStr">
        <is>
          <t>SERVICIOS IPM</t>
        </is>
      </c>
      <c r="K165" s="314" t="n">
        <v>3500000</v>
      </c>
      <c r="L165" s="2" t="n">
        <v>44043</v>
      </c>
      <c r="M165" s="2" t="inlineStr">
        <is>
          <t>X</t>
        </is>
      </c>
      <c r="N165" s="170" t="n">
        <v>3015421412</v>
      </c>
      <c r="O165" s="172" t="inlineStr">
        <is>
          <t>Juan Londoño</t>
        </is>
      </c>
      <c r="P165" s="52" t="inlineStr">
        <is>
          <t>juan.londono@serviciosipm.com</t>
        </is>
      </c>
    </row>
    <row r="166">
      <c r="B166" s="170" t="n">
        <v>153</v>
      </c>
      <c r="C166" s="235" t="inlineStr">
        <is>
          <t>COTIZACION DEL DISEÑO DE EXTINCIÓN DE INCENDIOS - SISTEMAS DE PREACCIÓN PLAZA FABRICATO</t>
        </is>
      </c>
      <c r="D166" s="312" t="n"/>
      <c r="E166" s="312" t="n"/>
      <c r="F166" s="312" t="n"/>
      <c r="G166" s="312" t="n"/>
      <c r="H166" s="312" t="n"/>
      <c r="I166" s="313" t="n"/>
      <c r="J166" s="172" t="inlineStr">
        <is>
          <t>SPCI</t>
        </is>
      </c>
      <c r="K166" s="314" t="n">
        <v>6775000</v>
      </c>
      <c r="L166" s="2" t="n">
        <v>44047</v>
      </c>
      <c r="M166" s="170" t="n"/>
      <c r="N166" s="170" t="n">
        <v>3108431633</v>
      </c>
      <c r="O166" s="172" t="inlineStr">
        <is>
          <t>Mauricio Sepulveda</t>
        </is>
      </c>
      <c r="P166" s="52" t="inlineStr">
        <is>
          <t>mauriciosepulvedaspci@gmail.com</t>
        </is>
      </c>
    </row>
    <row r="167">
      <c r="B167" s="170" t="n">
        <v>154</v>
      </c>
      <c r="C167" s="199" t="inlineStr">
        <is>
          <t>COTIZACION DE LOS DISEÑOS DE SEGURIDAD HUMANA Y PROTECCIÓN CONTRA  INCENDIOS - TIERRA VERDE LOTE 4</t>
        </is>
      </c>
      <c r="D167" s="312" t="n"/>
      <c r="E167" s="312" t="n"/>
      <c r="F167" s="312" t="n"/>
      <c r="G167" s="312" t="n"/>
      <c r="H167" s="312" t="n"/>
      <c r="I167" s="313" t="n"/>
      <c r="J167" s="170" t="inlineStr">
        <is>
          <t>I+CONSTRUCTORA</t>
        </is>
      </c>
      <c r="K167" s="314" t="n">
        <v>19950000</v>
      </c>
      <c r="L167" s="2" t="n">
        <v>44047</v>
      </c>
      <c r="M167" s="2" t="inlineStr">
        <is>
          <t>X</t>
        </is>
      </c>
      <c r="N167" s="170" t="inlineStr">
        <is>
          <t>(+574) 4443091</t>
        </is>
      </c>
      <c r="O167" s="172" t="inlineStr">
        <is>
          <t>Lina Montoya</t>
        </is>
      </c>
      <c r="P167" s="52" t="inlineStr">
        <is>
          <t xml:space="preserve"> lmontoya@iconstructora.com.co</t>
        </is>
      </c>
    </row>
    <row r="168">
      <c r="B168" s="49" t="n">
        <v>155</v>
      </c>
      <c r="C168" s="199" t="inlineStr">
        <is>
          <t>COTIZACION DEL DISEÑO DEL CUARTO DE BOMBAS DE EXTINCIÓN DE INCENDIOS - ARBOLEDA DE LA ESTRELLA</t>
        </is>
      </c>
      <c r="D168" s="312" t="n"/>
      <c r="E168" s="312" t="n"/>
      <c r="F168" s="312" t="n"/>
      <c r="G168" s="312" t="n"/>
      <c r="H168" s="312" t="n"/>
      <c r="I168" s="313" t="n"/>
      <c r="J168" s="170" t="inlineStr">
        <is>
          <t>SOCOMES</t>
        </is>
      </c>
      <c r="K168" s="314" t="n">
        <v>2500000</v>
      </c>
      <c r="L168" s="2" t="n">
        <v>44048</v>
      </c>
      <c r="M168" s="2" t="inlineStr">
        <is>
          <t>X</t>
        </is>
      </c>
      <c r="N168" s="170" t="n">
        <v>3137851941</v>
      </c>
      <c r="O168" s="172" t="inlineStr">
        <is>
          <t>David Lopera</t>
        </is>
      </c>
      <c r="P168" s="52" t="inlineStr">
        <is>
          <t>david.lopera@socomes.com</t>
        </is>
      </c>
    </row>
    <row r="169">
      <c r="B169" s="170" t="n">
        <v>156</v>
      </c>
      <c r="C169" s="199" t="inlineStr">
        <is>
          <t>COTIZACION DE LOS DISEÑOS DE SEGURIDAD HUMANA Y PROTECCIÓN CONTRA  INCENDIOS - CANTAGIA</t>
        </is>
      </c>
      <c r="D169" s="312" t="n"/>
      <c r="E169" s="312" t="n"/>
      <c r="F169" s="312" t="n"/>
      <c r="G169" s="312" t="n"/>
      <c r="H169" s="312" t="n"/>
      <c r="I169" s="313" t="n"/>
      <c r="J169" s="170" t="inlineStr">
        <is>
          <t>MOGACON</t>
        </is>
      </c>
      <c r="K169" s="314" t="n">
        <v>8215000</v>
      </c>
      <c r="L169" s="2" t="n">
        <v>44048</v>
      </c>
      <c r="M169" s="170" t="n"/>
      <c r="N169" s="170" t="n">
        <v>3104103952</v>
      </c>
      <c r="O169" s="172" t="inlineStr">
        <is>
          <t>Omar Stiven Ríos</t>
        </is>
      </c>
      <c r="P169" s="52" t="inlineStr">
        <is>
          <t>srios@mogacon.com.co</t>
        </is>
      </c>
    </row>
    <row r="170">
      <c r="B170" s="50" t="n">
        <v>157</v>
      </c>
      <c r="C170" s="199" t="inlineStr">
        <is>
          <t>COTIZACION DEL DISEÑO DE EXTINCIÓN DE INCENDIOS - LOCALES 1605 Y 1606 ED CROSS</t>
        </is>
      </c>
      <c r="D170" s="312" t="n"/>
      <c r="E170" s="312" t="n"/>
      <c r="F170" s="312" t="n"/>
      <c r="G170" s="312" t="n"/>
      <c r="H170" s="312" t="n"/>
      <c r="I170" s="313" t="n"/>
      <c r="J170" s="170" t="inlineStr">
        <is>
          <t>SARA FRANCO</t>
        </is>
      </c>
      <c r="K170" s="314" t="n">
        <v>1500000</v>
      </c>
      <c r="L170" s="2" t="n">
        <v>44039</v>
      </c>
      <c r="M170" s="2" t="inlineStr">
        <is>
          <t>X</t>
        </is>
      </c>
      <c r="N170" s="170" t="n">
        <v>3014695381</v>
      </c>
      <c r="O170" s="172" t="inlineStr">
        <is>
          <t>Sara Franco</t>
        </is>
      </c>
      <c r="P170" s="52" t="inlineStr">
        <is>
          <t>sarafrancorendon@gmail.com</t>
        </is>
      </c>
    </row>
    <row r="171">
      <c r="B171" s="49" t="inlineStr">
        <is>
          <t>157A</t>
        </is>
      </c>
      <c r="C171" s="199" t="inlineStr">
        <is>
          <t>COTIZACION DEL DISEÑO DE EXTINCIÓN DE INCENDIOS PARA EL PROYECTO ÉXITO ITAGUÍ</t>
        </is>
      </c>
      <c r="D171" s="312" t="n"/>
      <c r="E171" s="312" t="n"/>
      <c r="F171" s="312" t="n"/>
      <c r="G171" s="312" t="n"/>
      <c r="H171" s="312" t="n"/>
      <c r="I171" s="313" t="n"/>
      <c r="J171" s="172" t="inlineStr">
        <is>
          <t>SPCI</t>
        </is>
      </c>
      <c r="K171" s="314" t="n">
        <v>28850000</v>
      </c>
      <c r="L171" s="2" t="n">
        <v>44049</v>
      </c>
      <c r="M171" s="170" t="n"/>
      <c r="N171" s="170" t="n">
        <v>3137546144</v>
      </c>
      <c r="O171" s="172" t="inlineStr">
        <is>
          <t>Juan Camilo Quintero</t>
        </is>
      </c>
      <c r="P171" s="52" t="inlineStr">
        <is>
          <t>proyectos1spci@gmail.com</t>
        </is>
      </c>
    </row>
    <row r="172">
      <c r="B172" s="170" t="n">
        <v>158</v>
      </c>
      <c r="C172" s="199" t="inlineStr">
        <is>
          <t>COTIZACION EVALUACIÓN DEL SISTEMA DE BOMBA CONTRA INCENDIOS – ÉXITO ITAGUÍ</t>
        </is>
      </c>
      <c r="D172" s="312" t="n"/>
      <c r="E172" s="312" t="n"/>
      <c r="F172" s="312" t="n"/>
      <c r="G172" s="312" t="n"/>
      <c r="H172" s="312" t="n"/>
      <c r="I172" s="313" t="n"/>
      <c r="J172" s="172" t="inlineStr">
        <is>
          <t>SPCI</t>
        </is>
      </c>
      <c r="K172" s="314" t="n">
        <v>2500000</v>
      </c>
      <c r="L172" s="2" t="n">
        <v>44049</v>
      </c>
      <c r="M172" s="170" t="n"/>
      <c r="N172" s="170" t="n">
        <v>3137546144</v>
      </c>
      <c r="O172" s="172" t="inlineStr">
        <is>
          <t>Juan Camilo Quintero</t>
        </is>
      </c>
      <c r="P172" s="52" t="inlineStr">
        <is>
          <t>proyectos1spci@gmail.com</t>
        </is>
      </c>
    </row>
    <row r="173">
      <c r="B173" s="170" t="n">
        <v>159</v>
      </c>
      <c r="C173" s="199" t="inlineStr">
        <is>
          <t>COTIZACION DEL ANÁLISIS DE SEGURIDAD HUMANA - PROYECTO ACRE</t>
        </is>
      </c>
      <c r="D173" s="312" t="n"/>
      <c r="E173" s="312" t="n"/>
      <c r="F173" s="312" t="n"/>
      <c r="G173" s="312" t="n"/>
      <c r="H173" s="312" t="n"/>
      <c r="I173" s="313" t="n"/>
      <c r="J173" s="170" t="inlineStr">
        <is>
          <t>SAINC</t>
        </is>
      </c>
      <c r="K173" s="314" t="n"/>
      <c r="L173" s="2" t="n">
        <v>44053</v>
      </c>
      <c r="M173" s="170" t="n"/>
      <c r="N173" s="170" t="n">
        <v>3164913470</v>
      </c>
      <c r="O173" s="172" t="inlineStr">
        <is>
          <t>Johana Zapata García.</t>
        </is>
      </c>
      <c r="P173" s="52" t="inlineStr">
        <is>
          <t>oficinatecnica@sainc.co</t>
        </is>
      </c>
    </row>
    <row r="174">
      <c r="B174" s="49" t="n">
        <v>160</v>
      </c>
      <c r="C174" s="199" t="inlineStr">
        <is>
          <t>COTIZACION DEL DISEÑO DE EXTINCIÓN DE INCENDIOS - LOCAL EXITO LAURELES</t>
        </is>
      </c>
      <c r="D174" s="312" t="n"/>
      <c r="E174" s="312" t="n"/>
      <c r="F174" s="312" t="n"/>
      <c r="G174" s="312" t="n"/>
      <c r="H174" s="312" t="n"/>
      <c r="I174" s="313" t="n"/>
      <c r="J174" s="170" t="inlineStr">
        <is>
          <t>SOCOMES</t>
        </is>
      </c>
      <c r="K174" s="314" t="n">
        <v>800000</v>
      </c>
      <c r="L174" s="2" t="n">
        <v>44055</v>
      </c>
      <c r="M174" s="2" t="inlineStr">
        <is>
          <t>X</t>
        </is>
      </c>
      <c r="N174" s="170" t="n">
        <v>3168343581</v>
      </c>
      <c r="O174" s="172" t="inlineStr">
        <is>
          <t>Ivonne Gonzales</t>
        </is>
      </c>
      <c r="P174" s="52" t="inlineStr">
        <is>
          <t>proyectos@socomes.com</t>
        </is>
      </c>
    </row>
    <row r="175">
      <c r="B175" s="49" t="n">
        <v>161</v>
      </c>
      <c r="C175" s="199" t="inlineStr">
        <is>
          <t>COTIZACION DEL DISEÑO DE EXTINCIÓN DE INCENDIOS - LOCAL BEAUTY ICE VIVA ENVIGADO</t>
        </is>
      </c>
      <c r="D175" s="312" t="n"/>
      <c r="E175" s="312" t="n"/>
      <c r="F175" s="312" t="n"/>
      <c r="G175" s="312" t="n"/>
      <c r="H175" s="312" t="n"/>
      <c r="I175" s="313" t="n"/>
      <c r="J175" s="172" t="inlineStr">
        <is>
          <t>SPCI</t>
        </is>
      </c>
      <c r="K175" s="314" t="n">
        <v>1000000</v>
      </c>
      <c r="L175" s="2" t="n">
        <v>44056</v>
      </c>
      <c r="M175" s="2" t="inlineStr">
        <is>
          <t>X</t>
        </is>
      </c>
      <c r="N175" s="170" t="n">
        <v>3137546144</v>
      </c>
      <c r="O175" s="172" t="inlineStr">
        <is>
          <t>Juan Camilo Quintero</t>
        </is>
      </c>
      <c r="P175" s="52" t="inlineStr">
        <is>
          <t>proyectos1spci@gmail.com</t>
        </is>
      </c>
    </row>
    <row r="176">
      <c r="B176" s="49" t="inlineStr">
        <is>
          <t>161A</t>
        </is>
      </c>
      <c r="C176" s="233" t="inlineStr">
        <is>
          <t>COTIZACION DEL DISEÑO DE EXTINCIÓN Y DETECCIÓN DE INCENDIOS PARA EL PROYECTO PLANTA DE CONCENTRADOS Y ESENCIAS
PROYECTO PLANTA DE CONCENTRADOS Y ESENCIAS</t>
        </is>
      </c>
      <c r="D176" s="312" t="n"/>
      <c r="E176" s="312" t="n"/>
      <c r="F176" s="312" t="n"/>
      <c r="G176" s="312" t="n"/>
      <c r="H176" s="312" t="n"/>
      <c r="I176" s="313" t="n"/>
      <c r="J176" s="172" t="inlineStr">
        <is>
          <t>Coca-cola femsa</t>
        </is>
      </c>
      <c r="K176" s="314" t="n">
        <v>4500000</v>
      </c>
      <c r="L176" s="2" t="n">
        <v>44055</v>
      </c>
      <c r="M176" s="2" t="inlineStr">
        <is>
          <t>X</t>
        </is>
      </c>
      <c r="N176" s="170" t="n"/>
      <c r="O176" s="172" t="inlineStr">
        <is>
          <t>Ricardo calle</t>
        </is>
      </c>
      <c r="P176" s="52" t="inlineStr">
        <is>
          <t>haqmym@gmail.com</t>
        </is>
      </c>
    </row>
    <row r="177">
      <c r="B177" s="170" t="n">
        <v>162</v>
      </c>
      <c r="C177" s="199" t="inlineStr">
        <is>
          <t>COTIZACION REVISIÓN DE RED GENERAL Y BOMBA CONTRA INCENDIOS - CARBOQUÍMICA</t>
        </is>
      </c>
      <c r="D177" s="312" t="n"/>
      <c r="E177" s="312" t="n"/>
      <c r="F177" s="312" t="n"/>
      <c r="G177" s="312" t="n"/>
      <c r="H177" s="312" t="n"/>
      <c r="I177" s="313" t="n"/>
      <c r="J177" s="172" t="inlineStr">
        <is>
          <t>SPCI</t>
        </is>
      </c>
      <c r="K177" s="314" t="n">
        <v>2000000</v>
      </c>
      <c r="L177" s="2" t="n">
        <v>44056</v>
      </c>
      <c r="M177" s="2" t="n"/>
      <c r="N177" s="170" t="inlineStr">
        <is>
          <t>316 8787297</t>
        </is>
      </c>
      <c r="O177" s="172" t="inlineStr">
        <is>
          <t>Juan Camilo Quintero</t>
        </is>
      </c>
      <c r="P177" s="52" t="inlineStr">
        <is>
          <t>proyectos1spci@gmail.com</t>
        </is>
      </c>
    </row>
    <row r="178">
      <c r="B178" s="170" t="n">
        <v>163</v>
      </c>
      <c r="C178" s="199" t="inlineStr">
        <is>
          <t>COTIZACION DEL DISEÑO DE DETECCIÓN DE INCENDIOS - ACADEMIA ANTIOQUEÑA DE AVIACIÓN</t>
        </is>
      </c>
      <c r="D178" s="312" t="n"/>
      <c r="E178" s="312" t="n"/>
      <c r="F178" s="312" t="n"/>
      <c r="G178" s="312" t="n"/>
      <c r="H178" s="312" t="n"/>
      <c r="I178" s="313" t="n"/>
      <c r="J178" s="172" t="inlineStr">
        <is>
          <t>SPCI</t>
        </is>
      </c>
      <c r="K178" s="314" t="n">
        <v>2200000</v>
      </c>
      <c r="L178" s="2" t="n">
        <v>44057</v>
      </c>
      <c r="M178" s="170" t="n"/>
      <c r="N178" s="170" t="inlineStr">
        <is>
          <t>310 4278593</t>
        </is>
      </c>
      <c r="O178" s="172" t="inlineStr">
        <is>
          <t>Daniel Uribe</t>
        </is>
      </c>
      <c r="P178" s="52" t="inlineStr">
        <is>
          <t>duribe86@gmail.com</t>
        </is>
      </c>
    </row>
    <row r="179">
      <c r="B179" s="170" t="n">
        <v>164</v>
      </c>
      <c r="C179" s="199" t="inlineStr">
        <is>
          <t>COTIZACION DE LOS DISEÑOS DE PROTECCIÓN CONTRA  INCENDIOS - BODEGA COPACABANA</t>
        </is>
      </c>
      <c r="D179" s="312" t="n"/>
      <c r="E179" s="312" t="n"/>
      <c r="F179" s="312" t="n"/>
      <c r="G179" s="312" t="n"/>
      <c r="H179" s="312" t="n"/>
      <c r="I179" s="313" t="n"/>
      <c r="J179" s="170" t="inlineStr">
        <is>
          <t>GINO</t>
        </is>
      </c>
      <c r="K179" s="314" t="n">
        <v>11290000</v>
      </c>
      <c r="L179" s="2" t="n">
        <v>44057</v>
      </c>
      <c r="M179" s="170" t="n"/>
      <c r="N179" s="170" t="n">
        <v>3113396273</v>
      </c>
      <c r="O179" s="172" t="inlineStr">
        <is>
          <t>Gino Montoya</t>
        </is>
      </c>
      <c r="P179" s="52" t="inlineStr">
        <is>
          <t>gino1037@hotmail.com</t>
        </is>
      </c>
    </row>
    <row r="180">
      <c r="B180" s="170" t="n">
        <v>165</v>
      </c>
      <c r="C180" s="199" t="inlineStr">
        <is>
          <t>COTIZACION DE LOS DISEÑOS DE SEGURIDAD HUMANA Y PROTECCIÓN CONTRA  INCENDIOS - EDIFICIO BELEN LA PALMA</t>
        </is>
      </c>
      <c r="D180" s="312" t="n"/>
      <c r="E180" s="312" t="n"/>
      <c r="F180" s="312" t="n"/>
      <c r="G180" s="312" t="n"/>
      <c r="H180" s="312" t="n"/>
      <c r="I180" s="313" t="n"/>
      <c r="J180" s="170" t="inlineStr">
        <is>
          <t>ZANELLA INGENIERÍA</t>
        </is>
      </c>
      <c r="K180" s="314" t="n">
        <v>7500000</v>
      </c>
      <c r="L180" s="2" t="n">
        <v>44061</v>
      </c>
      <c r="M180" s="170" t="n"/>
      <c r="N180" s="170" t="n">
        <v>3206768281</v>
      </c>
      <c r="O180" s="172" t="inlineStr">
        <is>
          <t>Victor BAZALAR</t>
        </is>
      </c>
      <c r="P180" s="52" t="inlineStr">
        <is>
          <t>gerenciazanella@gmail.com</t>
        </is>
      </c>
    </row>
    <row r="181">
      <c r="B181" s="170" t="n">
        <v>166</v>
      </c>
      <c r="C181" s="199" t="inlineStr">
        <is>
          <t>COTIZACION DEL DISEÑO DE DETECCIÓN DE INCENDIOS - CASA ADMINISTRATIVA COLOMBO BRITÁNICO</t>
        </is>
      </c>
      <c r="D181" s="312" t="n"/>
      <c r="E181" s="312" t="n"/>
      <c r="F181" s="312" t="n"/>
      <c r="G181" s="312" t="n"/>
      <c r="H181" s="312" t="n"/>
      <c r="I181" s="313" t="n"/>
      <c r="J181" s="170" t="inlineStr">
        <is>
          <t>EL RÁPIDO</t>
        </is>
      </c>
      <c r="K181" s="314" t="n">
        <v>1050000</v>
      </c>
      <c r="L181" s="2" t="n">
        <v>44061</v>
      </c>
      <c r="M181" s="170" t="n"/>
      <c r="N181" s="170" t="n">
        <v>3108227462</v>
      </c>
      <c r="O181" s="172" t="inlineStr">
        <is>
          <t>Alvaro Manosalva</t>
        </is>
      </c>
      <c r="P181" s="52" t="inlineStr">
        <is>
          <t>licitaciones@equiposelrapido.com</t>
        </is>
      </c>
    </row>
    <row r="182">
      <c r="B182" s="170" t="n">
        <v>167</v>
      </c>
      <c r="C182" s="199" t="inlineStr">
        <is>
          <t>COTIZACION DE LA REVISIÓN DE LOS DISEÑOS DE LOS SISTEMAS DE PROTECCIÓN CONTRA INCENDIOS - ALKOTO PASTO</t>
        </is>
      </c>
      <c r="D182" s="312" t="n"/>
      <c r="E182" s="312" t="n"/>
      <c r="F182" s="312" t="n"/>
      <c r="G182" s="312" t="n"/>
      <c r="H182" s="312" t="n"/>
      <c r="I182" s="313" t="n"/>
      <c r="J182" s="170" t="inlineStr">
        <is>
          <t>CONDISEÑO</t>
        </is>
      </c>
      <c r="K182" s="314" t="n">
        <v>7750000</v>
      </c>
      <c r="L182" s="2" t="n">
        <v>44061</v>
      </c>
      <c r="M182" s="170" t="n"/>
      <c r="N182" s="170" t="n">
        <v>3175594091</v>
      </c>
      <c r="O182" s="172" t="inlineStr">
        <is>
          <t>Nakary García Romero</t>
        </is>
      </c>
      <c r="P182" s="52" t="inlineStr">
        <is>
          <t>n.garcia@condiseno.co</t>
        </is>
      </c>
    </row>
    <row r="183">
      <c r="B183" s="170" t="n">
        <v>168</v>
      </c>
      <c r="C183" s="199" t="inlineStr">
        <is>
          <t>COTIZACION DE LOS DISEÑOS DE SEGURIDAD HUMANA Y PROTECCIÓN CONTRA  INCENDIOS - ED RESONADOR IPS UNIVERSITARIA</t>
        </is>
      </c>
      <c r="D183" s="312" t="n"/>
      <c r="E183" s="312" t="n"/>
      <c r="F183" s="312" t="n"/>
      <c r="G183" s="312" t="n"/>
      <c r="H183" s="312" t="n"/>
      <c r="I183" s="313" t="n"/>
      <c r="J183" s="170" t="inlineStr">
        <is>
          <t>SERVICIOS IPM</t>
        </is>
      </c>
      <c r="K183" s="314" t="n">
        <v>7800000</v>
      </c>
      <c r="L183" s="2" t="n">
        <v>44062</v>
      </c>
      <c r="M183" s="2" t="inlineStr">
        <is>
          <t>X</t>
        </is>
      </c>
      <c r="N183" s="170" t="n">
        <v>3015421412</v>
      </c>
      <c r="O183" s="172" t="inlineStr">
        <is>
          <t>Juan Londoño</t>
        </is>
      </c>
      <c r="P183" s="52" t="inlineStr">
        <is>
          <t>juan.londono@serviciosipm.com</t>
        </is>
      </c>
    </row>
    <row r="184">
      <c r="B184" s="170" t="n">
        <v>169</v>
      </c>
      <c r="C184" s="199" t="inlineStr">
        <is>
          <t xml:space="preserve">COTIZACION DE LOS DISEÑOS DE PROTECCIÓN CONTRA INCENDIOS EN REVIT PARA EL PISO 2.5 DE PLAZA FABRICATO </t>
        </is>
      </c>
      <c r="D184" s="312" t="n"/>
      <c r="E184" s="312" t="n"/>
      <c r="F184" s="312" t="n"/>
      <c r="G184" s="312" t="n"/>
      <c r="H184" s="312" t="n"/>
      <c r="I184" s="313" t="n"/>
      <c r="J184" s="172" t="inlineStr">
        <is>
          <t>SPCI</t>
        </is>
      </c>
      <c r="K184" s="314" t="n">
        <v>1200000</v>
      </c>
      <c r="L184" s="2" t="n">
        <v>44062</v>
      </c>
      <c r="M184" s="2" t="inlineStr">
        <is>
          <t>X</t>
        </is>
      </c>
      <c r="N184" s="170" t="n">
        <v>3104165783</v>
      </c>
      <c r="O184" s="172" t="inlineStr">
        <is>
          <t>Cristiam Mondragón</t>
        </is>
      </c>
      <c r="P184" s="52" t="inlineStr">
        <is>
          <t>cristiamondragon.spci@gmail.com</t>
        </is>
      </c>
    </row>
    <row r="185">
      <c r="B185" s="170" t="n">
        <v>170</v>
      </c>
      <c r="C185" s="199" t="inlineStr">
        <is>
          <t>COTIZACION DE LOS DISEÑOS DE PROTECCIÓN CONTRA  INCENDIOS - SUBESTACIONES ELECTRICARIBE</t>
        </is>
      </c>
      <c r="D185" s="312" t="n"/>
      <c r="E185" s="312" t="n"/>
      <c r="F185" s="312" t="n"/>
      <c r="G185" s="312" t="n"/>
      <c r="H185" s="312" t="n"/>
      <c r="I185" s="313" t="n"/>
      <c r="J185" s="170" t="inlineStr">
        <is>
          <t>SPCI</t>
        </is>
      </c>
      <c r="K185" s="314" t="n">
        <v>40000000</v>
      </c>
      <c r="L185" s="2" t="n">
        <v>44062</v>
      </c>
      <c r="M185" s="2" t="n"/>
      <c r="N185" s="170" t="n">
        <v>3104680509</v>
      </c>
      <c r="O185" s="172" t="inlineStr">
        <is>
          <t>Juan Pablo Grajales</t>
        </is>
      </c>
      <c r="P185" s="52" t="inlineStr">
        <is>
          <t>juan.grajales@spci.com.co</t>
        </is>
      </c>
    </row>
    <row r="186">
      <c r="B186" s="170" t="n">
        <v>171</v>
      </c>
      <c r="C186" s="199" t="inlineStr">
        <is>
          <t>COTIZACION DE LOS DISEÑOS DE SEGURIDAD HUMANA Y PROTECCIÓN CONTRA  INCENDIOS - EDIFICIO RESIDENCIAL MARIO CARMONA</t>
        </is>
      </c>
      <c r="D186" s="312" t="n"/>
      <c r="E186" s="312" t="n"/>
      <c r="F186" s="312" t="n"/>
      <c r="G186" s="312" t="n"/>
      <c r="H186" s="312" t="n"/>
      <c r="I186" s="313" t="n"/>
      <c r="J186" s="170" t="inlineStr">
        <is>
          <t>CIVILSA</t>
        </is>
      </c>
      <c r="K186" s="314" t="n">
        <v>4140000</v>
      </c>
      <c r="L186" s="2" t="n">
        <v>44067</v>
      </c>
      <c r="M186" s="170" t="n"/>
      <c r="N186" s="170" t="inlineStr">
        <is>
          <t>310 4659572</t>
        </is>
      </c>
      <c r="O186" s="172" t="inlineStr">
        <is>
          <t>Julio Alzate</t>
        </is>
      </c>
      <c r="P186" s="52" t="inlineStr">
        <is>
          <t xml:space="preserve">julialzate@une.net.co </t>
        </is>
      </c>
    </row>
    <row r="187">
      <c r="B187" s="170" t="n">
        <v>172</v>
      </c>
      <c r="C187" s="199" t="inlineStr">
        <is>
          <t>COTIZACION DEL REDISEÑO DE EXTINCIÓN DE INCENDIOS - PLAZA FABRICATO PISOS 2 Y 3</t>
        </is>
      </c>
      <c r="D187" s="312" t="n"/>
      <c r="E187" s="312" t="n"/>
      <c r="F187" s="312" t="n"/>
      <c r="G187" s="312" t="n"/>
      <c r="H187" s="312" t="n"/>
      <c r="I187" s="313" t="n"/>
      <c r="J187" s="170" t="inlineStr">
        <is>
          <t>INTERVÉ</t>
        </is>
      </c>
      <c r="K187" s="314" t="n">
        <v>2660000</v>
      </c>
      <c r="L187" s="2" t="n">
        <v>44067</v>
      </c>
      <c r="M187" s="170" t="n"/>
      <c r="N187" s="170" t="n">
        <v>3103861763</v>
      </c>
      <c r="O187" s="172" t="inlineStr">
        <is>
          <t>Dario Saldarriaga</t>
        </is>
      </c>
      <c r="P187" s="52" t="inlineStr">
        <is>
          <t>dsaldarriaga@interve.co</t>
        </is>
      </c>
    </row>
    <row r="188">
      <c r="B188" s="170" t="n">
        <v>173</v>
      </c>
      <c r="C188" s="199" t="inlineStr">
        <is>
          <t>COTIZACION REVISIÓN Y CONSULTORÍA DEL SISTEMA DE EXTINCIÓN DE INCENDIOS ENTREPINOS</t>
        </is>
      </c>
      <c r="D188" s="312" t="n"/>
      <c r="E188" s="312" t="n"/>
      <c r="F188" s="312" t="n"/>
      <c r="G188" s="312" t="n"/>
      <c r="H188" s="312" t="n"/>
      <c r="I188" s="313" t="n"/>
      <c r="J188" s="170" t="inlineStr">
        <is>
          <t>ENTREPINOS</t>
        </is>
      </c>
      <c r="K188" s="314" t="n">
        <v>1500000</v>
      </c>
      <c r="L188" s="2" t="n">
        <v>44067</v>
      </c>
      <c r="M188" s="170" t="n"/>
      <c r="N188" s="170" t="n">
        <v>3017866422</v>
      </c>
      <c r="O188" s="172" t="inlineStr">
        <is>
          <t>Nubia Entrepinos</t>
        </is>
      </c>
      <c r="P188" s="52" t="inlineStr">
        <is>
          <t>entrepinos.nubia@gmail.com</t>
        </is>
      </c>
    </row>
    <row r="189">
      <c r="B189" s="170" t="n">
        <v>174</v>
      </c>
      <c r="C189" s="199" t="inlineStr">
        <is>
          <t>COTIZACION DE LOS DISEÑOS DE PROTECCIÓN CONTRA INCENDIOS Y SEGURIDAD HUMANA PARA EL PROYECTO TIERRA VERDE LOTE 4 SECURETEC</t>
        </is>
      </c>
      <c r="D189" s="312" t="n"/>
      <c r="E189" s="312" t="n"/>
      <c r="F189" s="312" t="n"/>
      <c r="G189" s="312" t="n"/>
      <c r="H189" s="312" t="n"/>
      <c r="I189" s="313" t="n"/>
      <c r="J189" s="170" t="inlineStr">
        <is>
          <t>SECURETEC</t>
        </is>
      </c>
      <c r="K189" s="314" t="n">
        <v>19900000</v>
      </c>
      <c r="L189" s="2" t="n">
        <v>44069</v>
      </c>
      <c r="M189" s="170" t="n"/>
      <c r="N189" s="170" t="n">
        <v>3206678830</v>
      </c>
      <c r="O189" s="172" t="inlineStr">
        <is>
          <t>Jhonny Castro</t>
        </is>
      </c>
      <c r="P189" s="52" t="inlineStr">
        <is>
          <t>dirproyectos@securetec.com.co</t>
        </is>
      </c>
    </row>
    <row r="190">
      <c r="B190" s="170" t="n">
        <v>175</v>
      </c>
      <c r="C190" s="199" t="inlineStr">
        <is>
          <t>COTIZACION DE LOS DISEÑOS DE SEGURIDAD HUMANA Y PROTECCIÓN CONTRA  INCENDIOS - 4800 M2 CLÍNICA NUESTRA SEÑORA DE LA PAZ</t>
        </is>
      </c>
      <c r="D190" s="312" t="n"/>
      <c r="E190" s="312" t="n"/>
      <c r="F190" s="312" t="n"/>
      <c r="G190" s="312" t="n"/>
      <c r="H190" s="312" t="n"/>
      <c r="I190" s="313" t="n"/>
      <c r="J190" s="170" t="inlineStr">
        <is>
          <t>CONDISEÑO</t>
        </is>
      </c>
      <c r="K190" s="314" t="n">
        <v>13980000</v>
      </c>
      <c r="L190" s="2" t="n">
        <v>44070</v>
      </c>
      <c r="M190" s="170" t="n"/>
      <c r="N190" s="170" t="n">
        <v>3175594091</v>
      </c>
      <c r="O190" s="172" t="inlineStr">
        <is>
          <t>Nakary García Romero</t>
        </is>
      </c>
      <c r="P190" s="52" t="inlineStr">
        <is>
          <t>n.garcia@condiseno.co</t>
        </is>
      </c>
    </row>
    <row r="191">
      <c r="B191" s="170" t="n">
        <v>176</v>
      </c>
      <c r="C191" s="199" t="inlineStr">
        <is>
          <t>COTIZACION DE LOS DISEÑOS DE SEGURIDAD HUMANA Y PROTECCIÓN CONTRA  INCENDIOS - TEATRO CARIBE ITAGUÍ</t>
        </is>
      </c>
      <c r="D191" s="312" t="n"/>
      <c r="E191" s="312" t="n"/>
      <c r="F191" s="312" t="n"/>
      <c r="G191" s="312" t="n"/>
      <c r="H191" s="312" t="n"/>
      <c r="I191" s="313" t="n"/>
      <c r="J191" s="170" t="inlineStr">
        <is>
          <t>SOCOMES</t>
        </is>
      </c>
      <c r="K191" s="314" t="n">
        <v>19870000</v>
      </c>
      <c r="L191" s="2" t="n">
        <v>44070</v>
      </c>
      <c r="M191" s="170" t="n"/>
      <c r="N191" s="170" t="n">
        <v>3137851941</v>
      </c>
      <c r="O191" s="172" t="inlineStr">
        <is>
          <t>David Lopera</t>
        </is>
      </c>
      <c r="P191" s="52" t="inlineStr">
        <is>
          <t>david.lopera@socomes.com</t>
        </is>
      </c>
    </row>
    <row r="192">
      <c r="B192" s="170" t="n">
        <v>177</v>
      </c>
      <c r="C192" s="199" t="inlineStr">
        <is>
          <t>COTIZACION DE LOS DISEÑOS DE SEGURIDAD HUMANA Y PROTECCIÓN CONTRA  INCENDIOS - LOCALES LOTE D RESERVA DEL RETIRO</t>
        </is>
      </c>
      <c r="D192" s="312" t="n"/>
      <c r="E192" s="312" t="n"/>
      <c r="F192" s="312" t="n"/>
      <c r="G192" s="312" t="n"/>
      <c r="H192" s="312" t="n"/>
      <c r="I192" s="313" t="n"/>
      <c r="J192" s="170" t="inlineStr">
        <is>
          <t>SERVICIOS IPM</t>
        </is>
      </c>
      <c r="K192" s="314" t="n">
        <v>4455000</v>
      </c>
      <c r="L192" s="2" t="n">
        <v>44076</v>
      </c>
      <c r="M192" s="2" t="n"/>
      <c r="N192" s="170" t="n">
        <v>3015421412</v>
      </c>
      <c r="O192" s="172" t="inlineStr">
        <is>
          <t>Juan Londoño</t>
        </is>
      </c>
      <c r="P192" s="52" t="inlineStr">
        <is>
          <t>juan.londono@serviciosipm.com</t>
        </is>
      </c>
    </row>
    <row r="193">
      <c r="B193" s="170" t="n">
        <v>178</v>
      </c>
      <c r="C193" s="199" t="inlineStr">
        <is>
          <t>COTIZACION DEL SISTEMA DE EXTINCIÓN DE INCENDIOS PARA EL PARQUE INDUSTRIAL ENTRADA NORTE</t>
        </is>
      </c>
      <c r="D193" s="312" t="n"/>
      <c r="E193" s="312" t="n"/>
      <c r="F193" s="312" t="n"/>
      <c r="G193" s="312" t="n"/>
      <c r="H193" s="312" t="n"/>
      <c r="I193" s="313" t="n"/>
      <c r="J193" s="170" t="inlineStr">
        <is>
          <t>EQUIPOS RAPIDO</t>
        </is>
      </c>
      <c r="K193" s="314" t="n">
        <v>2500000</v>
      </c>
      <c r="L193" s="2" t="n">
        <v>44077</v>
      </c>
      <c r="M193" s="170" t="n"/>
      <c r="N193" s="170" t="n">
        <v>3108227462</v>
      </c>
      <c r="O193" s="172" t="inlineStr">
        <is>
          <t>Alvaro Manosalva</t>
        </is>
      </c>
      <c r="P193" s="52" t="inlineStr">
        <is>
          <t>licitaciones@equiposelrapido.com</t>
        </is>
      </c>
    </row>
    <row r="194">
      <c r="B194" s="170" t="n">
        <v>179</v>
      </c>
      <c r="C194" s="199" t="inlineStr">
        <is>
          <t>COTIZACION DEL DEL MANUAL DE OPERACIONES DE LOS SISTEMAS DE PROTECCIÓN CONTRA INCENDIOS PARA EL PROYECTO FORETI</t>
        </is>
      </c>
      <c r="D194" s="312" t="n"/>
      <c r="E194" s="312" t="n"/>
      <c r="F194" s="312" t="n"/>
      <c r="G194" s="312" t="n"/>
      <c r="H194" s="312" t="n"/>
      <c r="I194" s="313" t="n"/>
      <c r="J194" s="170" t="inlineStr">
        <is>
          <t>CONSTRUGEN</t>
        </is>
      </c>
      <c r="K194" s="314" t="n">
        <v>2000000</v>
      </c>
      <c r="L194" s="2" t="n">
        <v>44077</v>
      </c>
      <c r="M194" s="2" t="inlineStr">
        <is>
          <t>X</t>
        </is>
      </c>
      <c r="N194" s="170" t="n">
        <v>3005421752</v>
      </c>
      <c r="O194" s="172" t="inlineStr">
        <is>
          <t>Gabriel Vélez</t>
        </is>
      </c>
      <c r="P194" s="52" t="inlineStr">
        <is>
          <t xml:space="preserve">gabriel.velez@construgen.com </t>
        </is>
      </c>
    </row>
    <row r="195">
      <c r="B195" s="170" t="n">
        <v>180</v>
      </c>
      <c r="C195" s="199" t="inlineStr">
        <is>
          <t>COTIZACION DE LOS DISEÑOS DE PROTECCIÓN CONTRA  INCENDIOS - PLANTA GLP GUACHUCAL NARIÑO</t>
        </is>
      </c>
      <c r="D195" s="312" t="n"/>
      <c r="E195" s="312" t="n"/>
      <c r="F195" s="312" t="n"/>
      <c r="G195" s="312" t="n"/>
      <c r="H195" s="312" t="n"/>
      <c r="I195" s="313" t="n"/>
      <c r="J195" s="170" t="inlineStr">
        <is>
          <t>INS</t>
        </is>
      </c>
      <c r="K195" s="314" t="n">
        <v>19850000</v>
      </c>
      <c r="L195" s="2" t="n">
        <v>44079</v>
      </c>
      <c r="M195" s="170" t="n"/>
      <c r="N195" s="170" t="n">
        <v>3005692800</v>
      </c>
      <c r="O195" s="172" t="inlineStr">
        <is>
          <t>Juan Diego Lizcano Ortiz</t>
        </is>
      </c>
      <c r="P195" s="52" t="inlineStr">
        <is>
          <t>director.obra@insesp.com</t>
        </is>
      </c>
    </row>
    <row r="196">
      <c r="B196" s="170" t="n">
        <v>181</v>
      </c>
      <c r="C196" s="199" t="inlineStr">
        <is>
          <t>COTIZACION DEL DISEÑO SOPORTES SISMORRESISTENTE 4 VÍAS SECURETEC</t>
        </is>
      </c>
      <c r="D196" s="312" t="n"/>
      <c r="E196" s="312" t="n"/>
      <c r="F196" s="312" t="n"/>
      <c r="G196" s="312" t="n"/>
      <c r="H196" s="312" t="n"/>
      <c r="I196" s="313" t="n"/>
      <c r="J196" s="170" t="inlineStr">
        <is>
          <t>SECURETEC</t>
        </is>
      </c>
      <c r="K196" s="314" t="n">
        <v>890000</v>
      </c>
      <c r="L196" s="2" t="n">
        <v>44081</v>
      </c>
      <c r="M196" s="170" t="n"/>
      <c r="N196" s="170" t="n">
        <v>3206678830</v>
      </c>
      <c r="O196" s="172" t="inlineStr">
        <is>
          <t>Jhonny Castro</t>
        </is>
      </c>
      <c r="P196" s="52" t="inlineStr">
        <is>
          <t>dirproyectos@securetec.com.co</t>
        </is>
      </c>
    </row>
    <row r="197">
      <c r="B197" s="170" t="n">
        <v>182</v>
      </c>
      <c r="C197" s="199" t="inlineStr">
        <is>
          <t>COTIZACION DE LA VALIDACIÓN HIDRÁULICA PARA EL SISTEMA DE BOMBEO - CE LA CLARITA</t>
        </is>
      </c>
      <c r="D197" s="312" t="n"/>
      <c r="E197" s="312" t="n"/>
      <c r="F197" s="312" t="n"/>
      <c r="G197" s="312" t="n"/>
      <c r="H197" s="312" t="n"/>
      <c r="I197" s="313" t="n"/>
      <c r="J197" s="170" t="inlineStr">
        <is>
          <t>SECURETEC</t>
        </is>
      </c>
      <c r="K197" s="314" t="n">
        <v>3950000</v>
      </c>
      <c r="L197" s="2" t="n">
        <v>44081</v>
      </c>
      <c r="M197" s="170" t="n"/>
      <c r="N197" s="170" t="n">
        <v>3206678830</v>
      </c>
      <c r="O197" s="172" t="inlineStr">
        <is>
          <t>Jhonny Castro</t>
        </is>
      </c>
      <c r="P197" s="52" t="inlineStr">
        <is>
          <t>dirproyectos@securetec.com.co</t>
        </is>
      </c>
    </row>
    <row r="198">
      <c r="B198" s="170" t="n">
        <v>183</v>
      </c>
      <c r="C198" s="199" t="inlineStr">
        <is>
          <t>COTIZACION DEL DISEÑO DE DETECCIÓN DE INCENDIOS - SENDERO DEL PARQUE</t>
        </is>
      </c>
      <c r="D198" s="312" t="n"/>
      <c r="E198" s="312" t="n"/>
      <c r="F198" s="312" t="n"/>
      <c r="G198" s="312" t="n"/>
      <c r="H198" s="312" t="n"/>
      <c r="I198" s="313" t="n"/>
      <c r="J198" s="170" t="inlineStr">
        <is>
          <t>SECURETEC</t>
        </is>
      </c>
      <c r="K198" s="314" t="n">
        <v>4390000</v>
      </c>
      <c r="L198" s="2" t="n">
        <v>44081</v>
      </c>
      <c r="M198" s="170" t="n"/>
      <c r="N198" s="170" t="n">
        <v>3206678830</v>
      </c>
      <c r="O198" s="172" t="inlineStr">
        <is>
          <t>Jhonny Castro</t>
        </is>
      </c>
      <c r="P198" s="52" t="inlineStr">
        <is>
          <t>dirproyectos@securetec.com.co</t>
        </is>
      </c>
    </row>
    <row r="199">
      <c r="B199" s="170" t="n">
        <v>184</v>
      </c>
      <c r="C199" s="199" t="inlineStr">
        <is>
          <t>COTIZACION ACOMPAÑAMIENTO REVISIÓN SISTEMAS RCI Y DET PORTANOVA 1</t>
        </is>
      </c>
      <c r="D199" s="312" t="n"/>
      <c r="E199" s="312" t="n"/>
      <c r="F199" s="312" t="n"/>
      <c r="G199" s="312" t="n"/>
      <c r="H199" s="312" t="n"/>
      <c r="I199" s="313" t="n"/>
      <c r="J199" s="170" t="inlineStr">
        <is>
          <t>SECURETEC</t>
        </is>
      </c>
      <c r="K199" s="314" t="n">
        <v>190000</v>
      </c>
      <c r="L199" s="2" t="n">
        <v>44081</v>
      </c>
      <c r="M199" s="170" t="n"/>
      <c r="N199" s="170" t="n">
        <v>3206678830</v>
      </c>
      <c r="O199" s="172" t="inlineStr">
        <is>
          <t>Jhonny Castro</t>
        </is>
      </c>
      <c r="P199" s="52" t="inlineStr">
        <is>
          <t>dirproyectos@securetec.com.co</t>
        </is>
      </c>
    </row>
    <row r="200">
      <c r="B200" s="170" t="n">
        <v>185</v>
      </c>
      <c r="C200" s="199" t="inlineStr">
        <is>
          <t>COTIZACION DEL DISEÑO DE EXTINCIÓN DE INCENDIOS PARA EL PROYECTO FRUTICOL</t>
        </is>
      </c>
      <c r="D200" s="312" t="n"/>
      <c r="E200" s="312" t="n"/>
      <c r="F200" s="312" t="n"/>
      <c r="G200" s="312" t="n"/>
      <c r="H200" s="312" t="n"/>
      <c r="I200" s="313" t="n"/>
      <c r="J200" s="170" t="inlineStr">
        <is>
          <t>SPCI</t>
        </is>
      </c>
      <c r="K200" s="314" t="n">
        <v>8780000</v>
      </c>
      <c r="L200" s="2" t="n">
        <v>44081</v>
      </c>
      <c r="M200" s="170" t="n"/>
      <c r="N200" s="170" t="n">
        <v>3104680509</v>
      </c>
      <c r="O200" s="172" t="inlineStr">
        <is>
          <t>Juan Pablo Grajales</t>
        </is>
      </c>
      <c r="P200" s="52" t="inlineStr">
        <is>
          <t>juan.grajales@spci.com.co</t>
        </is>
      </c>
    </row>
    <row r="201">
      <c r="B201" s="170" t="n">
        <v>186</v>
      </c>
      <c r="C201" s="199" t="inlineStr">
        <is>
          <t>COTIZACIÓN DE LOS DISEÑOS DE SEGURIDAD HUMANA Y PROTECCIÓN CONTRA INCENDIOS - BANCOLOMBIA FLORIDA</t>
        </is>
      </c>
      <c r="D201" s="312" t="n"/>
      <c r="E201" s="312" t="n"/>
      <c r="F201" s="312" t="n"/>
      <c r="G201" s="312" t="n"/>
      <c r="H201" s="312" t="n"/>
      <c r="I201" s="313" t="n"/>
      <c r="J201" s="170" t="inlineStr">
        <is>
          <t>CONDISEÑO</t>
        </is>
      </c>
      <c r="K201" s="314" t="n">
        <v>3000000</v>
      </c>
      <c r="L201" s="2" t="n">
        <v>44083</v>
      </c>
      <c r="M201" s="2" t="inlineStr">
        <is>
          <t>X</t>
        </is>
      </c>
      <c r="N201" s="170" t="n">
        <v>3175594091</v>
      </c>
      <c r="O201" s="172" t="inlineStr">
        <is>
          <t>Nakary García Romero</t>
        </is>
      </c>
      <c r="P201" s="52" t="inlineStr">
        <is>
          <t>n.garcia@condiseno.co</t>
        </is>
      </c>
    </row>
    <row r="202">
      <c r="B202" s="170" t="n">
        <v>187</v>
      </c>
      <c r="C202" s="199" t="inlineStr">
        <is>
          <t>COTIZACION DEL ANÁLISIS DE SEGURIDAD HUMANA - PROYECTO RESIDENCIAL</t>
        </is>
      </c>
      <c r="D202" s="312" t="n"/>
      <c r="E202" s="312" t="n"/>
      <c r="F202" s="312" t="n"/>
      <c r="G202" s="312" t="n"/>
      <c r="H202" s="312" t="n"/>
      <c r="I202" s="313" t="n"/>
      <c r="J202" s="170" t="inlineStr">
        <is>
          <t>ADMIRIS</t>
        </is>
      </c>
      <c r="K202" s="314" t="n">
        <v>2980000</v>
      </c>
      <c r="L202" s="2" t="n">
        <v>44083</v>
      </c>
      <c r="M202" s="170" t="n"/>
      <c r="N202" s="170" t="n">
        <v>3014188503</v>
      </c>
      <c r="O202" s="172" t="inlineStr">
        <is>
          <t>Andrés Velázquez</t>
        </is>
      </c>
      <c r="P202" s="52" t="inlineStr">
        <is>
          <t>avelasquez@admirisltda.com</t>
        </is>
      </c>
    </row>
    <row r="203">
      <c r="B203" s="170" t="n">
        <v>188</v>
      </c>
      <c r="C203" s="199" t="inlineStr">
        <is>
          <t>COTIZACION DE LOS DISEÑOS DE PROTECCIÓN CONTRA INCENDIOS PARA EL PROYECTO BLOQUES 28 Y 29 UDEA</t>
        </is>
      </c>
      <c r="D203" s="312" t="n"/>
      <c r="E203" s="312" t="n"/>
      <c r="F203" s="312" t="n"/>
      <c r="G203" s="312" t="n"/>
      <c r="H203" s="312" t="n"/>
      <c r="I203" s="313" t="n"/>
      <c r="J203" s="170" t="inlineStr">
        <is>
          <t>SERVICIOS IPM</t>
        </is>
      </c>
      <c r="K203" s="314" t="n">
        <v>12750000</v>
      </c>
      <c r="L203" s="2" t="n">
        <v>44084</v>
      </c>
      <c r="M203" s="170" t="n"/>
      <c r="N203" s="170" t="n">
        <v>3015421412</v>
      </c>
      <c r="O203" s="176" t="inlineStr">
        <is>
          <t>Juan Santiago Londoño Quiceno</t>
        </is>
      </c>
      <c r="P203" s="52" t="inlineStr">
        <is>
          <t>juan.londono@serviciosipm.com</t>
        </is>
      </c>
    </row>
    <row r="204">
      <c r="B204" s="170" t="n">
        <v>189</v>
      </c>
      <c r="C204" s="199" t="inlineStr">
        <is>
          <t>COTIZACION DE LOS DISEÑOS DE SEGURIDAD HUMANA Y PROTECCIÓN CONTRA  INCENDIOS - PROYECTO COPACABANA</t>
        </is>
      </c>
      <c r="D204" s="312" t="n"/>
      <c r="E204" s="312" t="n"/>
      <c r="F204" s="312" t="n"/>
      <c r="G204" s="312" t="n"/>
      <c r="H204" s="312" t="n"/>
      <c r="I204" s="313" t="n"/>
      <c r="J204" s="170" t="inlineStr">
        <is>
          <t>INGENIERÍA Y VIVIENDA</t>
        </is>
      </c>
      <c r="K204" s="314" t="n">
        <v>19550000</v>
      </c>
      <c r="L204" s="2" t="n">
        <v>44084</v>
      </c>
      <c r="M204" s="170" t="n"/>
      <c r="N204" s="170" t="n">
        <v>3124592</v>
      </c>
      <c r="O204" s="172" t="inlineStr">
        <is>
          <t>Susana Gómez Arcila</t>
        </is>
      </c>
      <c r="P204" s="52" t="inlineStr">
        <is>
          <t>susanagomez@ingenieriayvivienda.com</t>
        </is>
      </c>
    </row>
    <row r="205">
      <c r="B205" s="170" t="n">
        <v>190</v>
      </c>
      <c r="C205" s="199" t="inlineStr">
        <is>
          <t>COTIZACION DE LOS DISEÑOS DE PROTECCIÓN CONTRA INCENDIOS Y SEGURIDAD HUMANA PARA EL PROYECTO ARDISA</t>
        </is>
      </c>
      <c r="D205" s="312" t="n"/>
      <c r="E205" s="312" t="n"/>
      <c r="F205" s="312" t="n"/>
      <c r="G205" s="312" t="n"/>
      <c r="H205" s="312" t="n"/>
      <c r="I205" s="313" t="n"/>
      <c r="J205" s="170" t="inlineStr">
        <is>
          <t>A3 CONSULTING</t>
        </is>
      </c>
      <c r="K205" s="314" t="n">
        <v>21950000</v>
      </c>
      <c r="L205" s="2" t="n">
        <v>44085</v>
      </c>
      <c r="M205" s="170" t="n"/>
      <c r="N205" s="170" t="n">
        <v>3002568154</v>
      </c>
      <c r="O205" s="172" t="inlineStr">
        <is>
          <t>Adriana Gaitán</t>
        </is>
      </c>
      <c r="P205" s="52" t="inlineStr">
        <is>
          <t>adriana@a3consulting.com.co</t>
        </is>
      </c>
    </row>
    <row r="206">
      <c r="B206" s="170" t="n">
        <v>191</v>
      </c>
      <c r="C206" s="199" t="inlineStr">
        <is>
          <t>COTIZACION DE LOS DISEÑOS DE SEGURIDAD HUMANA Y PROTECCIÓN CONTRA  INCENDIOS - CLINICA LA CEJA</t>
        </is>
      </c>
      <c r="D206" s="312" t="n"/>
      <c r="E206" s="312" t="n"/>
      <c r="F206" s="312" t="n"/>
      <c r="G206" s="312" t="n"/>
      <c r="H206" s="312" t="n"/>
      <c r="I206" s="313" t="n"/>
      <c r="J206" s="170" t="inlineStr">
        <is>
          <t>HyM</t>
        </is>
      </c>
      <c r="K206" s="314" t="n">
        <v>14170000</v>
      </c>
      <c r="L206" s="2" t="n">
        <v>44085</v>
      </c>
      <c r="M206" s="170" t="n"/>
      <c r="N206" s="170" t="n">
        <v>3014487912</v>
      </c>
      <c r="O206" s="172" t="inlineStr">
        <is>
          <t>Evelin Rojas</t>
        </is>
      </c>
      <c r="P206" s="52" t="inlineStr">
        <is>
          <t>hidraulicaymontajes@gmail.com</t>
        </is>
      </c>
    </row>
    <row r="207">
      <c r="B207" s="170" t="n">
        <v>192</v>
      </c>
      <c r="C207" s="199" t="inlineStr">
        <is>
          <t>COTIZACION DE LOS DISEÑOS DE SEGURIDAD HUMANA Y PROTECCIÓN CONTRA  INCENDIOS - CLÍNICA LLANOGRANDE</t>
        </is>
      </c>
      <c r="D207" s="312" t="n"/>
      <c r="E207" s="312" t="n"/>
      <c r="F207" s="312" t="n"/>
      <c r="G207" s="312" t="n"/>
      <c r="H207" s="312" t="n"/>
      <c r="I207" s="313" t="n"/>
      <c r="J207" s="170" t="inlineStr">
        <is>
          <t>HIDRO F SALILNAS</t>
        </is>
      </c>
      <c r="K207" s="314" t="n">
        <v>13550000</v>
      </c>
      <c r="L207" s="2" t="n">
        <v>44085</v>
      </c>
      <c r="M207" s="170" t="n"/>
      <c r="N207" s="170" t="n">
        <v>3104139821</v>
      </c>
      <c r="O207" s="172" t="inlineStr">
        <is>
          <t>Carolina Volkmar</t>
        </is>
      </c>
      <c r="P207" s="52" t="inlineStr">
        <is>
          <t>carolina@hidrofsalinas.com</t>
        </is>
      </c>
    </row>
    <row r="208">
      <c r="B208" s="170" t="n">
        <v>193</v>
      </c>
      <c r="C208" s="199" t="inlineStr">
        <is>
          <t>COTIZACION DE LOS DISEÑOS DE PROTECCIÓN CONTRA INCENDIOS Y SEGURIDAD HUMANA PARA EL PROYECTO BRIZZA</t>
        </is>
      </c>
      <c r="D208" s="312" t="n"/>
      <c r="E208" s="312" t="n"/>
      <c r="F208" s="312" t="n"/>
      <c r="G208" s="312" t="n"/>
      <c r="H208" s="312" t="n"/>
      <c r="I208" s="313" t="n"/>
      <c r="J208" s="170" t="inlineStr">
        <is>
          <t>A3 CONSULTING</t>
        </is>
      </c>
      <c r="K208" s="314" t="n">
        <v>12295000</v>
      </c>
      <c r="L208" s="2" t="n">
        <v>44085</v>
      </c>
      <c r="M208" s="170" t="n"/>
      <c r="N208" s="170" t="n">
        <v>3002568154</v>
      </c>
      <c r="O208" s="172" t="inlineStr">
        <is>
          <t>Adriana Gaitán</t>
        </is>
      </c>
      <c r="P208" s="52" t="inlineStr">
        <is>
          <t>adriana@a3consulting.com.co</t>
        </is>
      </c>
    </row>
    <row r="209">
      <c r="B209" s="170" t="n">
        <v>194</v>
      </c>
      <c r="C209" s="199" t="inlineStr">
        <is>
          <t>COTIZACION DE LOS DISEÑOS DE SEGURIDAD HUMANA Y PROTECCIÓN CONTRA  INCENDIOS - PLAZA DE ENVIGADO</t>
        </is>
      </c>
      <c r="D209" s="312" t="n"/>
      <c r="E209" s="312" t="n"/>
      <c r="F209" s="312" t="n"/>
      <c r="G209" s="312" t="n"/>
      <c r="H209" s="312" t="n"/>
      <c r="I209" s="313" t="n"/>
      <c r="J209" s="170" t="inlineStr">
        <is>
          <t>DE SUR</t>
        </is>
      </c>
      <c r="K209" s="314" t="n">
        <v>9970000</v>
      </c>
      <c r="L209" s="2" t="n">
        <v>44086</v>
      </c>
      <c r="M209" s="170" t="n"/>
      <c r="N209" s="170" t="n">
        <v>3127953566</v>
      </c>
      <c r="O209" s="172" t="inlineStr">
        <is>
          <t>Natalia Mejía</t>
        </is>
      </c>
      <c r="P209" s="52" t="inlineStr">
        <is>
          <t>nataliamejia.desur@gmail.com</t>
        </is>
      </c>
    </row>
    <row r="210">
      <c r="B210" s="170" t="n">
        <v>195</v>
      </c>
      <c r="C210" s="199" t="inlineStr">
        <is>
          <t>COTIZACION DE LOS DISEÑOS DE SEGURIDAD HUMANA Y PROTECCIÓN CONTRA  INCENDIOS - CANCHAS EN ALTURA</t>
        </is>
      </c>
      <c r="D210" s="312" t="n"/>
      <c r="E210" s="312" t="n"/>
      <c r="F210" s="312" t="n"/>
      <c r="G210" s="312" t="n"/>
      <c r="H210" s="312" t="n"/>
      <c r="I210" s="313" t="n"/>
      <c r="J210" s="170" t="inlineStr">
        <is>
          <t>DE SUR</t>
        </is>
      </c>
      <c r="K210" s="314" t="n">
        <v>11920000</v>
      </c>
      <c r="L210" s="2" t="n">
        <v>44086</v>
      </c>
      <c r="M210" s="170" t="n"/>
      <c r="N210" s="170" t="n">
        <v>3127953566</v>
      </c>
      <c r="O210" s="172" t="inlineStr">
        <is>
          <t>Natalia Mejía</t>
        </is>
      </c>
      <c r="P210" s="52" t="inlineStr">
        <is>
          <t>nataliamejia.desur@gmail.com</t>
        </is>
      </c>
    </row>
    <row r="211">
      <c r="B211" s="170" t="n">
        <v>196</v>
      </c>
      <c r="C211" s="199" t="inlineStr">
        <is>
          <t>COTIZACION DEL ANÁLISIS DE SEGURIDAD HUMANA PARA EL PROYECTO CANCHA SINTÉTICA ENVIGADO</t>
        </is>
      </c>
      <c r="D211" s="312" t="n"/>
      <c r="E211" s="312" t="n"/>
      <c r="F211" s="312" t="n"/>
      <c r="G211" s="312" t="n"/>
      <c r="H211" s="312" t="n"/>
      <c r="I211" s="313" t="n"/>
      <c r="J211" s="170" t="inlineStr">
        <is>
          <t>DE SUR</t>
        </is>
      </c>
      <c r="K211" s="314" t="n">
        <v>2710000</v>
      </c>
      <c r="L211" s="2" t="n">
        <v>44086</v>
      </c>
      <c r="M211" s="170" t="n"/>
      <c r="N211" s="170" t="n">
        <v>3127953566</v>
      </c>
      <c r="O211" s="172" t="inlineStr">
        <is>
          <t>Natalia Mejía</t>
        </is>
      </c>
      <c r="P211" s="52" t="inlineStr">
        <is>
          <t>nataliamejia.desur@gmail.com</t>
        </is>
      </c>
    </row>
    <row r="212">
      <c r="B212" s="170" t="n">
        <v>197</v>
      </c>
      <c r="C212" s="199" t="inlineStr">
        <is>
          <t>COTIZACION DE LOS DISEÑOS DE SEGURIDAD HUMANA Y PROTECCIÓN CONTRA  INCENDIOS - ACUARELA DEL RIO</t>
        </is>
      </c>
      <c r="D212" s="312" t="n"/>
      <c r="E212" s="312" t="n"/>
      <c r="F212" s="312" t="n"/>
      <c r="G212" s="312" t="n"/>
      <c r="H212" s="312" t="n"/>
      <c r="I212" s="313" t="n"/>
      <c r="J212" s="170" t="inlineStr">
        <is>
          <t>SPCI</t>
        </is>
      </c>
      <c r="K212" s="314" t="n">
        <v>17940000</v>
      </c>
      <c r="L212" s="2" t="n">
        <v>44090</v>
      </c>
      <c r="M212" s="170" t="inlineStr">
        <is>
          <t>X</t>
        </is>
      </c>
      <c r="N212" s="170" t="n">
        <v>3104680509</v>
      </c>
      <c r="O212" s="172" t="inlineStr">
        <is>
          <t>Juan Pablo Grajales</t>
        </is>
      </c>
      <c r="P212" s="52" t="inlineStr">
        <is>
          <t>juan.grajales@spci.com.co</t>
        </is>
      </c>
    </row>
    <row r="213">
      <c r="B213" s="170" t="n">
        <v>198</v>
      </c>
      <c r="C213" s="199" t="inlineStr">
        <is>
          <t>COTIZACION DE LOS DISEÑOS DE SEGURIDAD HUMANA Y PROTECCIÓN CONTRA  INCENDIOS - EDIFICIO M45</t>
        </is>
      </c>
      <c r="D213" s="312" t="n"/>
      <c r="E213" s="312" t="n"/>
      <c r="F213" s="312" t="n"/>
      <c r="G213" s="312" t="n"/>
      <c r="H213" s="312" t="n"/>
      <c r="I213" s="313" t="n"/>
      <c r="J213" s="170" t="inlineStr">
        <is>
          <t>SOCOMES</t>
        </is>
      </c>
      <c r="K213" s="314" t="n">
        <v>11915000</v>
      </c>
      <c r="L213" s="2" t="n">
        <v>44091</v>
      </c>
      <c r="M213" s="170" t="n"/>
      <c r="N213" s="170" t="n">
        <v>3137851941</v>
      </c>
      <c r="O213" s="172" t="inlineStr">
        <is>
          <t>David Lopera</t>
        </is>
      </c>
      <c r="P213" s="52" t="inlineStr">
        <is>
          <t>david.lopera@socomes.com</t>
        </is>
      </c>
    </row>
    <row r="214">
      <c r="B214" s="170" t="n">
        <v>199</v>
      </c>
      <c r="C214" s="199" t="inlineStr">
        <is>
          <t>COTIZACION DE LA ACTUALIZACIÓN DE LOS PLANOS - PROYECTO FORETTI</t>
        </is>
      </c>
      <c r="D214" s="312" t="n"/>
      <c r="E214" s="312" t="n"/>
      <c r="F214" s="312" t="n"/>
      <c r="G214" s="312" t="n"/>
      <c r="H214" s="312" t="n"/>
      <c r="I214" s="313" t="n"/>
      <c r="J214" s="170" t="inlineStr">
        <is>
          <t>ESTRUCTURAR</t>
        </is>
      </c>
      <c r="K214" s="314" t="n">
        <v>1250000</v>
      </c>
      <c r="L214" s="2" t="n">
        <v>44091</v>
      </c>
      <c r="M214" s="2" t="inlineStr">
        <is>
          <t>X</t>
        </is>
      </c>
      <c r="N214" s="170" t="n">
        <v>3232937740</v>
      </c>
      <c r="O214" s="172" t="inlineStr">
        <is>
          <t>Jorge Gaitán</t>
        </is>
      </c>
      <c r="P214" s="52" t="inlineStr">
        <is>
          <t>jorgegaitan@estructurar.co</t>
        </is>
      </c>
    </row>
    <row r="215">
      <c r="B215" s="170" t="n">
        <v>200</v>
      </c>
      <c r="C215" s="199" t="inlineStr">
        <is>
          <t>COTIZACION DEL DISEÑO DE EXTINCIÓN DE INCENDIOS PARA EL PROYECTO LOCAL POLO VIVA ENVIGADO</t>
        </is>
      </c>
      <c r="D215" s="312" t="n"/>
      <c r="E215" s="312" t="n"/>
      <c r="F215" s="312" t="n"/>
      <c r="G215" s="312" t="n"/>
      <c r="H215" s="312" t="n"/>
      <c r="I215" s="313" t="n"/>
      <c r="J215" s="170" t="inlineStr">
        <is>
          <t>PROSOMA</t>
        </is>
      </c>
      <c r="K215" s="314" t="n">
        <v>1000000</v>
      </c>
      <c r="L215" s="2" t="n">
        <v>44092</v>
      </c>
      <c r="M215" s="170" t="n"/>
      <c r="N215" s="170" t="n">
        <v>3147537411</v>
      </c>
      <c r="O215" s="172" t="inlineStr">
        <is>
          <t>Adolfo Flórez</t>
        </is>
      </c>
      <c r="P215" s="52" t="inlineStr">
        <is>
          <t>proyectos@prosoma.com.co</t>
        </is>
      </c>
    </row>
    <row r="216">
      <c r="B216" s="170" t="n">
        <v>201</v>
      </c>
      <c r="C216" s="199" t="inlineStr">
        <is>
          <t>COTIZACION DE LOS DISEÑOS DE SEGURIDAD HUMANA Y PROTECCIÓN CONTRA  INCENDIOS - EDIFICIO M45</t>
        </is>
      </c>
      <c r="D216" s="312" t="n"/>
      <c r="E216" s="312" t="n"/>
      <c r="F216" s="312" t="n"/>
      <c r="G216" s="312" t="n"/>
      <c r="H216" s="312" t="n"/>
      <c r="I216" s="313" t="n"/>
      <c r="J216" s="170" t="inlineStr">
        <is>
          <t>E&amp;D</t>
        </is>
      </c>
      <c r="K216" s="314" t="n">
        <v>12915000</v>
      </c>
      <c r="L216" s="2" t="n">
        <v>44096</v>
      </c>
      <c r="M216" s="170" t="n"/>
      <c r="N216" s="170" t="inlineStr">
        <is>
          <t xml:space="preserve">3127216 Ext.113 </t>
        </is>
      </c>
      <c r="O216" s="172" t="inlineStr">
        <is>
          <t>Hugo Vades Hernandez</t>
        </is>
      </c>
      <c r="P216" s="52" t="inlineStr">
        <is>
          <t>hugo.valdes@eyd.com.co</t>
        </is>
      </c>
    </row>
    <row r="217">
      <c r="B217" s="170" t="n">
        <v>202</v>
      </c>
      <c r="C217" s="199" t="inlineStr">
        <is>
          <t>COTIZACION DE LOS DISEÑOS DE SEGURIDAD HUMANA Y PROTECCIÓN CONTRA  INCENDIOS - IPS SANITY CALLE 80</t>
        </is>
      </c>
      <c r="D217" s="312" t="n"/>
      <c r="E217" s="312" t="n"/>
      <c r="F217" s="312" t="n"/>
      <c r="G217" s="312" t="n"/>
      <c r="H217" s="312" t="n"/>
      <c r="I217" s="313" t="n"/>
      <c r="J217" s="170" t="inlineStr">
        <is>
          <t>CONDISEÑO</t>
        </is>
      </c>
      <c r="K217" s="314" t="n"/>
      <c r="L217" s="2" t="n">
        <v>44097</v>
      </c>
      <c r="M217" s="170" t="n"/>
      <c r="N217" s="170" t="n">
        <v>3175594091</v>
      </c>
      <c r="O217" s="172" t="inlineStr">
        <is>
          <t>Nakary García Romero</t>
        </is>
      </c>
      <c r="P217" s="52" t="inlineStr">
        <is>
          <t>n.garcia@condiseno.co</t>
        </is>
      </c>
    </row>
    <row r="218">
      <c r="B218" s="170" t="n">
        <v>203</v>
      </c>
      <c r="C218" s="199" t="inlineStr">
        <is>
          <t>COTIZACION DE LOS DISEÑOS DE SEGURIDAD HUMANA Y PROTECCIÓN CONTRA  INCENDIOS - IPS SANITY CALLE 93</t>
        </is>
      </c>
      <c r="D218" s="312" t="n"/>
      <c r="E218" s="312" t="n"/>
      <c r="F218" s="312" t="n"/>
      <c r="G218" s="312" t="n"/>
      <c r="H218" s="312" t="n"/>
      <c r="I218" s="313" t="n"/>
      <c r="J218" s="170" t="inlineStr">
        <is>
          <t>CONDISEÑO</t>
        </is>
      </c>
      <c r="K218" s="314" t="n"/>
      <c r="L218" s="2" t="n">
        <v>44097</v>
      </c>
      <c r="M218" s="170" t="n"/>
      <c r="N218" s="170" t="n">
        <v>3175594091</v>
      </c>
      <c r="O218" s="172" t="inlineStr">
        <is>
          <t>Nakary García Romero</t>
        </is>
      </c>
      <c r="P218" s="52" t="inlineStr">
        <is>
          <t>n.garcia@condiseno.co</t>
        </is>
      </c>
    </row>
    <row r="219">
      <c r="B219" s="170" t="n">
        <v>204</v>
      </c>
      <c r="C219" s="199" t="inlineStr">
        <is>
          <t>COTIZACION DEL ANÁLISIS DE SEGURIDAD HUMANA - EDIFICIO SERVICIOS FAMILIA RIONEGRO</t>
        </is>
      </c>
      <c r="D219" s="312" t="n"/>
      <c r="E219" s="312" t="n"/>
      <c r="F219" s="312" t="n"/>
      <c r="G219" s="312" t="n"/>
      <c r="H219" s="312" t="n"/>
      <c r="I219" s="313" t="n"/>
      <c r="J219" s="170" t="inlineStr">
        <is>
          <t>CONCONCRETO</t>
        </is>
      </c>
      <c r="K219" s="314" t="n">
        <v>2655000</v>
      </c>
      <c r="L219" s="2" t="n">
        <v>44097</v>
      </c>
      <c r="M219" s="170" t="n"/>
      <c r="N219" s="170" t="n">
        <v>3054681214</v>
      </c>
      <c r="O219" s="172" t="inlineStr">
        <is>
          <t>Juan David Triana</t>
        </is>
      </c>
      <c r="P219" s="52" t="inlineStr">
        <is>
          <t>jtriana@conconcreto.com</t>
        </is>
      </c>
    </row>
    <row r="220">
      <c r="B220" s="170" t="n">
        <v>205</v>
      </c>
      <c r="C220" s="199" t="inlineStr">
        <is>
          <t>COTIZACION DEL DISEÑO DE DETECCIÓN DE INCENDIOS - TORRE 4 VILLAS DEL BOSQUE</t>
        </is>
      </c>
      <c r="D220" s="312" t="n"/>
      <c r="E220" s="312" t="n"/>
      <c r="F220" s="312" t="n"/>
      <c r="G220" s="312" t="n"/>
      <c r="H220" s="312" t="n"/>
      <c r="I220" s="313" t="n"/>
      <c r="J220" s="170" t="inlineStr">
        <is>
          <t>CASA SANA</t>
        </is>
      </c>
      <c r="K220" s="314" t="n">
        <v>2500000</v>
      </c>
      <c r="L220" s="2" t="n">
        <v>44097</v>
      </c>
      <c r="M220" s="2" t="inlineStr">
        <is>
          <t>X</t>
        </is>
      </c>
      <c r="N220" s="170" t="n">
        <v>3108945703</v>
      </c>
      <c r="O220" s="172" t="inlineStr">
        <is>
          <t>Jose Estrada</t>
        </is>
      </c>
      <c r="P220" s="52" t="inlineStr">
        <is>
          <t>joseestrada@casasana.com.co</t>
        </is>
      </c>
    </row>
    <row r="221">
      <c r="B221" s="170" t="n">
        <v>206</v>
      </c>
      <c r="C221" s="199" t="inlineStr">
        <is>
          <t>COTIZACION DE LOS DISEÑOS DE PROTECCIÓN CONTRA INCENDIOS Y SEGURIDAD HUMANA PARA EL PROYECTO PODIUM</t>
        </is>
      </c>
      <c r="D221" s="312" t="n"/>
      <c r="E221" s="312" t="n"/>
      <c r="F221" s="312" t="n"/>
      <c r="G221" s="312" t="n"/>
      <c r="H221" s="312" t="n"/>
      <c r="I221" s="313" t="n"/>
      <c r="J221" s="170" t="inlineStr">
        <is>
          <t>SPCI</t>
        </is>
      </c>
      <c r="K221" s="314" t="n">
        <v>15680000</v>
      </c>
      <c r="L221" s="2" t="n">
        <v>44097</v>
      </c>
      <c r="M221" s="170" t="n"/>
      <c r="N221" s="170" t="n">
        <v>3104680509</v>
      </c>
      <c r="O221" s="172" t="inlineStr">
        <is>
          <t>Juan Pablo Grajales</t>
        </is>
      </c>
      <c r="P221" s="52" t="inlineStr">
        <is>
          <t>juan.grajales@spci.com.co</t>
        </is>
      </c>
    </row>
    <row r="222">
      <c r="B222" s="170" t="n">
        <v>207</v>
      </c>
      <c r="C222" s="199" t="inlineStr">
        <is>
          <t>COTIZACION DE LA ACTUALIZACIÓN DE LOS DISEÑOS DE EXTINCIÓN DE INCENDIOS PARA EL PROYECTO I.E. ALEJANDRO VÉLEZ</t>
        </is>
      </c>
      <c r="D222" s="312" t="n"/>
      <c r="E222" s="312" t="n"/>
      <c r="F222" s="312" t="n"/>
      <c r="G222" s="312" t="n"/>
      <c r="H222" s="312" t="n"/>
      <c r="I222" s="313" t="n"/>
      <c r="J222" s="170" t="inlineStr">
        <is>
          <t>MDC</t>
        </is>
      </c>
      <c r="K222" s="314" t="n">
        <v>1630000</v>
      </c>
      <c r="L222" s="2" t="n">
        <v>44098</v>
      </c>
      <c r="M222" s="170" t="inlineStr">
        <is>
          <t>X</t>
        </is>
      </c>
      <c r="N222" s="170" t="n">
        <v>3108941710</v>
      </c>
      <c r="O222" s="172" t="inlineStr">
        <is>
          <t>Francisco Javier Lengua</t>
        </is>
      </c>
      <c r="P222" s="52" t="inlineStr">
        <is>
          <t>gerencia@mdcingenieros.com</t>
        </is>
      </c>
    </row>
    <row r="223">
      <c r="B223" s="170" t="n">
        <v>208</v>
      </c>
      <c r="C223" s="199" t="inlineStr">
        <is>
          <t>COTIZACION DEL CONCEPTO TÉCNICO DE LA PROTECCIÓN DE TANQUES DE ACPM CON SISTEMA ACTUAL DE EMP – EDIFICIO INTELIGENTE</t>
        </is>
      </c>
      <c r="D223" s="312" t="n"/>
      <c r="E223" s="312" t="n"/>
      <c r="F223" s="312" t="n"/>
      <c r="G223" s="312" t="n"/>
      <c r="H223" s="312" t="n"/>
      <c r="I223" s="313" t="n"/>
      <c r="J223" s="170" t="inlineStr">
        <is>
          <t>TIGO-UNE</t>
        </is>
      </c>
      <c r="K223" s="314" t="n">
        <v>2510000</v>
      </c>
      <c r="L223" s="2" t="n">
        <v>44099</v>
      </c>
      <c r="M223" s="170" t="inlineStr">
        <is>
          <t>X</t>
        </is>
      </c>
      <c r="N223" s="170" t="n">
        <v>3012098026</v>
      </c>
      <c r="O223" s="172" t="inlineStr">
        <is>
          <t>Sergio Andrés López Rios</t>
        </is>
      </c>
      <c r="P223" s="52" t="inlineStr">
        <is>
          <t>Sergio.A.Lopez@tigo.com.co</t>
        </is>
      </c>
    </row>
    <row r="224">
      <c r="B224" s="170" t="n">
        <v>209</v>
      </c>
      <c r="C224" s="199" t="inlineStr">
        <is>
          <t>COTIZACION DEL DISEÑO DE EXTINCIÓN DE INCENDIOS - TANQUE DE ALCOHOL Y BODEGA DE ALMACENAMIENTO NEROLI SAS</t>
        </is>
      </c>
      <c r="D224" s="312" t="n"/>
      <c r="E224" s="312" t="n"/>
      <c r="F224" s="312" t="n"/>
      <c r="G224" s="312" t="n"/>
      <c r="H224" s="312" t="n"/>
      <c r="I224" s="313" t="n"/>
      <c r="J224" s="170" t="inlineStr">
        <is>
          <t>NEROLI</t>
        </is>
      </c>
      <c r="K224" s="314" t="n">
        <v>8780000</v>
      </c>
      <c r="L224" s="2" t="n">
        <v>44099</v>
      </c>
      <c r="M224" s="170" t="n"/>
      <c r="N224" s="170" t="n">
        <v>3174507524</v>
      </c>
      <c r="O224" s="172" t="inlineStr">
        <is>
          <t>Mónica Berrio Arboleda</t>
        </is>
      </c>
      <c r="P224" s="172" t="n"/>
    </row>
    <row r="225">
      <c r="B225" s="170" t="n">
        <v>210</v>
      </c>
      <c r="C225" s="199" t="inlineStr">
        <is>
          <t>COTIZACION DE LOS DISEÑOS DE PROTECCIÓN CONTRA INCENDIOS PARA EL PROYECTO CALL CENTER MONTERÍA</t>
        </is>
      </c>
      <c r="D225" s="312" t="n"/>
      <c r="E225" s="312" t="n"/>
      <c r="F225" s="312" t="n"/>
      <c r="G225" s="312" t="n"/>
      <c r="H225" s="312" t="n"/>
      <c r="I225" s="313" t="n"/>
      <c r="J225" s="170" t="inlineStr">
        <is>
          <t>MDC</t>
        </is>
      </c>
      <c r="K225" s="314" t="n">
        <v>9480000</v>
      </c>
      <c r="L225" s="2" t="n">
        <v>44102</v>
      </c>
      <c r="M225" s="170" t="n"/>
      <c r="N225" s="170" t="n">
        <v>3108941710</v>
      </c>
      <c r="O225" s="172" t="inlineStr">
        <is>
          <t>Francisco Javier Lengua</t>
        </is>
      </c>
      <c r="P225" s="52" t="inlineStr">
        <is>
          <t>gerencia@mdcingenieros.com</t>
        </is>
      </c>
    </row>
    <row r="226">
      <c r="B226" s="170" t="n">
        <v>211</v>
      </c>
      <c r="C226" s="199" t="inlineStr">
        <is>
          <t>COTIZACION DE LOS DISEÑOS DE SEGURIDAD HUMANA Y PROTECCIÓN CONTRA  INCENDIOS - BEMINIMAL</t>
        </is>
      </c>
      <c r="D226" s="312" t="n"/>
      <c r="E226" s="312" t="n"/>
      <c r="F226" s="312" t="n"/>
      <c r="G226" s="312" t="n"/>
      <c r="H226" s="312" t="n"/>
      <c r="I226" s="313" t="n"/>
      <c r="J226" s="170" t="inlineStr">
        <is>
          <t>BEMINIMAL</t>
        </is>
      </c>
      <c r="K226" s="314" t="n">
        <v>8475000</v>
      </c>
      <c r="L226" s="2" t="n">
        <v>44105</v>
      </c>
      <c r="M226" s="170" t="n"/>
      <c r="N226" s="170" t="n">
        <v>3104363438</v>
      </c>
      <c r="O226" s="172" t="inlineStr">
        <is>
          <t>Sebastián Giraldo Hoyos</t>
        </is>
      </c>
      <c r="P226" s="52" t="inlineStr">
        <is>
          <t>sebastian.giraldo@beminimal.co</t>
        </is>
      </c>
    </row>
    <row r="227">
      <c r="B227" s="170" t="n">
        <v>212</v>
      </c>
      <c r="C227" s="199" t="inlineStr">
        <is>
          <t>COTIZACION DE LOS DISEÑOS DE PROTECCIÓN CONTRA  INCENDIOS - OFICINA 427 PUERTO SECO</t>
        </is>
      </c>
      <c r="D227" s="312" t="n"/>
      <c r="E227" s="312" t="n"/>
      <c r="F227" s="312" t="n"/>
      <c r="G227" s="312" t="n"/>
      <c r="H227" s="312" t="n"/>
      <c r="I227" s="313" t="n"/>
      <c r="J227" s="170" t="inlineStr">
        <is>
          <t>SECURETEC</t>
        </is>
      </c>
      <c r="K227" s="314" t="n">
        <v>1885000</v>
      </c>
      <c r="L227" s="2" t="n">
        <v>44105</v>
      </c>
      <c r="M227" s="170" t="n"/>
      <c r="N227" s="170" t="n">
        <v>3206678830</v>
      </c>
      <c r="O227" s="172" t="inlineStr">
        <is>
          <t>Jhonny Castro</t>
        </is>
      </c>
      <c r="P227" s="52" t="inlineStr">
        <is>
          <t>dirproyectos@securetec.com.co</t>
        </is>
      </c>
    </row>
    <row r="228">
      <c r="B228" s="170" t="n">
        <v>213</v>
      </c>
      <c r="C228" s="199" t="inlineStr">
        <is>
          <t>COTIZACION DEL ANÁLISIS DE SEGURIDAD HUMANA PARA EL PROYECTO DEL EDIFICIO CLAUSTRO UNIVERSIDAD CES</t>
        </is>
      </c>
      <c r="D228" s="312" t="n"/>
      <c r="E228" s="312" t="n"/>
      <c r="F228" s="312" t="n"/>
      <c r="G228" s="312" t="n"/>
      <c r="H228" s="312" t="n"/>
      <c r="I228" s="313" t="n"/>
      <c r="J228" s="170" t="inlineStr">
        <is>
          <t>CES</t>
        </is>
      </c>
      <c r="K228" s="314" t="n">
        <v>3990000</v>
      </c>
      <c r="L228" s="2" t="n">
        <v>44107</v>
      </c>
      <c r="M228" s="170" t="n"/>
      <c r="N228" s="170" t="inlineStr">
        <is>
          <t>312 2411480</t>
        </is>
      </c>
      <c r="O228" s="172" t="inlineStr">
        <is>
          <t>Jhoam Giraldo</t>
        </is>
      </c>
      <c r="P228" s="52" t="inlineStr">
        <is>
          <t>obras@ces.edu.co</t>
        </is>
      </c>
    </row>
    <row r="229">
      <c r="B229" s="170" t="n">
        <v>214</v>
      </c>
      <c r="C229" s="199" t="inlineStr">
        <is>
          <t>COTIZACION DEL REDISEÑO DE EXTINCIÓN DE INCENDIOS - OFICINAS PISO 2 AL 9 PROYECTO UNIVERSA</t>
        </is>
      </c>
      <c r="D229" s="312" t="n"/>
      <c r="E229" s="312" t="n"/>
      <c r="F229" s="312" t="n"/>
      <c r="G229" s="312" t="n"/>
      <c r="H229" s="312" t="n"/>
      <c r="I229" s="313" t="n"/>
      <c r="J229" s="170" t="inlineStr">
        <is>
          <t>SPCI</t>
        </is>
      </c>
      <c r="K229" s="314" t="n">
        <v>1880000</v>
      </c>
      <c r="L229" s="2" t="n">
        <v>44107</v>
      </c>
      <c r="M229" s="170" t="n"/>
      <c r="N229" s="170" t="n">
        <v>3104165783</v>
      </c>
      <c r="O229" s="172" t="inlineStr">
        <is>
          <t>Cristiam Mondragón</t>
        </is>
      </c>
      <c r="P229" s="52" t="inlineStr">
        <is>
          <t>cristiamondragon.spci@gmail.com</t>
        </is>
      </c>
    </row>
    <row r="230">
      <c r="B230" s="170" t="n">
        <v>215</v>
      </c>
      <c r="C230" s="199" t="inlineStr">
        <is>
          <t>COTIZACION DEL DISEÑO DE EXTINCIÓN DE INCENDIOS - LOCAL BOGOTÁ</t>
        </is>
      </c>
      <c r="D230" s="312" t="n"/>
      <c r="E230" s="312" t="n"/>
      <c r="F230" s="312" t="n"/>
      <c r="G230" s="312" t="n"/>
      <c r="H230" s="312" t="n"/>
      <c r="I230" s="313" t="n"/>
      <c r="J230" s="170" t="inlineStr">
        <is>
          <t>SOCOMES</t>
        </is>
      </c>
      <c r="K230" s="314" t="n">
        <v>800000</v>
      </c>
      <c r="L230" s="2" t="n">
        <v>44109</v>
      </c>
      <c r="M230" s="170" t="n"/>
      <c r="N230" s="170" t="n">
        <v>3137851941</v>
      </c>
      <c r="O230" s="172" t="inlineStr">
        <is>
          <t>David Lopera</t>
        </is>
      </c>
      <c r="P230" s="52" t="inlineStr">
        <is>
          <t>david.lopera@socomes.com</t>
        </is>
      </c>
    </row>
    <row r="231">
      <c r="B231" s="170" t="n">
        <v>216</v>
      </c>
      <c r="C231" s="199" t="inlineStr">
        <is>
          <t>COTIZACION DE LOS DISEÑOS DE SEGURIDAD HUMANA Y PROTECCIÓN CONTRA  INCENDIOS - LINZ</t>
        </is>
      </c>
      <c r="D231" s="312" t="n"/>
      <c r="E231" s="312" t="n"/>
      <c r="F231" s="312" t="n"/>
      <c r="G231" s="312" t="n"/>
      <c r="H231" s="312" t="n"/>
      <c r="I231" s="313" t="n"/>
      <c r="J231" s="170" t="inlineStr">
        <is>
          <t>LINZ</t>
        </is>
      </c>
      <c r="K231" s="314" t="n">
        <v>9970000</v>
      </c>
      <c r="L231" s="2" t="n">
        <v>44111</v>
      </c>
      <c r="M231" s="170" t="n"/>
      <c r="N231" s="170" t="n">
        <v>3232764525</v>
      </c>
      <c r="O231" s="172" t="inlineStr">
        <is>
          <t>Yessica Cardona</t>
        </is>
      </c>
      <c r="P231" s="52" t="inlineStr">
        <is>
          <t>yessicacardona@hotmail.com</t>
        </is>
      </c>
    </row>
    <row r="232">
      <c r="B232" s="170" t="n">
        <v>217</v>
      </c>
      <c r="C232" s="199" t="inlineStr">
        <is>
          <t>COTIZACION DE LOS DISEÑOS DE SEGURIDAD HUMANA Y PROTECCIÓN CONTRA  INCENDIOS - MONTRY</t>
        </is>
      </c>
      <c r="D232" s="312" t="n"/>
      <c r="E232" s="312" t="n"/>
      <c r="F232" s="312" t="n"/>
      <c r="G232" s="312" t="n"/>
      <c r="H232" s="312" t="n"/>
      <c r="I232" s="313" t="n"/>
      <c r="J232" s="170" t="inlineStr">
        <is>
          <t>SPCI</t>
        </is>
      </c>
      <c r="K232" s="314" t="n">
        <v>9970000</v>
      </c>
      <c r="L232" s="2" t="n">
        <v>44111</v>
      </c>
      <c r="M232" s="170" t="n"/>
      <c r="N232" s="170" t="n">
        <v>3104165783</v>
      </c>
      <c r="O232" s="172" t="inlineStr">
        <is>
          <t>Cristiam Mondragón</t>
        </is>
      </c>
      <c r="P232" s="52" t="inlineStr">
        <is>
          <t>cristiamondragon.spci@gmail.com</t>
        </is>
      </c>
    </row>
    <row r="233">
      <c r="B233" s="170" t="n">
        <v>218</v>
      </c>
      <c r="C233" s="199" t="inlineStr">
        <is>
          <t>COTIZACION DE LOS DISEÑOS DE PROTECCIÓN CONTRA INCENDIOS PARA EL PROYECTO LOCAL YOUR PET SANTAFE</t>
        </is>
      </c>
      <c r="D233" s="312" t="n"/>
      <c r="E233" s="312" t="n"/>
      <c r="F233" s="312" t="n"/>
      <c r="G233" s="312" t="n"/>
      <c r="H233" s="312" t="n"/>
      <c r="I233" s="313" t="n"/>
      <c r="J233" s="170" t="inlineStr">
        <is>
          <t>SOCOMES</t>
        </is>
      </c>
      <c r="K233" s="314" t="n">
        <v>600000</v>
      </c>
      <c r="L233" s="2" t="n">
        <v>44112</v>
      </c>
      <c r="M233" s="2" t="inlineStr">
        <is>
          <t>X</t>
        </is>
      </c>
      <c r="N233" s="170" t="n">
        <v>3137851941</v>
      </c>
      <c r="O233" s="172" t="inlineStr">
        <is>
          <t>David Lopera</t>
        </is>
      </c>
      <c r="P233" s="52" t="inlineStr">
        <is>
          <t>david.lopera@socomes.com</t>
        </is>
      </c>
    </row>
    <row r="234">
      <c r="B234" s="170" t="n">
        <v>219</v>
      </c>
      <c r="C234" s="199" t="inlineStr">
        <is>
          <t>COTIZACION DE LOS DISEÑOS DE PROTECCIÓN CONTRA INCENDIOS PARA EL PROYECTO LOCAL BILANZ EL TESORO</t>
        </is>
      </c>
      <c r="D234" s="312" t="n"/>
      <c r="E234" s="312" t="n"/>
      <c r="F234" s="312" t="n"/>
      <c r="G234" s="312" t="n"/>
      <c r="H234" s="312" t="n"/>
      <c r="I234" s="313" t="n"/>
      <c r="J234" s="170" t="inlineStr">
        <is>
          <t>SOCOMES</t>
        </is>
      </c>
      <c r="K234" s="314" t="n">
        <v>900000</v>
      </c>
      <c r="L234" s="2" t="n">
        <v>44112</v>
      </c>
      <c r="M234" s="2" t="inlineStr">
        <is>
          <t>X</t>
        </is>
      </c>
      <c r="N234" s="170" t="n">
        <v>3137851941</v>
      </c>
      <c r="O234" s="172" t="inlineStr">
        <is>
          <t>David Lopera</t>
        </is>
      </c>
      <c r="P234" s="52" t="inlineStr">
        <is>
          <t>david.lopera@socomes.com</t>
        </is>
      </c>
    </row>
    <row r="235">
      <c r="B235" s="170" t="n">
        <v>220</v>
      </c>
      <c r="C235" s="199" t="inlineStr">
        <is>
          <t>COTIZACION DE LOS DISEÑOS DE SEGURIDAD HUMANA Y PROTECCIÓN CONTRA  INCENDIOS - ALMACENAMIENTO QUÍMICOS CONTECAR CARTAGENA</t>
        </is>
      </c>
      <c r="D235" s="312" t="n"/>
      <c r="E235" s="312" t="n"/>
      <c r="F235" s="312" t="n"/>
      <c r="G235" s="312" t="n"/>
      <c r="H235" s="312" t="n"/>
      <c r="I235" s="313" t="n"/>
      <c r="J235" s="170" t="inlineStr">
        <is>
          <t>CONVEL</t>
        </is>
      </c>
      <c r="K235" s="314" t="n">
        <v>69750000</v>
      </c>
      <c r="L235" s="2" t="n">
        <v>44116</v>
      </c>
      <c r="M235" s="170" t="n"/>
      <c r="N235" s="170" t="inlineStr">
        <is>
          <t>300 258 90 33</t>
        </is>
      </c>
      <c r="O235" s="172" t="inlineStr">
        <is>
          <t>Diana Pérez</t>
        </is>
      </c>
      <c r="P235" s="52" t="inlineStr">
        <is>
          <t>dianaperez@convel.co</t>
        </is>
      </c>
    </row>
    <row r="236">
      <c r="B236" s="170" t="n">
        <v>221</v>
      </c>
      <c r="C236" s="199" t="inlineStr">
        <is>
          <t>COTIZACION DEL DISEÑO DE DETECCIÓN DE INCENDIOS - RETROFIT DETECCIÓN Y ALARMA PLANTA NOEL MEDELLÍN</t>
        </is>
      </c>
      <c r="D236" s="312" t="n"/>
      <c r="E236" s="312" t="n"/>
      <c r="F236" s="312" t="n"/>
      <c r="G236" s="312" t="n"/>
      <c r="H236" s="312" t="n"/>
      <c r="I236" s="313" t="n"/>
      <c r="J236" s="170" t="inlineStr">
        <is>
          <t>SPCI</t>
        </is>
      </c>
      <c r="K236" s="314" t="n">
        <v>5900000</v>
      </c>
      <c r="L236" s="2" t="n">
        <v>44117</v>
      </c>
      <c r="M236" s="170" t="n"/>
      <c r="N236" s="170" t="inlineStr">
        <is>
          <t>310 4278593</t>
        </is>
      </c>
      <c r="O236" s="172" t="inlineStr">
        <is>
          <t>Daniel Uribe</t>
        </is>
      </c>
      <c r="P236" s="52" t="inlineStr">
        <is>
          <t>duribe86@gmail.com</t>
        </is>
      </c>
    </row>
    <row r="237">
      <c r="B237" s="170" t="n">
        <v>222</v>
      </c>
      <c r="C237" s="199" t="inlineStr">
        <is>
          <t>COTIZACION DE LOS DISEÑOS DE PROTECCIÓN CONTRA INCENDIOS Y SEGURIDAD HUMANA PARA EL PROYECTO ALMACEN GUATAPÉ EPM</t>
        </is>
      </c>
      <c r="D237" s="312" t="n"/>
      <c r="E237" s="312" t="n"/>
      <c r="F237" s="312" t="n"/>
      <c r="G237" s="312" t="n"/>
      <c r="H237" s="312" t="n"/>
      <c r="I237" s="313" t="n"/>
      <c r="J237" s="170" t="inlineStr">
        <is>
          <t>SPCI</t>
        </is>
      </c>
      <c r="K237" s="314" t="n">
        <v>20700000</v>
      </c>
      <c r="L237" s="2" t="n">
        <v>44117</v>
      </c>
      <c r="M237" s="170" t="n"/>
      <c r="N237" s="170" t="n">
        <v>3104680509</v>
      </c>
      <c r="O237" s="172" t="inlineStr">
        <is>
          <t>Juan Pablo Grajales</t>
        </is>
      </c>
      <c r="P237" s="52" t="inlineStr">
        <is>
          <t>juan.grajales@spci.com.co</t>
        </is>
      </c>
    </row>
    <row r="238">
      <c r="B238" s="170" t="n">
        <v>223</v>
      </c>
      <c r="C238" s="199" t="inlineStr">
        <is>
          <t>COTIZACION DE LOS DISEÑOS DE PROTECCIÓN CONTRA INCENDIOS Y SEGURIDAD HUMANA PARA EL PROYECTO ALMACENLOS CEDROS EPM</t>
        </is>
      </c>
      <c r="D238" s="312" t="n"/>
      <c r="E238" s="312" t="n"/>
      <c r="F238" s="312" t="n"/>
      <c r="G238" s="312" t="n"/>
      <c r="H238" s="312" t="n"/>
      <c r="I238" s="313" t="n"/>
      <c r="J238" s="170" t="inlineStr">
        <is>
          <t>SPCI</t>
        </is>
      </c>
      <c r="K238" s="314" t="n">
        <v>18810000</v>
      </c>
      <c r="L238" s="2" t="n">
        <v>44117</v>
      </c>
      <c r="M238" s="170" t="n"/>
      <c r="N238" s="170" t="n">
        <v>3104680509</v>
      </c>
      <c r="O238" s="172" t="inlineStr">
        <is>
          <t>Juan Pablo Grajales</t>
        </is>
      </c>
      <c r="P238" s="52" t="inlineStr">
        <is>
          <t>juan.grajales@spci.com.co</t>
        </is>
      </c>
    </row>
    <row r="239">
      <c r="B239" s="170" t="n">
        <v>224</v>
      </c>
      <c r="C239" s="199" t="inlineStr">
        <is>
          <t>COTIZACION DE LOS DISEÑOS DE SEGURIDAD HUMANA Y PROTECCIÓN CONTRA  INCENDIOS - BODEGA 1 GIRARDOTA</t>
        </is>
      </c>
      <c r="D239" s="312" t="n"/>
      <c r="E239" s="312" t="n"/>
      <c r="F239" s="312" t="n"/>
      <c r="G239" s="312" t="n"/>
      <c r="H239" s="312" t="n"/>
      <c r="I239" s="313" t="n"/>
      <c r="J239" s="170" t="inlineStr">
        <is>
          <t>SECURETEC</t>
        </is>
      </c>
      <c r="K239" s="314" t="n">
        <v>23900000</v>
      </c>
      <c r="L239" s="2" t="n">
        <v>44117</v>
      </c>
      <c r="M239" s="170" t="n"/>
      <c r="N239" s="170" t="n">
        <v>3206678830</v>
      </c>
      <c r="O239" s="172" t="inlineStr">
        <is>
          <t>Jhonny Castro</t>
        </is>
      </c>
      <c r="P239" s="52" t="inlineStr">
        <is>
          <t>dirproyectos@securetec.com.co</t>
        </is>
      </c>
    </row>
    <row r="240">
      <c r="B240" s="170" t="n">
        <v>225</v>
      </c>
      <c r="C240" s="199" t="inlineStr">
        <is>
          <t>COTIZACION DE LOS DISEÑOS DE SEGURIDAD HUMANA Y PROTECCIÓN CONTRA  INCENDIOS - BODEGA 2 GUARNE</t>
        </is>
      </c>
      <c r="D240" s="312" t="n"/>
      <c r="E240" s="312" t="n"/>
      <c r="F240" s="312" t="n"/>
      <c r="G240" s="312" t="n"/>
      <c r="H240" s="312" t="n"/>
      <c r="I240" s="313" t="n"/>
      <c r="J240" s="170" t="inlineStr">
        <is>
          <t>SECURETEC</t>
        </is>
      </c>
      <c r="K240" s="314" t="n">
        <v>17950000</v>
      </c>
      <c r="L240" s="2" t="n">
        <v>44117</v>
      </c>
      <c r="M240" s="170" t="n"/>
      <c r="N240" s="170" t="n">
        <v>3206678830</v>
      </c>
      <c r="O240" s="172" t="inlineStr">
        <is>
          <t>Jhonny Castro</t>
        </is>
      </c>
      <c r="P240" s="52" t="inlineStr">
        <is>
          <t>dirproyectos@securetec.com.co</t>
        </is>
      </c>
    </row>
    <row r="241">
      <c r="B241" s="170" t="n">
        <v>226</v>
      </c>
      <c r="C241" s="199" t="inlineStr">
        <is>
          <t>COTIZACION DE LOS DISEÑOS DE PROTECCIÓN CONTRA INCENDIOS Y SEGURIDAD HUMANA PARA EL PROYECTO KIRAL</t>
        </is>
      </c>
      <c r="D241" s="312" t="n"/>
      <c r="E241" s="312" t="n"/>
      <c r="F241" s="312" t="n"/>
      <c r="G241" s="312" t="n"/>
      <c r="H241" s="312" t="n"/>
      <c r="I241" s="313" t="n"/>
      <c r="J241" s="170" t="inlineStr">
        <is>
          <t>LINEAMIENTOS CIVILES</t>
        </is>
      </c>
      <c r="K241" s="314" t="n">
        <v>12510000</v>
      </c>
      <c r="L241" s="2" t="n">
        <v>44120</v>
      </c>
      <c r="M241" s="170" t="n"/>
      <c r="N241" s="170" t="n">
        <v>3174051505</v>
      </c>
      <c r="O241" s="172" t="inlineStr">
        <is>
          <t>Manuela Castro</t>
        </is>
      </c>
      <c r="P241" s="52" t="inlineStr">
        <is>
          <t>lineamientosciviles@gmail.com</t>
        </is>
      </c>
    </row>
    <row r="242">
      <c r="B242" s="170" t="n">
        <v>227</v>
      </c>
      <c r="C242" s="199" t="inlineStr">
        <is>
          <t>COTIZACION DE LOS DISEÑOS DE PROTECCIÓN CONTRA INCENDIOS Y SEGURIDAD HUMANA PARA EL PROYECTO MR ODD HOTELERA</t>
        </is>
      </c>
      <c r="D242" s="312" t="n"/>
      <c r="E242" s="312" t="n"/>
      <c r="F242" s="312" t="n"/>
      <c r="G242" s="312" t="n"/>
      <c r="H242" s="312" t="n"/>
      <c r="I242" s="313" t="n"/>
      <c r="J242" s="170" t="inlineStr">
        <is>
          <t>LINEAMIENTOS CIVILES</t>
        </is>
      </c>
      <c r="K242" s="314" t="n">
        <v>9420000</v>
      </c>
      <c r="L242" s="2" t="n">
        <v>44120</v>
      </c>
      <c r="M242" s="170" t="n"/>
      <c r="N242" s="170" t="n">
        <v>3174051505</v>
      </c>
      <c r="O242" s="172" t="inlineStr">
        <is>
          <t>Manuela Castro</t>
        </is>
      </c>
      <c r="P242" s="52" t="inlineStr">
        <is>
          <t>lineamientosciviles@gmail.com</t>
        </is>
      </c>
    </row>
    <row r="243">
      <c r="B243" s="170" t="n">
        <v>228</v>
      </c>
      <c r="C243" s="199" t="inlineStr">
        <is>
          <t>COTIZACION DE LOS DISEÑOS DE PROTECCIÓN CONTRA INCENDIOS PARA EL PROYECTO LOCAL MILAGROS VIVA ENVIGADO</t>
        </is>
      </c>
      <c r="D243" s="312" t="n"/>
      <c r="E243" s="312" t="n"/>
      <c r="F243" s="312" t="n"/>
      <c r="G243" s="312" t="n"/>
      <c r="H243" s="312" t="n"/>
      <c r="I243" s="313" t="n"/>
      <c r="J243" s="170" t="inlineStr">
        <is>
          <t>SPCI</t>
        </is>
      </c>
      <c r="K243" s="314" t="n">
        <v>2500000</v>
      </c>
      <c r="L243" s="2" t="n">
        <v>44120</v>
      </c>
      <c r="M243" s="2" t="inlineStr">
        <is>
          <t>X</t>
        </is>
      </c>
      <c r="N243" s="170" t="n">
        <v>3137546144</v>
      </c>
      <c r="O243" s="172" t="inlineStr">
        <is>
          <t>Juan Camilo Quintero</t>
        </is>
      </c>
      <c r="P243" s="52" t="inlineStr">
        <is>
          <t>proyectos1spci@gmail.com</t>
        </is>
      </c>
    </row>
    <row r="244">
      <c r="B244" s="170" t="n">
        <v>229</v>
      </c>
      <c r="C244" s="199" t="inlineStr">
        <is>
          <t>COTIZACION CONCEPTO DE SEGURIDAD HUMANA Y PROTECCIÓN CONTRA  INCENDIOS - BANCO POPULAR BOGOTÁ</t>
        </is>
      </c>
      <c r="D244" s="312" t="n"/>
      <c r="E244" s="312" t="n"/>
      <c r="F244" s="312" t="n"/>
      <c r="G244" s="312" t="n"/>
      <c r="H244" s="312" t="n"/>
      <c r="I244" s="313" t="n"/>
      <c r="J244" s="170" t="inlineStr">
        <is>
          <t>GERENCIA INTEGRAL</t>
        </is>
      </c>
      <c r="K244" s="314" t="n">
        <v>1000000</v>
      </c>
      <c r="L244" s="2" t="n">
        <v>44123</v>
      </c>
      <c r="M244" s="170" t="inlineStr">
        <is>
          <t>X</t>
        </is>
      </c>
      <c r="N244" s="170" t="inlineStr">
        <is>
          <t>316 8787297</t>
        </is>
      </c>
      <c r="O244" s="172" t="inlineStr">
        <is>
          <t>Humberto Duque</t>
        </is>
      </c>
      <c r="P244" s="52" t="inlineStr">
        <is>
          <t>hduque@hdgerenciaintegral.com</t>
        </is>
      </c>
    </row>
    <row r="245">
      <c r="B245" s="170" t="n">
        <v>230</v>
      </c>
      <c r="C245" s="199" t="inlineStr">
        <is>
          <t>COTIZACION DEL DISEÑO DE DETECCIÓN DE INCENDIOS - ALICANTE</t>
        </is>
      </c>
      <c r="D245" s="312" t="n"/>
      <c r="E245" s="312" t="n"/>
      <c r="F245" s="312" t="n"/>
      <c r="G245" s="312" t="n"/>
      <c r="H245" s="312" t="n"/>
      <c r="I245" s="313" t="n"/>
      <c r="J245" s="170" t="inlineStr">
        <is>
          <t>SECURETEC</t>
        </is>
      </c>
      <c r="K245" s="314" t="n">
        <v>3500000</v>
      </c>
      <c r="L245" s="2" t="n">
        <v>44124</v>
      </c>
      <c r="M245" s="170" t="n"/>
      <c r="N245" s="170" t="n">
        <v>3206678830</v>
      </c>
      <c r="O245" s="172" t="inlineStr">
        <is>
          <t>Jhonny Castro</t>
        </is>
      </c>
      <c r="P245" s="52" t="inlineStr">
        <is>
          <t>dirproyectos@securetec.com.co</t>
        </is>
      </c>
    </row>
    <row r="246">
      <c r="B246" s="170" t="n">
        <v>231</v>
      </c>
      <c r="C246" s="199" t="inlineStr">
        <is>
          <t>COTIZACION DE LOS DISEÑOS DE PROTECCIÓN CONTRA INCENDIOS Y SEGURIDAD HUMANA PARA EL PROYECTO PISO 9 BIOXCELLERATOR</t>
        </is>
      </c>
      <c r="D246" s="312" t="n"/>
      <c r="E246" s="312" t="n"/>
      <c r="F246" s="312" t="n"/>
      <c r="G246" s="312" t="n"/>
      <c r="H246" s="312" t="n"/>
      <c r="I246" s="313" t="n"/>
      <c r="J246" s="170" t="inlineStr">
        <is>
          <t>SPCI</t>
        </is>
      </c>
      <c r="K246" s="314" t="n">
        <v>5950000</v>
      </c>
      <c r="L246" s="2" t="n">
        <v>44124</v>
      </c>
      <c r="M246" s="170" t="n"/>
      <c r="N246" s="170" t="n">
        <v>3104680509</v>
      </c>
      <c r="O246" s="172" t="inlineStr">
        <is>
          <t>Juan Pablo Grajales</t>
        </is>
      </c>
      <c r="P246" s="52" t="inlineStr">
        <is>
          <t>juan.grajales@spci.com.co</t>
        </is>
      </c>
    </row>
    <row r="247">
      <c r="B247" s="170" t="n">
        <v>232</v>
      </c>
      <c r="C247" s="199" t="inlineStr">
        <is>
          <t>COTIZACION DE LOS DISEÑOS DE PROTECCIÓN CONTRA INCENDIOS Y SEGURIDAD HUMANA PARA EL PROYECTO PISO 8 QUIROFANO UROGINE</t>
        </is>
      </c>
      <c r="D247" s="312" t="n"/>
      <c r="E247" s="312" t="n"/>
      <c r="F247" s="312" t="n"/>
      <c r="G247" s="312" t="n"/>
      <c r="H247" s="312" t="n"/>
      <c r="I247" s="313" t="n"/>
      <c r="J247" s="170" t="inlineStr">
        <is>
          <t>SPCI</t>
        </is>
      </c>
      <c r="K247" s="314" t="n">
        <v>4890000</v>
      </c>
      <c r="L247" s="2" t="n">
        <v>44124</v>
      </c>
      <c r="M247" s="170" t="n"/>
      <c r="N247" s="170" t="n">
        <v>3104680509</v>
      </c>
      <c r="O247" s="172" t="inlineStr">
        <is>
          <t>Juan Pablo Grajales</t>
        </is>
      </c>
      <c r="P247" s="52" t="inlineStr">
        <is>
          <t>juan.grajales@spci.com.co</t>
        </is>
      </c>
    </row>
    <row r="248">
      <c r="B248" s="170" t="n">
        <v>233</v>
      </c>
      <c r="C248" s="199" t="inlineStr">
        <is>
          <t>COTIZACIÓN CONSULTORÍA HORA INGENIERO PROTECCIÓN CONTRA INCENDIOS Y SEGURIDAD HUMANA</t>
        </is>
      </c>
      <c r="D248" s="312" t="n"/>
      <c r="E248" s="312" t="n"/>
      <c r="F248" s="312" t="n"/>
      <c r="G248" s="312" t="n"/>
      <c r="H248" s="312" t="n"/>
      <c r="I248" s="313" t="n"/>
      <c r="J248" s="170" t="inlineStr">
        <is>
          <t>AVANTE</t>
        </is>
      </c>
      <c r="K248" s="314" t="n">
        <v>190000</v>
      </c>
      <c r="L248" s="2" t="n">
        <v>44124</v>
      </c>
      <c r="M248" s="170" t="inlineStr">
        <is>
          <t>X</t>
        </is>
      </c>
      <c r="N248" s="170" t="n">
        <v>3053156721</v>
      </c>
      <c r="O248" s="172" t="inlineStr">
        <is>
          <t>José Daniel Echeverri</t>
        </is>
      </c>
      <c r="P248" s="52" t="inlineStr">
        <is>
          <t>daniel.echeverri@avanteing.com</t>
        </is>
      </c>
    </row>
    <row r="249">
      <c r="B249" s="170" t="n">
        <v>234</v>
      </c>
      <c r="C249" s="199" t="inlineStr">
        <is>
          <t>COTIZACION DEL ANÁLISIS DE SEGURIDAD HUMANA - COLEGIO SAN JOSÉ DE LAS VEGAS</t>
        </is>
      </c>
      <c r="D249" s="312" t="n"/>
      <c r="E249" s="312" t="n"/>
      <c r="F249" s="312" t="n"/>
      <c r="G249" s="312" t="n"/>
      <c r="H249" s="312" t="n"/>
      <c r="I249" s="313" t="n"/>
      <c r="J249" s="170" t="inlineStr">
        <is>
          <t>COLEGIO SAN JOSÉ DE LAS VEGAS</t>
        </is>
      </c>
      <c r="K249" s="314" t="n">
        <v>3800000</v>
      </c>
      <c r="L249" s="2" t="n">
        <v>44125</v>
      </c>
      <c r="M249" s="170" t="n"/>
      <c r="N249" s="170" t="n">
        <v>3137650118</v>
      </c>
      <c r="O249" s="172" t="inlineStr">
        <is>
          <t>Daniel Hincapié</t>
        </is>
      </c>
      <c r="P249" s="52" t="inlineStr">
        <is>
          <t>dhincapieconsultor@gmail.com</t>
        </is>
      </c>
    </row>
    <row r="250">
      <c r="B250" s="170" t="n">
        <v>235</v>
      </c>
      <c r="C250" s="199" t="inlineStr">
        <is>
          <t>COTIZACION DEL DISEÑO DE EXTINCIÓN DE INCENDIOS PARA EL PROYECTO MEZANINE 70 m2 VIVA ENVIGADO</t>
        </is>
      </c>
      <c r="D250" s="312" t="n"/>
      <c r="E250" s="312" t="n"/>
      <c r="F250" s="312" t="n"/>
      <c r="G250" s="312" t="n"/>
      <c r="H250" s="312" t="n"/>
      <c r="I250" s="313" t="n"/>
      <c r="J250" s="170" t="inlineStr">
        <is>
          <t>SPCI</t>
        </is>
      </c>
      <c r="K250" s="314" t="n">
        <v>1220000</v>
      </c>
      <c r="L250" s="2" t="n">
        <v>44127</v>
      </c>
      <c r="M250" s="170" t="n"/>
      <c r="N250" s="170" t="n">
        <v>3137546144</v>
      </c>
      <c r="O250" s="172" t="inlineStr">
        <is>
          <t>Juan Camilo Quintero</t>
        </is>
      </c>
      <c r="P250" s="52" t="inlineStr">
        <is>
          <t>proyectos1spci@gmail.com</t>
        </is>
      </c>
    </row>
    <row r="251">
      <c r="B251" s="170" t="n">
        <v>236</v>
      </c>
      <c r="C251" s="199" t="inlineStr">
        <is>
          <t>COTIZACION DE LA INGENIERÍA CONCEPTUAL DE EXTINCIÓN DE INCENDIOS PARA LA PLANTA COMPAÑÍA DE EMPAQUES</t>
        </is>
      </c>
      <c r="D251" s="312" t="n"/>
      <c r="E251" s="312" t="n"/>
      <c r="F251" s="312" t="n"/>
      <c r="G251" s="312" t="n"/>
      <c r="H251" s="312" t="n"/>
      <c r="I251" s="313" t="n"/>
      <c r="J251" s="170" t="inlineStr">
        <is>
          <t>Daniel Hincapié</t>
        </is>
      </c>
      <c r="K251" s="314" t="n">
        <v>7500000</v>
      </c>
      <c r="L251" s="2" t="n">
        <v>44127</v>
      </c>
      <c r="M251" s="170" t="n"/>
      <c r="N251" s="170" t="n">
        <v>3137650118</v>
      </c>
      <c r="O251" s="172" t="inlineStr">
        <is>
          <t>Daniel Hincapié</t>
        </is>
      </c>
      <c r="P251" s="52" t="inlineStr">
        <is>
          <t>dhincapieconsultor@gmail.com</t>
        </is>
      </c>
    </row>
    <row r="252">
      <c r="B252" s="170" t="n">
        <v>237</v>
      </c>
      <c r="C252" s="199" t="inlineStr">
        <is>
          <t>COTIZACION DE LOS DISEÑOS DE SEGURIDAD HUMANA Y PROTECCIÓN CONTRA  INCENDIOS - PARQUE ACUÁTICO DE ENVIGADO</t>
        </is>
      </c>
      <c r="D252" s="312" t="n"/>
      <c r="E252" s="312" t="n"/>
      <c r="F252" s="312" t="n"/>
      <c r="G252" s="312" t="n"/>
      <c r="H252" s="312" t="n"/>
      <c r="I252" s="313" t="n"/>
      <c r="J252" s="170" t="inlineStr">
        <is>
          <t>In Situ</t>
        </is>
      </c>
      <c r="K252" s="314" t="n">
        <v>13170000</v>
      </c>
      <c r="L252" s="2" t="n">
        <v>44127</v>
      </c>
      <c r="M252" s="170" t="inlineStr">
        <is>
          <t>X</t>
        </is>
      </c>
      <c r="N252" s="170" t="n">
        <v>3003402133</v>
      </c>
      <c r="O252" s="172" t="inlineStr">
        <is>
          <t>Paula Andrea Gonzales</t>
        </is>
      </c>
      <c r="P252" s="52" t="inlineStr">
        <is>
          <t xml:space="preserve">	insitu.urbanismo@gmail.com</t>
        </is>
      </c>
    </row>
    <row r="253">
      <c r="B253" s="170" t="n">
        <v>238</v>
      </c>
      <c r="C253" s="199" t="inlineStr">
        <is>
          <t>COTIZACION DE LOS DISEÑOS DE PROTECCIÓN CONTRA INCENDIOS Y SEGURIDAD HUMANA PARA EL PROYECTO NIÑA MARÍA</t>
        </is>
      </c>
      <c r="D253" s="312" t="n"/>
      <c r="E253" s="312" t="n"/>
      <c r="F253" s="312" t="n"/>
      <c r="G253" s="312" t="n"/>
      <c r="H253" s="312" t="n"/>
      <c r="I253" s="313" t="n"/>
      <c r="J253" s="170" t="inlineStr">
        <is>
          <t>SPCI</t>
        </is>
      </c>
      <c r="K253" s="314" t="n">
        <v>7900000</v>
      </c>
      <c r="L253" s="2" t="n">
        <v>44127</v>
      </c>
      <c r="M253" s="170" t="n"/>
      <c r="N253" s="170" t="n">
        <v>3104680509</v>
      </c>
      <c r="O253" s="172" t="inlineStr">
        <is>
          <t>Juan Pablo Grajales</t>
        </is>
      </c>
      <c r="P253" s="52" t="inlineStr">
        <is>
          <t>juan.grajales@spci.com.co</t>
        </is>
      </c>
    </row>
    <row r="254">
      <c r="B254" s="170" t="n">
        <v>239</v>
      </c>
      <c r="C254" s="199" t="inlineStr">
        <is>
          <t>COTIZACION DEL DISEÑO DE DETECCIÓN DE INCENDIOS - PINARES ETAPA 2</t>
        </is>
      </c>
      <c r="D254" s="312" t="n"/>
      <c r="E254" s="312" t="n"/>
      <c r="F254" s="312" t="n"/>
      <c r="G254" s="312" t="n"/>
      <c r="H254" s="312" t="n"/>
      <c r="I254" s="313" t="n"/>
      <c r="J254" s="170" t="inlineStr">
        <is>
          <t>CASA SANA</t>
        </is>
      </c>
      <c r="K254" s="314" t="n">
        <v>3950000</v>
      </c>
      <c r="L254" s="2" t="n">
        <v>44130</v>
      </c>
      <c r="M254" s="2" t="n"/>
      <c r="N254" s="170" t="n">
        <v>3108945703</v>
      </c>
      <c r="O254" s="172" t="inlineStr">
        <is>
          <t>Jose Estrada</t>
        </is>
      </c>
      <c r="P254" s="52" t="inlineStr">
        <is>
          <t>joseestrada@casasana.com.co</t>
        </is>
      </c>
    </row>
    <row r="255">
      <c r="B255" s="170" t="n">
        <v>240</v>
      </c>
      <c r="C255" s="199" t="inlineStr">
        <is>
          <t>COTIZACION DEL ANÁLISIS DE SEGURIDAD HUMANA - CLÍNICA DE OCCIDENTE TORRE C</t>
        </is>
      </c>
      <c r="D255" s="312" t="n"/>
      <c r="E255" s="312" t="n"/>
      <c r="F255" s="312" t="n"/>
      <c r="G255" s="312" t="n"/>
      <c r="H255" s="312" t="n"/>
      <c r="I255" s="313" t="n"/>
      <c r="J255" s="170" t="inlineStr">
        <is>
          <t>CONDISEÑO</t>
        </is>
      </c>
      <c r="K255" s="314" t="n">
        <v>3135000</v>
      </c>
      <c r="L255" s="2" t="n">
        <v>44131</v>
      </c>
      <c r="M255" s="170" t="n"/>
      <c r="N255" s="170" t="n">
        <v>3016010978</v>
      </c>
      <c r="O255" s="172" t="inlineStr">
        <is>
          <t>Juan Esteban Echeverri</t>
        </is>
      </c>
      <c r="P255" s="52" t="inlineStr">
        <is>
          <t xml:space="preserve">j.echeverri@condiseno.co </t>
        </is>
      </c>
    </row>
    <row r="256">
      <c r="B256" s="170" t="n">
        <v>241</v>
      </c>
      <c r="C256" s="199" t="inlineStr">
        <is>
          <t>COTIZACION DE LA REVISIÓN DE SEGURIDAD HUMANA Y LOS SISTEMAS DE PROTECCIÓN CONTRA INCENIDOS PARA CLÍNICAS CARIBE COLOMBIANO</t>
        </is>
      </c>
      <c r="D256" s="312" t="n"/>
      <c r="E256" s="312" t="n"/>
      <c r="F256" s="312" t="n"/>
      <c r="G256" s="312" t="n"/>
      <c r="H256" s="312" t="n"/>
      <c r="I256" s="313" t="n"/>
      <c r="J256" s="170" t="inlineStr">
        <is>
          <t>CONDISEÑO</t>
        </is>
      </c>
      <c r="K256" s="314" t="n">
        <v>27900000</v>
      </c>
      <c r="L256" s="2" t="n">
        <v>44131</v>
      </c>
      <c r="M256" s="2" t="inlineStr">
        <is>
          <t>X</t>
        </is>
      </c>
      <c r="N256" s="170" t="n">
        <v>3175594091</v>
      </c>
      <c r="O256" s="172" t="inlineStr">
        <is>
          <t>Nakary García Romero</t>
        </is>
      </c>
      <c r="P256" s="52" t="inlineStr">
        <is>
          <t>n.garcia@condiseno.co</t>
        </is>
      </c>
    </row>
    <row r="257">
      <c r="B257" s="170" t="n">
        <v>242</v>
      </c>
      <c r="C257" s="199" t="inlineStr">
        <is>
          <t>COTIZACION DEL DISEÑO DE DETECCIÓN DE INCENDIOS - CEDI SURA</t>
        </is>
      </c>
      <c r="D257" s="312" t="n"/>
      <c r="E257" s="312" t="n"/>
      <c r="F257" s="312" t="n"/>
      <c r="G257" s="312" t="n"/>
      <c r="H257" s="312" t="n"/>
      <c r="I257" s="313" t="n"/>
      <c r="J257" s="170" t="inlineStr">
        <is>
          <t>SURA</t>
        </is>
      </c>
      <c r="K257" s="314" t="n">
        <v>6850000</v>
      </c>
      <c r="L257" s="2" t="n">
        <v>44132</v>
      </c>
      <c r="M257" s="170" t="n"/>
      <c r="N257" s="170" t="inlineStr">
        <is>
          <t>319 3333707</t>
        </is>
      </c>
      <c r="O257" s="172" t="inlineStr">
        <is>
          <t>Diego Casallas</t>
        </is>
      </c>
      <c r="P257" s="52" t="inlineStr">
        <is>
          <t>dcasallas@sura.com.co</t>
        </is>
      </c>
    </row>
    <row r="258">
      <c r="B258" s="170" t="n">
        <v>243</v>
      </c>
      <c r="C258" s="199" t="inlineStr">
        <is>
          <t>COTIZACION DE LOS DISEÑOS DE SEGURIDAD HUMANA Y PROTECCIÓN CONTRA  INCENDIOS - CENTRO DE SERVICIOS SUR</t>
        </is>
      </c>
      <c r="D258" s="312" t="n"/>
      <c r="E258" s="312" t="n"/>
      <c r="F258" s="312" t="n"/>
      <c r="G258" s="312" t="n"/>
      <c r="H258" s="312" t="n"/>
      <c r="I258" s="313" t="n"/>
      <c r="J258" s="170" t="inlineStr">
        <is>
          <t>CSS</t>
        </is>
      </c>
      <c r="K258" s="314" t="n">
        <v>9980000</v>
      </c>
      <c r="L258" s="2" t="n">
        <v>44133</v>
      </c>
      <c r="M258" s="170" t="n"/>
      <c r="N258" s="170" t="n">
        <v>3006567517</v>
      </c>
      <c r="O258" s="172" t="inlineStr">
        <is>
          <t>Carmen Lopez</t>
        </is>
      </c>
      <c r="P258" s="52" t="inlineStr">
        <is>
          <t>carmen.lopez@prinza.com.co</t>
        </is>
      </c>
    </row>
    <row r="259">
      <c r="B259" s="170" t="n">
        <v>244</v>
      </c>
      <c r="C259" s="199" t="inlineStr">
        <is>
          <t>COTIZACION DE LOS DISEÑOS DE SEGURIDAD HUMANA Y PROTECCIÓN CONTRA  INCENDIOS - EDIFICIO FLORIDA NUEVA</t>
        </is>
      </c>
      <c r="D259" s="312" t="n"/>
      <c r="E259" s="312" t="n"/>
      <c r="F259" s="312" t="n"/>
      <c r="G259" s="312" t="n"/>
      <c r="H259" s="312" t="n"/>
      <c r="I259" s="313" t="n"/>
      <c r="J259" s="170" t="inlineStr">
        <is>
          <t>GRIEGOS CONSTRUCTORA</t>
        </is>
      </c>
      <c r="K259" s="314" t="n">
        <v>5900000</v>
      </c>
      <c r="L259" s="2" t="n">
        <v>44133</v>
      </c>
      <c r="M259" s="170" t="inlineStr">
        <is>
          <t>X</t>
        </is>
      </c>
      <c r="N259" s="170" t="n">
        <v>3155457303</v>
      </c>
      <c r="O259" s="172" t="inlineStr">
        <is>
          <t>Gabriel Byron Agudelo Cardona.</t>
        </is>
      </c>
      <c r="P259" s="52" t="inlineStr">
        <is>
          <t>cgriegossas@gmail.com</t>
        </is>
      </c>
    </row>
    <row r="260">
      <c r="B260" s="170" t="n">
        <v>245</v>
      </c>
      <c r="C260" s="199" t="inlineStr">
        <is>
          <t>COTIZACION DE LOS DISEÑOS DE PROTECCIÓN CONTRA  INCENDIOS - COLEGIO NUEVA COLONIA TURBO</t>
        </is>
      </c>
      <c r="D260" s="312" t="n"/>
      <c r="E260" s="312" t="n"/>
      <c r="F260" s="312" t="n"/>
      <c r="G260" s="312" t="n"/>
      <c r="H260" s="312" t="n"/>
      <c r="I260" s="313" t="n"/>
      <c r="J260" s="170" t="inlineStr">
        <is>
          <t>SOLUCIONES CONSTRUCTIVAS</t>
        </is>
      </c>
      <c r="K260" s="314" t="n">
        <v>4950000</v>
      </c>
      <c r="L260" s="2" t="n">
        <v>44133</v>
      </c>
      <c r="M260" s="170" t="n"/>
      <c r="N260" s="170" t="n">
        <v>3205630192</v>
      </c>
      <c r="O260" s="172" t="inlineStr">
        <is>
          <t>Santiago Ocampo</t>
        </is>
      </c>
      <c r="P260" s="52" t="inlineStr">
        <is>
          <t>socampo@solucionesconstructivas.co</t>
        </is>
      </c>
    </row>
    <row r="261">
      <c r="B261" s="170" t="n">
        <v>246</v>
      </c>
      <c r="C261" s="199" t="inlineStr">
        <is>
          <t>COTIZACIÓN DE LA INGENIERÍA CONCEPTUAL Y VERIFICACIÓN DEL SISTEMA ACTUAL DE LA PLANTA PINTUCO RIONEGRO</t>
        </is>
      </c>
      <c r="D261" s="312" t="n"/>
      <c r="E261" s="312" t="n"/>
      <c r="F261" s="312" t="n"/>
      <c r="G261" s="312" t="n"/>
      <c r="H261" s="312" t="n"/>
      <c r="I261" s="313" t="n"/>
      <c r="J261" s="170" t="inlineStr">
        <is>
          <t>SPCI</t>
        </is>
      </c>
      <c r="K261" s="314" t="n">
        <v>6770000</v>
      </c>
      <c r="L261" s="2" t="n">
        <v>44135</v>
      </c>
      <c r="M261" s="170" t="n"/>
      <c r="N261" s="170" t="n">
        <v>3137546144</v>
      </c>
      <c r="O261" s="172" t="inlineStr">
        <is>
          <t>Juan Camilo Quintero</t>
        </is>
      </c>
      <c r="P261" s="52" t="inlineStr">
        <is>
          <t>proyectos1spci@gmail.com</t>
        </is>
      </c>
    </row>
    <row r="262">
      <c r="B262" s="170" t="n">
        <v>247</v>
      </c>
      <c r="C262" s="199" t="inlineStr">
        <is>
          <t>EVALUACIÓN Y SELECCIÓN DE BOMBA CONTRA INCENDIOS PARA LA TERMINAL DEL SUR</t>
        </is>
      </c>
      <c r="D262" s="312" t="n"/>
      <c r="E262" s="312" t="n"/>
      <c r="F262" s="312" t="n"/>
      <c r="G262" s="312" t="n"/>
      <c r="H262" s="312" t="n"/>
      <c r="I262" s="313" t="n"/>
      <c r="J262" s="170" t="inlineStr">
        <is>
          <t>SERVICIOS IPM</t>
        </is>
      </c>
      <c r="K262" s="314" t="n">
        <v>4950000</v>
      </c>
      <c r="L262" s="2" t="n">
        <v>44139</v>
      </c>
      <c r="M262" s="170" t="n"/>
      <c r="N262" s="170" t="n">
        <v>3015421412</v>
      </c>
      <c r="O262" s="172" t="inlineStr">
        <is>
          <t>Juan Londoño</t>
        </is>
      </c>
      <c r="P262" s="52" t="inlineStr">
        <is>
          <t>juan.londono@serviciosipm.com</t>
        </is>
      </c>
    </row>
    <row r="263">
      <c r="B263" s="170" t="n">
        <v>248</v>
      </c>
      <c r="C263" s="199" t="inlineStr">
        <is>
          <t>COTIZACION DE LOS DISEÑOS DE SEGURIDAD HUMANA Y PROTECCIÓN CONTRA  INCENDIOS - FUNDACIÓN INFANTIL</t>
        </is>
      </c>
      <c r="D263" s="312" t="n"/>
      <c r="E263" s="312" t="n"/>
      <c r="F263" s="312" t="n"/>
      <c r="G263" s="312" t="n"/>
      <c r="H263" s="312" t="n"/>
      <c r="I263" s="313" t="n"/>
      <c r="J263" s="170" t="inlineStr">
        <is>
          <t>SPCI</t>
        </is>
      </c>
      <c r="K263" s="314" t="n">
        <v>3950000</v>
      </c>
      <c r="L263" s="2" t="n">
        <v>44140</v>
      </c>
      <c r="M263" s="170" t="n"/>
      <c r="N263" s="170" t="n">
        <v>3103898043</v>
      </c>
      <c r="O263" s="172" t="inlineStr">
        <is>
          <t>Mauricio Gutierrez</t>
        </is>
      </c>
      <c r="P263" s="52" t="inlineStr">
        <is>
          <t>mauricio.gutierrez@spci.com.co</t>
        </is>
      </c>
    </row>
    <row r="264">
      <c r="B264" s="170" t="n">
        <v>249</v>
      </c>
      <c r="C264" s="199" t="inlineStr">
        <is>
          <t>COTIZACION DEL DISEÑO DE EXTINCIÓN DE INCENDIOS - CENTRO DE SERVICIOS SUR ETAPA 2</t>
        </is>
      </c>
      <c r="D264" s="312" t="n"/>
      <c r="E264" s="312" t="n"/>
      <c r="F264" s="312" t="n"/>
      <c r="G264" s="312" t="n"/>
      <c r="H264" s="312" t="n"/>
      <c r="I264" s="313" t="n"/>
      <c r="J264" s="170" t="inlineStr">
        <is>
          <t>O3 Ingeniería</t>
        </is>
      </c>
      <c r="K264" s="314" t="n">
        <v>5200000</v>
      </c>
      <c r="L264" s="2" t="n">
        <v>44141</v>
      </c>
      <c r="M264" s="170" t="n"/>
      <c r="N264" s="170" t="n">
        <v>3108324371</v>
      </c>
      <c r="O264" s="172" t="inlineStr">
        <is>
          <t>Marcela Orozco</t>
        </is>
      </c>
      <c r="P264" s="52" t="inlineStr">
        <is>
          <t>marcela.orozco@o3ingenieria.com</t>
        </is>
      </c>
    </row>
    <row r="265">
      <c r="B265" s="170" t="n">
        <v>250</v>
      </c>
      <c r="C265" s="199" t="inlineStr">
        <is>
          <t>COTIZACION DEL DISEÑO DE EXTINCIÓN DE INCENDIOS - PLANTA SAFER</t>
        </is>
      </c>
      <c r="D265" s="312" t="n"/>
      <c r="E265" s="312" t="n"/>
      <c r="F265" s="312" t="n"/>
      <c r="G265" s="312" t="n"/>
      <c r="H265" s="312" t="n"/>
      <c r="I265" s="313" t="n"/>
      <c r="J265" s="170" t="inlineStr">
        <is>
          <t>ALEJANDRO GOMEZ</t>
        </is>
      </c>
      <c r="K265" s="314" t="n">
        <v>12550000</v>
      </c>
      <c r="L265" s="2" t="n">
        <v>44141</v>
      </c>
      <c r="M265" s="170" t="n"/>
      <c r="N265" s="170" t="inlineStr">
        <is>
          <t>314 773 90 63</t>
        </is>
      </c>
      <c r="O265" s="172" t="inlineStr">
        <is>
          <t>Alejandro Gómez</t>
        </is>
      </c>
      <c r="P265" s="52" t="inlineStr">
        <is>
          <t>alejandrogomezvillegas@gmail.com</t>
        </is>
      </c>
    </row>
    <row r="266">
      <c r="B266" s="170" t="n">
        <v>251</v>
      </c>
      <c r="C266" s="199" t="inlineStr">
        <is>
          <t>COTIZACION DE LOS DISEÑOS DE SEGURIDAD HUMANA Y PROTECCIÓN CONTRA  INCENDIOS - COLEGIO MONTESORI SEDE ORIENTE</t>
        </is>
      </c>
      <c r="D266" s="312" t="n"/>
      <c r="E266" s="312" t="n"/>
      <c r="F266" s="312" t="n"/>
      <c r="G266" s="312" t="n"/>
      <c r="H266" s="312" t="n"/>
      <c r="I266" s="313" t="n"/>
      <c r="J266" s="170" t="inlineStr">
        <is>
          <t>CONSTRUCTIVAMENTE</t>
        </is>
      </c>
      <c r="K266" s="314" t="n">
        <v>5850000</v>
      </c>
      <c r="L266" s="2" t="n">
        <v>44141</v>
      </c>
      <c r="M266" s="170" t="n"/>
      <c r="N266" s="170" t="n">
        <v>3155258540</v>
      </c>
      <c r="O266" s="172" t="inlineStr">
        <is>
          <t>Federico Duque</t>
        </is>
      </c>
      <c r="P266" s="52" t="inlineStr">
        <is>
          <t xml:space="preserve">
federico.duque@constructivamente.com</t>
        </is>
      </c>
    </row>
    <row r="267">
      <c r="B267" s="170" t="n">
        <v>252</v>
      </c>
      <c r="C267" s="231" t="inlineStr">
        <is>
          <t xml:space="preserve">COTIZACION DE LOS DISEÑOS DE PROTECCIÓN CONTRA INCENDIOS EN REVIT PARA EL PISO 4 AL 9 ETAPA 1 DE PLAZA FABRICATO </t>
        </is>
      </c>
      <c r="D267" s="312" t="n"/>
      <c r="E267" s="312" t="n"/>
      <c r="F267" s="312" t="n"/>
      <c r="G267" s="312" t="n"/>
      <c r="H267" s="312" t="n"/>
      <c r="I267" s="313" t="n"/>
      <c r="J267" s="37" t="inlineStr">
        <is>
          <t>SPCI</t>
        </is>
      </c>
      <c r="K267" s="314" t="n">
        <v>2500000</v>
      </c>
      <c r="L267" s="2" t="n">
        <v>44144</v>
      </c>
      <c r="M267" s="2" t="inlineStr">
        <is>
          <t>X</t>
        </is>
      </c>
      <c r="N267" s="170" t="n">
        <v>3104165783</v>
      </c>
      <c r="O267" s="172" t="inlineStr">
        <is>
          <t>Cristiam Mondragón</t>
        </is>
      </c>
      <c r="P267" s="52" t="inlineStr">
        <is>
          <t>cristiamondragon.spci@gmail.com</t>
        </is>
      </c>
    </row>
    <row r="268">
      <c r="B268" s="170" t="n">
        <v>253</v>
      </c>
      <c r="C268" s="231" t="inlineStr">
        <is>
          <t>COTIZACION DE AJUSTES AL MODELO EN REVIT Y ELABORACIÓN DE PLANOS - LUIS AMIGÓ</t>
        </is>
      </c>
      <c r="D268" s="312" t="n"/>
      <c r="E268" s="312" t="n"/>
      <c r="F268" s="312" t="n"/>
      <c r="G268" s="312" t="n"/>
      <c r="H268" s="312" t="n"/>
      <c r="I268" s="313" t="n"/>
      <c r="J268" s="37" t="inlineStr">
        <is>
          <t>SPCI</t>
        </is>
      </c>
      <c r="K268" s="314" t="n">
        <v>2500000</v>
      </c>
      <c r="L268" s="2" t="n">
        <v>44145</v>
      </c>
      <c r="M268" s="170" t="n"/>
      <c r="N268" s="170" t="n">
        <v>3104165783</v>
      </c>
      <c r="O268" s="172" t="inlineStr">
        <is>
          <t>Cristiam Mondragón</t>
        </is>
      </c>
      <c r="P268" s="52" t="inlineStr">
        <is>
          <t>cristiamondragon.spci@gmail.com</t>
        </is>
      </c>
    </row>
    <row r="269">
      <c r="B269" s="170" t="n">
        <v>254</v>
      </c>
      <c r="C269" s="199" t="inlineStr">
        <is>
          <t>COTIZACION DE LOS DISEÑOS DE SEGURIDAD HUMANA Y PROTECCIÓN CONTRA  INCENDIOS - RADIOTERAPIA PORTOAZUL</t>
        </is>
      </c>
      <c r="D269" s="312" t="n"/>
      <c r="E269" s="312" t="n"/>
      <c r="F269" s="312" t="n"/>
      <c r="G269" s="312" t="n"/>
      <c r="H269" s="312" t="n"/>
      <c r="I269" s="313" t="n"/>
      <c r="J269" s="170" t="inlineStr">
        <is>
          <t>INTERVÉ</t>
        </is>
      </c>
      <c r="K269" s="314" t="n">
        <v>3800000</v>
      </c>
      <c r="L269" s="2" t="n">
        <v>44145</v>
      </c>
      <c r="M269" s="170" t="n"/>
      <c r="N269" s="170" t="inlineStr">
        <is>
          <t>57(4) 352 3434</t>
        </is>
      </c>
      <c r="O269" s="172" t="inlineStr">
        <is>
          <t>Humberto Acevedo</t>
        </is>
      </c>
      <c r="P269" s="52" t="inlineStr">
        <is>
          <t>hacevedo@interve.co</t>
        </is>
      </c>
    </row>
    <row r="270">
      <c r="B270" s="170" t="n">
        <v>255</v>
      </c>
      <c r="C270" s="231" t="inlineStr">
        <is>
          <t>COTIZACION DE AJUSTES AL MODELO EN REVIT Y ELABORACIÓN DE PLANOS Y CANTIDADES - LUIS AMIGÓ</t>
        </is>
      </c>
      <c r="D270" s="312" t="n"/>
      <c r="E270" s="312" t="n"/>
      <c r="F270" s="312" t="n"/>
      <c r="G270" s="312" t="n"/>
      <c r="H270" s="312" t="n"/>
      <c r="I270" s="313" t="n"/>
      <c r="J270" s="37" t="inlineStr">
        <is>
          <t>SPCI</t>
        </is>
      </c>
      <c r="K270" s="314" t="n">
        <v>3900000</v>
      </c>
      <c r="L270" s="2" t="n">
        <v>44145</v>
      </c>
      <c r="M270" s="170" t="n"/>
      <c r="N270" s="170" t="n">
        <v>3104165783</v>
      </c>
      <c r="O270" s="172" t="inlineStr">
        <is>
          <t>Cristiam Mondragón</t>
        </is>
      </c>
      <c r="P270" s="52" t="inlineStr">
        <is>
          <t>cristiamondragon.spci@gmail.com</t>
        </is>
      </c>
    </row>
    <row r="271">
      <c r="B271" s="170" t="n">
        <v>256</v>
      </c>
      <c r="C271" s="199" t="inlineStr">
        <is>
          <t>CANTIDADES DE OBRA DIAGNOSTICO SISTEMA RED CONTRA INCENIDOS - IDEO</t>
        </is>
      </c>
      <c r="D271" s="312" t="n"/>
      <c r="E271" s="312" t="n"/>
      <c r="F271" s="312" t="n"/>
      <c r="G271" s="312" t="n"/>
      <c r="H271" s="312" t="n"/>
      <c r="I271" s="313" t="n"/>
      <c r="J271" s="170" t="inlineStr">
        <is>
          <t>SPCI</t>
        </is>
      </c>
      <c r="K271" s="314" t="n">
        <v>11305000</v>
      </c>
      <c r="L271" s="2" t="n">
        <v>44146</v>
      </c>
      <c r="M271" s="170" t="n"/>
      <c r="N271" s="170" t="n">
        <v>3137546144</v>
      </c>
      <c r="O271" s="172" t="inlineStr">
        <is>
          <t>Juan Camilo Quintero</t>
        </is>
      </c>
      <c r="P271" s="52" t="inlineStr">
        <is>
          <t>proyectos1spci@gmail.com</t>
        </is>
      </c>
    </row>
    <row r="272">
      <c r="B272" s="170" t="n">
        <v>257</v>
      </c>
      <c r="C272" s="199" t="inlineStr">
        <is>
          <t>COTIZACION DE LOS DISEÑOS DE SEGURIDAD HUMANA Y PROTECCIÓN CONTRA  INCENDIOS - CLÍNICA RENAL BELLO</t>
        </is>
      </c>
      <c r="D272" s="312" t="n"/>
      <c r="E272" s="312" t="n"/>
      <c r="F272" s="312" t="n"/>
      <c r="G272" s="312" t="n"/>
      <c r="H272" s="312" t="n"/>
      <c r="I272" s="313" t="n"/>
      <c r="J272" s="170" t="inlineStr">
        <is>
          <t>SPCI</t>
        </is>
      </c>
      <c r="K272" s="314" t="n">
        <v>5520000</v>
      </c>
      <c r="L272" s="2" t="n">
        <v>44146</v>
      </c>
      <c r="M272" s="170" t="n"/>
      <c r="N272" s="170" t="n">
        <v>3104203649</v>
      </c>
      <c r="O272" s="172" t="inlineStr">
        <is>
          <t>Mauricio Guzman</t>
        </is>
      </c>
      <c r="P272" s="52" t="inlineStr">
        <is>
          <t>mauroguzmanspci@gmail.com</t>
        </is>
      </c>
    </row>
    <row r="273">
      <c r="B273" s="170" t="n">
        <v>258</v>
      </c>
      <c r="C273" s="199" t="inlineStr">
        <is>
          <t>COTIZACION DE LOS DISEÑOS DE PROTECCIÓN CONTRA INCENDIOS - LOCAL 31 AVENTURA</t>
        </is>
      </c>
      <c r="D273" s="312" t="n"/>
      <c r="E273" s="312" t="n"/>
      <c r="F273" s="312" t="n"/>
      <c r="G273" s="312" t="n"/>
      <c r="H273" s="312" t="n"/>
      <c r="I273" s="313" t="n"/>
      <c r="J273" s="170" t="inlineStr">
        <is>
          <t>SOCOMES</t>
        </is>
      </c>
      <c r="K273" s="314" t="n">
        <v>600000</v>
      </c>
      <c r="L273" s="2" t="n">
        <v>44147</v>
      </c>
      <c r="M273" s="2" t="n"/>
      <c r="N273" s="170" t="n">
        <v>3168343581</v>
      </c>
      <c r="O273" s="172" t="inlineStr">
        <is>
          <t>Ivonne Gonzales</t>
        </is>
      </c>
      <c r="P273" s="52" t="inlineStr">
        <is>
          <t>proyectos@socomes.com</t>
        </is>
      </c>
    </row>
    <row r="274">
      <c r="B274" s="170" t="n">
        <v>259</v>
      </c>
      <c r="C274" s="199" t="inlineStr">
        <is>
          <t>COTIZACION DE LOS DISEÑOS DE PROTECCIÓN CONTRA  INCENDIOS - 5 BODEGAS</t>
        </is>
      </c>
      <c r="D274" s="312" t="n"/>
      <c r="E274" s="312" t="n"/>
      <c r="F274" s="312" t="n"/>
      <c r="G274" s="312" t="n"/>
      <c r="H274" s="312" t="n"/>
      <c r="I274" s="313" t="n"/>
      <c r="J274" s="170" t="inlineStr">
        <is>
          <t>GINO</t>
        </is>
      </c>
      <c r="K274" s="314" t="n">
        <v>17560000</v>
      </c>
      <c r="L274" s="2" t="n">
        <v>44147</v>
      </c>
      <c r="M274" s="170" t="n"/>
      <c r="N274" s="170" t="n">
        <v>3113396273</v>
      </c>
      <c r="O274" s="172" t="inlineStr">
        <is>
          <t>Gino Montoya</t>
        </is>
      </c>
      <c r="P274" s="52" t="inlineStr">
        <is>
          <t>gino1037@hotmail.com</t>
        </is>
      </c>
    </row>
    <row r="275">
      <c r="B275" s="170" t="n">
        <v>260</v>
      </c>
      <c r="C275" s="199" t="inlineStr">
        <is>
          <t>COTIZACION DE LOS DISEÑOS DE SEGURIDAD HUMANA Y PROTECCIÓN CONTRA  INCENDIOS - TORRE CASTELLO</t>
        </is>
      </c>
      <c r="D275" s="312" t="n"/>
      <c r="E275" s="312" t="n"/>
      <c r="F275" s="312" t="n"/>
      <c r="G275" s="312" t="n"/>
      <c r="H275" s="312" t="n"/>
      <c r="I275" s="313" t="n"/>
      <c r="J275" s="170" t="inlineStr">
        <is>
          <t>PERFEK</t>
        </is>
      </c>
      <c r="K275" s="314" t="n">
        <v>9530000</v>
      </c>
      <c r="L275" s="2" t="n">
        <v>44148</v>
      </c>
      <c r="M275" s="170" t="n"/>
      <c r="N275" s="170" t="n">
        <v>3007701428</v>
      </c>
      <c r="O275" s="172" t="inlineStr">
        <is>
          <t>Johana Montaya</t>
        </is>
      </c>
      <c r="P275" s="52" t="inlineStr">
        <is>
          <t>johana.montoya@perfek.com.co</t>
        </is>
      </c>
    </row>
    <row r="276">
      <c r="B276" s="170" t="n">
        <v>261</v>
      </c>
      <c r="C276" s="199" t="inlineStr">
        <is>
          <t>COTIZACION DE LOS RE-DISEÑOS DE PROTECCIÓN CONTRA INCENDIOS Y SEGURIDAD HUMANA PARA EL PROYECTO FAJAS MYD</t>
        </is>
      </c>
      <c r="D276" s="312" t="n"/>
      <c r="E276" s="312" t="n"/>
      <c r="F276" s="312" t="n"/>
      <c r="G276" s="312" t="n"/>
      <c r="H276" s="312" t="n"/>
      <c r="I276" s="313" t="n"/>
      <c r="J276" s="170" t="inlineStr">
        <is>
          <t>SAHA</t>
        </is>
      </c>
      <c r="K276" s="314" t="n">
        <v>13925000</v>
      </c>
      <c r="L276" s="2" t="n">
        <v>44152</v>
      </c>
      <c r="M276" s="170" t="inlineStr">
        <is>
          <t>X</t>
        </is>
      </c>
      <c r="N276" s="170" t="n">
        <v>3008165485</v>
      </c>
      <c r="O276" s="176" t="inlineStr">
        <is>
          <t>Héctor Valencia</t>
        </is>
      </c>
      <c r="P276" s="52" t="inlineStr">
        <is>
          <t>hvalencia@saha.com.co</t>
        </is>
      </c>
    </row>
    <row r="277">
      <c r="B277" s="170" t="n">
        <v>262</v>
      </c>
      <c r="C277" s="199" t="inlineStr">
        <is>
          <t>COTIZACION DE LOS DISEÑOS DE SEGURIDAD HUMANA Y PROTECCIÓN CONTRA  INCENDIOS - NATE</t>
        </is>
      </c>
      <c r="D277" s="312" t="n"/>
      <c r="E277" s="312" t="n"/>
      <c r="F277" s="312" t="n"/>
      <c r="G277" s="312" t="n"/>
      <c r="H277" s="312" t="n"/>
      <c r="I277" s="313" t="n"/>
      <c r="J277" s="170" t="inlineStr">
        <is>
          <t>CONTROL MAESTRO</t>
        </is>
      </c>
      <c r="K277" s="314" t="n">
        <v>22960000</v>
      </c>
      <c r="L277" s="2" t="n">
        <v>44152</v>
      </c>
      <c r="M277" s="170" t="n"/>
      <c r="N277" s="172" t="n">
        <v>3045662939</v>
      </c>
      <c r="O277" s="172" t="inlineStr">
        <is>
          <t>Andrés Felipe Tamayo Casas</t>
        </is>
      </c>
      <c r="P277" s="52" t="inlineStr">
        <is>
          <t>andrestamayo@controlmaestro.com.co</t>
        </is>
      </c>
    </row>
    <row r="278">
      <c r="B278" s="170" t="n">
        <v>263</v>
      </c>
      <c r="C278" s="199" t="inlineStr">
        <is>
          <t>COTIZACION DE LOS DISEÑOS DE PROTECCIÓN CONTRA INCENDIOS Y SEGURIDAD HUMANA PARA EL PROYECTO ANTALYA</t>
        </is>
      </c>
      <c r="D278" s="312" t="n"/>
      <c r="E278" s="312" t="n"/>
      <c r="F278" s="312" t="n"/>
      <c r="G278" s="312" t="n"/>
      <c r="H278" s="312" t="n"/>
      <c r="I278" s="313" t="n"/>
      <c r="J278" s="170" t="inlineStr">
        <is>
          <t>EDYFICA</t>
        </is>
      </c>
      <c r="K278" s="314" t="n">
        <v>13960000</v>
      </c>
      <c r="L278" s="2" t="n">
        <v>44153</v>
      </c>
      <c r="M278" s="170" t="inlineStr">
        <is>
          <t>X</t>
        </is>
      </c>
      <c r="N278" s="170" t="n">
        <v>3127575897</v>
      </c>
      <c r="O278" s="172" t="inlineStr">
        <is>
          <t>Juan Manuel Russi</t>
        </is>
      </c>
      <c r="P278" s="52" t="inlineStr">
        <is>
          <t>juan.russi@edyfica.co</t>
        </is>
      </c>
    </row>
    <row r="279">
      <c r="B279" s="170" t="n">
        <v>264</v>
      </c>
      <c r="C279" s="199" t="inlineStr">
        <is>
          <t>COTIZACION DE LOS DISEÑOS DE PROTECCIÓN CONTRA  INCENDIOS - HABITACIONES LAS AMÉRICAS PISO 4</t>
        </is>
      </c>
      <c r="D279" s="312" t="n"/>
      <c r="E279" s="312" t="n"/>
      <c r="F279" s="312" t="n"/>
      <c r="G279" s="312" t="n"/>
      <c r="H279" s="312" t="n"/>
      <c r="I279" s="313" t="n"/>
      <c r="J279" s="170" t="inlineStr">
        <is>
          <t>INTERVÉ</t>
        </is>
      </c>
      <c r="K279" s="314" t="n">
        <v>2950000</v>
      </c>
      <c r="L279" s="2" t="n">
        <v>44153</v>
      </c>
      <c r="M279" s="170" t="inlineStr">
        <is>
          <t>X</t>
        </is>
      </c>
      <c r="N279" s="170" t="inlineStr">
        <is>
          <t>57(4) 352 3434</t>
        </is>
      </c>
      <c r="O279" s="172" t="inlineStr">
        <is>
          <t>Humberto Acevedo</t>
        </is>
      </c>
      <c r="P279" s="52" t="inlineStr">
        <is>
          <t>hacevedo@interve.co</t>
        </is>
      </c>
    </row>
    <row r="280">
      <c r="B280" s="170" t="n">
        <v>265</v>
      </c>
      <c r="C280" s="199" t="inlineStr">
        <is>
          <t>COTIZACION DE LOS DISEÑOS DE SEGURIDAD HUMANA Y PROTECCIÓN CONTRA  INCENDIOS - PICACHO PLAZA</t>
        </is>
      </c>
      <c r="D280" s="312" t="n"/>
      <c r="E280" s="312" t="n"/>
      <c r="F280" s="312" t="n"/>
      <c r="G280" s="312" t="n"/>
      <c r="H280" s="312" t="n"/>
      <c r="I280" s="313" t="n"/>
      <c r="J280" s="170" t="inlineStr">
        <is>
          <t>INGENEXCO</t>
        </is>
      </c>
      <c r="K280" s="314" t="n">
        <v>14450000</v>
      </c>
      <c r="L280" s="2" t="n">
        <v>44153</v>
      </c>
      <c r="M280" s="170" t="n"/>
      <c r="N280" s="170" t="n">
        <v>3116537341</v>
      </c>
      <c r="O280" s="172" t="inlineStr">
        <is>
          <t>Luis Carlos Cuao</t>
        </is>
      </c>
      <c r="P280" s="52" t="inlineStr">
        <is>
          <t>gerencia@grupoingenexco.com</t>
        </is>
      </c>
    </row>
    <row r="281">
      <c r="B281" s="170" t="n">
        <v>266</v>
      </c>
      <c r="C281" s="199" t="inlineStr">
        <is>
          <t>COTIZACION DEL DISEÑO DE EXTINCIÓN DE INCENDIOS - PARQUE LOGISTICO Y EMPRESARIAL LOGIN</t>
        </is>
      </c>
      <c r="D281" s="312" t="n"/>
      <c r="E281" s="312" t="n"/>
      <c r="F281" s="312" t="n"/>
      <c r="G281" s="312" t="n"/>
      <c r="H281" s="312" t="n"/>
      <c r="I281" s="313" t="n"/>
      <c r="J281" s="170" t="inlineStr">
        <is>
          <t>PROMOTORA BICENTENARIO</t>
        </is>
      </c>
      <c r="K281" s="314" t="n">
        <v>11050000</v>
      </c>
      <c r="L281" s="2" t="n">
        <v>44153</v>
      </c>
      <c r="M281" s="170" t="n"/>
      <c r="N281" s="170" t="inlineStr">
        <is>
          <t>301 609 49 28</t>
        </is>
      </c>
      <c r="O281" s="172" t="inlineStr">
        <is>
          <t>Andrés Felipe Gómez</t>
        </is>
      </c>
      <c r="P281" s="52" t="inlineStr">
        <is>
          <t>director.promotorabicentenario@gmail.com</t>
        </is>
      </c>
    </row>
    <row r="282">
      <c r="B282" s="170" t="n">
        <v>267</v>
      </c>
      <c r="C282" s="199" t="inlineStr">
        <is>
          <t>COTIZACION DEL DISEÑO DE DETECCIÓN DE INCENDIOS - BODEGAS UMO</t>
        </is>
      </c>
      <c r="D282" s="312" t="n"/>
      <c r="E282" s="312" t="n"/>
      <c r="F282" s="312" t="n"/>
      <c r="G282" s="312" t="n"/>
      <c r="H282" s="312" t="n"/>
      <c r="I282" s="313" t="n"/>
      <c r="J282" s="170" t="inlineStr">
        <is>
          <t>SECURETEC</t>
        </is>
      </c>
      <c r="K282" s="314" t="n">
        <v>5950000</v>
      </c>
      <c r="L282" s="2" t="n">
        <v>44153</v>
      </c>
      <c r="M282" s="170" t="n"/>
      <c r="N282" s="170" t="inlineStr">
        <is>
          <t>312 405 4584</t>
        </is>
      </c>
      <c r="O282" s="172" t="inlineStr">
        <is>
          <t>Maribel Osorio</t>
        </is>
      </c>
      <c r="P282" s="52" t="inlineStr">
        <is>
          <t>ascomercial@securetec.com.co</t>
        </is>
      </c>
    </row>
    <row r="283">
      <c r="B283" s="170" t="n">
        <v>268</v>
      </c>
      <c r="C283" s="199" t="inlineStr">
        <is>
          <t>COTIZACION DE LOS DISEÑOS DE SEGURIDAD HUMANA Y PROTECCIÓN CONTRA  INCENDIOS - TORRE CASTELLO</t>
        </is>
      </c>
      <c r="D283" s="312" t="n"/>
      <c r="E283" s="312" t="n"/>
      <c r="F283" s="312" t="n"/>
      <c r="G283" s="312" t="n"/>
      <c r="H283" s="312" t="n"/>
      <c r="I283" s="313" t="n"/>
      <c r="J283" s="170" t="inlineStr">
        <is>
          <t>SECURETEC</t>
        </is>
      </c>
      <c r="K283" s="314" t="n">
        <v>8590000</v>
      </c>
      <c r="L283" s="2" t="n">
        <v>44153</v>
      </c>
      <c r="M283" s="170" t="n"/>
      <c r="N283" s="170" t="inlineStr">
        <is>
          <t>312 405 4584</t>
        </is>
      </c>
      <c r="O283" s="172" t="inlineStr">
        <is>
          <t>Maribel Osorio</t>
        </is>
      </c>
      <c r="P283" s="52" t="inlineStr">
        <is>
          <t>ascomercial@securetec.com.co</t>
        </is>
      </c>
    </row>
    <row r="284">
      <c r="B284" s="170" t="n">
        <v>269</v>
      </c>
      <c r="C284" s="199" t="inlineStr">
        <is>
          <t>COTIZACION DE LOS DISEÑOS DE PROTECCIÓN CONTRA INCENDIOS Y SEGURIDAD HUMANA PARA EL PROYECTO CLÍNICA CÓRDOBA</t>
        </is>
      </c>
      <c r="D284" s="312" t="n"/>
      <c r="E284" s="312" t="n"/>
      <c r="F284" s="312" t="n"/>
      <c r="G284" s="312" t="n"/>
      <c r="H284" s="312" t="n"/>
      <c r="I284" s="313" t="n"/>
      <c r="J284" s="170" t="inlineStr">
        <is>
          <t>CONDISEÑO</t>
        </is>
      </c>
      <c r="K284" s="314" t="n">
        <v>3000000</v>
      </c>
      <c r="L284" s="2" t="n">
        <v>44155</v>
      </c>
      <c r="M284" s="170" t="n"/>
      <c r="N284" s="170" t="n">
        <v>3175594091</v>
      </c>
      <c r="O284" s="172" t="inlineStr">
        <is>
          <t>Nakary García Romero</t>
        </is>
      </c>
      <c r="P284" s="52" t="inlineStr">
        <is>
          <t>n.garcia@condiseno.co</t>
        </is>
      </c>
    </row>
    <row r="285">
      <c r="B285" s="170" t="n">
        <v>270</v>
      </c>
      <c r="C285" s="199" t="inlineStr">
        <is>
          <t>COTIZACION DE LOS DISEÑOS DE SEGURIDAD HUMANA Y PROTECCIÓN CONTRA  INCENDIOS - HOSPITAL CAÑAS GORDAS</t>
        </is>
      </c>
      <c r="D285" s="312" t="n"/>
      <c r="E285" s="312" t="n"/>
      <c r="F285" s="312" t="n"/>
      <c r="G285" s="312" t="n"/>
      <c r="H285" s="312" t="n"/>
      <c r="I285" s="313" t="n"/>
      <c r="J285" s="170" t="inlineStr">
        <is>
          <t>CIVILSA</t>
        </is>
      </c>
      <c r="K285" s="314" t="n">
        <v>13985000</v>
      </c>
      <c r="L285" s="2" t="n">
        <v>44155</v>
      </c>
      <c r="M285" s="170" t="n"/>
      <c r="N285" s="170" t="inlineStr">
        <is>
          <t>310 4659572</t>
        </is>
      </c>
      <c r="O285" s="172" t="inlineStr">
        <is>
          <t>Julio Alzate</t>
        </is>
      </c>
      <c r="P285" s="52" t="inlineStr">
        <is>
          <t xml:space="preserve">julialzate@une.net.co </t>
        </is>
      </c>
    </row>
    <row r="286">
      <c r="B286" s="170" t="n">
        <v>271</v>
      </c>
      <c r="C286" s="199" t="inlineStr">
        <is>
          <t>COTIZACION MODELACIÓN Y ANÁLISIS HIDRÁULICO DISEÑOS ACTUALES RCI PROYECTO MOCACCINO</t>
        </is>
      </c>
      <c r="D286" s="312" t="n"/>
      <c r="E286" s="312" t="n"/>
      <c r="F286" s="312" t="n"/>
      <c r="G286" s="312" t="n"/>
      <c r="H286" s="312" t="n"/>
      <c r="I286" s="313" t="n"/>
      <c r="J286" s="170" t="inlineStr">
        <is>
          <t>ARS SOLUCIONES</t>
        </is>
      </c>
      <c r="K286" s="314" t="n">
        <v>3900000</v>
      </c>
      <c r="L286" s="2" t="n">
        <v>44158</v>
      </c>
      <c r="M286" s="170" t="n"/>
      <c r="N286" s="170" t="n">
        <v>3122806675</v>
      </c>
      <c r="O286" s="172" t="inlineStr">
        <is>
          <t>Robinson Arcila</t>
        </is>
      </c>
      <c r="P286" s="52" t="inlineStr">
        <is>
          <t>robinson18e@gmail.com</t>
        </is>
      </c>
    </row>
    <row r="287">
      <c r="B287" s="170" t="n">
        <v>272</v>
      </c>
      <c r="C287" s="199" t="inlineStr">
        <is>
          <t>COTIZACION DE LOS DISEÑOS DE SEGURIDAD HUMANA Y PROTECCIÓN CONTRA  INCENDIOS - POBLADO CAMPESTRE</t>
        </is>
      </c>
      <c r="D287" s="312" t="n"/>
      <c r="E287" s="312" t="n"/>
      <c r="F287" s="312" t="n"/>
      <c r="G287" s="312" t="n"/>
      <c r="H287" s="312" t="n"/>
      <c r="I287" s="313" t="n"/>
      <c r="J287" s="170" t="inlineStr">
        <is>
          <t>ALEJANDRO GOMEZ</t>
        </is>
      </c>
      <c r="K287" s="314" t="n">
        <v>9890000</v>
      </c>
      <c r="L287" s="2" t="n">
        <v>44160</v>
      </c>
      <c r="M287" s="170" t="inlineStr">
        <is>
          <t>X</t>
        </is>
      </c>
      <c r="N287" s="170" t="inlineStr">
        <is>
          <t>314 773 90 63</t>
        </is>
      </c>
      <c r="O287" s="172" t="inlineStr">
        <is>
          <t>Alejandro Gómez</t>
        </is>
      </c>
      <c r="P287" s="52" t="inlineStr">
        <is>
          <t>alejandrogomezvillegas@gmail.com</t>
        </is>
      </c>
    </row>
    <row r="288">
      <c r="B288" s="170" t="n">
        <v>273</v>
      </c>
      <c r="C288" s="199" t="inlineStr">
        <is>
          <t>COTIZACION DEL DISEÑO DE DETECCIÓN DE INCENDIOS - VITENZA</t>
        </is>
      </c>
      <c r="D288" s="312" t="n"/>
      <c r="E288" s="312" t="n"/>
      <c r="F288" s="312" t="n"/>
      <c r="G288" s="312" t="n"/>
      <c r="H288" s="312" t="n"/>
      <c r="I288" s="313" t="n"/>
      <c r="J288" s="170" t="inlineStr">
        <is>
          <t>SECURETEC</t>
        </is>
      </c>
      <c r="K288" s="314" t="n">
        <v>8590000</v>
      </c>
      <c r="L288" s="2" t="n">
        <v>44160</v>
      </c>
      <c r="M288" s="170" t="n"/>
      <c r="N288" s="170" t="n">
        <v>3206678830</v>
      </c>
      <c r="O288" s="172" t="inlineStr">
        <is>
          <t>Jhonny Castro</t>
        </is>
      </c>
      <c r="P288" s="52" t="inlineStr">
        <is>
          <t>dirproyectos@securetec.com.co</t>
        </is>
      </c>
    </row>
    <row r="289">
      <c r="B289" s="170" t="n">
        <v>274</v>
      </c>
      <c r="C289" s="199" t="inlineStr">
        <is>
          <t>COTIZACION DE LOS DISEÑOS DE SEGURIDAD HUMANA Y PROTECCIÓN CONTRA  INCENDIOS - TORRE AMBULATORIA CLÍNICA VICTORIANA</t>
        </is>
      </c>
      <c r="D289" s="312" t="n"/>
      <c r="E289" s="312" t="n"/>
      <c r="F289" s="312" t="n"/>
      <c r="G289" s="312" t="n"/>
      <c r="H289" s="312" t="n"/>
      <c r="I289" s="313" t="n"/>
      <c r="J289" s="170" t="inlineStr">
        <is>
          <t>CLINICA VICTORINA</t>
        </is>
      </c>
      <c r="K289" s="314" t="n">
        <v>14420000</v>
      </c>
      <c r="L289" s="2" t="n">
        <v>44163</v>
      </c>
      <c r="M289" s="2" t="inlineStr">
        <is>
          <t>X</t>
        </is>
      </c>
      <c r="N289" s="170" t="n">
        <v>3017889201</v>
      </c>
      <c r="O289" s="172" t="inlineStr">
        <is>
          <t>Juan José Bohórquez</t>
        </is>
      </c>
      <c r="P289" s="52" t="inlineStr">
        <is>
          <t>proyecto.torrevictoriana@gmail.com</t>
        </is>
      </c>
    </row>
    <row r="290">
      <c r="B290" s="170" t="n">
        <v>275</v>
      </c>
      <c r="C290" s="199" t="inlineStr">
        <is>
          <t>COTIZACION DE LOS DISEÑOS DE SEGURIDAD HUMANA Y PROTECCIÓN CONTRA  INCENDIOS - JARDÍN INFANTIL</t>
        </is>
      </c>
      <c r="D290" s="312" t="n"/>
      <c r="E290" s="312" t="n"/>
      <c r="F290" s="312" t="n"/>
      <c r="G290" s="312" t="n"/>
      <c r="H290" s="312" t="n"/>
      <c r="I290" s="313" t="n"/>
      <c r="J290" s="170" t="inlineStr">
        <is>
          <t>EDYFICA</t>
        </is>
      </c>
      <c r="K290" s="314" t="n">
        <v>4515000</v>
      </c>
      <c r="L290" s="2" t="n">
        <v>43886</v>
      </c>
      <c r="M290" s="2" t="inlineStr">
        <is>
          <t>X</t>
        </is>
      </c>
      <c r="N290" s="170" t="n">
        <v>3104057513</v>
      </c>
      <c r="O290" s="172" t="inlineStr">
        <is>
          <t>Claudia Ramírez</t>
        </is>
      </c>
      <c r="P290" s="52" t="inlineStr">
        <is>
          <t>claudia.ramirez@edyfica.co</t>
        </is>
      </c>
    </row>
    <row r="291">
      <c r="B291" s="170" t="n">
        <v>276</v>
      </c>
      <c r="C291" s="199" t="inlineStr">
        <is>
          <t xml:space="preserve">COTIZACION DE LA REVISIÓN DE SEGURIDAD HUMANA Y LOS SISTEMAS DE PROTECCIÓN CONTRA INCENIDOS PARA LA CLÍNICA DE PEREIRA 6.500 M2 </t>
        </is>
      </c>
      <c r="D291" s="312" t="n"/>
      <c r="E291" s="312" t="n"/>
      <c r="F291" s="312" t="n"/>
      <c r="G291" s="312" t="n"/>
      <c r="H291" s="312" t="n"/>
      <c r="I291" s="313" t="n"/>
      <c r="J291" s="170" t="inlineStr">
        <is>
          <t>CONDISEÑO</t>
        </is>
      </c>
      <c r="K291" s="314" t="n">
        <v>3250000</v>
      </c>
      <c r="L291" s="2" t="n">
        <v>44168</v>
      </c>
      <c r="M291" s="2" t="n"/>
      <c r="N291" s="170" t="n">
        <v>3175594091</v>
      </c>
      <c r="O291" s="172" t="inlineStr">
        <is>
          <t>Nakary García Romero</t>
        </is>
      </c>
      <c r="P291" s="52" t="inlineStr">
        <is>
          <t>n.garcia@condiseno.co</t>
        </is>
      </c>
    </row>
    <row r="292">
      <c r="B292" s="170" t="n">
        <v>277</v>
      </c>
      <c r="C292" s="199" t="inlineStr">
        <is>
          <t>COTIZACION DE LOS DISEÑOS DE PROTECCIÓN CONTRA  INCENDIOS - QUIROFANOS EL TESORO</t>
        </is>
      </c>
      <c r="D292" s="312" t="n"/>
      <c r="E292" s="312" t="n"/>
      <c r="F292" s="312" t="n"/>
      <c r="G292" s="312" t="n"/>
      <c r="H292" s="312" t="n"/>
      <c r="I292" s="313" t="n"/>
      <c r="J292" s="170" t="inlineStr">
        <is>
          <t>SOCOMES</t>
        </is>
      </c>
      <c r="K292" s="314" t="n">
        <v>3950000</v>
      </c>
      <c r="L292" s="2" t="n">
        <v>44168</v>
      </c>
      <c r="M292" s="170" t="n"/>
      <c r="N292" s="170" t="n">
        <v>3137851941</v>
      </c>
      <c r="O292" s="172" t="inlineStr">
        <is>
          <t>David Lopera</t>
        </is>
      </c>
      <c r="P292" s="52" t="inlineStr">
        <is>
          <t>david.lopera@socomes.com</t>
        </is>
      </c>
    </row>
    <row r="293" ht="15" customHeight="1">
      <c r="B293" s="170" t="n">
        <v>278</v>
      </c>
      <c r="C293" s="199" t="inlineStr">
        <is>
          <t>COTIZACION DEL ANÁLISIS DE SEGURIDAD HUMANA - SENA LA CEJA</t>
        </is>
      </c>
      <c r="D293" s="312" t="n"/>
      <c r="E293" s="312" t="n"/>
      <c r="F293" s="312" t="n"/>
      <c r="G293" s="312" t="n"/>
      <c r="H293" s="312" t="n"/>
      <c r="I293" s="313" t="n"/>
      <c r="J293" s="170" t="inlineStr">
        <is>
          <t>CONCONCRETO</t>
        </is>
      </c>
      <c r="K293" s="314" t="n">
        <v>5350000</v>
      </c>
      <c r="L293" s="2" t="n">
        <v>44169</v>
      </c>
      <c r="M293" s="170" t="inlineStr">
        <is>
          <t>X</t>
        </is>
      </c>
      <c r="N293" s="170" t="inlineStr">
        <is>
          <t>300 367 50 22</t>
        </is>
      </c>
      <c r="O293" s="172" t="inlineStr">
        <is>
          <t>Andrés Restrepo</t>
        </is>
      </c>
      <c r="P293" s="52" t="inlineStr">
        <is>
          <t>arestrepoe@conconcreto.com</t>
        </is>
      </c>
    </row>
    <row r="294">
      <c r="B294" s="170" t="n">
        <v>279</v>
      </c>
      <c r="C294" s="199" t="inlineStr">
        <is>
          <t>COTIZACION DEL DISEÑO DE EXTINCIÓN DE INCENDIOS - INTERLLANTAS</t>
        </is>
      </c>
      <c r="D294" s="312" t="n"/>
      <c r="E294" s="312" t="n"/>
      <c r="F294" s="312" t="n"/>
      <c r="G294" s="312" t="n"/>
      <c r="H294" s="312" t="n"/>
      <c r="I294" s="313" t="n"/>
      <c r="J294" s="170" t="inlineStr">
        <is>
          <t>INTERLLANTAS</t>
        </is>
      </c>
      <c r="K294" s="314" t="n">
        <v>10750000</v>
      </c>
      <c r="L294" s="2" t="n">
        <v>44169</v>
      </c>
      <c r="M294" s="170" t="n"/>
      <c r="N294" s="170" t="inlineStr">
        <is>
          <t>300 4240239</t>
        </is>
      </c>
      <c r="O294" s="172" t="inlineStr">
        <is>
          <t>Pedro Pablo Restrepo</t>
        </is>
      </c>
      <c r="P294" s="52" t="inlineStr">
        <is>
          <t>pedroprpo@gmail.com</t>
        </is>
      </c>
    </row>
    <row r="295">
      <c r="B295" s="170" t="n">
        <v>280</v>
      </c>
      <c r="C295" s="199" t="inlineStr">
        <is>
          <t>COTIZACION DEL ANÁLISIS DE SEGURIDAD HUMANA - PRESCOLAR SAN JOSÉ DE LAS VEGAS</t>
        </is>
      </c>
      <c r="D295" s="312" t="n"/>
      <c r="E295" s="312" t="n"/>
      <c r="F295" s="312" t="n"/>
      <c r="G295" s="312" t="n"/>
      <c r="H295" s="312" t="n"/>
      <c r="I295" s="313" t="n"/>
      <c r="J295" s="170" t="inlineStr">
        <is>
          <t>COLEGIO SAN JOSÉ DE LAS VEGAS</t>
        </is>
      </c>
      <c r="K295" s="314" t="n">
        <v>3550000</v>
      </c>
      <c r="L295" s="2" t="n">
        <v>44170</v>
      </c>
      <c r="M295" s="170" t="inlineStr">
        <is>
          <t>X</t>
        </is>
      </c>
      <c r="N295" s="170" t="n">
        <v>3006582727</v>
      </c>
      <c r="O295" s="172" t="inlineStr">
        <is>
          <t>Lina Marcela Quiceno</t>
        </is>
      </c>
      <c r="P295" s="52" t="inlineStr">
        <is>
          <t>seguridadysalud@sanjosevegas.edu.co</t>
        </is>
      </c>
    </row>
    <row r="296">
      <c r="B296" s="170" t="n">
        <v>281</v>
      </c>
      <c r="C296" s="199" t="inlineStr">
        <is>
          <t>COTIZACION DE LOS DISEÑOS DE SEGURIDAD HUMANA Y PROTECCIÓN CONTRA  INCENDIOS - APTOS CONQUISTADORES CLL42 CRA 63C</t>
        </is>
      </c>
      <c r="D296" s="312" t="n"/>
      <c r="E296" s="312" t="n"/>
      <c r="F296" s="312" t="n"/>
      <c r="G296" s="312" t="n"/>
      <c r="H296" s="312" t="n"/>
      <c r="I296" s="313" t="n"/>
      <c r="J296" s="170" t="inlineStr">
        <is>
          <t xml:space="preserve">FREI </t>
        </is>
      </c>
      <c r="K296" s="314" t="n">
        <v>7965000</v>
      </c>
      <c r="L296" s="2" t="n">
        <v>44172</v>
      </c>
      <c r="M296" s="170" t="n"/>
      <c r="N296" s="170" t="n"/>
      <c r="O296" s="172" t="inlineStr">
        <is>
          <t>Frei Murillo</t>
        </is>
      </c>
      <c r="P296" s="52" t="inlineStr">
        <is>
          <t>frei.restrepo1@gmail.com</t>
        </is>
      </c>
    </row>
    <row r="297">
      <c r="B297" s="170" t="n">
        <v>282</v>
      </c>
      <c r="C297" s="199" t="inlineStr">
        <is>
          <t>COTIZACION DE LOS DISEÑOS DE PROTECCIÓN CONTRA  INCENDIOS - HOTEL PUERTO LIBERTADOR</t>
        </is>
      </c>
      <c r="D297" s="312" t="n"/>
      <c r="E297" s="312" t="n"/>
      <c r="F297" s="312" t="n"/>
      <c r="G297" s="312" t="n"/>
      <c r="H297" s="312" t="n"/>
      <c r="I297" s="313" t="n"/>
      <c r="J297" s="170" t="inlineStr">
        <is>
          <t>ARECA</t>
        </is>
      </c>
      <c r="K297" s="314" t="n">
        <v>3450000</v>
      </c>
      <c r="L297" s="2" t="n">
        <v>44174</v>
      </c>
      <c r="M297" s="170" t="n"/>
      <c r="N297" s="170" t="n">
        <v>3206768281</v>
      </c>
      <c r="O297" s="172" t="inlineStr">
        <is>
          <t>Victor BAZALAR</t>
        </is>
      </c>
      <c r="P297" s="52" t="inlineStr">
        <is>
          <t>arecagrupoinmobiliario@gmail.com</t>
        </is>
      </c>
    </row>
    <row r="298">
      <c r="B298" s="170" t="n">
        <v>283</v>
      </c>
      <c r="C298" s="199" t="inlineStr">
        <is>
          <t>COTIZACION DE LOS DISEÑOS DE SEGURIDAD HUMANA Y PROTECCIÓN CONTRA  INCENDIOS - FLATS GRAND</t>
        </is>
      </c>
      <c r="D298" s="312" t="n"/>
      <c r="E298" s="312" t="n"/>
      <c r="F298" s="312" t="n"/>
      <c r="G298" s="312" t="n"/>
      <c r="H298" s="312" t="n"/>
      <c r="I298" s="313" t="n"/>
      <c r="J298" s="170" t="inlineStr">
        <is>
          <t>MÉNSULA</t>
        </is>
      </c>
      <c r="K298" s="314" t="n">
        <v>20960000</v>
      </c>
      <c r="L298" s="2" t="n">
        <v>44175</v>
      </c>
      <c r="M298" s="170" t="inlineStr">
        <is>
          <t>X</t>
        </is>
      </c>
      <c r="N298" s="170" t="n">
        <v>3008643710</v>
      </c>
      <c r="O298" s="172" t="inlineStr">
        <is>
          <t>Cristina Palacio</t>
        </is>
      </c>
      <c r="P298" s="52" t="inlineStr">
        <is>
          <t>cristinapalacio@mensulaingenieros.com</t>
        </is>
      </c>
    </row>
    <row r="299">
      <c r="B299" s="170" t="n">
        <v>284</v>
      </c>
      <c r="C299" s="199" t="inlineStr">
        <is>
          <t>COTIZACION DE LOS DISEÑOS DE PROTECCIÓN CONTRA  INCENDIOS - OFICINA 1 FORETTI</t>
        </is>
      </c>
      <c r="D299" s="312" t="n"/>
      <c r="E299" s="312" t="n"/>
      <c r="F299" s="312" t="n"/>
      <c r="G299" s="312" t="n"/>
      <c r="H299" s="312" t="n"/>
      <c r="I299" s="313" t="n"/>
      <c r="J299" s="170" t="inlineStr">
        <is>
          <t>ESTRUCTURAR</t>
        </is>
      </c>
      <c r="K299" s="314" t="n">
        <v>1000000</v>
      </c>
      <c r="L299" s="2" t="n">
        <v>44175</v>
      </c>
      <c r="M299" s="2" t="inlineStr">
        <is>
          <t>X</t>
        </is>
      </c>
      <c r="N299" s="170" t="n">
        <v>3232937740</v>
      </c>
      <c r="O299" s="172" t="inlineStr">
        <is>
          <t>Jorge Gaitán</t>
        </is>
      </c>
      <c r="P299" s="52" t="inlineStr">
        <is>
          <t>jorgegaitan@estructurar.co</t>
        </is>
      </c>
    </row>
    <row r="300">
      <c r="B300" s="170" t="n">
        <v>285</v>
      </c>
      <c r="C300" s="199" t="inlineStr">
        <is>
          <t>COTIZACION DE LOS DISEÑOS DE SEGURIDAD HUMANA Y PROTECCIÓN CONTRA  INCENDIOS - HOTEL ORIGEN</t>
        </is>
      </c>
      <c r="D300" s="312" t="n"/>
      <c r="E300" s="312" t="n"/>
      <c r="F300" s="312" t="n"/>
      <c r="G300" s="312" t="n"/>
      <c r="H300" s="312" t="n"/>
      <c r="I300" s="313" t="n"/>
      <c r="J300" s="170" t="inlineStr">
        <is>
          <t>SOCOMES</t>
        </is>
      </c>
      <c r="K300" s="314" t="n">
        <v>7340000</v>
      </c>
      <c r="L300" s="2" t="n">
        <v>44176</v>
      </c>
      <c r="M300" s="170" t="n"/>
      <c r="N300" s="170" t="n">
        <v>3137851941</v>
      </c>
      <c r="O300" s="172" t="inlineStr">
        <is>
          <t>David Lopera</t>
        </is>
      </c>
      <c r="P300" s="52" t="inlineStr">
        <is>
          <t>david.lopera@socomes.com</t>
        </is>
      </c>
    </row>
    <row r="301">
      <c r="B301" s="170" t="n">
        <v>286</v>
      </c>
      <c r="C301" s="199" t="inlineStr">
        <is>
          <t xml:space="preserve">COTIZACIÓN DE LA MODELACIÓN Y ANÁLISIS HIDRÁULICO DE LA RED GENRAL Y TORRE 6 DEL PROYECTO BIOCITY </t>
        </is>
      </c>
      <c r="D301" s="312" t="n"/>
      <c r="E301" s="312" t="n"/>
      <c r="F301" s="312" t="n"/>
      <c r="G301" s="312" t="n"/>
      <c r="H301" s="312" t="n"/>
      <c r="I301" s="313" t="n"/>
      <c r="J301" s="170" t="inlineStr">
        <is>
          <t>SPCI</t>
        </is>
      </c>
      <c r="K301" s="314" t="n">
        <v>500000</v>
      </c>
      <c r="L301" s="2" t="n">
        <v>44177</v>
      </c>
      <c r="M301" s="2" t="inlineStr">
        <is>
          <t>X</t>
        </is>
      </c>
      <c r="N301" s="170" t="n">
        <v>3103939739</v>
      </c>
      <c r="O301" s="172" t="inlineStr">
        <is>
          <t>Victor Saldarriaga</t>
        </is>
      </c>
      <c r="P301" s="52" t="inlineStr">
        <is>
          <t>victorsaldarriagaspci@gmail.com</t>
        </is>
      </c>
    </row>
    <row r="302">
      <c r="B302" s="170" t="n">
        <v>287</v>
      </c>
      <c r="C302" s="199" t="inlineStr">
        <is>
          <t>COTIZACION DEL ANÁLISIS DE SEGURIDAD HUMANA - CVZ CES</t>
        </is>
      </c>
      <c r="D302" s="312" t="n"/>
      <c r="E302" s="312" t="n"/>
      <c r="F302" s="312" t="n"/>
      <c r="G302" s="312" t="n"/>
      <c r="H302" s="312" t="n"/>
      <c r="I302" s="313" t="n"/>
      <c r="J302" s="170" t="inlineStr">
        <is>
          <t>CES</t>
        </is>
      </c>
      <c r="K302" s="314" t="n">
        <v>2500000</v>
      </c>
      <c r="L302" s="2" t="n">
        <v>44179</v>
      </c>
      <c r="M302" s="2" t="inlineStr">
        <is>
          <t>X</t>
        </is>
      </c>
      <c r="N302" s="170" t="n">
        <v>3122411480</v>
      </c>
      <c r="O302" s="172" t="inlineStr">
        <is>
          <t>JHOAM ANDRES GIRALDO GALLO</t>
        </is>
      </c>
      <c r="P302" s="52" t="inlineStr">
        <is>
          <t>obras@ces.edu.co</t>
        </is>
      </c>
    </row>
    <row r="303">
      <c r="B303" s="170" t="n">
        <v>288</v>
      </c>
      <c r="C303" s="199" t="inlineStr">
        <is>
          <t>COTIZACION DE LOS DISEÑOS DE SEGURIDAD HUMANA Y PROTECCIÓN CONTRA  INCENDIOS - APARTAMENTOS LA CEJA</t>
        </is>
      </c>
      <c r="D303" s="312" t="n"/>
      <c r="E303" s="312" t="n"/>
      <c r="F303" s="312" t="n"/>
      <c r="G303" s="312" t="n"/>
      <c r="H303" s="312" t="n"/>
      <c r="I303" s="313" t="n"/>
      <c r="J303" s="170" t="inlineStr">
        <is>
          <t>ELIAS MOLINA</t>
        </is>
      </c>
      <c r="K303" s="314" t="n">
        <v>8850000</v>
      </c>
      <c r="L303" s="2" t="n">
        <v>44179</v>
      </c>
      <c r="M303" s="170" t="n"/>
      <c r="N303" s="170" t="n"/>
      <c r="O303" s="172" t="inlineStr">
        <is>
          <t>Elias Molina</t>
        </is>
      </c>
      <c r="P303" s="52" t="inlineStr">
        <is>
          <t>elias.molinasj@gmail.com</t>
        </is>
      </c>
    </row>
    <row r="304">
      <c r="B304" s="170" t="n">
        <v>289</v>
      </c>
      <c r="C304" s="199" t="inlineStr">
        <is>
          <t>COTIZACION DEL DISEÑO DE EXTINCIÓN DE INCENDIOS - TANQUES GLP CHILCO</t>
        </is>
      </c>
      <c r="D304" s="312" t="n"/>
      <c r="E304" s="312" t="n"/>
      <c r="F304" s="312" t="n"/>
      <c r="G304" s="312" t="n"/>
      <c r="H304" s="312" t="n"/>
      <c r="I304" s="313" t="n"/>
      <c r="J304" s="170" t="inlineStr">
        <is>
          <t>SPCI</t>
        </is>
      </c>
      <c r="K304" s="314" t="n">
        <v>3950000</v>
      </c>
      <c r="L304" s="2" t="n">
        <v>44179</v>
      </c>
      <c r="M304" s="170" t="n"/>
      <c r="N304" s="170" t="n">
        <v>3104203649</v>
      </c>
      <c r="O304" s="172" t="inlineStr">
        <is>
          <t>Mauricio Guzman</t>
        </is>
      </c>
      <c r="P304" s="52" t="inlineStr">
        <is>
          <t>mauroguzmanspci@gmail.com</t>
        </is>
      </c>
    </row>
    <row r="305">
      <c r="B305" s="170" t="n">
        <v>290</v>
      </c>
      <c r="C305" s="199" t="inlineStr">
        <is>
          <t>COTIZACION DE LOS DISEÑOS DE PROTECCIÓN CONTRA  INCENDIOS - CENTRAL CHAPARRALA</t>
        </is>
      </c>
      <c r="D305" s="312" t="n"/>
      <c r="E305" s="312" t="n"/>
      <c r="F305" s="312" t="n"/>
      <c r="G305" s="312" t="n"/>
      <c r="H305" s="312" t="n"/>
      <c r="I305" s="313" t="n"/>
      <c r="J305" s="170" t="inlineStr">
        <is>
          <t>PROSOMA</t>
        </is>
      </c>
      <c r="K305" s="314" t="n">
        <v>13800000</v>
      </c>
      <c r="L305" s="2" t="n">
        <v>44179</v>
      </c>
      <c r="M305" s="170" t="n"/>
      <c r="N305" s="170" t="n">
        <v>3208583595</v>
      </c>
      <c r="O305" s="172" t="inlineStr">
        <is>
          <t>Luis Vélez</t>
        </is>
      </c>
      <c r="P305" s="52" t="inlineStr">
        <is>
          <t>gerencia@prosoma.com.co</t>
        </is>
      </c>
    </row>
    <row r="306">
      <c r="B306" s="170" t="n">
        <v>291</v>
      </c>
      <c r="C306" s="199" t="inlineStr">
        <is>
          <t>COTIZACION DE LOS DISEÑOS DE PROTECCIÓN CONTRA  INCENDIOS - CIRUGÍA AUNA CLÍNICA LAS AMERICAS</t>
        </is>
      </c>
      <c r="D306" s="312" t="n"/>
      <c r="E306" s="312" t="n"/>
      <c r="F306" s="312" t="n"/>
      <c r="G306" s="312" t="n"/>
      <c r="H306" s="312" t="n"/>
      <c r="I306" s="313" t="n"/>
      <c r="J306" s="170" t="inlineStr">
        <is>
          <t>INTERVE</t>
        </is>
      </c>
      <c r="K306" s="314" t="n">
        <v>5250000</v>
      </c>
      <c r="L306" s="2" t="n">
        <v>44184</v>
      </c>
      <c r="M306" s="170" t="n"/>
      <c r="N306" s="170" t="inlineStr">
        <is>
          <t>57(4) 352 3434</t>
        </is>
      </c>
      <c r="O306" s="172" t="inlineStr">
        <is>
          <t>Humberto Acevedo</t>
        </is>
      </c>
      <c r="P306" s="52" t="inlineStr">
        <is>
          <t>hacevedo@interve.co</t>
        </is>
      </c>
    </row>
    <row r="307">
      <c r="B307" s="170" t="n">
        <v>292</v>
      </c>
      <c r="C307" s="199" t="inlineStr">
        <is>
          <t>COTIZACION DEL DISEÑO DE DETECCIÓN DE INCENDIOS - ZONAS ALMACENAMIENTO Y PRODUCTO TERMINADO PABILOPEZ</t>
        </is>
      </c>
      <c r="D307" s="312" t="n"/>
      <c r="E307" s="312" t="n"/>
      <c r="F307" s="312" t="n"/>
      <c r="G307" s="312" t="n"/>
      <c r="H307" s="312" t="n"/>
      <c r="I307" s="313" t="n"/>
      <c r="J307" s="170" t="inlineStr">
        <is>
          <t>PABILOPEZ</t>
        </is>
      </c>
      <c r="K307" s="314" t="n">
        <v>2500000</v>
      </c>
      <c r="L307" s="2" t="n">
        <v>44186</v>
      </c>
      <c r="M307" s="170" t="inlineStr">
        <is>
          <t>X</t>
        </is>
      </c>
      <c r="N307" s="170" t="n">
        <v>3014843289</v>
      </c>
      <c r="O307" s="172" t="inlineStr">
        <is>
          <t>Cristina Gallón</t>
        </is>
      </c>
      <c r="P307" s="52" t="inlineStr">
        <is>
          <t xml:space="preserve">	cristinagallon@hotmail.com</t>
        </is>
      </c>
    </row>
    <row r="308">
      <c r="B308" s="170" t="n">
        <v>293</v>
      </c>
      <c r="C308" s="233" t="inlineStr">
        <is>
          <t>COTIZACION DE LA REVISIÓN VISUAL DEL SISTEMA DE EXTINCIÓN DE INCENDIOS PARA
EL CC TRANVÍA PLAZA</t>
        </is>
      </c>
      <c r="D308" s="312" t="n"/>
      <c r="E308" s="312" t="n"/>
      <c r="F308" s="312" t="n"/>
      <c r="G308" s="312" t="n"/>
      <c r="H308" s="312" t="n"/>
      <c r="I308" s="313" t="n"/>
      <c r="J308" s="170" t="inlineStr">
        <is>
          <t>SPCI</t>
        </is>
      </c>
      <c r="K308" s="314" t="n">
        <v>600000</v>
      </c>
      <c r="L308" s="2" t="n">
        <v>44186</v>
      </c>
      <c r="M308" s="170" t="n"/>
      <c r="N308" s="170" t="n">
        <v>3104203649</v>
      </c>
      <c r="O308" s="172" t="inlineStr">
        <is>
          <t>Mauricio Guzman</t>
        </is>
      </c>
      <c r="P308" s="52" t="inlineStr">
        <is>
          <t>mauroguzmanspci@gmail.com</t>
        </is>
      </c>
    </row>
    <row r="309">
      <c r="B309" s="170" t="n">
        <v>294</v>
      </c>
      <c r="C309" s="199" t="inlineStr">
        <is>
          <t>COTIZACION DEL DISEÑO DE EXTINCIÓN DE INCENDIOS PARA EL PROYECTO BODEGA LOGISTICA 124</t>
        </is>
      </c>
      <c r="D309" s="312" t="n"/>
      <c r="E309" s="312" t="n"/>
      <c r="F309" s="312" t="n"/>
      <c r="G309" s="312" t="n"/>
      <c r="H309" s="312" t="n"/>
      <c r="I309" s="313" t="n"/>
      <c r="J309" s="170" t="inlineStr">
        <is>
          <t>SPCI</t>
        </is>
      </c>
      <c r="K309" s="314" t="n">
        <v>11290000</v>
      </c>
      <c r="L309" s="2" t="n">
        <v>44186</v>
      </c>
      <c r="M309" s="170" t="n"/>
      <c r="N309" s="170" t="n">
        <v>3104203649</v>
      </c>
      <c r="O309" s="172" t="inlineStr">
        <is>
          <t>Mauricio Guzman</t>
        </is>
      </c>
      <c r="P309" s="52" t="inlineStr">
        <is>
          <t>mauroguzmanspci@gmail.com</t>
        </is>
      </c>
    </row>
    <row r="310">
      <c r="B310" s="170" t="n">
        <v>295</v>
      </c>
      <c r="C310" s="199" t="n"/>
      <c r="D310" s="312" t="n"/>
      <c r="E310" s="312" t="n"/>
      <c r="F310" s="312" t="n"/>
      <c r="G310" s="312" t="n"/>
      <c r="H310" s="312" t="n"/>
      <c r="I310" s="313" t="n"/>
      <c r="J310" s="170" t="n"/>
      <c r="K310" s="314" t="n"/>
      <c r="L310" s="2" t="n"/>
      <c r="M310" s="170" t="n"/>
      <c r="N310" s="170" t="n"/>
      <c r="O310" s="172" t="n"/>
      <c r="P310" s="172" t="n"/>
    </row>
    <row r="311">
      <c r="B311" s="170" t="n">
        <v>296</v>
      </c>
      <c r="C311" s="199" t="n"/>
      <c r="D311" s="312" t="n"/>
      <c r="E311" s="312" t="n"/>
      <c r="F311" s="312" t="n"/>
      <c r="G311" s="312" t="n"/>
      <c r="H311" s="312" t="n"/>
      <c r="I311" s="313" t="n"/>
      <c r="J311" s="170" t="n"/>
      <c r="K311" s="314" t="n"/>
      <c r="L311" s="2" t="n"/>
      <c r="M311" s="170" t="n"/>
      <c r="N311" s="170" t="n"/>
      <c r="O311" s="172" t="n"/>
      <c r="P311" s="172" t="n"/>
    </row>
    <row r="312">
      <c r="B312" s="170" t="n">
        <v>297</v>
      </c>
      <c r="C312" s="199" t="n"/>
      <c r="D312" s="312" t="n"/>
      <c r="E312" s="312" t="n"/>
      <c r="F312" s="312" t="n"/>
      <c r="G312" s="312" t="n"/>
      <c r="H312" s="312" t="n"/>
      <c r="I312" s="313" t="n"/>
      <c r="J312" s="170" t="n"/>
      <c r="K312" s="314" t="n"/>
      <c r="L312" s="2" t="n"/>
      <c r="M312" s="170" t="n"/>
      <c r="N312" s="170" t="n"/>
      <c r="O312" s="172" t="n"/>
      <c r="P312" s="172" t="n"/>
    </row>
    <row r="313">
      <c r="B313" s="170" t="n">
        <v>298</v>
      </c>
      <c r="C313" s="199" t="n"/>
      <c r="D313" s="312" t="n"/>
      <c r="E313" s="312" t="n"/>
      <c r="F313" s="312" t="n"/>
      <c r="G313" s="312" t="n"/>
      <c r="H313" s="312" t="n"/>
      <c r="I313" s="313" t="n"/>
      <c r="J313" s="170" t="n"/>
      <c r="K313" s="314" t="n"/>
      <c r="L313" s="2" t="n"/>
      <c r="M313" s="170" t="n"/>
      <c r="N313" s="170" t="n"/>
      <c r="O313" s="172" t="n"/>
      <c r="P313" s="172" t="n"/>
    </row>
    <row r="314">
      <c r="B314" s="170" t="n">
        <v>299</v>
      </c>
      <c r="C314" s="199" t="n"/>
      <c r="D314" s="312" t="n"/>
      <c r="E314" s="312" t="n"/>
      <c r="F314" s="312" t="n"/>
      <c r="G314" s="312" t="n"/>
      <c r="H314" s="312" t="n"/>
      <c r="I314" s="313" t="n"/>
      <c r="J314" s="170" t="n"/>
      <c r="K314" s="314" t="n"/>
      <c r="L314" s="2" t="n"/>
      <c r="M314" s="170" t="n"/>
      <c r="N314" s="170" t="n"/>
      <c r="O314" s="172" t="n"/>
      <c r="P314" s="172" t="n"/>
    </row>
    <row r="315">
      <c r="B315" s="170" t="n">
        <v>300</v>
      </c>
      <c r="C315" s="199" t="n"/>
      <c r="D315" s="312" t="n"/>
      <c r="E315" s="312" t="n"/>
      <c r="F315" s="312" t="n"/>
      <c r="G315" s="312" t="n"/>
      <c r="H315" s="312" t="n"/>
      <c r="I315" s="313" t="n"/>
      <c r="J315" s="170" t="n"/>
      <c r="K315" s="314" t="n"/>
      <c r="L315" s="2" t="n"/>
      <c r="M315" s="170" t="n"/>
      <c r="N315" s="170" t="n"/>
      <c r="O315" s="172" t="n"/>
      <c r="P315" s="172" t="n"/>
    </row>
    <row r="316">
      <c r="B316" s="170" t="n">
        <v>301</v>
      </c>
      <c r="C316" s="199" t="n"/>
      <c r="D316" s="312" t="n"/>
      <c r="E316" s="312" t="n"/>
      <c r="F316" s="312" t="n"/>
      <c r="G316" s="312" t="n"/>
      <c r="H316" s="312" t="n"/>
      <c r="I316" s="313" t="n"/>
      <c r="J316" s="170" t="n"/>
      <c r="K316" s="314" t="n"/>
      <c r="L316" s="2" t="n"/>
      <c r="M316" s="170" t="n"/>
      <c r="N316" s="170" t="n"/>
      <c r="O316" s="172" t="n"/>
      <c r="P316" s="172" t="n"/>
    </row>
    <row r="317">
      <c r="B317" s="170" t="n">
        <v>302</v>
      </c>
      <c r="C317" s="199" t="n"/>
      <c r="D317" s="312" t="n"/>
      <c r="E317" s="312" t="n"/>
      <c r="F317" s="312" t="n"/>
      <c r="G317" s="312" t="n"/>
      <c r="H317" s="312" t="n"/>
      <c r="I317" s="313" t="n"/>
      <c r="J317" s="170" t="n"/>
      <c r="K317" s="314" t="n"/>
      <c r="L317" s="2" t="n"/>
      <c r="M317" s="170" t="n"/>
      <c r="N317" s="170" t="n"/>
      <c r="O317" s="172" t="n"/>
      <c r="P317" s="172" t="n"/>
    </row>
    <row r="318">
      <c r="B318" s="170" t="n">
        <v>303</v>
      </c>
      <c r="C318" s="199" t="n"/>
      <c r="D318" s="312" t="n"/>
      <c r="E318" s="312" t="n"/>
      <c r="F318" s="312" t="n"/>
      <c r="G318" s="312" t="n"/>
      <c r="H318" s="312" t="n"/>
      <c r="I318" s="313" t="n"/>
      <c r="J318" s="170" t="n"/>
      <c r="K318" s="314" t="n"/>
      <c r="L318" s="2" t="n"/>
      <c r="M318" s="170" t="n"/>
      <c r="N318" s="170" t="n"/>
      <c r="O318" s="172" t="n"/>
      <c r="P318" s="172" t="n"/>
    </row>
    <row r="319">
      <c r="B319" s="170" t="n">
        <v>304</v>
      </c>
      <c r="C319" s="199" t="n"/>
      <c r="D319" s="312" t="n"/>
      <c r="E319" s="312" t="n"/>
      <c r="F319" s="312" t="n"/>
      <c r="G319" s="312" t="n"/>
      <c r="H319" s="312" t="n"/>
      <c r="I319" s="313" t="n"/>
      <c r="J319" s="170" t="n"/>
      <c r="K319" s="314" t="n"/>
      <c r="L319" s="2" t="n"/>
      <c r="M319" s="170" t="n"/>
      <c r="N319" s="170" t="n"/>
      <c r="O319" s="172" t="n"/>
      <c r="P319" s="172" t="n"/>
    </row>
    <row r="320">
      <c r="B320" s="170" t="n">
        <v>305</v>
      </c>
      <c r="C320" s="199" t="n"/>
      <c r="D320" s="312" t="n"/>
      <c r="E320" s="312" t="n"/>
      <c r="F320" s="312" t="n"/>
      <c r="G320" s="312" t="n"/>
      <c r="H320" s="312" t="n"/>
      <c r="I320" s="313" t="n"/>
      <c r="J320" s="170" t="n"/>
      <c r="K320" s="314" t="n"/>
      <c r="L320" s="2" t="n"/>
      <c r="M320" s="170" t="n"/>
      <c r="N320" s="170" t="n"/>
      <c r="O320" s="172" t="n"/>
      <c r="P320" s="172" t="n"/>
    </row>
    <row r="321">
      <c r="B321" s="170" t="n">
        <v>306</v>
      </c>
      <c r="C321" s="199" t="n"/>
      <c r="D321" s="312" t="n"/>
      <c r="E321" s="312" t="n"/>
      <c r="F321" s="312" t="n"/>
      <c r="G321" s="312" t="n"/>
      <c r="H321" s="312" t="n"/>
      <c r="I321" s="313" t="n"/>
      <c r="J321" s="170" t="n"/>
      <c r="K321" s="314" t="n"/>
      <c r="L321" s="2" t="n"/>
      <c r="M321" s="170" t="n"/>
      <c r="N321" s="170" t="n"/>
      <c r="O321" s="172" t="n"/>
      <c r="P321" s="172" t="n"/>
    </row>
    <row r="322">
      <c r="B322" s="170" t="n">
        <v>307</v>
      </c>
      <c r="C322" s="199" t="n"/>
      <c r="D322" s="312" t="n"/>
      <c r="E322" s="312" t="n"/>
      <c r="F322" s="312" t="n"/>
      <c r="G322" s="312" t="n"/>
      <c r="H322" s="312" t="n"/>
      <c r="I322" s="313" t="n"/>
      <c r="J322" s="170" t="n"/>
      <c r="K322" s="314" t="n"/>
      <c r="L322" s="2" t="n"/>
      <c r="M322" s="170" t="n"/>
      <c r="N322" s="170" t="n"/>
      <c r="O322" s="172" t="n"/>
      <c r="P322" s="172" t="n"/>
    </row>
    <row r="323">
      <c r="B323" s="170" t="n">
        <v>308</v>
      </c>
      <c r="C323" s="199" t="n"/>
      <c r="D323" s="312" t="n"/>
      <c r="E323" s="312" t="n"/>
      <c r="F323" s="312" t="n"/>
      <c r="G323" s="312" t="n"/>
      <c r="H323" s="312" t="n"/>
      <c r="I323" s="313" t="n"/>
      <c r="J323" s="170" t="n"/>
      <c r="K323" s="314" t="n"/>
      <c r="L323" s="2" t="n"/>
      <c r="M323" s="170" t="n"/>
      <c r="N323" s="170" t="n"/>
      <c r="O323" s="172" t="n"/>
      <c r="P323" s="172" t="n"/>
    </row>
    <row r="324">
      <c r="B324" s="170" t="n">
        <v>309</v>
      </c>
      <c r="C324" s="199" t="n"/>
      <c r="D324" s="312" t="n"/>
      <c r="E324" s="312" t="n"/>
      <c r="F324" s="312" t="n"/>
      <c r="G324" s="312" t="n"/>
      <c r="H324" s="312" t="n"/>
      <c r="I324" s="313" t="n"/>
      <c r="J324" s="170" t="n"/>
      <c r="K324" s="314" t="n"/>
      <c r="L324" s="2" t="n"/>
      <c r="M324" s="170" t="n"/>
      <c r="N324" s="170" t="n"/>
      <c r="O324" s="172" t="n"/>
      <c r="P324" s="172" t="n"/>
    </row>
    <row r="325">
      <c r="B325" s="170" t="n">
        <v>310</v>
      </c>
      <c r="C325" s="199" t="n"/>
      <c r="D325" s="312" t="n"/>
      <c r="E325" s="312" t="n"/>
      <c r="F325" s="312" t="n"/>
      <c r="G325" s="312" t="n"/>
      <c r="H325" s="312" t="n"/>
      <c r="I325" s="313" t="n"/>
      <c r="J325" s="170" t="n"/>
      <c r="K325" s="314" t="n"/>
      <c r="L325" s="2" t="n"/>
      <c r="M325" s="170" t="n"/>
      <c r="N325" s="170" t="n"/>
      <c r="O325" s="172" t="n"/>
      <c r="P325" s="172" t="n"/>
    </row>
    <row r="326">
      <c r="B326" s="170" t="n">
        <v>311</v>
      </c>
      <c r="C326" s="199" t="n"/>
      <c r="D326" s="312" t="n"/>
      <c r="E326" s="312" t="n"/>
      <c r="F326" s="312" t="n"/>
      <c r="G326" s="312" t="n"/>
      <c r="H326" s="312" t="n"/>
      <c r="I326" s="313" t="n"/>
      <c r="J326" s="170" t="n"/>
      <c r="K326" s="314" t="n"/>
      <c r="L326" s="2" t="n"/>
      <c r="M326" s="170" t="n"/>
      <c r="N326" s="170" t="n"/>
      <c r="O326" s="172" t="n"/>
      <c r="P326" s="172" t="n"/>
    </row>
    <row r="327">
      <c r="B327" s="170" t="n">
        <v>312</v>
      </c>
      <c r="C327" s="199" t="n"/>
      <c r="D327" s="312" t="n"/>
      <c r="E327" s="312" t="n"/>
      <c r="F327" s="312" t="n"/>
      <c r="G327" s="312" t="n"/>
      <c r="H327" s="312" t="n"/>
      <c r="I327" s="313" t="n"/>
      <c r="J327" s="170" t="n"/>
      <c r="K327" s="314" t="n"/>
      <c r="L327" s="2" t="n"/>
      <c r="M327" s="170" t="n"/>
      <c r="N327" s="170" t="n"/>
      <c r="O327" s="172" t="n"/>
      <c r="P327" s="172" t="n"/>
    </row>
    <row r="328">
      <c r="B328" s="170" t="n">
        <v>313</v>
      </c>
      <c r="C328" s="199" t="n"/>
      <c r="D328" s="312" t="n"/>
      <c r="E328" s="312" t="n"/>
      <c r="F328" s="312" t="n"/>
      <c r="G328" s="312" t="n"/>
      <c r="H328" s="312" t="n"/>
      <c r="I328" s="313" t="n"/>
      <c r="J328" s="170" t="n"/>
      <c r="K328" s="314" t="n"/>
      <c r="L328" s="2" t="n"/>
      <c r="M328" s="170" t="n"/>
      <c r="N328" s="170" t="n"/>
      <c r="O328" s="172" t="n"/>
      <c r="P328" s="172" t="n"/>
    </row>
    <row r="329">
      <c r="B329" s="170" t="n">
        <v>314</v>
      </c>
      <c r="C329" s="199" t="n"/>
      <c r="D329" s="312" t="n"/>
      <c r="E329" s="312" t="n"/>
      <c r="F329" s="312" t="n"/>
      <c r="G329" s="312" t="n"/>
      <c r="H329" s="312" t="n"/>
      <c r="I329" s="313" t="n"/>
      <c r="J329" s="170" t="n"/>
      <c r="K329" s="314" t="n"/>
      <c r="L329" s="2" t="n"/>
      <c r="M329" s="170" t="n"/>
      <c r="N329" s="170" t="n"/>
      <c r="O329" s="172" t="n"/>
      <c r="P329" s="172" t="n"/>
    </row>
    <row r="330">
      <c r="B330" s="170" t="n">
        <v>315</v>
      </c>
      <c r="C330" s="199" t="n"/>
      <c r="D330" s="312" t="n"/>
      <c r="E330" s="312" t="n"/>
      <c r="F330" s="312" t="n"/>
      <c r="G330" s="312" t="n"/>
      <c r="H330" s="312" t="n"/>
      <c r="I330" s="313" t="n"/>
      <c r="J330" s="170" t="n"/>
      <c r="K330" s="314" t="n"/>
      <c r="L330" s="2" t="n"/>
      <c r="M330" s="170" t="n"/>
      <c r="N330" s="170" t="n"/>
      <c r="O330" s="172" t="n"/>
      <c r="P330" s="172" t="n"/>
    </row>
    <row r="331">
      <c r="B331" s="170" t="n">
        <v>316</v>
      </c>
      <c r="C331" s="199" t="n"/>
      <c r="D331" s="312" t="n"/>
      <c r="E331" s="312" t="n"/>
      <c r="F331" s="312" t="n"/>
      <c r="G331" s="312" t="n"/>
      <c r="H331" s="312" t="n"/>
      <c r="I331" s="313" t="n"/>
      <c r="J331" s="170" t="n"/>
      <c r="K331" s="314" t="n"/>
      <c r="L331" s="2" t="n"/>
      <c r="M331" s="170" t="n"/>
      <c r="N331" s="170" t="n"/>
      <c r="O331" s="172" t="n"/>
      <c r="P331" s="172" t="n"/>
    </row>
    <row r="332">
      <c r="B332" s="170" t="n">
        <v>317</v>
      </c>
      <c r="C332" s="199" t="n"/>
      <c r="D332" s="312" t="n"/>
      <c r="E332" s="312" t="n"/>
      <c r="F332" s="312" t="n"/>
      <c r="G332" s="312" t="n"/>
      <c r="H332" s="312" t="n"/>
      <c r="I332" s="313" t="n"/>
      <c r="J332" s="170" t="n"/>
      <c r="K332" s="314" t="n"/>
      <c r="L332" s="2" t="n"/>
      <c r="M332" s="170" t="n"/>
      <c r="N332" s="170" t="n"/>
      <c r="O332" s="172" t="n"/>
      <c r="P332" s="172" t="n"/>
    </row>
    <row r="333">
      <c r="B333" s="170" t="n">
        <v>318</v>
      </c>
      <c r="C333" s="199" t="n"/>
      <c r="D333" s="312" t="n"/>
      <c r="E333" s="312" t="n"/>
      <c r="F333" s="312" t="n"/>
      <c r="G333" s="312" t="n"/>
      <c r="H333" s="312" t="n"/>
      <c r="I333" s="313" t="n"/>
      <c r="J333" s="170" t="n"/>
      <c r="K333" s="314" t="n"/>
      <c r="L333" s="2" t="n"/>
      <c r="M333" s="170" t="n"/>
      <c r="N333" s="170" t="n"/>
      <c r="O333" s="172" t="n"/>
      <c r="P333" s="172" t="n"/>
    </row>
    <row r="334">
      <c r="B334" s="170" t="n">
        <v>319</v>
      </c>
      <c r="C334" s="199" t="n"/>
      <c r="D334" s="312" t="n"/>
      <c r="E334" s="312" t="n"/>
      <c r="F334" s="312" t="n"/>
      <c r="G334" s="312" t="n"/>
      <c r="H334" s="312" t="n"/>
      <c r="I334" s="313" t="n"/>
      <c r="J334" s="170" t="n"/>
      <c r="K334" s="314" t="n"/>
      <c r="L334" s="2" t="n"/>
      <c r="M334" s="170" t="n"/>
      <c r="N334" s="170" t="n"/>
      <c r="O334" s="172" t="n"/>
      <c r="P334" s="172" t="n"/>
    </row>
    <row r="335">
      <c r="B335" s="170" t="n">
        <v>320</v>
      </c>
      <c r="C335" s="199" t="n"/>
      <c r="D335" s="312" t="n"/>
      <c r="E335" s="312" t="n"/>
      <c r="F335" s="312" t="n"/>
      <c r="G335" s="312" t="n"/>
      <c r="H335" s="312" t="n"/>
      <c r="I335" s="313" t="n"/>
      <c r="J335" s="170" t="n"/>
      <c r="K335" s="314" t="n"/>
      <c r="L335" s="2" t="n"/>
      <c r="M335" s="170" t="n"/>
      <c r="N335" s="170" t="n"/>
      <c r="O335" s="172" t="n"/>
      <c r="P335" s="172" t="n"/>
    </row>
    <row r="336">
      <c r="B336" s="170" t="n">
        <v>321</v>
      </c>
      <c r="C336" s="199" t="n"/>
      <c r="D336" s="312" t="n"/>
      <c r="E336" s="312" t="n"/>
      <c r="F336" s="312" t="n"/>
      <c r="G336" s="312" t="n"/>
      <c r="H336" s="312" t="n"/>
      <c r="I336" s="313" t="n"/>
      <c r="J336" s="170" t="n"/>
      <c r="K336" s="314" t="n"/>
      <c r="L336" s="2" t="n"/>
      <c r="M336" s="170" t="n"/>
      <c r="N336" s="170" t="n"/>
      <c r="O336" s="172" t="n"/>
      <c r="P336" s="172" t="n"/>
    </row>
    <row r="337">
      <c r="B337" s="170" t="n">
        <v>322</v>
      </c>
      <c r="C337" s="199" t="n"/>
      <c r="D337" s="312" t="n"/>
      <c r="E337" s="312" t="n"/>
      <c r="F337" s="312" t="n"/>
      <c r="G337" s="312" t="n"/>
      <c r="H337" s="312" t="n"/>
      <c r="I337" s="313" t="n"/>
      <c r="J337" s="170" t="n"/>
      <c r="K337" s="314" t="n"/>
      <c r="L337" s="2" t="n"/>
      <c r="M337" s="170" t="n"/>
      <c r="N337" s="170" t="n"/>
      <c r="O337" s="172" t="n"/>
      <c r="P337" s="172" t="n"/>
    </row>
    <row r="338">
      <c r="B338" s="170" t="n">
        <v>323</v>
      </c>
      <c r="C338" s="199" t="n"/>
      <c r="D338" s="312" t="n"/>
      <c r="E338" s="312" t="n"/>
      <c r="F338" s="312" t="n"/>
      <c r="G338" s="312" t="n"/>
      <c r="H338" s="312" t="n"/>
      <c r="I338" s="313" t="n"/>
      <c r="J338" s="170" t="n"/>
      <c r="K338" s="314" t="n"/>
      <c r="L338" s="2" t="n"/>
      <c r="M338" s="170" t="n"/>
      <c r="N338" s="170" t="n"/>
      <c r="O338" s="172" t="n"/>
      <c r="P338" s="172" t="n"/>
    </row>
    <row r="339">
      <c r="B339" s="170" t="n">
        <v>324</v>
      </c>
      <c r="C339" s="199" t="n"/>
      <c r="D339" s="312" t="n"/>
      <c r="E339" s="312" t="n"/>
      <c r="F339" s="312" t="n"/>
      <c r="G339" s="312" t="n"/>
      <c r="H339" s="312" t="n"/>
      <c r="I339" s="313" t="n"/>
      <c r="J339" s="170" t="n"/>
      <c r="K339" s="314" t="n"/>
      <c r="L339" s="2" t="n"/>
      <c r="M339" s="170" t="n"/>
      <c r="N339" s="170" t="n"/>
      <c r="O339" s="172" t="n"/>
      <c r="P339" s="172" t="n"/>
    </row>
    <row r="340">
      <c r="B340" s="170" t="n">
        <v>325</v>
      </c>
      <c r="C340" s="199" t="n"/>
      <c r="D340" s="312" t="n"/>
      <c r="E340" s="312" t="n"/>
      <c r="F340" s="312" t="n"/>
      <c r="G340" s="312" t="n"/>
      <c r="H340" s="312" t="n"/>
      <c r="I340" s="313" t="n"/>
      <c r="J340" s="170" t="n"/>
      <c r="K340" s="314" t="n"/>
      <c r="L340" s="2" t="n"/>
      <c r="M340" s="170" t="n"/>
      <c r="N340" s="170" t="n"/>
      <c r="O340" s="172" t="n"/>
      <c r="P340" s="172" t="n"/>
    </row>
    <row r="341">
      <c r="B341" s="170" t="n">
        <v>326</v>
      </c>
      <c r="C341" s="199" t="n"/>
      <c r="D341" s="312" t="n"/>
      <c r="E341" s="312" t="n"/>
      <c r="F341" s="312" t="n"/>
      <c r="G341" s="312" t="n"/>
      <c r="H341" s="312" t="n"/>
      <c r="I341" s="313" t="n"/>
      <c r="J341" s="170" t="n"/>
      <c r="K341" s="314" t="n"/>
      <c r="L341" s="2" t="n"/>
      <c r="M341" s="170" t="n"/>
      <c r="N341" s="170" t="n"/>
      <c r="O341" s="172" t="n"/>
      <c r="P341" s="172" t="n"/>
    </row>
    <row r="342">
      <c r="B342" s="170" t="n">
        <v>327</v>
      </c>
      <c r="C342" s="199" t="n"/>
      <c r="D342" s="312" t="n"/>
      <c r="E342" s="312" t="n"/>
      <c r="F342" s="312" t="n"/>
      <c r="G342" s="312" t="n"/>
      <c r="H342" s="312" t="n"/>
      <c r="I342" s="313" t="n"/>
      <c r="J342" s="170" t="n"/>
      <c r="K342" s="314" t="n"/>
      <c r="L342" s="2" t="n"/>
      <c r="M342" s="170" t="n"/>
      <c r="N342" s="170" t="n"/>
      <c r="O342" s="172" t="n"/>
      <c r="P342" s="172" t="n"/>
    </row>
    <row r="343">
      <c r="B343" s="170" t="n">
        <v>328</v>
      </c>
      <c r="C343" s="199" t="n"/>
      <c r="D343" s="312" t="n"/>
      <c r="E343" s="312" t="n"/>
      <c r="F343" s="312" t="n"/>
      <c r="G343" s="312" t="n"/>
      <c r="H343" s="312" t="n"/>
      <c r="I343" s="313" t="n"/>
      <c r="J343" s="170" t="n"/>
      <c r="K343" s="314" t="n"/>
      <c r="L343" s="2" t="n"/>
      <c r="M343" s="170" t="n"/>
      <c r="N343" s="170" t="n"/>
      <c r="O343" s="172" t="n"/>
      <c r="P343" s="172" t="n"/>
    </row>
    <row r="344">
      <c r="B344" s="170" t="n">
        <v>329</v>
      </c>
      <c r="C344" s="199" t="n"/>
      <c r="D344" s="312" t="n"/>
      <c r="E344" s="312" t="n"/>
      <c r="F344" s="312" t="n"/>
      <c r="G344" s="312" t="n"/>
      <c r="H344" s="312" t="n"/>
      <c r="I344" s="313" t="n"/>
      <c r="J344" s="170" t="n"/>
      <c r="K344" s="314" t="n"/>
      <c r="L344" s="2" t="n"/>
      <c r="M344" s="170" t="n"/>
      <c r="N344" s="170" t="n"/>
      <c r="O344" s="172" t="n"/>
      <c r="P344" s="172" t="n"/>
    </row>
    <row r="345">
      <c r="B345" s="170" t="n">
        <v>330</v>
      </c>
      <c r="C345" s="199" t="n"/>
      <c r="D345" s="312" t="n"/>
      <c r="E345" s="312" t="n"/>
      <c r="F345" s="312" t="n"/>
      <c r="G345" s="312" t="n"/>
      <c r="H345" s="312" t="n"/>
      <c r="I345" s="313" t="n"/>
      <c r="J345" s="170" t="n"/>
      <c r="K345" s="314" t="n"/>
      <c r="L345" s="170" t="n"/>
      <c r="M345" s="170" t="n"/>
      <c r="N345" s="170" t="n"/>
      <c r="O345" s="172" t="n"/>
      <c r="P345" s="172" t="n"/>
    </row>
    <row r="346">
      <c r="B346" s="170" t="n">
        <v>331</v>
      </c>
      <c r="C346" s="199" t="n"/>
      <c r="D346" s="312" t="n"/>
      <c r="E346" s="312" t="n"/>
      <c r="F346" s="312" t="n"/>
      <c r="G346" s="312" t="n"/>
      <c r="H346" s="312" t="n"/>
      <c r="I346" s="313" t="n"/>
      <c r="J346" s="170" t="n"/>
      <c r="K346" s="314" t="n"/>
      <c r="L346" s="170" t="n"/>
      <c r="M346" s="170" t="n"/>
      <c r="N346" s="170" t="n"/>
      <c r="O346" s="172" t="n"/>
      <c r="P346" s="172" t="n"/>
    </row>
    <row r="347">
      <c r="B347" s="170" t="n">
        <v>332</v>
      </c>
      <c r="C347" s="199" t="n"/>
      <c r="D347" s="312" t="n"/>
      <c r="E347" s="312" t="n"/>
      <c r="F347" s="312" t="n"/>
      <c r="G347" s="312" t="n"/>
      <c r="H347" s="312" t="n"/>
      <c r="I347" s="313" t="n"/>
      <c r="J347" s="170" t="n"/>
      <c r="K347" s="314" t="n"/>
      <c r="L347" s="170" t="n"/>
      <c r="M347" s="170" t="n"/>
      <c r="N347" s="170" t="n"/>
      <c r="O347" s="172" t="n"/>
      <c r="P347" s="172" t="n"/>
    </row>
    <row r="348">
      <c r="B348" s="170" t="n">
        <v>333</v>
      </c>
      <c r="C348" s="199" t="n"/>
      <c r="D348" s="312" t="n"/>
      <c r="E348" s="312" t="n"/>
      <c r="F348" s="312" t="n"/>
      <c r="G348" s="312" t="n"/>
      <c r="H348" s="312" t="n"/>
      <c r="I348" s="313" t="n"/>
      <c r="J348" s="170" t="n"/>
      <c r="K348" s="314" t="n"/>
      <c r="L348" s="170" t="n"/>
      <c r="M348" s="170" t="n"/>
      <c r="N348" s="170" t="n"/>
      <c r="O348" s="172" t="n"/>
      <c r="P348" s="172" t="n"/>
    </row>
    <row r="349">
      <c r="B349" s="170" t="n">
        <v>334</v>
      </c>
      <c r="C349" s="199" t="n"/>
      <c r="D349" s="312" t="n"/>
      <c r="E349" s="312" t="n"/>
      <c r="F349" s="312" t="n"/>
      <c r="G349" s="312" t="n"/>
      <c r="H349" s="312" t="n"/>
      <c r="I349" s="313" t="n"/>
      <c r="J349" s="170" t="n"/>
      <c r="K349" s="314" t="n"/>
      <c r="L349" s="170" t="n"/>
      <c r="M349" s="170" t="n"/>
      <c r="N349" s="170" t="n"/>
      <c r="O349" s="172" t="n"/>
      <c r="P349" s="172" t="n"/>
    </row>
    <row r="350">
      <c r="B350" s="170" t="n">
        <v>335</v>
      </c>
      <c r="C350" s="199" t="n"/>
      <c r="D350" s="312" t="n"/>
      <c r="E350" s="312" t="n"/>
      <c r="F350" s="312" t="n"/>
      <c r="G350" s="312" t="n"/>
      <c r="H350" s="312" t="n"/>
      <c r="I350" s="313" t="n"/>
      <c r="J350" s="170" t="n"/>
      <c r="K350" s="314" t="n"/>
      <c r="L350" s="170" t="n"/>
      <c r="M350" s="170" t="n"/>
      <c r="N350" s="170" t="n"/>
      <c r="O350" s="172" t="n"/>
      <c r="P350" s="172" t="n"/>
    </row>
    <row r="351">
      <c r="B351" s="170" t="n">
        <v>336</v>
      </c>
      <c r="C351" s="199" t="n"/>
      <c r="D351" s="312" t="n"/>
      <c r="E351" s="312" t="n"/>
      <c r="F351" s="312" t="n"/>
      <c r="G351" s="312" t="n"/>
      <c r="H351" s="312" t="n"/>
      <c r="I351" s="313" t="n"/>
      <c r="J351" s="170" t="n"/>
      <c r="K351" s="314" t="n"/>
      <c r="L351" s="170" t="n"/>
      <c r="M351" s="170" t="n"/>
      <c r="N351" s="170" t="n"/>
      <c r="O351" s="172" t="n"/>
      <c r="P351" s="172" t="n"/>
    </row>
    <row r="352">
      <c r="B352" s="170" t="n">
        <v>337</v>
      </c>
      <c r="C352" s="199" t="n"/>
      <c r="D352" s="312" t="n"/>
      <c r="E352" s="312" t="n"/>
      <c r="F352" s="312" t="n"/>
      <c r="G352" s="312" t="n"/>
      <c r="H352" s="312" t="n"/>
      <c r="I352" s="313" t="n"/>
      <c r="J352" s="170" t="n"/>
      <c r="K352" s="314" t="n"/>
      <c r="L352" s="170" t="n"/>
      <c r="M352" s="170" t="n"/>
      <c r="N352" s="170" t="n"/>
      <c r="O352" s="172" t="n"/>
      <c r="P352" s="172" t="n"/>
    </row>
    <row r="353">
      <c r="B353" s="170" t="n">
        <v>338</v>
      </c>
      <c r="C353" s="199" t="n"/>
      <c r="D353" s="312" t="n"/>
      <c r="E353" s="312" t="n"/>
      <c r="F353" s="312" t="n"/>
      <c r="G353" s="312" t="n"/>
      <c r="H353" s="312" t="n"/>
      <c r="I353" s="313" t="n"/>
      <c r="J353" s="170" t="n"/>
      <c r="K353" s="314" t="n"/>
      <c r="L353" s="170" t="n"/>
      <c r="M353" s="170" t="n"/>
      <c r="N353" s="170" t="n"/>
      <c r="O353" s="172" t="n"/>
      <c r="P353" s="172" t="n"/>
    </row>
    <row r="354">
      <c r="B354" s="170" t="n">
        <v>339</v>
      </c>
      <c r="C354" s="199" t="n"/>
      <c r="D354" s="312" t="n"/>
      <c r="E354" s="312" t="n"/>
      <c r="F354" s="312" t="n"/>
      <c r="G354" s="312" t="n"/>
      <c r="H354" s="312" t="n"/>
      <c r="I354" s="313" t="n"/>
      <c r="J354" s="170" t="n"/>
      <c r="K354" s="314" t="n"/>
      <c r="L354" s="170" t="n"/>
      <c r="M354" s="170" t="n"/>
      <c r="N354" s="170" t="n"/>
      <c r="O354" s="172" t="n"/>
      <c r="P354" s="172" t="n"/>
    </row>
    <row r="355">
      <c r="B355" s="170" t="n">
        <v>340</v>
      </c>
      <c r="C355" s="199" t="n"/>
      <c r="D355" s="312" t="n"/>
      <c r="E355" s="312" t="n"/>
      <c r="F355" s="312" t="n"/>
      <c r="G355" s="312" t="n"/>
      <c r="H355" s="312" t="n"/>
      <c r="I355" s="313" t="n"/>
      <c r="J355" s="170" t="n"/>
      <c r="K355" s="314" t="n"/>
      <c r="L355" s="170" t="n"/>
      <c r="M355" s="170" t="n"/>
      <c r="N355" s="170" t="n"/>
      <c r="O355" s="172" t="n"/>
      <c r="P355" s="172" t="n"/>
    </row>
    <row r="356">
      <c r="B356" s="170" t="n">
        <v>341</v>
      </c>
      <c r="C356" s="199" t="n"/>
      <c r="D356" s="312" t="n"/>
      <c r="E356" s="312" t="n"/>
      <c r="F356" s="312" t="n"/>
      <c r="G356" s="312" t="n"/>
      <c r="H356" s="312" t="n"/>
      <c r="I356" s="313" t="n"/>
      <c r="J356" s="170" t="n"/>
      <c r="K356" s="314" t="n"/>
      <c r="L356" s="170" t="n"/>
      <c r="M356" s="170" t="n"/>
      <c r="N356" s="170" t="n"/>
      <c r="O356" s="172" t="n"/>
      <c r="P356" s="172" t="n"/>
    </row>
    <row r="357">
      <c r="B357" s="170" t="n">
        <v>342</v>
      </c>
      <c r="C357" s="199" t="n"/>
      <c r="D357" s="312" t="n"/>
      <c r="E357" s="312" t="n"/>
      <c r="F357" s="312" t="n"/>
      <c r="G357" s="312" t="n"/>
      <c r="H357" s="312" t="n"/>
      <c r="I357" s="313" t="n"/>
      <c r="J357" s="170" t="n"/>
      <c r="K357" s="314" t="n"/>
      <c r="L357" s="170" t="n"/>
      <c r="M357" s="170" t="n"/>
      <c r="N357" s="170" t="n"/>
      <c r="O357" s="172" t="n"/>
      <c r="P357" s="172" t="n"/>
    </row>
    <row r="358">
      <c r="B358" s="170" t="n">
        <v>343</v>
      </c>
      <c r="C358" s="199" t="n"/>
      <c r="D358" s="312" t="n"/>
      <c r="E358" s="312" t="n"/>
      <c r="F358" s="312" t="n"/>
      <c r="G358" s="312" t="n"/>
      <c r="H358" s="312" t="n"/>
      <c r="I358" s="313" t="n"/>
      <c r="J358" s="170" t="n"/>
      <c r="K358" s="314" t="n"/>
      <c r="L358" s="170" t="n"/>
      <c r="M358" s="170" t="n"/>
      <c r="N358" s="170" t="n"/>
      <c r="O358" s="172" t="n"/>
      <c r="P358" s="172" t="n"/>
    </row>
    <row r="359">
      <c r="B359" s="170" t="n">
        <v>344</v>
      </c>
      <c r="C359" s="199" t="n"/>
      <c r="D359" s="312" t="n"/>
      <c r="E359" s="312" t="n"/>
      <c r="F359" s="312" t="n"/>
      <c r="G359" s="312" t="n"/>
      <c r="H359" s="312" t="n"/>
      <c r="I359" s="313" t="n"/>
      <c r="J359" s="170" t="n"/>
      <c r="K359" s="314" t="n"/>
      <c r="L359" s="170" t="n"/>
      <c r="M359" s="170" t="n"/>
      <c r="N359" s="170" t="n"/>
      <c r="O359" s="172" t="n"/>
      <c r="P359" s="172" t="n"/>
    </row>
    <row r="360">
      <c r="B360" s="170" t="n">
        <v>345</v>
      </c>
      <c r="C360" s="199" t="n"/>
      <c r="D360" s="312" t="n"/>
      <c r="E360" s="312" t="n"/>
      <c r="F360" s="312" t="n"/>
      <c r="G360" s="312" t="n"/>
      <c r="H360" s="312" t="n"/>
      <c r="I360" s="313" t="n"/>
      <c r="J360" s="170" t="n"/>
      <c r="K360" s="314" t="n"/>
      <c r="L360" s="170" t="n"/>
      <c r="M360" s="170" t="n"/>
      <c r="N360" s="170" t="n"/>
      <c r="O360" s="172" t="n"/>
      <c r="P360" s="172" t="n"/>
    </row>
    <row r="361">
      <c r="B361" s="170" t="n">
        <v>346</v>
      </c>
      <c r="C361" s="199" t="n"/>
      <c r="D361" s="312" t="n"/>
      <c r="E361" s="312" t="n"/>
      <c r="F361" s="312" t="n"/>
      <c r="G361" s="312" t="n"/>
      <c r="H361" s="312" t="n"/>
      <c r="I361" s="313" t="n"/>
      <c r="J361" s="170" t="n"/>
      <c r="K361" s="314" t="n"/>
      <c r="L361" s="170" t="n"/>
      <c r="M361" s="170" t="n"/>
      <c r="N361" s="170" t="n"/>
      <c r="O361" s="172" t="n"/>
      <c r="P361" s="172" t="n"/>
    </row>
    <row r="362">
      <c r="B362" s="170" t="n">
        <v>347</v>
      </c>
      <c r="C362" s="199" t="n"/>
      <c r="D362" s="312" t="n"/>
      <c r="E362" s="312" t="n"/>
      <c r="F362" s="312" t="n"/>
      <c r="G362" s="312" t="n"/>
      <c r="H362" s="312" t="n"/>
      <c r="I362" s="313" t="n"/>
      <c r="J362" s="170" t="n"/>
      <c r="K362" s="314" t="n"/>
      <c r="L362" s="170" t="n"/>
      <c r="M362" s="170" t="n"/>
      <c r="N362" s="170" t="n"/>
      <c r="O362" s="172" t="n"/>
      <c r="P362" s="172" t="n"/>
    </row>
    <row r="363">
      <c r="B363" s="170" t="n">
        <v>348</v>
      </c>
      <c r="C363" s="199" t="n"/>
      <c r="D363" s="312" t="n"/>
      <c r="E363" s="312" t="n"/>
      <c r="F363" s="312" t="n"/>
      <c r="G363" s="312" t="n"/>
      <c r="H363" s="312" t="n"/>
      <c r="I363" s="313" t="n"/>
      <c r="J363" s="170" t="n"/>
      <c r="K363" s="314" t="n"/>
      <c r="L363" s="170" t="n"/>
      <c r="M363" s="170" t="n"/>
      <c r="N363" s="170" t="n"/>
      <c r="O363" s="172" t="n"/>
      <c r="P363" s="172" t="n"/>
    </row>
    <row r="364">
      <c r="B364" s="170" t="n">
        <v>349</v>
      </c>
      <c r="C364" s="199" t="n"/>
      <c r="D364" s="312" t="n"/>
      <c r="E364" s="312" t="n"/>
      <c r="F364" s="312" t="n"/>
      <c r="G364" s="312" t="n"/>
      <c r="H364" s="312" t="n"/>
      <c r="I364" s="313" t="n"/>
      <c r="J364" s="170" t="n"/>
      <c r="K364" s="314" t="n"/>
      <c r="L364" s="170" t="n"/>
      <c r="M364" s="170" t="n"/>
      <c r="N364" s="170" t="n"/>
      <c r="O364" s="172" t="n"/>
      <c r="P364" s="172" t="n"/>
    </row>
    <row r="365">
      <c r="B365" s="170" t="n">
        <v>350</v>
      </c>
      <c r="C365" s="199" t="n"/>
      <c r="D365" s="312" t="n"/>
      <c r="E365" s="312" t="n"/>
      <c r="F365" s="312" t="n"/>
      <c r="G365" s="312" t="n"/>
      <c r="H365" s="312" t="n"/>
      <c r="I365" s="313" t="n"/>
      <c r="J365" s="170" t="n"/>
      <c r="K365" s="314" t="n"/>
      <c r="L365" s="170" t="n"/>
      <c r="M365" s="170" t="n"/>
      <c r="N365" s="170" t="n"/>
      <c r="O365" s="172" t="n"/>
      <c r="P365" s="172" t="n"/>
    </row>
    <row r="366">
      <c r="B366" s="170" t="n">
        <v>351</v>
      </c>
      <c r="C366" s="199" t="n"/>
      <c r="D366" s="312" t="n"/>
      <c r="E366" s="312" t="n"/>
      <c r="F366" s="312" t="n"/>
      <c r="G366" s="312" t="n"/>
      <c r="H366" s="312" t="n"/>
      <c r="I366" s="313" t="n"/>
      <c r="J366" s="170" t="n"/>
      <c r="K366" s="314" t="n"/>
      <c r="L366" s="170" t="n"/>
      <c r="M366" s="170" t="n"/>
      <c r="N366" s="170" t="n"/>
      <c r="O366" s="172" t="n"/>
      <c r="P366" s="172" t="n"/>
    </row>
    <row r="367">
      <c r="B367" s="170" t="n">
        <v>352</v>
      </c>
      <c r="C367" s="199" t="n"/>
      <c r="D367" s="312" t="n"/>
      <c r="E367" s="312" t="n"/>
      <c r="F367" s="312" t="n"/>
      <c r="G367" s="312" t="n"/>
      <c r="H367" s="312" t="n"/>
      <c r="I367" s="313" t="n"/>
      <c r="J367" s="170" t="n"/>
      <c r="K367" s="314" t="n"/>
      <c r="L367" s="170" t="n"/>
      <c r="M367" s="170" t="n"/>
      <c r="N367" s="170" t="n"/>
      <c r="O367" s="172" t="n"/>
      <c r="P367" s="172" t="n"/>
    </row>
    <row r="368">
      <c r="B368" s="170" t="n">
        <v>353</v>
      </c>
      <c r="C368" s="199" t="n"/>
      <c r="D368" s="312" t="n"/>
      <c r="E368" s="312" t="n"/>
      <c r="F368" s="312" t="n"/>
      <c r="G368" s="312" t="n"/>
      <c r="H368" s="312" t="n"/>
      <c r="I368" s="313" t="n"/>
      <c r="J368" s="170" t="n"/>
      <c r="K368" s="314" t="n"/>
      <c r="L368" s="170" t="n"/>
      <c r="M368" s="170" t="n"/>
      <c r="N368" s="170" t="n"/>
      <c r="O368" s="172" t="n"/>
      <c r="P368" s="172" t="n"/>
    </row>
    <row r="369">
      <c r="B369" s="170" t="n">
        <v>354</v>
      </c>
      <c r="C369" s="199" t="n"/>
      <c r="D369" s="312" t="n"/>
      <c r="E369" s="312" t="n"/>
      <c r="F369" s="312" t="n"/>
      <c r="G369" s="312" t="n"/>
      <c r="H369" s="312" t="n"/>
      <c r="I369" s="313" t="n"/>
      <c r="J369" s="170" t="n"/>
      <c r="K369" s="314" t="n"/>
      <c r="L369" s="170" t="n"/>
      <c r="M369" s="170" t="n"/>
      <c r="N369" s="170" t="n"/>
      <c r="O369" s="172" t="n"/>
      <c r="P369" s="172" t="n"/>
    </row>
    <row r="370">
      <c r="B370" s="170" t="n">
        <v>355</v>
      </c>
      <c r="C370" s="199" t="n"/>
      <c r="D370" s="312" t="n"/>
      <c r="E370" s="312" t="n"/>
      <c r="F370" s="312" t="n"/>
      <c r="G370" s="312" t="n"/>
      <c r="H370" s="312" t="n"/>
      <c r="I370" s="313" t="n"/>
      <c r="J370" s="170" t="n"/>
      <c r="K370" s="314" t="n"/>
      <c r="L370" s="170" t="n"/>
      <c r="M370" s="170" t="n"/>
      <c r="N370" s="170" t="n"/>
      <c r="O370" s="172" t="n"/>
      <c r="P370" s="172" t="n"/>
    </row>
    <row r="371">
      <c r="B371" s="170" t="n">
        <v>356</v>
      </c>
      <c r="C371" s="199" t="n"/>
      <c r="D371" s="312" t="n"/>
      <c r="E371" s="312" t="n"/>
      <c r="F371" s="312" t="n"/>
      <c r="G371" s="312" t="n"/>
      <c r="H371" s="312" t="n"/>
      <c r="I371" s="313" t="n"/>
      <c r="J371" s="170" t="n"/>
      <c r="K371" s="314" t="n"/>
      <c r="L371" s="170" t="n"/>
      <c r="M371" s="170" t="n"/>
      <c r="N371" s="170" t="n"/>
      <c r="O371" s="172" t="n"/>
      <c r="P371" s="172" t="n"/>
    </row>
    <row r="372">
      <c r="B372" s="170" t="n">
        <v>357</v>
      </c>
      <c r="C372" s="199" t="n"/>
      <c r="D372" s="312" t="n"/>
      <c r="E372" s="312" t="n"/>
      <c r="F372" s="312" t="n"/>
      <c r="G372" s="312" t="n"/>
      <c r="H372" s="312" t="n"/>
      <c r="I372" s="313" t="n"/>
      <c r="J372" s="170" t="n"/>
      <c r="K372" s="314" t="n"/>
      <c r="L372" s="170" t="n"/>
      <c r="M372" s="170" t="n"/>
      <c r="N372" s="170" t="n"/>
      <c r="O372" s="172" t="n"/>
      <c r="P372" s="172" t="n"/>
    </row>
    <row r="373">
      <c r="B373" s="170" t="n">
        <v>358</v>
      </c>
      <c r="C373" s="199" t="n"/>
      <c r="D373" s="312" t="n"/>
      <c r="E373" s="312" t="n"/>
      <c r="F373" s="312" t="n"/>
      <c r="G373" s="312" t="n"/>
      <c r="H373" s="312" t="n"/>
      <c r="I373" s="313" t="n"/>
      <c r="J373" s="170" t="n"/>
      <c r="K373" s="314" t="n"/>
      <c r="L373" s="170" t="n"/>
      <c r="M373" s="170" t="n"/>
      <c r="N373" s="170" t="n"/>
      <c r="O373" s="172" t="n"/>
      <c r="P373" s="172" t="n"/>
    </row>
    <row r="374">
      <c r="B374" s="170" t="n">
        <v>359</v>
      </c>
      <c r="C374" s="199" t="n"/>
      <c r="D374" s="312" t="n"/>
      <c r="E374" s="312" t="n"/>
      <c r="F374" s="312" t="n"/>
      <c r="G374" s="312" t="n"/>
      <c r="H374" s="312" t="n"/>
      <c r="I374" s="313" t="n"/>
      <c r="J374" s="170" t="n"/>
      <c r="K374" s="314" t="n"/>
      <c r="L374" s="170" t="n"/>
      <c r="M374" s="170" t="n"/>
      <c r="N374" s="170" t="n"/>
      <c r="O374" s="172" t="n"/>
      <c r="P374" s="172" t="n"/>
    </row>
    <row r="375">
      <c r="B375" s="170" t="n">
        <v>360</v>
      </c>
      <c r="C375" s="199" t="n"/>
      <c r="D375" s="312" t="n"/>
      <c r="E375" s="312" t="n"/>
      <c r="F375" s="312" t="n"/>
      <c r="G375" s="312" t="n"/>
      <c r="H375" s="312" t="n"/>
      <c r="I375" s="313" t="n"/>
      <c r="J375" s="170" t="n"/>
      <c r="K375" s="314" t="n"/>
      <c r="L375" s="170" t="n"/>
      <c r="M375" s="170" t="n"/>
      <c r="N375" s="170" t="n"/>
      <c r="O375" s="172" t="n"/>
      <c r="P375" s="172" t="n"/>
    </row>
    <row r="376">
      <c r="B376" s="170" t="n">
        <v>361</v>
      </c>
      <c r="C376" s="199" t="n"/>
      <c r="D376" s="312" t="n"/>
      <c r="E376" s="312" t="n"/>
      <c r="F376" s="312" t="n"/>
      <c r="G376" s="312" t="n"/>
      <c r="H376" s="312" t="n"/>
      <c r="I376" s="313" t="n"/>
      <c r="J376" s="170" t="n"/>
      <c r="K376" s="314" t="n"/>
      <c r="L376" s="170" t="n"/>
      <c r="M376" s="170" t="n"/>
      <c r="N376" s="170" t="n"/>
      <c r="O376" s="172" t="n"/>
      <c r="P376" s="172" t="n"/>
    </row>
    <row r="377">
      <c r="B377" s="170" t="n">
        <v>362</v>
      </c>
      <c r="C377" s="199" t="n"/>
      <c r="D377" s="312" t="n"/>
      <c r="E377" s="312" t="n"/>
      <c r="F377" s="312" t="n"/>
      <c r="G377" s="312" t="n"/>
      <c r="H377" s="312" t="n"/>
      <c r="I377" s="313" t="n"/>
      <c r="J377" s="170" t="n"/>
      <c r="K377" s="314" t="n"/>
      <c r="L377" s="170" t="n"/>
      <c r="M377" s="170" t="n"/>
      <c r="N377" s="170" t="n"/>
      <c r="O377" s="172" t="n"/>
      <c r="P377" s="172" t="n"/>
    </row>
    <row r="378">
      <c r="B378" s="170" t="n">
        <v>363</v>
      </c>
      <c r="C378" s="199" t="n"/>
      <c r="D378" s="312" t="n"/>
      <c r="E378" s="312" t="n"/>
      <c r="F378" s="312" t="n"/>
      <c r="G378" s="312" t="n"/>
      <c r="H378" s="312" t="n"/>
      <c r="I378" s="313" t="n"/>
      <c r="J378" s="170" t="n"/>
      <c r="K378" s="314" t="n"/>
      <c r="L378" s="170" t="n"/>
      <c r="M378" s="170" t="n"/>
      <c r="N378" s="170" t="n"/>
      <c r="O378" s="172" t="n"/>
      <c r="P378" s="172" t="n"/>
    </row>
    <row r="379">
      <c r="B379" s="170" t="n">
        <v>364</v>
      </c>
      <c r="C379" s="199" t="n"/>
      <c r="D379" s="312" t="n"/>
      <c r="E379" s="312" t="n"/>
      <c r="F379" s="312" t="n"/>
      <c r="G379" s="312" t="n"/>
      <c r="H379" s="312" t="n"/>
      <c r="I379" s="313" t="n"/>
      <c r="J379" s="170" t="n"/>
      <c r="K379" s="314" t="n"/>
      <c r="L379" s="170" t="n"/>
      <c r="M379" s="170" t="n"/>
      <c r="N379" s="170" t="n"/>
      <c r="O379" s="172" t="n"/>
      <c r="P379" s="172" t="n"/>
    </row>
    <row r="380">
      <c r="B380" s="170" t="n">
        <v>365</v>
      </c>
      <c r="C380" s="199" t="n"/>
      <c r="D380" s="312" t="n"/>
      <c r="E380" s="312" t="n"/>
      <c r="F380" s="312" t="n"/>
      <c r="G380" s="312" t="n"/>
      <c r="H380" s="312" t="n"/>
      <c r="I380" s="313" t="n"/>
      <c r="J380" s="170" t="n"/>
      <c r="K380" s="314" t="n"/>
      <c r="L380" s="170" t="n"/>
      <c r="M380" s="170" t="n"/>
      <c r="N380" s="170" t="n"/>
      <c r="O380" s="172" t="n"/>
      <c r="P380" s="172" t="n"/>
    </row>
    <row r="381">
      <c r="B381" s="170" t="n">
        <v>366</v>
      </c>
      <c r="C381" s="199" t="n"/>
      <c r="D381" s="312" t="n"/>
      <c r="E381" s="312" t="n"/>
      <c r="F381" s="312" t="n"/>
      <c r="G381" s="312" t="n"/>
      <c r="H381" s="312" t="n"/>
      <c r="I381" s="313" t="n"/>
      <c r="J381" s="170" t="n"/>
      <c r="K381" s="314" t="n"/>
      <c r="L381" s="170" t="n"/>
      <c r="M381" s="170" t="n"/>
      <c r="N381" s="170" t="n"/>
      <c r="O381" s="172" t="n"/>
      <c r="P381" s="172" t="n"/>
    </row>
    <row r="382">
      <c r="B382" s="170" t="n">
        <v>367</v>
      </c>
      <c r="C382" s="199" t="n"/>
      <c r="D382" s="312" t="n"/>
      <c r="E382" s="312" t="n"/>
      <c r="F382" s="312" t="n"/>
      <c r="G382" s="312" t="n"/>
      <c r="H382" s="312" t="n"/>
      <c r="I382" s="313" t="n"/>
      <c r="J382" s="170" t="n"/>
      <c r="K382" s="314" t="n"/>
      <c r="L382" s="170" t="n"/>
      <c r="M382" s="170" t="n"/>
      <c r="N382" s="170" t="n"/>
      <c r="O382" s="172" t="n"/>
      <c r="P382" s="172" t="n"/>
    </row>
    <row r="383">
      <c r="B383" s="170" t="n">
        <v>368</v>
      </c>
      <c r="C383" s="199" t="n"/>
      <c r="D383" s="312" t="n"/>
      <c r="E383" s="312" t="n"/>
      <c r="F383" s="312" t="n"/>
      <c r="G383" s="312" t="n"/>
      <c r="H383" s="312" t="n"/>
      <c r="I383" s="313" t="n"/>
      <c r="J383" s="170" t="n"/>
      <c r="K383" s="314" t="n"/>
      <c r="L383" s="170" t="n"/>
      <c r="M383" s="170" t="n"/>
      <c r="N383" s="170" t="n"/>
      <c r="O383" s="172" t="n"/>
      <c r="P383" s="172" t="n"/>
    </row>
    <row r="384">
      <c r="B384" s="170" t="n">
        <v>369</v>
      </c>
      <c r="C384" s="199" t="n"/>
      <c r="D384" s="312" t="n"/>
      <c r="E384" s="312" t="n"/>
      <c r="F384" s="312" t="n"/>
      <c r="G384" s="312" t="n"/>
      <c r="H384" s="312" t="n"/>
      <c r="I384" s="313" t="n"/>
      <c r="J384" s="170" t="n"/>
      <c r="K384" s="314" t="n"/>
      <c r="L384" s="170" t="n"/>
      <c r="M384" s="170" t="n"/>
      <c r="N384" s="170" t="n"/>
      <c r="O384" s="172" t="n"/>
      <c r="P384" s="172" t="n"/>
    </row>
    <row r="385">
      <c r="B385" s="170" t="n">
        <v>370</v>
      </c>
      <c r="C385" s="199" t="n"/>
      <c r="D385" s="312" t="n"/>
      <c r="E385" s="312" t="n"/>
      <c r="F385" s="312" t="n"/>
      <c r="G385" s="312" t="n"/>
      <c r="H385" s="312" t="n"/>
      <c r="I385" s="313" t="n"/>
      <c r="J385" s="170" t="n"/>
      <c r="K385" s="314" t="n"/>
      <c r="L385" s="170" t="n"/>
      <c r="M385" s="170" t="n"/>
      <c r="N385" s="170" t="n"/>
      <c r="O385" s="172" t="n"/>
      <c r="P385" s="172" t="n"/>
    </row>
    <row r="386">
      <c r="B386" s="170" t="n">
        <v>371</v>
      </c>
      <c r="C386" s="199" t="n"/>
      <c r="D386" s="312" t="n"/>
      <c r="E386" s="312" t="n"/>
      <c r="F386" s="312" t="n"/>
      <c r="G386" s="312" t="n"/>
      <c r="H386" s="312" t="n"/>
      <c r="I386" s="313" t="n"/>
      <c r="J386" s="170" t="n"/>
      <c r="K386" s="314" t="n"/>
      <c r="L386" s="170" t="n"/>
      <c r="M386" s="170" t="n"/>
      <c r="N386" s="170" t="n"/>
      <c r="O386" s="172" t="n"/>
      <c r="P386" s="172" t="n"/>
    </row>
    <row r="387">
      <c r="B387" s="170" t="n">
        <v>372</v>
      </c>
      <c r="C387" s="199" t="n"/>
      <c r="D387" s="312" t="n"/>
      <c r="E387" s="312" t="n"/>
      <c r="F387" s="312" t="n"/>
      <c r="G387" s="312" t="n"/>
      <c r="H387" s="312" t="n"/>
      <c r="I387" s="313" t="n"/>
      <c r="J387" s="170" t="n"/>
      <c r="K387" s="314" t="n"/>
      <c r="L387" s="170" t="n"/>
      <c r="M387" s="170" t="n"/>
      <c r="N387" s="170" t="n"/>
      <c r="O387" s="172" t="n"/>
      <c r="P387" s="172" t="n"/>
    </row>
    <row r="388">
      <c r="B388" s="170" t="n">
        <v>373</v>
      </c>
      <c r="C388" s="199" t="n"/>
      <c r="D388" s="312" t="n"/>
      <c r="E388" s="312" t="n"/>
      <c r="F388" s="312" t="n"/>
      <c r="G388" s="312" t="n"/>
      <c r="H388" s="312" t="n"/>
      <c r="I388" s="313" t="n"/>
      <c r="J388" s="170" t="n"/>
      <c r="K388" s="314" t="n"/>
      <c r="L388" s="170" t="n"/>
      <c r="M388" s="170" t="n"/>
      <c r="N388" s="170" t="n"/>
      <c r="O388" s="172" t="n"/>
      <c r="P388" s="172" t="n"/>
    </row>
    <row r="389">
      <c r="B389" s="170" t="n">
        <v>374</v>
      </c>
      <c r="C389" s="199" t="n"/>
      <c r="D389" s="312" t="n"/>
      <c r="E389" s="312" t="n"/>
      <c r="F389" s="312" t="n"/>
      <c r="G389" s="312" t="n"/>
      <c r="H389" s="312" t="n"/>
      <c r="I389" s="313" t="n"/>
      <c r="J389" s="170" t="n"/>
      <c r="K389" s="314" t="n"/>
      <c r="L389" s="170" t="n"/>
      <c r="M389" s="170" t="n"/>
      <c r="N389" s="170" t="n"/>
      <c r="O389" s="172" t="n"/>
      <c r="P389" s="172" t="n"/>
    </row>
    <row r="390">
      <c r="B390" s="170" t="n">
        <v>375</v>
      </c>
      <c r="C390" s="199" t="n"/>
      <c r="D390" s="312" t="n"/>
      <c r="E390" s="312" t="n"/>
      <c r="F390" s="312" t="n"/>
      <c r="G390" s="312" t="n"/>
      <c r="H390" s="312" t="n"/>
      <c r="I390" s="313" t="n"/>
      <c r="J390" s="170" t="n"/>
      <c r="K390" s="314" t="n"/>
      <c r="L390" s="170" t="n"/>
      <c r="M390" s="170" t="n"/>
      <c r="N390" s="170" t="n"/>
      <c r="O390" s="172" t="n"/>
      <c r="P390" s="172" t="n"/>
    </row>
    <row r="391">
      <c r="B391" s="170" t="n">
        <v>376</v>
      </c>
      <c r="C391" s="199" t="n"/>
      <c r="D391" s="312" t="n"/>
      <c r="E391" s="312" t="n"/>
      <c r="F391" s="312" t="n"/>
      <c r="G391" s="312" t="n"/>
      <c r="H391" s="312" t="n"/>
      <c r="I391" s="313" t="n"/>
      <c r="J391" s="170" t="n"/>
      <c r="K391" s="314" t="n"/>
      <c r="L391" s="170" t="n"/>
      <c r="M391" s="170" t="n"/>
      <c r="N391" s="170" t="n"/>
      <c r="O391" s="172" t="n"/>
      <c r="P391" s="172" t="n"/>
    </row>
    <row r="392">
      <c r="B392" s="170" t="n">
        <v>377</v>
      </c>
      <c r="C392" s="199" t="n"/>
      <c r="D392" s="312" t="n"/>
      <c r="E392" s="312" t="n"/>
      <c r="F392" s="312" t="n"/>
      <c r="G392" s="312" t="n"/>
      <c r="H392" s="312" t="n"/>
      <c r="I392" s="313" t="n"/>
      <c r="J392" s="170" t="n"/>
      <c r="K392" s="314" t="n"/>
      <c r="L392" s="170" t="n"/>
      <c r="M392" s="170" t="n"/>
      <c r="N392" s="170" t="n"/>
      <c r="O392" s="172" t="n"/>
      <c r="P392" s="172" t="n"/>
    </row>
    <row r="393">
      <c r="B393" s="170" t="n">
        <v>378</v>
      </c>
      <c r="C393" s="199" t="n"/>
      <c r="D393" s="312" t="n"/>
      <c r="E393" s="312" t="n"/>
      <c r="F393" s="312" t="n"/>
      <c r="G393" s="312" t="n"/>
      <c r="H393" s="312" t="n"/>
      <c r="I393" s="313" t="n"/>
      <c r="J393" s="170" t="n"/>
      <c r="K393" s="314" t="n"/>
      <c r="L393" s="170" t="n"/>
      <c r="M393" s="170" t="n"/>
      <c r="N393" s="170" t="n"/>
      <c r="O393" s="172" t="n"/>
      <c r="P393" s="172" t="n"/>
    </row>
    <row r="394">
      <c r="B394" s="170" t="n">
        <v>379</v>
      </c>
      <c r="C394" s="199" t="n"/>
      <c r="D394" s="312" t="n"/>
      <c r="E394" s="312" t="n"/>
      <c r="F394" s="312" t="n"/>
      <c r="G394" s="312" t="n"/>
      <c r="H394" s="312" t="n"/>
      <c r="I394" s="313" t="n"/>
      <c r="J394" s="170" t="n"/>
      <c r="K394" s="314" t="n"/>
      <c r="L394" s="170" t="n"/>
      <c r="M394" s="170" t="n"/>
      <c r="N394" s="170" t="n"/>
      <c r="O394" s="172" t="n"/>
      <c r="P394" s="172" t="n"/>
    </row>
    <row r="395">
      <c r="B395" s="170" t="n">
        <v>380</v>
      </c>
      <c r="C395" s="199" t="n"/>
      <c r="D395" s="312" t="n"/>
      <c r="E395" s="312" t="n"/>
      <c r="F395" s="312" t="n"/>
      <c r="G395" s="312" t="n"/>
      <c r="H395" s="312" t="n"/>
      <c r="I395" s="313" t="n"/>
      <c r="J395" s="170" t="n"/>
      <c r="K395" s="314" t="n"/>
      <c r="L395" s="170" t="n"/>
      <c r="M395" s="170" t="n"/>
      <c r="N395" s="170" t="n"/>
      <c r="O395" s="172" t="n"/>
      <c r="P395" s="172" t="n"/>
    </row>
    <row r="396">
      <c r="B396" s="170" t="n">
        <v>381</v>
      </c>
      <c r="C396" s="199" t="n"/>
      <c r="D396" s="312" t="n"/>
      <c r="E396" s="312" t="n"/>
      <c r="F396" s="312" t="n"/>
      <c r="G396" s="312" t="n"/>
      <c r="H396" s="312" t="n"/>
      <c r="I396" s="313" t="n"/>
      <c r="J396" s="170" t="n"/>
      <c r="K396" s="314" t="n"/>
      <c r="L396" s="170" t="n"/>
      <c r="M396" s="170" t="n"/>
      <c r="N396" s="170" t="n"/>
      <c r="O396" s="172" t="n"/>
      <c r="P396" s="172" t="n"/>
    </row>
    <row r="397">
      <c r="B397" s="170" t="n">
        <v>382</v>
      </c>
      <c r="C397" s="199" t="n"/>
      <c r="D397" s="312" t="n"/>
      <c r="E397" s="312" t="n"/>
      <c r="F397" s="312" t="n"/>
      <c r="G397" s="312" t="n"/>
      <c r="H397" s="312" t="n"/>
      <c r="I397" s="313" t="n"/>
      <c r="J397" s="170" t="n"/>
      <c r="K397" s="314" t="n"/>
      <c r="L397" s="170" t="n"/>
      <c r="M397" s="170" t="n"/>
      <c r="N397" s="170" t="n"/>
      <c r="O397" s="172" t="n"/>
      <c r="P397" s="172" t="n"/>
    </row>
    <row r="398">
      <c r="B398" s="170" t="n">
        <v>383</v>
      </c>
      <c r="C398" s="199" t="n"/>
      <c r="D398" s="312" t="n"/>
      <c r="E398" s="312" t="n"/>
      <c r="F398" s="312" t="n"/>
      <c r="G398" s="312" t="n"/>
      <c r="H398" s="312" t="n"/>
      <c r="I398" s="313" t="n"/>
      <c r="J398" s="170" t="n"/>
      <c r="K398" s="314" t="n"/>
      <c r="L398" s="170" t="n"/>
      <c r="M398" s="170" t="n"/>
      <c r="N398" s="170" t="n"/>
      <c r="O398" s="172" t="n"/>
      <c r="P398" s="172" t="n"/>
    </row>
    <row r="399">
      <c r="B399" s="170" t="n">
        <v>384</v>
      </c>
      <c r="C399" s="199" t="n"/>
      <c r="D399" s="312" t="n"/>
      <c r="E399" s="312" t="n"/>
      <c r="F399" s="312" t="n"/>
      <c r="G399" s="312" t="n"/>
      <c r="H399" s="312" t="n"/>
      <c r="I399" s="313" t="n"/>
      <c r="J399" s="170" t="n"/>
      <c r="K399" s="314" t="n"/>
      <c r="L399" s="170" t="n"/>
      <c r="M399" s="170" t="n"/>
      <c r="N399" s="170" t="n"/>
      <c r="O399" s="172" t="n"/>
      <c r="P399" s="172" t="n"/>
    </row>
    <row r="400">
      <c r="B400" s="170" t="n">
        <v>385</v>
      </c>
      <c r="C400" s="199" t="n"/>
      <c r="D400" s="312" t="n"/>
      <c r="E400" s="312" t="n"/>
      <c r="F400" s="312" t="n"/>
      <c r="G400" s="312" t="n"/>
      <c r="H400" s="312" t="n"/>
      <c r="I400" s="313" t="n"/>
      <c r="J400" s="170" t="n"/>
      <c r="K400" s="314" t="n"/>
      <c r="L400" s="170" t="n"/>
      <c r="M400" s="170" t="n"/>
      <c r="N400" s="170" t="n"/>
      <c r="O400" s="172" t="n"/>
      <c r="P400" s="172" t="n"/>
    </row>
    <row r="401">
      <c r="B401" s="170" t="n">
        <v>386</v>
      </c>
      <c r="C401" s="199" t="n"/>
      <c r="D401" s="312" t="n"/>
      <c r="E401" s="312" t="n"/>
      <c r="F401" s="312" t="n"/>
      <c r="G401" s="312" t="n"/>
      <c r="H401" s="312" t="n"/>
      <c r="I401" s="313" t="n"/>
      <c r="J401" s="170" t="n"/>
      <c r="K401" s="314" t="n"/>
      <c r="L401" s="170" t="n"/>
      <c r="M401" s="170" t="n"/>
      <c r="N401" s="170" t="n"/>
      <c r="O401" s="172" t="n"/>
      <c r="P401" s="172" t="n"/>
    </row>
    <row r="402">
      <c r="B402" s="170" t="n">
        <v>387</v>
      </c>
      <c r="C402" s="199" t="n"/>
      <c r="D402" s="312" t="n"/>
      <c r="E402" s="312" t="n"/>
      <c r="F402" s="312" t="n"/>
      <c r="G402" s="312" t="n"/>
      <c r="H402" s="312" t="n"/>
      <c r="I402" s="313" t="n"/>
      <c r="J402" s="170" t="n"/>
      <c r="K402" s="314" t="n"/>
      <c r="L402" s="170" t="n"/>
      <c r="M402" s="170" t="n"/>
      <c r="N402" s="170" t="n"/>
      <c r="O402" s="172" t="n"/>
      <c r="P402" s="172" t="n"/>
    </row>
    <row r="403">
      <c r="B403" s="170" t="n">
        <v>388</v>
      </c>
      <c r="C403" s="199" t="n"/>
      <c r="D403" s="312" t="n"/>
      <c r="E403" s="312" t="n"/>
      <c r="F403" s="312" t="n"/>
      <c r="G403" s="312" t="n"/>
      <c r="H403" s="312" t="n"/>
      <c r="I403" s="313" t="n"/>
      <c r="J403" s="170" t="n"/>
      <c r="K403" s="314" t="n"/>
      <c r="L403" s="170" t="n"/>
      <c r="M403" s="170" t="n"/>
      <c r="N403" s="170" t="n"/>
      <c r="O403" s="172" t="n"/>
      <c r="P403" s="172" t="n"/>
    </row>
    <row r="404">
      <c r="B404" s="170" t="n">
        <v>389</v>
      </c>
      <c r="C404" s="199" t="n"/>
      <c r="D404" s="312" t="n"/>
      <c r="E404" s="312" t="n"/>
      <c r="F404" s="312" t="n"/>
      <c r="G404" s="312" t="n"/>
      <c r="H404" s="312" t="n"/>
      <c r="I404" s="313" t="n"/>
      <c r="J404" s="170" t="n"/>
      <c r="K404" s="314" t="n"/>
      <c r="L404" s="170" t="n"/>
      <c r="M404" s="170" t="n"/>
      <c r="N404" s="170" t="n"/>
      <c r="O404" s="172" t="n"/>
      <c r="P404" s="172" t="n"/>
    </row>
    <row r="405">
      <c r="B405" s="170" t="n">
        <v>390</v>
      </c>
      <c r="C405" s="199" t="n"/>
      <c r="D405" s="312" t="n"/>
      <c r="E405" s="312" t="n"/>
      <c r="F405" s="312" t="n"/>
      <c r="G405" s="312" t="n"/>
      <c r="H405" s="312" t="n"/>
      <c r="I405" s="313" t="n"/>
      <c r="J405" s="170" t="n"/>
      <c r="K405" s="314" t="n"/>
      <c r="L405" s="170" t="n"/>
      <c r="M405" s="170" t="n"/>
      <c r="N405" s="170" t="n"/>
      <c r="O405" s="172" t="n"/>
      <c r="P405" s="172" t="n"/>
    </row>
    <row r="406">
      <c r="B406" s="170" t="n">
        <v>391</v>
      </c>
      <c r="C406" s="199" t="n"/>
      <c r="D406" s="312" t="n"/>
      <c r="E406" s="312" t="n"/>
      <c r="F406" s="312" t="n"/>
      <c r="G406" s="312" t="n"/>
      <c r="H406" s="312" t="n"/>
      <c r="I406" s="313" t="n"/>
      <c r="J406" s="170" t="n"/>
      <c r="K406" s="314" t="n"/>
      <c r="L406" s="170" t="n"/>
      <c r="M406" s="170" t="n"/>
      <c r="N406" s="170" t="n"/>
      <c r="O406" s="172" t="n"/>
      <c r="P406" s="172" t="n"/>
    </row>
    <row r="407">
      <c r="B407" s="170" t="n">
        <v>392</v>
      </c>
      <c r="C407" s="199" t="n"/>
      <c r="D407" s="312" t="n"/>
      <c r="E407" s="312" t="n"/>
      <c r="F407" s="312" t="n"/>
      <c r="G407" s="312" t="n"/>
      <c r="H407" s="312" t="n"/>
      <c r="I407" s="313" t="n"/>
      <c r="J407" s="170" t="n"/>
      <c r="K407" s="314" t="n"/>
      <c r="L407" s="170" t="n"/>
      <c r="M407" s="170" t="n"/>
      <c r="N407" s="170" t="n"/>
      <c r="O407" s="172" t="n"/>
      <c r="P407" s="172" t="n"/>
    </row>
    <row r="408">
      <c r="B408" s="170" t="n">
        <v>393</v>
      </c>
      <c r="C408" s="199" t="n"/>
      <c r="D408" s="312" t="n"/>
      <c r="E408" s="312" t="n"/>
      <c r="F408" s="312" t="n"/>
      <c r="G408" s="312" t="n"/>
      <c r="H408" s="312" t="n"/>
      <c r="I408" s="313" t="n"/>
      <c r="J408" s="170" t="n"/>
      <c r="K408" s="314" t="n"/>
      <c r="L408" s="170" t="n"/>
      <c r="M408" s="170" t="n"/>
      <c r="N408" s="170" t="n"/>
      <c r="O408" s="172" t="n"/>
      <c r="P408" s="172" t="n"/>
    </row>
    <row r="409">
      <c r="B409" s="170" t="n">
        <v>394</v>
      </c>
      <c r="C409" s="199" t="n"/>
      <c r="D409" s="312" t="n"/>
      <c r="E409" s="312" t="n"/>
      <c r="F409" s="312" t="n"/>
      <c r="G409" s="312" t="n"/>
      <c r="H409" s="312" t="n"/>
      <c r="I409" s="313" t="n"/>
      <c r="J409" s="170" t="n"/>
      <c r="K409" s="314" t="n"/>
      <c r="L409" s="170" t="n"/>
      <c r="M409" s="170" t="n"/>
      <c r="N409" s="170" t="n"/>
      <c r="O409" s="172" t="n"/>
      <c r="P409" s="172" t="n"/>
    </row>
    <row r="410">
      <c r="B410" s="170" t="n">
        <v>395</v>
      </c>
      <c r="C410" s="199" t="n"/>
      <c r="D410" s="312" t="n"/>
      <c r="E410" s="312" t="n"/>
      <c r="F410" s="312" t="n"/>
      <c r="G410" s="312" t="n"/>
      <c r="H410" s="312" t="n"/>
      <c r="I410" s="313" t="n"/>
      <c r="J410" s="170" t="n"/>
      <c r="K410" s="314" t="n"/>
      <c r="L410" s="170" t="n"/>
      <c r="M410" s="170" t="n"/>
      <c r="N410" s="170" t="n"/>
      <c r="O410" s="172" t="n"/>
      <c r="P410" s="172" t="n"/>
    </row>
    <row r="411">
      <c r="B411" s="170" t="n">
        <v>396</v>
      </c>
      <c r="C411" s="199" t="n"/>
      <c r="D411" s="312" t="n"/>
      <c r="E411" s="312" t="n"/>
      <c r="F411" s="312" t="n"/>
      <c r="G411" s="312" t="n"/>
      <c r="H411" s="312" t="n"/>
      <c r="I411" s="313" t="n"/>
      <c r="J411" s="170" t="n"/>
      <c r="K411" s="314" t="n"/>
      <c r="L411" s="170" t="n"/>
      <c r="M411" s="170" t="n"/>
      <c r="N411" s="170" t="n"/>
      <c r="O411" s="172" t="n"/>
      <c r="P411" s="172" t="n"/>
    </row>
    <row r="412">
      <c r="B412" s="170" t="n">
        <v>397</v>
      </c>
      <c r="C412" s="199" t="n"/>
      <c r="D412" s="312" t="n"/>
      <c r="E412" s="312" t="n"/>
      <c r="F412" s="312" t="n"/>
      <c r="G412" s="312" t="n"/>
      <c r="H412" s="312" t="n"/>
      <c r="I412" s="313" t="n"/>
      <c r="J412" s="170" t="n"/>
      <c r="K412" s="314" t="n"/>
      <c r="L412" s="170" t="n"/>
      <c r="M412" s="170" t="n"/>
      <c r="N412" s="170" t="n"/>
      <c r="O412" s="172" t="n"/>
      <c r="P412" s="172" t="n"/>
    </row>
    <row r="413">
      <c r="B413" s="170" t="n">
        <v>398</v>
      </c>
      <c r="C413" s="199" t="n"/>
      <c r="D413" s="312" t="n"/>
      <c r="E413" s="312" t="n"/>
      <c r="F413" s="312" t="n"/>
      <c r="G413" s="312" t="n"/>
      <c r="H413" s="312" t="n"/>
      <c r="I413" s="313" t="n"/>
      <c r="J413" s="170" t="n"/>
      <c r="K413" s="314" t="n"/>
      <c r="L413" s="170" t="n"/>
      <c r="M413" s="170" t="n"/>
      <c r="N413" s="170" t="n"/>
      <c r="O413" s="172" t="n"/>
      <c r="P413" s="172" t="n"/>
    </row>
    <row r="414">
      <c r="B414" s="170" t="n">
        <v>399</v>
      </c>
      <c r="C414" s="199" t="n"/>
      <c r="D414" s="312" t="n"/>
      <c r="E414" s="312" t="n"/>
      <c r="F414" s="312" t="n"/>
      <c r="G414" s="312" t="n"/>
      <c r="H414" s="312" t="n"/>
      <c r="I414" s="313" t="n"/>
      <c r="J414" s="170" t="n"/>
      <c r="K414" s="314" t="n"/>
      <c r="L414" s="170" t="n"/>
      <c r="M414" s="170" t="n"/>
      <c r="N414" s="170" t="n"/>
      <c r="O414" s="172" t="n"/>
      <c r="P414" s="172" t="n"/>
    </row>
    <row r="415">
      <c r="B415" s="170" t="n">
        <v>400</v>
      </c>
      <c r="C415" s="199" t="n"/>
      <c r="D415" s="312" t="n"/>
      <c r="E415" s="312" t="n"/>
      <c r="F415" s="312" t="n"/>
      <c r="G415" s="312" t="n"/>
      <c r="H415" s="312" t="n"/>
      <c r="I415" s="313" t="n"/>
      <c r="J415" s="170" t="n"/>
      <c r="K415" s="314" t="n"/>
      <c r="L415" s="170" t="n"/>
      <c r="M415" s="170" t="n"/>
      <c r="N415" s="170" t="n"/>
      <c r="O415" s="172" t="n"/>
      <c r="P415" s="172" t="n"/>
    </row>
    <row r="416">
      <c r="B416" s="170" t="n">
        <v>401</v>
      </c>
      <c r="C416" s="199" t="n"/>
      <c r="D416" s="312" t="n"/>
      <c r="E416" s="312" t="n"/>
      <c r="F416" s="312" t="n"/>
      <c r="G416" s="312" t="n"/>
      <c r="H416" s="312" t="n"/>
      <c r="I416" s="313" t="n"/>
      <c r="J416" s="170" t="n"/>
      <c r="K416" s="314" t="n"/>
      <c r="L416" s="170" t="n"/>
      <c r="M416" s="170" t="n"/>
      <c r="N416" s="170" t="n"/>
      <c r="O416" s="172" t="n"/>
      <c r="P416" s="172" t="n"/>
    </row>
    <row r="417">
      <c r="B417" s="170" t="n">
        <v>402</v>
      </c>
      <c r="C417" s="199" t="n"/>
      <c r="D417" s="312" t="n"/>
      <c r="E417" s="312" t="n"/>
      <c r="F417" s="312" t="n"/>
      <c r="G417" s="312" t="n"/>
      <c r="H417" s="312" t="n"/>
      <c r="I417" s="313" t="n"/>
      <c r="J417" s="170" t="n"/>
      <c r="K417" s="314" t="n"/>
      <c r="L417" s="170" t="n"/>
      <c r="M417" s="170" t="n"/>
      <c r="N417" s="170" t="n"/>
      <c r="O417" s="172" t="n"/>
      <c r="P417" s="172" t="n"/>
    </row>
    <row r="418">
      <c r="B418" s="170" t="n">
        <v>403</v>
      </c>
      <c r="C418" s="199" t="n"/>
      <c r="D418" s="312" t="n"/>
      <c r="E418" s="312" t="n"/>
      <c r="F418" s="312" t="n"/>
      <c r="G418" s="312" t="n"/>
      <c r="H418" s="312" t="n"/>
      <c r="I418" s="313" t="n"/>
      <c r="J418" s="170" t="n"/>
      <c r="K418" s="314" t="n"/>
      <c r="L418" s="170" t="n"/>
      <c r="M418" s="170" t="n"/>
      <c r="N418" s="170" t="n"/>
      <c r="O418" s="172" t="n"/>
      <c r="P418" s="172" t="n"/>
    </row>
    <row r="419">
      <c r="B419" s="170" t="n">
        <v>404</v>
      </c>
      <c r="C419" s="199" t="n"/>
      <c r="D419" s="312" t="n"/>
      <c r="E419" s="312" t="n"/>
      <c r="F419" s="312" t="n"/>
      <c r="G419" s="312" t="n"/>
      <c r="H419" s="312" t="n"/>
      <c r="I419" s="313" t="n"/>
      <c r="J419" s="170" t="n"/>
      <c r="K419" s="314" t="n"/>
      <c r="L419" s="170" t="n"/>
      <c r="M419" s="170" t="n"/>
      <c r="N419" s="170" t="n"/>
      <c r="O419" s="172" t="n"/>
      <c r="P419" s="172" t="n"/>
    </row>
    <row r="420">
      <c r="B420" s="170" t="n">
        <v>405</v>
      </c>
      <c r="C420" s="199" t="n"/>
      <c r="D420" s="312" t="n"/>
      <c r="E420" s="312" t="n"/>
      <c r="F420" s="312" t="n"/>
      <c r="G420" s="312" t="n"/>
      <c r="H420" s="312" t="n"/>
      <c r="I420" s="313" t="n"/>
      <c r="J420" s="170" t="n"/>
      <c r="K420" s="314" t="n"/>
      <c r="L420" s="170" t="n"/>
      <c r="M420" s="170" t="n"/>
      <c r="N420" s="170" t="n"/>
      <c r="O420" s="172" t="n"/>
      <c r="P420" s="172" t="n"/>
    </row>
    <row r="421">
      <c r="B421" s="170" t="n">
        <v>406</v>
      </c>
      <c r="C421" s="199" t="n"/>
      <c r="D421" s="312" t="n"/>
      <c r="E421" s="312" t="n"/>
      <c r="F421" s="312" t="n"/>
      <c r="G421" s="312" t="n"/>
      <c r="H421" s="312" t="n"/>
      <c r="I421" s="313" t="n"/>
      <c r="J421" s="170" t="n"/>
      <c r="K421" s="314" t="n"/>
      <c r="L421" s="170" t="n"/>
      <c r="M421" s="170" t="n"/>
      <c r="N421" s="170" t="n"/>
      <c r="O421" s="172" t="n"/>
      <c r="P421" s="172" t="n"/>
    </row>
    <row r="422">
      <c r="B422" s="170" t="n">
        <v>407</v>
      </c>
      <c r="C422" s="199" t="n"/>
      <c r="D422" s="312" t="n"/>
      <c r="E422" s="312" t="n"/>
      <c r="F422" s="312" t="n"/>
      <c r="G422" s="312" t="n"/>
      <c r="H422" s="312" t="n"/>
      <c r="I422" s="313" t="n"/>
      <c r="J422" s="170" t="n"/>
      <c r="K422" s="314" t="n"/>
      <c r="L422" s="170" t="n"/>
      <c r="M422" s="170" t="n"/>
      <c r="N422" s="170" t="n"/>
      <c r="O422" s="172" t="n"/>
      <c r="P422" s="172" t="n"/>
    </row>
    <row r="423">
      <c r="B423" s="170" t="n">
        <v>408</v>
      </c>
      <c r="C423" s="199" t="n"/>
      <c r="D423" s="312" t="n"/>
      <c r="E423" s="312" t="n"/>
      <c r="F423" s="312" t="n"/>
      <c r="G423" s="312" t="n"/>
      <c r="H423" s="312" t="n"/>
      <c r="I423" s="313" t="n"/>
      <c r="J423" s="170" t="n"/>
      <c r="K423" s="314" t="n"/>
      <c r="L423" s="170" t="n"/>
      <c r="M423" s="170" t="n"/>
      <c r="N423" s="170" t="n"/>
      <c r="O423" s="172" t="n"/>
      <c r="P423" s="172" t="n"/>
    </row>
    <row r="424">
      <c r="B424" s="170" t="n">
        <v>409</v>
      </c>
      <c r="C424" s="199" t="n"/>
      <c r="D424" s="312" t="n"/>
      <c r="E424" s="312" t="n"/>
      <c r="F424" s="312" t="n"/>
      <c r="G424" s="312" t="n"/>
      <c r="H424" s="312" t="n"/>
      <c r="I424" s="313" t="n"/>
      <c r="J424" s="170" t="n"/>
      <c r="K424" s="314" t="n"/>
      <c r="L424" s="170" t="n"/>
      <c r="M424" s="170" t="n"/>
      <c r="N424" s="170" t="n"/>
      <c r="O424" s="172" t="n"/>
      <c r="P424" s="172" t="n"/>
    </row>
    <row r="425">
      <c r="B425" s="170" t="n">
        <v>410</v>
      </c>
      <c r="C425" s="199" t="n"/>
      <c r="D425" s="312" t="n"/>
      <c r="E425" s="312" t="n"/>
      <c r="F425" s="312" t="n"/>
      <c r="G425" s="312" t="n"/>
      <c r="H425" s="312" t="n"/>
      <c r="I425" s="313" t="n"/>
      <c r="J425" s="170" t="n"/>
      <c r="K425" s="314" t="n"/>
      <c r="L425" s="170" t="n"/>
      <c r="M425" s="170" t="n"/>
      <c r="N425" s="170" t="n"/>
      <c r="O425" s="172" t="n"/>
      <c r="P425" s="172" t="n"/>
    </row>
    <row r="426">
      <c r="B426" s="170" t="n">
        <v>411</v>
      </c>
      <c r="C426" s="199" t="n"/>
      <c r="D426" s="312" t="n"/>
      <c r="E426" s="312" t="n"/>
      <c r="F426" s="312" t="n"/>
      <c r="G426" s="312" t="n"/>
      <c r="H426" s="312" t="n"/>
      <c r="I426" s="313" t="n"/>
      <c r="J426" s="170" t="n"/>
      <c r="K426" s="314" t="n"/>
      <c r="L426" s="170" t="n"/>
      <c r="M426" s="170" t="n"/>
      <c r="N426" s="170" t="n"/>
      <c r="O426" s="172" t="n"/>
      <c r="P426" s="172" t="n"/>
    </row>
    <row r="427">
      <c r="B427" s="170" t="n">
        <v>412</v>
      </c>
      <c r="C427" s="199" t="n"/>
      <c r="D427" s="312" t="n"/>
      <c r="E427" s="312" t="n"/>
      <c r="F427" s="312" t="n"/>
      <c r="G427" s="312" t="n"/>
      <c r="H427" s="312" t="n"/>
      <c r="I427" s="313" t="n"/>
      <c r="J427" s="170" t="n"/>
      <c r="K427" s="314" t="n"/>
      <c r="L427" s="170" t="n"/>
      <c r="M427" s="170" t="n"/>
      <c r="N427" s="170" t="n"/>
      <c r="O427" s="172" t="n"/>
      <c r="P427" s="172" t="n"/>
    </row>
    <row r="428">
      <c r="B428" s="170" t="n">
        <v>413</v>
      </c>
      <c r="C428" s="199" t="n"/>
      <c r="D428" s="312" t="n"/>
      <c r="E428" s="312" t="n"/>
      <c r="F428" s="312" t="n"/>
      <c r="G428" s="312" t="n"/>
      <c r="H428" s="312" t="n"/>
      <c r="I428" s="313" t="n"/>
      <c r="J428" s="170" t="n"/>
      <c r="K428" s="314" t="n"/>
      <c r="L428" s="170" t="n"/>
      <c r="M428" s="170" t="n"/>
      <c r="N428" s="170" t="n"/>
      <c r="O428" s="172" t="n"/>
      <c r="P428" s="172" t="n"/>
    </row>
    <row r="429">
      <c r="B429" s="170" t="n">
        <v>414</v>
      </c>
      <c r="C429" s="199" t="n"/>
      <c r="D429" s="312" t="n"/>
      <c r="E429" s="312" t="n"/>
      <c r="F429" s="312" t="n"/>
      <c r="G429" s="312" t="n"/>
      <c r="H429" s="312" t="n"/>
      <c r="I429" s="313" t="n"/>
      <c r="J429" s="170" t="n"/>
      <c r="K429" s="314" t="n"/>
      <c r="L429" s="170" t="n"/>
      <c r="M429" s="170" t="n"/>
      <c r="N429" s="170" t="n"/>
      <c r="O429" s="172" t="n"/>
      <c r="P429" s="172" t="n"/>
    </row>
    <row r="430">
      <c r="B430" s="170" t="n">
        <v>415</v>
      </c>
      <c r="C430" s="199" t="n"/>
      <c r="D430" s="312" t="n"/>
      <c r="E430" s="312" t="n"/>
      <c r="F430" s="312" t="n"/>
      <c r="G430" s="312" t="n"/>
      <c r="H430" s="312" t="n"/>
      <c r="I430" s="313" t="n"/>
      <c r="J430" s="170" t="n"/>
      <c r="K430" s="314" t="n"/>
      <c r="L430" s="170" t="n"/>
      <c r="M430" s="170" t="n"/>
      <c r="N430" s="170" t="n"/>
      <c r="O430" s="172" t="n"/>
      <c r="P430" s="172" t="n"/>
    </row>
    <row r="431">
      <c r="B431" s="170" t="n">
        <v>416</v>
      </c>
      <c r="C431" s="199" t="n"/>
      <c r="D431" s="312" t="n"/>
      <c r="E431" s="312" t="n"/>
      <c r="F431" s="312" t="n"/>
      <c r="G431" s="312" t="n"/>
      <c r="H431" s="312" t="n"/>
      <c r="I431" s="313" t="n"/>
      <c r="J431" s="170" t="n"/>
      <c r="K431" s="314" t="n"/>
      <c r="L431" s="170" t="n"/>
      <c r="M431" s="170" t="n"/>
      <c r="N431" s="170" t="n"/>
      <c r="O431" s="172" t="n"/>
      <c r="P431" s="172" t="n"/>
    </row>
    <row r="432">
      <c r="B432" s="170" t="n">
        <v>417</v>
      </c>
      <c r="C432" s="199" t="n"/>
      <c r="D432" s="312" t="n"/>
      <c r="E432" s="312" t="n"/>
      <c r="F432" s="312" t="n"/>
      <c r="G432" s="312" t="n"/>
      <c r="H432" s="312" t="n"/>
      <c r="I432" s="313" t="n"/>
      <c r="J432" s="170" t="n"/>
      <c r="K432" s="314" t="n"/>
      <c r="L432" s="170" t="n"/>
      <c r="M432" s="170" t="n"/>
      <c r="N432" s="170" t="n"/>
      <c r="O432" s="172" t="n"/>
      <c r="P432" s="172" t="n"/>
    </row>
    <row r="433">
      <c r="B433" s="170" t="n">
        <v>418</v>
      </c>
      <c r="C433" s="199" t="n"/>
      <c r="D433" s="312" t="n"/>
      <c r="E433" s="312" t="n"/>
      <c r="F433" s="312" t="n"/>
      <c r="G433" s="312" t="n"/>
      <c r="H433" s="312" t="n"/>
      <c r="I433" s="313" t="n"/>
      <c r="J433" s="170" t="n"/>
      <c r="K433" s="314" t="n"/>
      <c r="L433" s="170" t="n"/>
      <c r="M433" s="170" t="n"/>
      <c r="N433" s="170" t="n"/>
      <c r="O433" s="172" t="n"/>
      <c r="P433" s="172" t="n"/>
    </row>
    <row r="434">
      <c r="B434" s="170" t="n">
        <v>419</v>
      </c>
      <c r="C434" s="199" t="n"/>
      <c r="D434" s="312" t="n"/>
      <c r="E434" s="312" t="n"/>
      <c r="F434" s="312" t="n"/>
      <c r="G434" s="312" t="n"/>
      <c r="H434" s="312" t="n"/>
      <c r="I434" s="313" t="n"/>
      <c r="J434" s="170" t="n"/>
      <c r="K434" s="314" t="n"/>
      <c r="L434" s="170" t="n"/>
      <c r="M434" s="170" t="n"/>
      <c r="N434" s="170" t="n"/>
      <c r="O434" s="172" t="n"/>
      <c r="P434" s="172" t="n"/>
    </row>
    <row r="435">
      <c r="B435" s="170" t="n">
        <v>420</v>
      </c>
      <c r="C435" s="199" t="n"/>
      <c r="D435" s="312" t="n"/>
      <c r="E435" s="312" t="n"/>
      <c r="F435" s="312" t="n"/>
      <c r="G435" s="312" t="n"/>
      <c r="H435" s="312" t="n"/>
      <c r="I435" s="313" t="n"/>
      <c r="J435" s="170" t="n"/>
      <c r="K435" s="314" t="n"/>
      <c r="L435" s="170" t="n"/>
      <c r="M435" s="170" t="n"/>
      <c r="N435" s="170" t="n"/>
      <c r="O435" s="172" t="n"/>
      <c r="P435" s="172" t="n"/>
    </row>
    <row r="436">
      <c r="B436" s="170" t="n">
        <v>421</v>
      </c>
      <c r="C436" s="199" t="n"/>
      <c r="D436" s="312" t="n"/>
      <c r="E436" s="312" t="n"/>
      <c r="F436" s="312" t="n"/>
      <c r="G436" s="312" t="n"/>
      <c r="H436" s="312" t="n"/>
      <c r="I436" s="313" t="n"/>
      <c r="J436" s="170" t="n"/>
      <c r="K436" s="314" t="n"/>
      <c r="L436" s="170" t="n"/>
      <c r="M436" s="170" t="n"/>
      <c r="N436" s="170" t="n"/>
      <c r="O436" s="172" t="n"/>
      <c r="P436" s="172" t="n"/>
    </row>
    <row r="437">
      <c r="B437" s="170" t="n">
        <v>422</v>
      </c>
      <c r="C437" s="199" t="n"/>
      <c r="D437" s="312" t="n"/>
      <c r="E437" s="312" t="n"/>
      <c r="F437" s="312" t="n"/>
      <c r="G437" s="312" t="n"/>
      <c r="H437" s="312" t="n"/>
      <c r="I437" s="313" t="n"/>
      <c r="J437" s="170" t="n"/>
      <c r="K437" s="314" t="n"/>
      <c r="L437" s="170" t="n"/>
      <c r="M437" s="170" t="n"/>
      <c r="N437" s="170" t="n"/>
      <c r="O437" s="172" t="n"/>
      <c r="P437" s="172" t="n"/>
    </row>
    <row r="438">
      <c r="B438" s="170" t="n">
        <v>423</v>
      </c>
      <c r="C438" s="199" t="n"/>
      <c r="D438" s="312" t="n"/>
      <c r="E438" s="312" t="n"/>
      <c r="F438" s="312" t="n"/>
      <c r="G438" s="312" t="n"/>
      <c r="H438" s="312" t="n"/>
      <c r="I438" s="313" t="n"/>
      <c r="J438" s="170" t="n"/>
      <c r="K438" s="314" t="n"/>
      <c r="L438" s="170" t="n"/>
      <c r="M438" s="170" t="n"/>
      <c r="N438" s="170" t="n"/>
      <c r="O438" s="172" t="n"/>
      <c r="P438" s="172" t="n"/>
    </row>
    <row r="439">
      <c r="B439" s="170" t="n">
        <v>424</v>
      </c>
      <c r="C439" s="199" t="n"/>
      <c r="D439" s="312" t="n"/>
      <c r="E439" s="312" t="n"/>
      <c r="F439" s="312" t="n"/>
      <c r="G439" s="312" t="n"/>
      <c r="H439" s="312" t="n"/>
      <c r="I439" s="313" t="n"/>
      <c r="J439" s="170" t="n"/>
      <c r="K439" s="314" t="n"/>
      <c r="L439" s="170" t="n"/>
      <c r="M439" s="170" t="n"/>
      <c r="N439" s="170" t="n"/>
      <c r="O439" s="172" t="n"/>
      <c r="P439" s="172" t="n"/>
    </row>
    <row r="440">
      <c r="B440" s="170" t="n">
        <v>425</v>
      </c>
      <c r="C440" s="199" t="n"/>
      <c r="D440" s="312" t="n"/>
      <c r="E440" s="312" t="n"/>
      <c r="F440" s="312" t="n"/>
      <c r="G440" s="312" t="n"/>
      <c r="H440" s="312" t="n"/>
      <c r="I440" s="313" t="n"/>
      <c r="J440" s="170" t="n"/>
      <c r="K440" s="314" t="n"/>
      <c r="L440" s="170" t="n"/>
      <c r="M440" s="170" t="n"/>
      <c r="N440" s="170" t="n"/>
      <c r="O440" s="172" t="n"/>
      <c r="P440" s="172" t="n"/>
    </row>
    <row r="441">
      <c r="B441" s="170" t="n">
        <v>426</v>
      </c>
      <c r="C441" s="199" t="n"/>
      <c r="D441" s="312" t="n"/>
      <c r="E441" s="312" t="n"/>
      <c r="F441" s="312" t="n"/>
      <c r="G441" s="312" t="n"/>
      <c r="H441" s="312" t="n"/>
      <c r="I441" s="313" t="n"/>
      <c r="J441" s="170" t="n"/>
      <c r="K441" s="314" t="n"/>
      <c r="L441" s="170" t="n"/>
      <c r="M441" s="170" t="n"/>
      <c r="N441" s="170" t="n"/>
      <c r="O441" s="172" t="n"/>
      <c r="P441" s="172" t="n"/>
    </row>
    <row r="442">
      <c r="B442" s="170" t="n">
        <v>427</v>
      </c>
      <c r="C442" s="199" t="n"/>
      <c r="D442" s="312" t="n"/>
      <c r="E442" s="312" t="n"/>
      <c r="F442" s="312" t="n"/>
      <c r="G442" s="312" t="n"/>
      <c r="H442" s="312" t="n"/>
      <c r="I442" s="313" t="n"/>
      <c r="J442" s="170" t="n"/>
      <c r="K442" s="314" t="n"/>
      <c r="L442" s="170" t="n"/>
      <c r="M442" s="170" t="n"/>
      <c r="N442" s="170" t="n"/>
      <c r="O442" s="172" t="n"/>
      <c r="P442" s="172" t="n"/>
    </row>
    <row r="443">
      <c r="B443" s="170" t="n">
        <v>428</v>
      </c>
      <c r="C443" s="199" t="n"/>
      <c r="D443" s="312" t="n"/>
      <c r="E443" s="312" t="n"/>
      <c r="F443" s="312" t="n"/>
      <c r="G443" s="312" t="n"/>
      <c r="H443" s="312" t="n"/>
      <c r="I443" s="313" t="n"/>
      <c r="J443" s="170" t="n"/>
      <c r="K443" s="314" t="n"/>
      <c r="L443" s="170" t="n"/>
      <c r="M443" s="170" t="n"/>
      <c r="N443" s="170" t="n"/>
      <c r="O443" s="172" t="n"/>
      <c r="P443" s="172" t="n"/>
    </row>
    <row r="444">
      <c r="B444" s="170" t="n">
        <v>429</v>
      </c>
      <c r="C444" s="199" t="n"/>
      <c r="D444" s="312" t="n"/>
      <c r="E444" s="312" t="n"/>
      <c r="F444" s="312" t="n"/>
      <c r="G444" s="312" t="n"/>
      <c r="H444" s="312" t="n"/>
      <c r="I444" s="313" t="n"/>
      <c r="J444" s="170" t="n"/>
      <c r="K444" s="314" t="n"/>
      <c r="L444" s="170" t="n"/>
      <c r="M444" s="170" t="n"/>
      <c r="N444" s="170" t="n"/>
      <c r="O444" s="172" t="n"/>
      <c r="P444" s="172" t="n"/>
    </row>
    <row r="445">
      <c r="B445" s="170" t="n">
        <v>430</v>
      </c>
      <c r="C445" s="199" t="n"/>
      <c r="D445" s="312" t="n"/>
      <c r="E445" s="312" t="n"/>
      <c r="F445" s="312" t="n"/>
      <c r="G445" s="312" t="n"/>
      <c r="H445" s="312" t="n"/>
      <c r="I445" s="313" t="n"/>
      <c r="J445" s="170" t="n"/>
      <c r="K445" s="314" t="n"/>
      <c r="L445" s="170" t="n"/>
      <c r="M445" s="170" t="n"/>
      <c r="N445" s="170" t="n"/>
      <c r="O445" s="172" t="n"/>
      <c r="P445" s="172" t="n"/>
    </row>
    <row r="446">
      <c r="B446" s="170" t="n">
        <v>431</v>
      </c>
      <c r="C446" s="199" t="n"/>
      <c r="D446" s="312" t="n"/>
      <c r="E446" s="312" t="n"/>
      <c r="F446" s="312" t="n"/>
      <c r="G446" s="312" t="n"/>
      <c r="H446" s="312" t="n"/>
      <c r="I446" s="313" t="n"/>
      <c r="J446" s="170" t="n"/>
      <c r="K446" s="314" t="n"/>
      <c r="L446" s="170" t="n"/>
      <c r="M446" s="170" t="n"/>
      <c r="N446" s="170" t="n"/>
      <c r="O446" s="172" t="n"/>
      <c r="P446" s="172" t="n"/>
    </row>
    <row r="447">
      <c r="B447" s="170" t="n">
        <v>432</v>
      </c>
      <c r="C447" s="199" t="n"/>
      <c r="D447" s="312" t="n"/>
      <c r="E447" s="312" t="n"/>
      <c r="F447" s="312" t="n"/>
      <c r="G447" s="312" t="n"/>
      <c r="H447" s="312" t="n"/>
      <c r="I447" s="313" t="n"/>
      <c r="J447" s="170" t="n"/>
      <c r="K447" s="314" t="n"/>
      <c r="L447" s="170" t="n"/>
      <c r="M447" s="170" t="n"/>
      <c r="N447" s="170" t="n"/>
      <c r="O447" s="172" t="n"/>
      <c r="P447" s="172" t="n"/>
    </row>
    <row r="448">
      <c r="B448" s="170" t="n">
        <v>433</v>
      </c>
      <c r="C448" s="199" t="n"/>
      <c r="D448" s="312" t="n"/>
      <c r="E448" s="312" t="n"/>
      <c r="F448" s="312" t="n"/>
      <c r="G448" s="312" t="n"/>
      <c r="H448" s="312" t="n"/>
      <c r="I448" s="313" t="n"/>
      <c r="J448" s="170" t="n"/>
      <c r="K448" s="314" t="n"/>
      <c r="L448" s="170" t="n"/>
      <c r="M448" s="170" t="n"/>
      <c r="N448" s="170" t="n"/>
      <c r="O448" s="172" t="n"/>
      <c r="P448" s="172" t="n"/>
    </row>
    <row r="449">
      <c r="B449" s="170" t="n">
        <v>434</v>
      </c>
      <c r="C449" s="199" t="n"/>
      <c r="D449" s="312" t="n"/>
      <c r="E449" s="312" t="n"/>
      <c r="F449" s="312" t="n"/>
      <c r="G449" s="312" t="n"/>
      <c r="H449" s="312" t="n"/>
      <c r="I449" s="313" t="n"/>
      <c r="J449" s="170" t="n"/>
      <c r="K449" s="314" t="n"/>
      <c r="L449" s="170" t="n"/>
      <c r="M449" s="170" t="n"/>
      <c r="N449" s="170" t="n"/>
      <c r="O449" s="172" t="n"/>
      <c r="P449" s="172" t="n"/>
    </row>
    <row r="450">
      <c r="B450" s="170" t="n">
        <v>435</v>
      </c>
      <c r="C450" s="199" t="n"/>
      <c r="D450" s="312" t="n"/>
      <c r="E450" s="312" t="n"/>
      <c r="F450" s="312" t="n"/>
      <c r="G450" s="312" t="n"/>
      <c r="H450" s="312" t="n"/>
      <c r="I450" s="313" t="n"/>
      <c r="J450" s="170" t="n"/>
      <c r="K450" s="314" t="n"/>
      <c r="L450" s="170" t="n"/>
      <c r="M450" s="170" t="n"/>
      <c r="N450" s="170" t="n"/>
      <c r="O450" s="172" t="n"/>
      <c r="P450" s="172" t="n"/>
    </row>
    <row r="451">
      <c r="B451" s="170" t="n">
        <v>436</v>
      </c>
      <c r="C451" s="199" t="n"/>
      <c r="D451" s="312" t="n"/>
      <c r="E451" s="312" t="n"/>
      <c r="F451" s="312" t="n"/>
      <c r="G451" s="312" t="n"/>
      <c r="H451" s="312" t="n"/>
      <c r="I451" s="313" t="n"/>
      <c r="J451" s="170" t="n"/>
      <c r="K451" s="314" t="n"/>
      <c r="L451" s="170" t="n"/>
      <c r="M451" s="170" t="n"/>
      <c r="N451" s="170" t="n"/>
      <c r="O451" s="172" t="n"/>
      <c r="P451" s="172" t="n"/>
    </row>
    <row r="452">
      <c r="B452" s="170" t="n">
        <v>437</v>
      </c>
      <c r="C452" s="199" t="n"/>
      <c r="D452" s="312" t="n"/>
      <c r="E452" s="312" t="n"/>
      <c r="F452" s="312" t="n"/>
      <c r="G452" s="312" t="n"/>
      <c r="H452" s="312" t="n"/>
      <c r="I452" s="313" t="n"/>
      <c r="J452" s="170" t="n"/>
      <c r="K452" s="314" t="n"/>
      <c r="L452" s="170" t="n"/>
      <c r="M452" s="170" t="n"/>
      <c r="N452" s="170" t="n"/>
      <c r="O452" s="172" t="n"/>
      <c r="P452" s="172" t="n"/>
    </row>
    <row r="453">
      <c r="B453" s="170" t="n">
        <v>438</v>
      </c>
      <c r="C453" s="199" t="n"/>
      <c r="D453" s="312" t="n"/>
      <c r="E453" s="312" t="n"/>
      <c r="F453" s="312" t="n"/>
      <c r="G453" s="312" t="n"/>
      <c r="H453" s="312" t="n"/>
      <c r="I453" s="313" t="n"/>
      <c r="J453" s="170" t="n"/>
      <c r="K453" s="314" t="n"/>
      <c r="L453" s="170" t="n"/>
      <c r="M453" s="170" t="n"/>
      <c r="N453" s="170" t="n"/>
      <c r="O453" s="172" t="n"/>
      <c r="P453" s="172" t="n"/>
    </row>
    <row r="454">
      <c r="B454" s="170" t="n">
        <v>439</v>
      </c>
      <c r="C454" s="199" t="n"/>
      <c r="D454" s="312" t="n"/>
      <c r="E454" s="312" t="n"/>
      <c r="F454" s="312" t="n"/>
      <c r="G454" s="312" t="n"/>
      <c r="H454" s="312" t="n"/>
      <c r="I454" s="313" t="n"/>
      <c r="J454" s="170" t="n"/>
      <c r="K454" s="314" t="n"/>
      <c r="L454" s="170" t="n"/>
      <c r="M454" s="170" t="n"/>
      <c r="N454" s="170" t="n"/>
      <c r="O454" s="172" t="n"/>
      <c r="P454" s="172" t="n"/>
    </row>
    <row r="455">
      <c r="B455" s="170" t="n">
        <v>440</v>
      </c>
      <c r="C455" s="199" t="n"/>
      <c r="D455" s="312" t="n"/>
      <c r="E455" s="312" t="n"/>
      <c r="F455" s="312" t="n"/>
      <c r="G455" s="312" t="n"/>
      <c r="H455" s="312" t="n"/>
      <c r="I455" s="313" t="n"/>
      <c r="J455" s="170" t="n"/>
      <c r="K455" s="314" t="n"/>
      <c r="L455" s="170" t="n"/>
      <c r="M455" s="170" t="n"/>
      <c r="N455" s="170" t="n"/>
      <c r="O455" s="172" t="n"/>
      <c r="P455" s="172" t="n"/>
    </row>
    <row r="456">
      <c r="B456" s="170" t="n">
        <v>441</v>
      </c>
      <c r="C456" s="199" t="n"/>
      <c r="D456" s="312" t="n"/>
      <c r="E456" s="312" t="n"/>
      <c r="F456" s="312" t="n"/>
      <c r="G456" s="312" t="n"/>
      <c r="H456" s="312" t="n"/>
      <c r="I456" s="313" t="n"/>
      <c r="J456" s="170" t="n"/>
      <c r="K456" s="314" t="n"/>
      <c r="L456" s="170" t="n"/>
      <c r="M456" s="170" t="n"/>
      <c r="N456" s="170" t="n"/>
      <c r="O456" s="172" t="n"/>
      <c r="P456" s="172" t="n"/>
    </row>
    <row r="457">
      <c r="B457" s="170" t="n">
        <v>442</v>
      </c>
      <c r="C457" s="199" t="n"/>
      <c r="D457" s="312" t="n"/>
      <c r="E457" s="312" t="n"/>
      <c r="F457" s="312" t="n"/>
      <c r="G457" s="312" t="n"/>
      <c r="H457" s="312" t="n"/>
      <c r="I457" s="313" t="n"/>
      <c r="J457" s="170" t="n"/>
      <c r="K457" s="314" t="n"/>
      <c r="L457" s="170" t="n"/>
      <c r="M457" s="170" t="n"/>
      <c r="N457" s="170" t="n"/>
      <c r="O457" s="172" t="n"/>
      <c r="P457" s="172" t="n"/>
    </row>
    <row r="458">
      <c r="B458" s="170" t="n">
        <v>443</v>
      </c>
      <c r="C458" s="199" t="n"/>
      <c r="D458" s="312" t="n"/>
      <c r="E458" s="312" t="n"/>
      <c r="F458" s="312" t="n"/>
      <c r="G458" s="312" t="n"/>
      <c r="H458" s="312" t="n"/>
      <c r="I458" s="313" t="n"/>
      <c r="J458" s="170" t="n"/>
      <c r="K458" s="314" t="n"/>
      <c r="L458" s="170" t="n"/>
      <c r="M458" s="170" t="n"/>
      <c r="N458" s="170" t="n"/>
      <c r="O458" s="172" t="n"/>
      <c r="P458" s="172" t="n"/>
    </row>
    <row r="459">
      <c r="B459" s="170" t="n">
        <v>444</v>
      </c>
      <c r="C459" s="199" t="n"/>
      <c r="D459" s="312" t="n"/>
      <c r="E459" s="312" t="n"/>
      <c r="F459" s="312" t="n"/>
      <c r="G459" s="312" t="n"/>
      <c r="H459" s="312" t="n"/>
      <c r="I459" s="313" t="n"/>
      <c r="J459" s="170" t="n"/>
      <c r="K459" s="314" t="n"/>
      <c r="L459" s="170" t="n"/>
      <c r="M459" s="170" t="n"/>
      <c r="N459" s="170" t="n"/>
      <c r="O459" s="172" t="n"/>
      <c r="P459" s="172" t="n"/>
    </row>
    <row r="460">
      <c r="B460" s="170" t="n">
        <v>445</v>
      </c>
      <c r="C460" s="199" t="n"/>
      <c r="D460" s="312" t="n"/>
      <c r="E460" s="312" t="n"/>
      <c r="F460" s="312" t="n"/>
      <c r="G460" s="312" t="n"/>
      <c r="H460" s="312" t="n"/>
      <c r="I460" s="313" t="n"/>
      <c r="J460" s="170" t="n"/>
      <c r="K460" s="314" t="n"/>
      <c r="L460" s="170" t="n"/>
      <c r="M460" s="170" t="n"/>
      <c r="N460" s="170" t="n"/>
      <c r="O460" s="172" t="n"/>
      <c r="P460" s="172" t="n"/>
    </row>
    <row r="461">
      <c r="B461" s="170" t="n">
        <v>446</v>
      </c>
      <c r="C461" s="199" t="n"/>
      <c r="D461" s="312" t="n"/>
      <c r="E461" s="312" t="n"/>
      <c r="F461" s="312" t="n"/>
      <c r="G461" s="312" t="n"/>
      <c r="H461" s="312" t="n"/>
      <c r="I461" s="313" t="n"/>
      <c r="J461" s="170" t="n"/>
      <c r="K461" s="314" t="n"/>
      <c r="L461" s="170" t="n"/>
      <c r="M461" s="170" t="n"/>
      <c r="N461" s="170" t="n"/>
      <c r="O461" s="172" t="n"/>
      <c r="P461" s="172" t="n"/>
    </row>
    <row r="462">
      <c r="B462" s="170" t="n">
        <v>447</v>
      </c>
      <c r="C462" s="199" t="n"/>
      <c r="D462" s="312" t="n"/>
      <c r="E462" s="312" t="n"/>
      <c r="F462" s="312" t="n"/>
      <c r="G462" s="312" t="n"/>
      <c r="H462" s="312" t="n"/>
      <c r="I462" s="313" t="n"/>
      <c r="J462" s="170" t="n"/>
      <c r="K462" s="314" t="n"/>
      <c r="L462" s="170" t="n"/>
      <c r="M462" s="170" t="n"/>
      <c r="N462" s="170" t="n"/>
      <c r="O462" s="172" t="n"/>
      <c r="P462" s="172" t="n"/>
    </row>
    <row r="463">
      <c r="B463" s="170" t="n">
        <v>448</v>
      </c>
      <c r="C463" s="199" t="n"/>
      <c r="D463" s="312" t="n"/>
      <c r="E463" s="312" t="n"/>
      <c r="F463" s="312" t="n"/>
      <c r="G463" s="312" t="n"/>
      <c r="H463" s="312" t="n"/>
      <c r="I463" s="313" t="n"/>
      <c r="J463" s="170" t="n"/>
      <c r="K463" s="314" t="n"/>
      <c r="L463" s="170" t="n"/>
      <c r="M463" s="170" t="n"/>
      <c r="N463" s="170" t="n"/>
      <c r="O463" s="172" t="n"/>
      <c r="P463" s="172" t="n"/>
    </row>
    <row r="464">
      <c r="B464" s="170" t="n">
        <v>449</v>
      </c>
      <c r="C464" s="199" t="n"/>
      <c r="D464" s="312" t="n"/>
      <c r="E464" s="312" t="n"/>
      <c r="F464" s="312" t="n"/>
      <c r="G464" s="312" t="n"/>
      <c r="H464" s="312" t="n"/>
      <c r="I464" s="313" t="n"/>
      <c r="J464" s="170" t="n"/>
      <c r="K464" s="314" t="n"/>
      <c r="L464" s="170" t="n"/>
      <c r="M464" s="170" t="n"/>
      <c r="N464" s="170" t="n"/>
      <c r="O464" s="172" t="n"/>
      <c r="P464" s="172" t="n"/>
    </row>
    <row r="465">
      <c r="B465" s="170" t="n">
        <v>450</v>
      </c>
      <c r="C465" s="199" t="n"/>
      <c r="D465" s="312" t="n"/>
      <c r="E465" s="312" t="n"/>
      <c r="F465" s="312" t="n"/>
      <c r="G465" s="312" t="n"/>
      <c r="H465" s="312" t="n"/>
      <c r="I465" s="313" t="n"/>
      <c r="J465" s="170" t="n"/>
      <c r="K465" s="314" t="n"/>
      <c r="L465" s="170" t="n"/>
      <c r="M465" s="170" t="n"/>
      <c r="N465" s="170" t="n"/>
      <c r="O465" s="172" t="n"/>
      <c r="P465" s="172" t="n"/>
    </row>
    <row r="466">
      <c r="B466" s="170" t="n">
        <v>451</v>
      </c>
      <c r="C466" s="199" t="n"/>
      <c r="D466" s="312" t="n"/>
      <c r="E466" s="312" t="n"/>
      <c r="F466" s="312" t="n"/>
      <c r="G466" s="312" t="n"/>
      <c r="H466" s="312" t="n"/>
      <c r="I466" s="313" t="n"/>
      <c r="J466" s="170" t="n"/>
      <c r="K466" s="314" t="n"/>
      <c r="L466" s="170" t="n"/>
      <c r="M466" s="170" t="n"/>
      <c r="N466" s="170" t="n"/>
      <c r="O466" s="172" t="n"/>
      <c r="P466" s="172" t="n"/>
    </row>
    <row r="467">
      <c r="B467" s="170" t="n">
        <v>452</v>
      </c>
      <c r="C467" s="199" t="n"/>
      <c r="D467" s="312" t="n"/>
      <c r="E467" s="312" t="n"/>
      <c r="F467" s="312" t="n"/>
      <c r="G467" s="312" t="n"/>
      <c r="H467" s="312" t="n"/>
      <c r="I467" s="313" t="n"/>
      <c r="J467" s="170" t="n"/>
      <c r="K467" s="314" t="n"/>
      <c r="L467" s="170" t="n"/>
      <c r="M467" s="170" t="n"/>
      <c r="N467" s="170" t="n"/>
      <c r="O467" s="172" t="n"/>
      <c r="P467" s="172" t="n"/>
    </row>
    <row r="468">
      <c r="B468" s="170" t="n">
        <v>453</v>
      </c>
      <c r="C468" s="199" t="n"/>
      <c r="D468" s="312" t="n"/>
      <c r="E468" s="312" t="n"/>
      <c r="F468" s="312" t="n"/>
      <c r="G468" s="312" t="n"/>
      <c r="H468" s="312" t="n"/>
      <c r="I468" s="313" t="n"/>
      <c r="J468" s="170" t="n"/>
      <c r="K468" s="314" t="n"/>
      <c r="L468" s="170" t="n"/>
      <c r="M468" s="170" t="n"/>
      <c r="N468" s="170" t="n"/>
      <c r="O468" s="172" t="n"/>
      <c r="P468" s="172" t="n"/>
    </row>
    <row r="469">
      <c r="B469" s="170" t="n">
        <v>454</v>
      </c>
      <c r="C469" s="199" t="n"/>
      <c r="D469" s="312" t="n"/>
      <c r="E469" s="312" t="n"/>
      <c r="F469" s="312" t="n"/>
      <c r="G469" s="312" t="n"/>
      <c r="H469" s="312" t="n"/>
      <c r="I469" s="313" t="n"/>
      <c r="J469" s="170" t="n"/>
      <c r="K469" s="314" t="n"/>
      <c r="L469" s="170" t="n"/>
      <c r="M469" s="170" t="n"/>
      <c r="N469" s="170" t="n"/>
      <c r="O469" s="172" t="n"/>
      <c r="P469" s="172" t="n"/>
    </row>
    <row r="470">
      <c r="B470" s="170" t="n">
        <v>455</v>
      </c>
      <c r="C470" s="199" t="n"/>
      <c r="D470" s="312" t="n"/>
      <c r="E470" s="312" t="n"/>
      <c r="F470" s="312" t="n"/>
      <c r="G470" s="312" t="n"/>
      <c r="H470" s="312" t="n"/>
      <c r="I470" s="313" t="n"/>
      <c r="J470" s="170" t="n"/>
      <c r="K470" s="314" t="n"/>
      <c r="L470" s="170" t="n"/>
      <c r="M470" s="170" t="n"/>
      <c r="N470" s="170" t="n"/>
      <c r="O470" s="172" t="n"/>
      <c r="P470" s="172" t="n"/>
    </row>
    <row r="471">
      <c r="B471" s="170" t="n">
        <v>456</v>
      </c>
      <c r="C471" s="199" t="n"/>
      <c r="D471" s="312" t="n"/>
      <c r="E471" s="312" t="n"/>
      <c r="F471" s="312" t="n"/>
      <c r="G471" s="312" t="n"/>
      <c r="H471" s="312" t="n"/>
      <c r="I471" s="313" t="n"/>
      <c r="J471" s="170" t="n"/>
      <c r="K471" s="314" t="n"/>
      <c r="L471" s="170" t="n"/>
      <c r="M471" s="170" t="n"/>
      <c r="N471" s="170" t="n"/>
      <c r="O471" s="172" t="n"/>
      <c r="P471" s="172" t="n"/>
    </row>
    <row r="472">
      <c r="B472" s="170" t="n">
        <v>457</v>
      </c>
      <c r="C472" s="199" t="n"/>
      <c r="D472" s="312" t="n"/>
      <c r="E472" s="312" t="n"/>
      <c r="F472" s="312" t="n"/>
      <c r="G472" s="312" t="n"/>
      <c r="H472" s="312" t="n"/>
      <c r="I472" s="313" t="n"/>
      <c r="J472" s="170" t="n"/>
      <c r="K472" s="314" t="n"/>
      <c r="L472" s="170" t="n"/>
      <c r="M472" s="170" t="n"/>
      <c r="N472" s="170" t="n"/>
      <c r="O472" s="172" t="n"/>
      <c r="P472" s="172" t="n"/>
    </row>
    <row r="473">
      <c r="B473" s="170" t="n">
        <v>458</v>
      </c>
      <c r="C473" s="199" t="n"/>
      <c r="D473" s="312" t="n"/>
      <c r="E473" s="312" t="n"/>
      <c r="F473" s="312" t="n"/>
      <c r="G473" s="312" t="n"/>
      <c r="H473" s="312" t="n"/>
      <c r="I473" s="313" t="n"/>
      <c r="J473" s="170" t="n"/>
      <c r="K473" s="314" t="n"/>
      <c r="L473" s="170" t="n"/>
      <c r="M473" s="170" t="n"/>
      <c r="N473" s="170" t="n"/>
      <c r="O473" s="172" t="n"/>
      <c r="P473" s="172" t="n"/>
    </row>
    <row r="474">
      <c r="B474" s="170" t="n">
        <v>459</v>
      </c>
      <c r="C474" s="199" t="n"/>
      <c r="D474" s="312" t="n"/>
      <c r="E474" s="312" t="n"/>
      <c r="F474" s="312" t="n"/>
      <c r="G474" s="312" t="n"/>
      <c r="H474" s="312" t="n"/>
      <c r="I474" s="313" t="n"/>
      <c r="J474" s="170" t="n"/>
      <c r="K474" s="314" t="n"/>
      <c r="L474" s="170" t="n"/>
      <c r="M474" s="170" t="n"/>
      <c r="N474" s="170" t="n"/>
      <c r="O474" s="172" t="n"/>
      <c r="P474" s="172" t="n"/>
    </row>
    <row r="475">
      <c r="B475" s="170" t="n">
        <v>460</v>
      </c>
      <c r="C475" s="199" t="n"/>
      <c r="D475" s="312" t="n"/>
      <c r="E475" s="312" t="n"/>
      <c r="F475" s="312" t="n"/>
      <c r="G475" s="312" t="n"/>
      <c r="H475" s="312" t="n"/>
      <c r="I475" s="313" t="n"/>
      <c r="J475" s="170" t="n"/>
      <c r="K475" s="314" t="n"/>
      <c r="L475" s="170" t="n"/>
      <c r="M475" s="170" t="n"/>
      <c r="N475" s="170" t="n"/>
      <c r="O475" s="172" t="n"/>
      <c r="P475" s="172" t="n"/>
    </row>
    <row r="476">
      <c r="B476" s="170" t="n">
        <v>461</v>
      </c>
      <c r="C476" s="199" t="n"/>
      <c r="D476" s="312" t="n"/>
      <c r="E476" s="312" t="n"/>
      <c r="F476" s="312" t="n"/>
      <c r="G476" s="312" t="n"/>
      <c r="H476" s="312" t="n"/>
      <c r="I476" s="313" t="n"/>
      <c r="J476" s="170" t="n"/>
      <c r="K476" s="314" t="n"/>
      <c r="L476" s="170" t="n"/>
      <c r="M476" s="170" t="n"/>
      <c r="N476" s="170" t="n"/>
      <c r="O476" s="172" t="n"/>
      <c r="P476" s="172" t="n"/>
    </row>
    <row r="477">
      <c r="B477" s="170" t="n">
        <v>462</v>
      </c>
      <c r="C477" s="199" t="n"/>
      <c r="D477" s="312" t="n"/>
      <c r="E477" s="312" t="n"/>
      <c r="F477" s="312" t="n"/>
      <c r="G477" s="312" t="n"/>
      <c r="H477" s="312" t="n"/>
      <c r="I477" s="313" t="n"/>
      <c r="J477" s="170" t="n"/>
      <c r="K477" s="314" t="n"/>
      <c r="L477" s="170" t="n"/>
      <c r="M477" s="170" t="n"/>
      <c r="N477" s="170" t="n"/>
      <c r="O477" s="172" t="n"/>
      <c r="P477" s="172" t="n"/>
    </row>
    <row r="478">
      <c r="B478" s="170" t="n">
        <v>463</v>
      </c>
      <c r="C478" s="199" t="n"/>
      <c r="D478" s="312" t="n"/>
      <c r="E478" s="312" t="n"/>
      <c r="F478" s="312" t="n"/>
      <c r="G478" s="312" t="n"/>
      <c r="H478" s="312" t="n"/>
      <c r="I478" s="313" t="n"/>
      <c r="J478" s="170" t="n"/>
      <c r="K478" s="314" t="n"/>
      <c r="L478" s="170" t="n"/>
      <c r="M478" s="170" t="n"/>
      <c r="N478" s="170" t="n"/>
      <c r="O478" s="172" t="n"/>
      <c r="P478" s="172" t="n"/>
    </row>
    <row r="479">
      <c r="B479" s="170" t="n">
        <v>464</v>
      </c>
      <c r="C479" s="199" t="n"/>
      <c r="D479" s="312" t="n"/>
      <c r="E479" s="312" t="n"/>
      <c r="F479" s="312" t="n"/>
      <c r="G479" s="312" t="n"/>
      <c r="H479" s="312" t="n"/>
      <c r="I479" s="313" t="n"/>
      <c r="J479" s="170" t="n"/>
      <c r="K479" s="314" t="n"/>
      <c r="L479" s="170" t="n"/>
      <c r="M479" s="170" t="n"/>
      <c r="N479" s="170" t="n"/>
      <c r="O479" s="172" t="n"/>
      <c r="P479" s="172" t="n"/>
    </row>
    <row r="480">
      <c r="B480" s="170" t="n">
        <v>465</v>
      </c>
      <c r="C480" s="199" t="n"/>
      <c r="D480" s="312" t="n"/>
      <c r="E480" s="312" t="n"/>
      <c r="F480" s="312" t="n"/>
      <c r="G480" s="312" t="n"/>
      <c r="H480" s="312" t="n"/>
      <c r="I480" s="313" t="n"/>
      <c r="J480" s="170" t="n"/>
      <c r="K480" s="314" t="n"/>
      <c r="L480" s="170" t="n"/>
      <c r="M480" s="170" t="n"/>
      <c r="N480" s="170" t="n"/>
      <c r="O480" s="172" t="n"/>
      <c r="P480" s="172" t="n"/>
    </row>
    <row r="481">
      <c r="B481" s="170" t="n">
        <v>466</v>
      </c>
      <c r="C481" s="199" t="n"/>
      <c r="D481" s="312" t="n"/>
      <c r="E481" s="312" t="n"/>
      <c r="F481" s="312" t="n"/>
      <c r="G481" s="312" t="n"/>
      <c r="H481" s="312" t="n"/>
      <c r="I481" s="313" t="n"/>
      <c r="J481" s="170" t="n"/>
      <c r="K481" s="314" t="n"/>
      <c r="L481" s="170" t="n"/>
      <c r="M481" s="170" t="n"/>
      <c r="N481" s="170" t="n"/>
      <c r="O481" s="172" t="n"/>
      <c r="P481" s="172" t="n"/>
    </row>
    <row r="482">
      <c r="B482" s="170" t="n">
        <v>467</v>
      </c>
      <c r="C482" s="199" t="n"/>
      <c r="D482" s="312" t="n"/>
      <c r="E482" s="312" t="n"/>
      <c r="F482" s="312" t="n"/>
      <c r="G482" s="312" t="n"/>
      <c r="H482" s="312" t="n"/>
      <c r="I482" s="313" t="n"/>
      <c r="J482" s="170" t="n"/>
      <c r="K482" s="314" t="n"/>
      <c r="L482" s="170" t="n"/>
      <c r="M482" s="170" t="n"/>
      <c r="N482" s="170" t="n"/>
      <c r="O482" s="172" t="n"/>
      <c r="P482" s="172" t="n"/>
    </row>
    <row r="483">
      <c r="B483" s="170" t="n">
        <v>468</v>
      </c>
      <c r="C483" s="199" t="n"/>
      <c r="D483" s="312" t="n"/>
      <c r="E483" s="312" t="n"/>
      <c r="F483" s="312" t="n"/>
      <c r="G483" s="312" t="n"/>
      <c r="H483" s="312" t="n"/>
      <c r="I483" s="313" t="n"/>
      <c r="J483" s="170" t="n"/>
      <c r="K483" s="314" t="n"/>
      <c r="L483" s="170" t="n"/>
      <c r="M483" s="170" t="n"/>
      <c r="N483" s="170" t="n"/>
      <c r="O483" s="172" t="n"/>
      <c r="P483" s="172" t="n"/>
    </row>
    <row r="484">
      <c r="B484" s="170" t="n">
        <v>469</v>
      </c>
      <c r="C484" s="199" t="n"/>
      <c r="D484" s="312" t="n"/>
      <c r="E484" s="312" t="n"/>
      <c r="F484" s="312" t="n"/>
      <c r="G484" s="312" t="n"/>
      <c r="H484" s="312" t="n"/>
      <c r="I484" s="313" t="n"/>
      <c r="J484" s="170" t="n"/>
      <c r="K484" s="314" t="n"/>
      <c r="L484" s="170" t="n"/>
      <c r="M484" s="170" t="n"/>
      <c r="N484" s="170" t="n"/>
      <c r="O484" s="172" t="n"/>
      <c r="P484" s="172" t="n"/>
    </row>
    <row r="485">
      <c r="B485" s="170" t="n">
        <v>470</v>
      </c>
      <c r="C485" s="199" t="n"/>
      <c r="D485" s="312" t="n"/>
      <c r="E485" s="312" t="n"/>
      <c r="F485" s="312" t="n"/>
      <c r="G485" s="312" t="n"/>
      <c r="H485" s="312" t="n"/>
      <c r="I485" s="313" t="n"/>
      <c r="J485" s="170" t="n"/>
      <c r="K485" s="314" t="n"/>
      <c r="L485" s="170" t="n"/>
      <c r="M485" s="170" t="n"/>
      <c r="N485" s="170" t="n"/>
      <c r="O485" s="172" t="n"/>
      <c r="P485" s="172" t="n"/>
    </row>
    <row r="486">
      <c r="B486" s="170" t="n">
        <v>471</v>
      </c>
      <c r="C486" s="199" t="n"/>
      <c r="D486" s="312" t="n"/>
      <c r="E486" s="312" t="n"/>
      <c r="F486" s="312" t="n"/>
      <c r="G486" s="312" t="n"/>
      <c r="H486" s="312" t="n"/>
      <c r="I486" s="313" t="n"/>
      <c r="J486" s="170" t="n"/>
      <c r="K486" s="314" t="n"/>
      <c r="L486" s="170" t="n"/>
      <c r="M486" s="170" t="n"/>
      <c r="N486" s="170" t="n"/>
      <c r="O486" s="172" t="n"/>
      <c r="P486" s="172" t="n"/>
    </row>
    <row r="487">
      <c r="B487" s="170" t="n">
        <v>472</v>
      </c>
      <c r="C487" s="199" t="n"/>
      <c r="D487" s="312" t="n"/>
      <c r="E487" s="312" t="n"/>
      <c r="F487" s="312" t="n"/>
      <c r="G487" s="312" t="n"/>
      <c r="H487" s="312" t="n"/>
      <c r="I487" s="313" t="n"/>
      <c r="J487" s="170" t="n"/>
      <c r="K487" s="314" t="n"/>
      <c r="L487" s="170" t="n"/>
      <c r="M487" s="170" t="n"/>
      <c r="N487" s="170" t="n"/>
      <c r="O487" s="172" t="n"/>
      <c r="P487" s="172" t="n"/>
    </row>
    <row r="488">
      <c r="B488" s="170" t="n">
        <v>473</v>
      </c>
      <c r="C488" s="199" t="n"/>
      <c r="D488" s="312" t="n"/>
      <c r="E488" s="312" t="n"/>
      <c r="F488" s="312" t="n"/>
      <c r="G488" s="312" t="n"/>
      <c r="H488" s="312" t="n"/>
      <c r="I488" s="313" t="n"/>
      <c r="J488" s="170" t="n"/>
      <c r="K488" s="314" t="n"/>
      <c r="L488" s="170" t="n"/>
      <c r="M488" s="170" t="n"/>
      <c r="N488" s="170" t="n"/>
      <c r="O488" s="172" t="n"/>
      <c r="P488" s="172" t="n"/>
    </row>
    <row r="489">
      <c r="B489" s="170" t="n">
        <v>474</v>
      </c>
      <c r="C489" s="199" t="n"/>
      <c r="D489" s="312" t="n"/>
      <c r="E489" s="312" t="n"/>
      <c r="F489" s="312" t="n"/>
      <c r="G489" s="312" t="n"/>
      <c r="H489" s="312" t="n"/>
      <c r="I489" s="313" t="n"/>
      <c r="J489" s="170" t="n"/>
      <c r="K489" s="314" t="n"/>
      <c r="L489" s="170" t="n"/>
      <c r="M489" s="170" t="n"/>
      <c r="N489" s="170" t="n"/>
      <c r="O489" s="172" t="n"/>
      <c r="P489" s="172" t="n"/>
    </row>
    <row r="490">
      <c r="B490" s="170" t="n">
        <v>475</v>
      </c>
      <c r="C490" s="199" t="n"/>
      <c r="D490" s="312" t="n"/>
      <c r="E490" s="312" t="n"/>
      <c r="F490" s="312" t="n"/>
      <c r="G490" s="312" t="n"/>
      <c r="H490" s="312" t="n"/>
      <c r="I490" s="313" t="n"/>
      <c r="J490" s="170" t="n"/>
      <c r="K490" s="314" t="n"/>
      <c r="L490" s="170" t="n"/>
      <c r="M490" s="170" t="n"/>
      <c r="N490" s="170" t="n"/>
      <c r="O490" s="172" t="n"/>
      <c r="P490" s="172" t="n"/>
    </row>
    <row r="491">
      <c r="B491" s="170" t="n">
        <v>476</v>
      </c>
      <c r="C491" s="199" t="n"/>
      <c r="D491" s="312" t="n"/>
      <c r="E491" s="312" t="n"/>
      <c r="F491" s="312" t="n"/>
      <c r="G491" s="312" t="n"/>
      <c r="H491" s="312" t="n"/>
      <c r="I491" s="313" t="n"/>
      <c r="J491" s="170" t="n"/>
      <c r="K491" s="314" t="n"/>
      <c r="L491" s="170" t="n"/>
      <c r="M491" s="170" t="n"/>
      <c r="N491" s="170" t="n"/>
      <c r="O491" s="172" t="n"/>
      <c r="P491" s="172" t="n"/>
    </row>
    <row r="492">
      <c r="B492" s="170" t="n">
        <v>477</v>
      </c>
      <c r="C492" s="199" t="n"/>
      <c r="D492" s="312" t="n"/>
      <c r="E492" s="312" t="n"/>
      <c r="F492" s="312" t="n"/>
      <c r="G492" s="312" t="n"/>
      <c r="H492" s="312" t="n"/>
      <c r="I492" s="313" t="n"/>
      <c r="J492" s="170" t="n"/>
      <c r="K492" s="314" t="n"/>
      <c r="L492" s="170" t="n"/>
      <c r="M492" s="170" t="n"/>
      <c r="N492" s="170" t="n"/>
      <c r="O492" s="172" t="n"/>
      <c r="P492" s="172" t="n"/>
    </row>
    <row r="493">
      <c r="B493" s="170" t="n">
        <v>478</v>
      </c>
      <c r="C493" s="199" t="n"/>
      <c r="D493" s="312" t="n"/>
      <c r="E493" s="312" t="n"/>
      <c r="F493" s="312" t="n"/>
      <c r="G493" s="312" t="n"/>
      <c r="H493" s="312" t="n"/>
      <c r="I493" s="313" t="n"/>
      <c r="J493" s="170" t="n"/>
      <c r="K493" s="314" t="n"/>
      <c r="L493" s="170" t="n"/>
      <c r="M493" s="170" t="n"/>
      <c r="N493" s="170" t="n"/>
      <c r="O493" s="172" t="n"/>
      <c r="P493" s="172" t="n"/>
    </row>
    <row r="494">
      <c r="B494" s="170" t="n">
        <v>479</v>
      </c>
      <c r="C494" s="199" t="n"/>
      <c r="D494" s="312" t="n"/>
      <c r="E494" s="312" t="n"/>
      <c r="F494" s="312" t="n"/>
      <c r="G494" s="312" t="n"/>
      <c r="H494" s="312" t="n"/>
      <c r="I494" s="313" t="n"/>
      <c r="J494" s="170" t="n"/>
      <c r="K494" s="314" t="n"/>
      <c r="L494" s="170" t="n"/>
      <c r="M494" s="170" t="n"/>
      <c r="N494" s="170" t="n"/>
      <c r="O494" s="172" t="n"/>
      <c r="P494" s="172" t="n"/>
    </row>
    <row r="495">
      <c r="B495" s="170" t="n">
        <v>480</v>
      </c>
      <c r="C495" s="199" t="n"/>
      <c r="D495" s="312" t="n"/>
      <c r="E495" s="312" t="n"/>
      <c r="F495" s="312" t="n"/>
      <c r="G495" s="312" t="n"/>
      <c r="H495" s="312" t="n"/>
      <c r="I495" s="313" t="n"/>
      <c r="J495" s="170" t="n"/>
      <c r="K495" s="314" t="n"/>
      <c r="L495" s="170" t="n"/>
      <c r="M495" s="170" t="n"/>
      <c r="N495" s="170" t="n"/>
      <c r="O495" s="172" t="n"/>
      <c r="P495" s="172" t="n"/>
    </row>
    <row r="496">
      <c r="B496" s="170" t="n">
        <v>481</v>
      </c>
      <c r="C496" s="199" t="n"/>
      <c r="D496" s="312" t="n"/>
      <c r="E496" s="312" t="n"/>
      <c r="F496" s="312" t="n"/>
      <c r="G496" s="312" t="n"/>
      <c r="H496" s="312" t="n"/>
      <c r="I496" s="313" t="n"/>
      <c r="J496" s="170" t="n"/>
      <c r="K496" s="314" t="n"/>
      <c r="L496" s="170" t="n"/>
      <c r="M496" s="170" t="n"/>
      <c r="N496" s="170" t="n"/>
      <c r="O496" s="172" t="n"/>
      <c r="P496" s="172" t="n"/>
    </row>
    <row r="497">
      <c r="B497" s="170" t="n">
        <v>482</v>
      </c>
      <c r="C497" s="199" t="n"/>
      <c r="D497" s="312" t="n"/>
      <c r="E497" s="312" t="n"/>
      <c r="F497" s="312" t="n"/>
      <c r="G497" s="312" t="n"/>
      <c r="H497" s="312" t="n"/>
      <c r="I497" s="313" t="n"/>
      <c r="J497" s="170" t="n"/>
      <c r="K497" s="314" t="n"/>
      <c r="L497" s="170" t="n"/>
      <c r="M497" s="170" t="n"/>
      <c r="N497" s="170" t="n"/>
      <c r="O497" s="172" t="n"/>
      <c r="P497" s="172" t="n"/>
    </row>
    <row r="498">
      <c r="B498" s="170" t="n">
        <v>483</v>
      </c>
      <c r="C498" s="199" t="n"/>
      <c r="D498" s="312" t="n"/>
      <c r="E498" s="312" t="n"/>
      <c r="F498" s="312" t="n"/>
      <c r="G498" s="312" t="n"/>
      <c r="H498" s="312" t="n"/>
      <c r="I498" s="313" t="n"/>
      <c r="J498" s="170" t="n"/>
      <c r="K498" s="314" t="n"/>
      <c r="L498" s="170" t="n"/>
      <c r="M498" s="170" t="n"/>
      <c r="N498" s="170" t="n"/>
      <c r="O498" s="172" t="n"/>
      <c r="P498" s="172" t="n"/>
    </row>
    <row r="499">
      <c r="B499" s="170" t="n">
        <v>484</v>
      </c>
      <c r="C499" s="199" t="n"/>
      <c r="D499" s="312" t="n"/>
      <c r="E499" s="312" t="n"/>
      <c r="F499" s="312" t="n"/>
      <c r="G499" s="312" t="n"/>
      <c r="H499" s="312" t="n"/>
      <c r="I499" s="313" t="n"/>
      <c r="J499" s="170" t="n"/>
      <c r="K499" s="314" t="n"/>
      <c r="L499" s="170" t="n"/>
      <c r="M499" s="170" t="n"/>
      <c r="N499" s="170" t="n"/>
      <c r="O499" s="172" t="n"/>
      <c r="P499" s="172" t="n"/>
    </row>
    <row r="500">
      <c r="B500" s="170" t="n">
        <v>485</v>
      </c>
      <c r="C500" s="199" t="n"/>
      <c r="D500" s="312" t="n"/>
      <c r="E500" s="312" t="n"/>
      <c r="F500" s="312" t="n"/>
      <c r="G500" s="312" t="n"/>
      <c r="H500" s="312" t="n"/>
      <c r="I500" s="313" t="n"/>
      <c r="J500" s="170" t="n"/>
      <c r="K500" s="314" t="n"/>
      <c r="L500" s="170" t="n"/>
      <c r="M500" s="170" t="n"/>
      <c r="N500" s="170" t="n"/>
      <c r="O500" s="172" t="n"/>
      <c r="P500" s="172" t="n"/>
    </row>
    <row r="501">
      <c r="B501" s="170" t="n">
        <v>486</v>
      </c>
      <c r="C501" s="199" t="n"/>
      <c r="D501" s="312" t="n"/>
      <c r="E501" s="312" t="n"/>
      <c r="F501" s="312" t="n"/>
      <c r="G501" s="312" t="n"/>
      <c r="H501" s="312" t="n"/>
      <c r="I501" s="313" t="n"/>
      <c r="J501" s="170" t="n"/>
      <c r="K501" s="314" t="n"/>
      <c r="L501" s="170" t="n"/>
      <c r="M501" s="170" t="n"/>
      <c r="N501" s="170" t="n"/>
      <c r="O501" s="172" t="n"/>
      <c r="P501" s="172" t="n"/>
    </row>
    <row r="502">
      <c r="B502" s="170" t="n">
        <v>487</v>
      </c>
      <c r="C502" s="199" t="n"/>
      <c r="D502" s="312" t="n"/>
      <c r="E502" s="312" t="n"/>
      <c r="F502" s="312" t="n"/>
      <c r="G502" s="312" t="n"/>
      <c r="H502" s="312" t="n"/>
      <c r="I502" s="313" t="n"/>
      <c r="J502" s="170" t="n"/>
      <c r="K502" s="314" t="n"/>
      <c r="L502" s="170" t="n"/>
      <c r="M502" s="170" t="n"/>
      <c r="N502" s="170" t="n"/>
      <c r="O502" s="172" t="n"/>
      <c r="P502" s="172" t="n"/>
    </row>
    <row r="503">
      <c r="B503" s="170" t="n">
        <v>488</v>
      </c>
      <c r="C503" s="199" t="n"/>
      <c r="D503" s="312" t="n"/>
      <c r="E503" s="312" t="n"/>
      <c r="F503" s="312" t="n"/>
      <c r="G503" s="312" t="n"/>
      <c r="H503" s="312" t="n"/>
      <c r="I503" s="313" t="n"/>
      <c r="J503" s="170" t="n"/>
      <c r="K503" s="314" t="n"/>
      <c r="L503" s="170" t="n"/>
      <c r="M503" s="170" t="n"/>
      <c r="N503" s="170" t="n"/>
      <c r="O503" s="172" t="n"/>
      <c r="P503" s="172" t="n"/>
    </row>
    <row r="504">
      <c r="B504" s="170" t="n">
        <v>489</v>
      </c>
      <c r="C504" s="199" t="n"/>
      <c r="D504" s="312" t="n"/>
      <c r="E504" s="312" t="n"/>
      <c r="F504" s="312" t="n"/>
      <c r="G504" s="312" t="n"/>
      <c r="H504" s="312" t="n"/>
      <c r="I504" s="313" t="n"/>
      <c r="J504" s="170" t="n"/>
      <c r="K504" s="314" t="n"/>
      <c r="L504" s="170" t="n"/>
      <c r="M504" s="170" t="n"/>
      <c r="N504" s="170" t="n"/>
      <c r="O504" s="172" t="n"/>
      <c r="P504" s="172" t="n"/>
    </row>
    <row r="505">
      <c r="B505" s="170" t="n">
        <v>490</v>
      </c>
      <c r="C505" s="199" t="n"/>
      <c r="D505" s="312" t="n"/>
      <c r="E505" s="312" t="n"/>
      <c r="F505" s="312" t="n"/>
      <c r="G505" s="312" t="n"/>
      <c r="H505" s="312" t="n"/>
      <c r="I505" s="313" t="n"/>
      <c r="J505" s="170" t="n"/>
      <c r="K505" s="314" t="n"/>
      <c r="L505" s="170" t="n"/>
      <c r="M505" s="170" t="n"/>
      <c r="N505" s="170" t="n"/>
      <c r="O505" s="172" t="n"/>
      <c r="P505" s="172" t="n"/>
    </row>
    <row r="506">
      <c r="B506" s="170" t="n">
        <v>491</v>
      </c>
      <c r="C506" s="199" t="n"/>
      <c r="D506" s="312" t="n"/>
      <c r="E506" s="312" t="n"/>
      <c r="F506" s="312" t="n"/>
      <c r="G506" s="312" t="n"/>
      <c r="H506" s="312" t="n"/>
      <c r="I506" s="313" t="n"/>
      <c r="J506" s="170" t="n"/>
      <c r="K506" s="314" t="n"/>
      <c r="L506" s="170" t="n"/>
      <c r="M506" s="170" t="n"/>
      <c r="N506" s="170" t="n"/>
      <c r="O506" s="172" t="n"/>
      <c r="P506" s="172" t="n"/>
    </row>
    <row r="507">
      <c r="B507" s="170" t="n">
        <v>492</v>
      </c>
      <c r="C507" s="199" t="n"/>
      <c r="D507" s="312" t="n"/>
      <c r="E507" s="312" t="n"/>
      <c r="F507" s="312" t="n"/>
      <c r="G507" s="312" t="n"/>
      <c r="H507" s="312" t="n"/>
      <c r="I507" s="313" t="n"/>
      <c r="J507" s="170" t="n"/>
      <c r="K507" s="314" t="n"/>
      <c r="L507" s="170" t="n"/>
      <c r="M507" s="170" t="n"/>
      <c r="N507" s="170" t="n"/>
      <c r="O507" s="172" t="n"/>
      <c r="P507" s="172" t="n"/>
    </row>
    <row r="508">
      <c r="B508" s="170" t="n">
        <v>493</v>
      </c>
      <c r="C508" s="199" t="n"/>
      <c r="D508" s="312" t="n"/>
      <c r="E508" s="312" t="n"/>
      <c r="F508" s="312" t="n"/>
      <c r="G508" s="312" t="n"/>
      <c r="H508" s="312" t="n"/>
      <c r="I508" s="313" t="n"/>
      <c r="J508" s="170" t="n"/>
      <c r="K508" s="314" t="n"/>
      <c r="L508" s="170" t="n"/>
      <c r="M508" s="170" t="n"/>
      <c r="N508" s="170" t="n"/>
      <c r="O508" s="172" t="n"/>
      <c r="P508" s="172" t="n"/>
    </row>
    <row r="509">
      <c r="B509" s="170" t="n">
        <v>494</v>
      </c>
      <c r="C509" s="199" t="n"/>
      <c r="D509" s="312" t="n"/>
      <c r="E509" s="312" t="n"/>
      <c r="F509" s="312" t="n"/>
      <c r="G509" s="312" t="n"/>
      <c r="H509" s="312" t="n"/>
      <c r="I509" s="313" t="n"/>
      <c r="J509" s="170" t="n"/>
      <c r="K509" s="314" t="n"/>
      <c r="L509" s="170" t="n"/>
      <c r="M509" s="170" t="n"/>
      <c r="N509" s="170" t="n"/>
      <c r="O509" s="172" t="n"/>
      <c r="P509" s="172" t="n"/>
    </row>
    <row r="510">
      <c r="B510" s="170" t="n">
        <v>495</v>
      </c>
      <c r="C510" s="199" t="n"/>
      <c r="D510" s="312" t="n"/>
      <c r="E510" s="312" t="n"/>
      <c r="F510" s="312" t="n"/>
      <c r="G510" s="312" t="n"/>
      <c r="H510" s="312" t="n"/>
      <c r="I510" s="313" t="n"/>
      <c r="J510" s="170" t="n"/>
      <c r="K510" s="314" t="n"/>
      <c r="L510" s="170" t="n"/>
      <c r="M510" s="170" t="n"/>
      <c r="N510" s="170" t="n"/>
      <c r="O510" s="172" t="n"/>
      <c r="P510" s="172" t="n"/>
    </row>
    <row r="511">
      <c r="B511" s="170" t="n">
        <v>496</v>
      </c>
      <c r="C511" s="199" t="n"/>
      <c r="D511" s="312" t="n"/>
      <c r="E511" s="312" t="n"/>
      <c r="F511" s="312" t="n"/>
      <c r="G511" s="312" t="n"/>
      <c r="H511" s="312" t="n"/>
      <c r="I511" s="313" t="n"/>
      <c r="J511" s="170" t="n"/>
      <c r="K511" s="314" t="n"/>
      <c r="L511" s="170" t="n"/>
      <c r="M511" s="170" t="n"/>
      <c r="N511" s="170" t="n"/>
      <c r="O511" s="172" t="n"/>
      <c r="P511" s="172" t="n"/>
    </row>
    <row r="512">
      <c r="B512" s="170" t="n">
        <v>497</v>
      </c>
      <c r="C512" s="199" t="n"/>
      <c r="D512" s="312" t="n"/>
      <c r="E512" s="312" t="n"/>
      <c r="F512" s="312" t="n"/>
      <c r="G512" s="312" t="n"/>
      <c r="H512" s="312" t="n"/>
      <c r="I512" s="313" t="n"/>
      <c r="J512" s="170" t="n"/>
      <c r="K512" s="314" t="n"/>
      <c r="L512" s="170" t="n"/>
      <c r="M512" s="170" t="n"/>
      <c r="N512" s="170" t="n"/>
      <c r="O512" s="172" t="n"/>
      <c r="P512" s="172" t="n"/>
    </row>
    <row r="513">
      <c r="B513" s="170" t="n">
        <v>498</v>
      </c>
      <c r="C513" s="199" t="n"/>
      <c r="D513" s="312" t="n"/>
      <c r="E513" s="312" t="n"/>
      <c r="F513" s="312" t="n"/>
      <c r="G513" s="312" t="n"/>
      <c r="H513" s="312" t="n"/>
      <c r="I513" s="313" t="n"/>
      <c r="J513" s="170" t="n"/>
      <c r="K513" s="314" t="n"/>
      <c r="L513" s="170" t="n"/>
      <c r="M513" s="170" t="n"/>
      <c r="N513" s="170" t="n"/>
      <c r="O513" s="172" t="n"/>
      <c r="P513" s="172" t="n"/>
    </row>
    <row r="514">
      <c r="B514" s="170" t="n">
        <v>499</v>
      </c>
      <c r="C514" s="199" t="n"/>
      <c r="D514" s="312" t="n"/>
      <c r="E514" s="312" t="n"/>
      <c r="F514" s="312" t="n"/>
      <c r="G514" s="312" t="n"/>
      <c r="H514" s="312" t="n"/>
      <c r="I514" s="313" t="n"/>
      <c r="J514" s="170" t="n"/>
      <c r="K514" s="314" t="n"/>
      <c r="L514" s="170" t="n"/>
      <c r="M514" s="170" t="n"/>
      <c r="N514" s="170" t="n"/>
      <c r="O514" s="172" t="n"/>
      <c r="P514" s="172" t="n"/>
    </row>
    <row r="515">
      <c r="B515" s="170" t="n">
        <v>500</v>
      </c>
      <c r="C515" s="199" t="n"/>
      <c r="D515" s="312" t="n"/>
      <c r="E515" s="312" t="n"/>
      <c r="F515" s="312" t="n"/>
      <c r="G515" s="312" t="n"/>
      <c r="H515" s="312" t="n"/>
      <c r="I515" s="313" t="n"/>
      <c r="J515" s="170" t="n"/>
      <c r="K515" s="314" t="n"/>
      <c r="L515" s="170" t="n"/>
      <c r="M515" s="170" t="n"/>
      <c r="N515" s="170" t="n"/>
      <c r="O515" s="172" t="n"/>
      <c r="P515" s="172" t="n"/>
    </row>
    <row r="516">
      <c r="B516" s="170" t="n">
        <v>501</v>
      </c>
      <c r="C516" s="199" t="n"/>
      <c r="D516" s="312" t="n"/>
      <c r="E516" s="312" t="n"/>
      <c r="F516" s="312" t="n"/>
      <c r="G516" s="312" t="n"/>
      <c r="H516" s="312" t="n"/>
      <c r="I516" s="313" t="n"/>
      <c r="J516" s="170" t="n"/>
      <c r="K516" s="314" t="n"/>
      <c r="L516" s="170" t="n"/>
      <c r="M516" s="170" t="n"/>
      <c r="N516" s="170" t="n"/>
      <c r="O516" s="172" t="n"/>
      <c r="P516" s="172" t="n"/>
    </row>
    <row r="517">
      <c r="B517" s="170" t="n">
        <v>502</v>
      </c>
      <c r="C517" s="199" t="n"/>
      <c r="D517" s="312" t="n"/>
      <c r="E517" s="312" t="n"/>
      <c r="F517" s="312" t="n"/>
      <c r="G517" s="312" t="n"/>
      <c r="H517" s="312" t="n"/>
      <c r="I517" s="313" t="n"/>
      <c r="J517" s="170" t="n"/>
      <c r="K517" s="314" t="n"/>
      <c r="L517" s="170" t="n"/>
      <c r="M517" s="170" t="n"/>
      <c r="N517" s="170" t="n"/>
      <c r="O517" s="172" t="n"/>
      <c r="P517" s="172" t="n"/>
    </row>
    <row r="518">
      <c r="B518" s="170" t="n">
        <v>503</v>
      </c>
      <c r="C518" s="199" t="n"/>
      <c r="D518" s="312" t="n"/>
      <c r="E518" s="312" t="n"/>
      <c r="F518" s="312" t="n"/>
      <c r="G518" s="312" t="n"/>
      <c r="H518" s="312" t="n"/>
      <c r="I518" s="313" t="n"/>
      <c r="J518" s="170" t="n"/>
      <c r="K518" s="314" t="n"/>
      <c r="L518" s="170" t="n"/>
      <c r="M518" s="170" t="n"/>
      <c r="N518" s="170" t="n"/>
      <c r="O518" s="172" t="n"/>
      <c r="P518" s="172" t="n"/>
    </row>
    <row r="519">
      <c r="B519" s="170" t="n">
        <v>504</v>
      </c>
      <c r="C519" s="199" t="n"/>
      <c r="D519" s="312" t="n"/>
      <c r="E519" s="312" t="n"/>
      <c r="F519" s="312" t="n"/>
      <c r="G519" s="312" t="n"/>
      <c r="H519" s="312" t="n"/>
      <c r="I519" s="313" t="n"/>
      <c r="J519" s="170" t="n"/>
      <c r="K519" s="314" t="n"/>
      <c r="L519" s="170" t="n"/>
      <c r="M519" s="170" t="n"/>
      <c r="N519" s="170" t="n"/>
      <c r="O519" s="172" t="n"/>
      <c r="P519" s="172" t="n"/>
    </row>
    <row r="520">
      <c r="B520" s="170" t="n">
        <v>505</v>
      </c>
      <c r="C520" s="199" t="n"/>
      <c r="D520" s="312" t="n"/>
      <c r="E520" s="312" t="n"/>
      <c r="F520" s="312" t="n"/>
      <c r="G520" s="312" t="n"/>
      <c r="H520" s="312" t="n"/>
      <c r="I520" s="313" t="n"/>
      <c r="J520" s="170" t="n"/>
      <c r="K520" s="314" t="n"/>
      <c r="L520" s="170" t="n"/>
      <c r="M520" s="170" t="n"/>
      <c r="N520" s="170" t="n"/>
      <c r="O520" s="172" t="n"/>
      <c r="P520" s="172" t="n"/>
    </row>
    <row r="521">
      <c r="B521" s="170" t="n">
        <v>506</v>
      </c>
      <c r="C521" s="199" t="n"/>
      <c r="D521" s="312" t="n"/>
      <c r="E521" s="312" t="n"/>
      <c r="F521" s="312" t="n"/>
      <c r="G521" s="312" t="n"/>
      <c r="H521" s="312" t="n"/>
      <c r="I521" s="313" t="n"/>
      <c r="J521" s="170" t="n"/>
      <c r="K521" s="314" t="n"/>
      <c r="L521" s="170" t="n"/>
      <c r="M521" s="170" t="n"/>
      <c r="N521" s="170" t="n"/>
      <c r="O521" s="172" t="n"/>
      <c r="P521" s="172" t="n"/>
    </row>
    <row r="522">
      <c r="B522" s="170" t="n">
        <v>507</v>
      </c>
      <c r="C522" s="199" t="n"/>
      <c r="D522" s="312" t="n"/>
      <c r="E522" s="312" t="n"/>
      <c r="F522" s="312" t="n"/>
      <c r="G522" s="312" t="n"/>
      <c r="H522" s="312" t="n"/>
      <c r="I522" s="313" t="n"/>
      <c r="J522" s="170" t="n"/>
      <c r="K522" s="314" t="n"/>
      <c r="L522" s="170" t="n"/>
      <c r="M522" s="170" t="n"/>
      <c r="N522" s="170" t="n"/>
      <c r="O522" s="172" t="n"/>
      <c r="P522" s="172" t="n"/>
    </row>
    <row r="523">
      <c r="B523" s="170" t="n">
        <v>508</v>
      </c>
      <c r="C523" s="199" t="n"/>
      <c r="D523" s="312" t="n"/>
      <c r="E523" s="312" t="n"/>
      <c r="F523" s="312" t="n"/>
      <c r="G523" s="312" t="n"/>
      <c r="H523" s="312" t="n"/>
      <c r="I523" s="313" t="n"/>
      <c r="J523" s="170" t="n"/>
      <c r="K523" s="314" t="n"/>
      <c r="L523" s="170" t="n"/>
      <c r="M523" s="170" t="n"/>
      <c r="N523" s="170" t="n"/>
      <c r="O523" s="172" t="n"/>
      <c r="P523" s="172" t="n"/>
    </row>
    <row r="524">
      <c r="B524" s="170" t="n">
        <v>509</v>
      </c>
      <c r="C524" s="199" t="n"/>
      <c r="D524" s="312" t="n"/>
      <c r="E524" s="312" t="n"/>
      <c r="F524" s="312" t="n"/>
      <c r="G524" s="312" t="n"/>
      <c r="H524" s="312" t="n"/>
      <c r="I524" s="313" t="n"/>
      <c r="J524" s="170" t="n"/>
      <c r="K524" s="314" t="n"/>
      <c r="L524" s="170" t="n"/>
      <c r="M524" s="170" t="n"/>
      <c r="N524" s="170" t="n"/>
      <c r="O524" s="172" t="n"/>
      <c r="P524" s="172" t="n"/>
    </row>
    <row r="525">
      <c r="B525" s="170" t="n">
        <v>510</v>
      </c>
      <c r="C525" s="199" t="n"/>
      <c r="D525" s="312" t="n"/>
      <c r="E525" s="312" t="n"/>
      <c r="F525" s="312" t="n"/>
      <c r="G525" s="312" t="n"/>
      <c r="H525" s="312" t="n"/>
      <c r="I525" s="313" t="n"/>
      <c r="J525" s="170" t="n"/>
      <c r="K525" s="314" t="n"/>
      <c r="L525" s="170" t="n"/>
      <c r="M525" s="170" t="n"/>
      <c r="N525" s="170" t="n"/>
      <c r="O525" s="172" t="n"/>
      <c r="P525" s="172" t="n"/>
    </row>
    <row r="526">
      <c r="B526" s="170" t="n">
        <v>511</v>
      </c>
      <c r="C526" s="199" t="n"/>
      <c r="D526" s="312" t="n"/>
      <c r="E526" s="312" t="n"/>
      <c r="F526" s="312" t="n"/>
      <c r="G526" s="312" t="n"/>
      <c r="H526" s="312" t="n"/>
      <c r="I526" s="313" t="n"/>
      <c r="J526" s="170" t="n"/>
      <c r="K526" s="314" t="n"/>
      <c r="L526" s="170" t="n"/>
      <c r="M526" s="170" t="n"/>
      <c r="N526" s="170" t="n"/>
      <c r="O526" s="172" t="n"/>
      <c r="P526" s="172" t="n"/>
    </row>
    <row r="527">
      <c r="B527" s="170" t="n">
        <v>512</v>
      </c>
      <c r="C527" s="199" t="n"/>
      <c r="D527" s="312" t="n"/>
      <c r="E527" s="312" t="n"/>
      <c r="F527" s="312" t="n"/>
      <c r="G527" s="312" t="n"/>
      <c r="H527" s="312" t="n"/>
      <c r="I527" s="313" t="n"/>
      <c r="J527" s="170" t="n"/>
      <c r="K527" s="314" t="n"/>
      <c r="L527" s="170" t="n"/>
      <c r="M527" s="170" t="n"/>
      <c r="N527" s="170" t="n"/>
      <c r="O527" s="172" t="n"/>
      <c r="P527" s="172" t="n"/>
    </row>
    <row r="528">
      <c r="B528" s="170" t="n">
        <v>513</v>
      </c>
      <c r="C528" s="199" t="n"/>
      <c r="D528" s="312" t="n"/>
      <c r="E528" s="312" t="n"/>
      <c r="F528" s="312" t="n"/>
      <c r="G528" s="312" t="n"/>
      <c r="H528" s="312" t="n"/>
      <c r="I528" s="313" t="n"/>
      <c r="J528" s="170" t="n"/>
      <c r="K528" s="314" t="n"/>
      <c r="L528" s="170" t="n"/>
      <c r="M528" s="170" t="n"/>
      <c r="N528" s="170" t="n"/>
      <c r="O528" s="172" t="n"/>
      <c r="P528" s="172" t="n"/>
    </row>
    <row r="529">
      <c r="B529" s="170" t="n">
        <v>514</v>
      </c>
      <c r="C529" s="199" t="n"/>
      <c r="D529" s="312" t="n"/>
      <c r="E529" s="312" t="n"/>
      <c r="F529" s="312" t="n"/>
      <c r="G529" s="312" t="n"/>
      <c r="H529" s="312" t="n"/>
      <c r="I529" s="313" t="n"/>
      <c r="J529" s="170" t="n"/>
      <c r="K529" s="314" t="n"/>
      <c r="L529" s="170" t="n"/>
      <c r="M529" s="170" t="n"/>
      <c r="N529" s="170" t="n"/>
      <c r="O529" s="172" t="n"/>
      <c r="P529" s="172" t="n"/>
    </row>
    <row r="530">
      <c r="B530" s="170" t="n">
        <v>515</v>
      </c>
      <c r="C530" s="199" t="n"/>
      <c r="D530" s="312" t="n"/>
      <c r="E530" s="312" t="n"/>
      <c r="F530" s="312" t="n"/>
      <c r="G530" s="312" t="n"/>
      <c r="H530" s="312" t="n"/>
      <c r="I530" s="313" t="n"/>
      <c r="J530" s="170" t="n"/>
      <c r="K530" s="314" t="n"/>
      <c r="L530" s="170" t="n"/>
      <c r="M530" s="170" t="n"/>
      <c r="N530" s="170" t="n"/>
      <c r="O530" s="172" t="n"/>
      <c r="P530" s="172" t="n"/>
    </row>
    <row r="531">
      <c r="B531" s="170" t="n">
        <v>516</v>
      </c>
      <c r="C531" s="199" t="n"/>
      <c r="D531" s="312" t="n"/>
      <c r="E531" s="312" t="n"/>
      <c r="F531" s="312" t="n"/>
      <c r="G531" s="312" t="n"/>
      <c r="H531" s="312" t="n"/>
      <c r="I531" s="313" t="n"/>
      <c r="J531" s="170" t="n"/>
      <c r="K531" s="314" t="n"/>
      <c r="L531" s="170" t="n"/>
      <c r="M531" s="170" t="n"/>
      <c r="N531" s="170" t="n"/>
      <c r="O531" s="172" t="n"/>
      <c r="P531" s="172" t="n"/>
    </row>
    <row r="532">
      <c r="B532" s="170" t="n">
        <v>517</v>
      </c>
      <c r="C532" s="199" t="n"/>
      <c r="D532" s="312" t="n"/>
      <c r="E532" s="312" t="n"/>
      <c r="F532" s="312" t="n"/>
      <c r="G532" s="312" t="n"/>
      <c r="H532" s="312" t="n"/>
      <c r="I532" s="313" t="n"/>
      <c r="J532" s="170" t="n"/>
      <c r="K532" s="314" t="n"/>
      <c r="L532" s="170" t="n"/>
      <c r="M532" s="170" t="n"/>
      <c r="N532" s="170" t="n"/>
      <c r="O532" s="172" t="n"/>
      <c r="P532" s="172" t="n"/>
    </row>
    <row r="533">
      <c r="B533" s="170" t="n">
        <v>518</v>
      </c>
      <c r="C533" s="199" t="n"/>
      <c r="D533" s="312" t="n"/>
      <c r="E533" s="312" t="n"/>
      <c r="F533" s="312" t="n"/>
      <c r="G533" s="312" t="n"/>
      <c r="H533" s="312" t="n"/>
      <c r="I533" s="313" t="n"/>
      <c r="J533" s="170" t="n"/>
      <c r="K533" s="314" t="n"/>
      <c r="L533" s="170" t="n"/>
      <c r="M533" s="170" t="n"/>
      <c r="N533" s="170" t="n"/>
      <c r="O533" s="172" t="n"/>
      <c r="P533" s="172" t="n"/>
    </row>
    <row r="534">
      <c r="B534" s="170" t="n">
        <v>519</v>
      </c>
      <c r="C534" s="199" t="n"/>
      <c r="D534" s="312" t="n"/>
      <c r="E534" s="312" t="n"/>
      <c r="F534" s="312" t="n"/>
      <c r="G534" s="312" t="n"/>
      <c r="H534" s="312" t="n"/>
      <c r="I534" s="313" t="n"/>
      <c r="J534" s="170" t="n"/>
      <c r="K534" s="314" t="n"/>
      <c r="L534" s="170" t="n"/>
      <c r="M534" s="170" t="n"/>
      <c r="N534" s="170" t="n"/>
      <c r="O534" s="172" t="n"/>
      <c r="P534" s="172" t="n"/>
    </row>
    <row r="535">
      <c r="B535" s="170" t="n">
        <v>520</v>
      </c>
      <c r="C535" s="199" t="n"/>
      <c r="D535" s="312" t="n"/>
      <c r="E535" s="312" t="n"/>
      <c r="F535" s="312" t="n"/>
      <c r="G535" s="312" t="n"/>
      <c r="H535" s="312" t="n"/>
      <c r="I535" s="313" t="n"/>
      <c r="J535" s="170" t="n"/>
      <c r="K535" s="314" t="n"/>
      <c r="L535" s="170" t="n"/>
      <c r="M535" s="170" t="n"/>
      <c r="N535" s="170" t="n"/>
      <c r="O535" s="172" t="n"/>
      <c r="P535" s="172" t="n"/>
    </row>
    <row r="536">
      <c r="B536" s="170" t="n">
        <v>521</v>
      </c>
      <c r="C536" s="199" t="n"/>
      <c r="D536" s="312" t="n"/>
      <c r="E536" s="312" t="n"/>
      <c r="F536" s="312" t="n"/>
      <c r="G536" s="312" t="n"/>
      <c r="H536" s="312" t="n"/>
      <c r="I536" s="313" t="n"/>
      <c r="J536" s="170" t="n"/>
      <c r="K536" s="314" t="n"/>
      <c r="L536" s="170" t="n"/>
      <c r="M536" s="170" t="n"/>
      <c r="N536" s="170" t="n"/>
      <c r="O536" s="172" t="n"/>
      <c r="P536" s="172" t="n"/>
    </row>
    <row r="537">
      <c r="B537" s="170" t="n">
        <v>522</v>
      </c>
      <c r="C537" s="199" t="n"/>
      <c r="D537" s="312" t="n"/>
      <c r="E537" s="312" t="n"/>
      <c r="F537" s="312" t="n"/>
      <c r="G537" s="312" t="n"/>
      <c r="H537" s="312" t="n"/>
      <c r="I537" s="313" t="n"/>
      <c r="J537" s="170" t="n"/>
      <c r="K537" s="314" t="n"/>
      <c r="L537" s="170" t="n"/>
      <c r="M537" s="170" t="n"/>
      <c r="N537" s="170" t="n"/>
      <c r="O537" s="172" t="n"/>
      <c r="P537" s="172" t="n"/>
    </row>
    <row r="538">
      <c r="B538" s="170" t="n">
        <v>523</v>
      </c>
      <c r="C538" s="199" t="n"/>
      <c r="D538" s="312" t="n"/>
      <c r="E538" s="312" t="n"/>
      <c r="F538" s="312" t="n"/>
      <c r="G538" s="312" t="n"/>
      <c r="H538" s="312" t="n"/>
      <c r="I538" s="313" t="n"/>
      <c r="J538" s="170" t="n"/>
      <c r="K538" s="314" t="n"/>
      <c r="L538" s="170" t="n"/>
      <c r="M538" s="170" t="n"/>
      <c r="N538" s="170" t="n"/>
      <c r="O538" s="172" t="n"/>
      <c r="P538" s="172" t="n"/>
    </row>
    <row r="539">
      <c r="B539" s="170" t="n">
        <v>524</v>
      </c>
      <c r="C539" s="199" t="n"/>
      <c r="D539" s="312" t="n"/>
      <c r="E539" s="312" t="n"/>
      <c r="F539" s="312" t="n"/>
      <c r="G539" s="312" t="n"/>
      <c r="H539" s="312" t="n"/>
      <c r="I539" s="313" t="n"/>
      <c r="J539" s="170" t="n"/>
      <c r="K539" s="314" t="n"/>
      <c r="L539" s="170" t="n"/>
      <c r="M539" s="170" t="n"/>
      <c r="N539" s="170" t="n"/>
      <c r="O539" s="172" t="n"/>
      <c r="P539" s="172" t="n"/>
    </row>
    <row r="540">
      <c r="B540" s="170" t="n">
        <v>525</v>
      </c>
      <c r="C540" s="199" t="n"/>
      <c r="D540" s="312" t="n"/>
      <c r="E540" s="312" t="n"/>
      <c r="F540" s="312" t="n"/>
      <c r="G540" s="312" t="n"/>
      <c r="H540" s="312" t="n"/>
      <c r="I540" s="313" t="n"/>
      <c r="J540" s="170" t="n"/>
      <c r="K540" s="314" t="n"/>
      <c r="L540" s="170" t="n"/>
      <c r="M540" s="170" t="n"/>
      <c r="N540" s="170" t="n"/>
      <c r="O540" s="172" t="n"/>
      <c r="P540" s="172" t="n"/>
    </row>
    <row r="541">
      <c r="B541" s="170" t="n">
        <v>526</v>
      </c>
      <c r="C541" s="199" t="n"/>
      <c r="D541" s="312" t="n"/>
      <c r="E541" s="312" t="n"/>
      <c r="F541" s="312" t="n"/>
      <c r="G541" s="312" t="n"/>
      <c r="H541" s="312" t="n"/>
      <c r="I541" s="313" t="n"/>
      <c r="J541" s="170" t="n"/>
      <c r="K541" s="314" t="n"/>
      <c r="L541" s="170" t="n"/>
      <c r="M541" s="170" t="n"/>
      <c r="N541" s="170" t="n"/>
      <c r="O541" s="172" t="n"/>
      <c r="P541" s="172" t="n"/>
    </row>
    <row r="542">
      <c r="B542" s="170" t="n">
        <v>527</v>
      </c>
      <c r="C542" s="199" t="n"/>
      <c r="D542" s="312" t="n"/>
      <c r="E542" s="312" t="n"/>
      <c r="F542" s="312" t="n"/>
      <c r="G542" s="312" t="n"/>
      <c r="H542" s="312" t="n"/>
      <c r="I542" s="313" t="n"/>
      <c r="J542" s="170" t="n"/>
      <c r="K542" s="314" t="n"/>
      <c r="L542" s="170" t="n"/>
      <c r="M542" s="170" t="n"/>
      <c r="N542" s="170" t="n"/>
      <c r="O542" s="172" t="n"/>
      <c r="P542" s="172" t="n"/>
    </row>
    <row r="543">
      <c r="B543" s="170" t="n">
        <v>528</v>
      </c>
      <c r="C543" s="199" t="n"/>
      <c r="D543" s="312" t="n"/>
      <c r="E543" s="312" t="n"/>
      <c r="F543" s="312" t="n"/>
      <c r="G543" s="312" t="n"/>
      <c r="H543" s="312" t="n"/>
      <c r="I543" s="313" t="n"/>
      <c r="J543" s="170" t="n"/>
      <c r="K543" s="314" t="n"/>
      <c r="L543" s="170" t="n"/>
      <c r="M543" s="170" t="n"/>
      <c r="N543" s="170" t="n"/>
      <c r="O543" s="172" t="n"/>
      <c r="P543" s="172" t="n"/>
    </row>
    <row r="544">
      <c r="B544" s="170" t="n">
        <v>529</v>
      </c>
      <c r="C544" s="199" t="n"/>
      <c r="D544" s="312" t="n"/>
      <c r="E544" s="312" t="n"/>
      <c r="F544" s="312" t="n"/>
      <c r="G544" s="312" t="n"/>
      <c r="H544" s="312" t="n"/>
      <c r="I544" s="313" t="n"/>
      <c r="J544" s="170" t="n"/>
      <c r="K544" s="314" t="n"/>
      <c r="L544" s="170" t="n"/>
      <c r="M544" s="170" t="n"/>
      <c r="N544" s="170" t="n"/>
      <c r="O544" s="172" t="n"/>
      <c r="P544" s="172" t="n"/>
    </row>
    <row r="545">
      <c r="B545" s="170" t="n">
        <v>530</v>
      </c>
      <c r="C545" s="199" t="n"/>
      <c r="D545" s="312" t="n"/>
      <c r="E545" s="312" t="n"/>
      <c r="F545" s="312" t="n"/>
      <c r="G545" s="312" t="n"/>
      <c r="H545" s="312" t="n"/>
      <c r="I545" s="313" t="n"/>
      <c r="J545" s="170" t="n"/>
      <c r="K545" s="314" t="n"/>
      <c r="L545" s="170" t="n"/>
      <c r="M545" s="170" t="n"/>
      <c r="N545" s="170" t="n"/>
      <c r="O545" s="172" t="n"/>
      <c r="P545" s="172" t="n"/>
    </row>
    <row r="546">
      <c r="B546" s="170" t="n">
        <v>531</v>
      </c>
      <c r="C546" s="199" t="n"/>
      <c r="D546" s="312" t="n"/>
      <c r="E546" s="312" t="n"/>
      <c r="F546" s="312" t="n"/>
      <c r="G546" s="312" t="n"/>
      <c r="H546" s="312" t="n"/>
      <c r="I546" s="313" t="n"/>
      <c r="J546" s="170" t="n"/>
      <c r="K546" s="314" t="n"/>
      <c r="L546" s="170" t="n"/>
      <c r="M546" s="170" t="n"/>
      <c r="N546" s="170" t="n"/>
      <c r="O546" s="172" t="n"/>
      <c r="P546" s="172" t="n"/>
    </row>
    <row r="547">
      <c r="B547" s="170" t="n">
        <v>532</v>
      </c>
      <c r="C547" s="199" t="n"/>
      <c r="D547" s="312" t="n"/>
      <c r="E547" s="312" t="n"/>
      <c r="F547" s="312" t="n"/>
      <c r="G547" s="312" t="n"/>
      <c r="H547" s="312" t="n"/>
      <c r="I547" s="313" t="n"/>
      <c r="J547" s="170" t="n"/>
      <c r="K547" s="314" t="n"/>
      <c r="L547" s="170" t="n"/>
      <c r="M547" s="170" t="n"/>
      <c r="N547" s="170" t="n"/>
      <c r="O547" s="172" t="n"/>
      <c r="P547" s="172" t="n"/>
    </row>
    <row r="548">
      <c r="B548" s="170" t="n">
        <v>533</v>
      </c>
      <c r="C548" s="199" t="n"/>
      <c r="D548" s="312" t="n"/>
      <c r="E548" s="312" t="n"/>
      <c r="F548" s="312" t="n"/>
      <c r="G548" s="312" t="n"/>
      <c r="H548" s="312" t="n"/>
      <c r="I548" s="313" t="n"/>
      <c r="J548" s="170" t="n"/>
      <c r="K548" s="314" t="n"/>
      <c r="L548" s="170" t="n"/>
      <c r="M548" s="170" t="n"/>
      <c r="N548" s="170" t="n"/>
      <c r="O548" s="172" t="n"/>
      <c r="P548" s="172" t="n"/>
    </row>
    <row r="549">
      <c r="B549" s="170" t="n">
        <v>534</v>
      </c>
      <c r="C549" s="199" t="n"/>
      <c r="D549" s="312" t="n"/>
      <c r="E549" s="312" t="n"/>
      <c r="F549" s="312" t="n"/>
      <c r="G549" s="312" t="n"/>
      <c r="H549" s="312" t="n"/>
      <c r="I549" s="313" t="n"/>
      <c r="J549" s="170" t="n"/>
      <c r="K549" s="314" t="n"/>
      <c r="L549" s="170" t="n"/>
      <c r="M549" s="170" t="n"/>
      <c r="N549" s="170" t="n"/>
      <c r="O549" s="172" t="n"/>
      <c r="P549" s="172" t="n"/>
    </row>
    <row r="550">
      <c r="B550" s="170" t="n">
        <v>535</v>
      </c>
      <c r="C550" s="199" t="n"/>
      <c r="D550" s="312" t="n"/>
      <c r="E550" s="312" t="n"/>
      <c r="F550" s="312" t="n"/>
      <c r="G550" s="312" t="n"/>
      <c r="H550" s="312" t="n"/>
      <c r="I550" s="313" t="n"/>
      <c r="J550" s="170" t="n"/>
      <c r="K550" s="314" t="n"/>
      <c r="L550" s="170" t="n"/>
      <c r="M550" s="170" t="n"/>
      <c r="N550" s="170" t="n"/>
      <c r="O550" s="172" t="n"/>
      <c r="P550" s="172" t="n"/>
    </row>
    <row r="551">
      <c r="B551" s="170" t="n">
        <v>536</v>
      </c>
      <c r="C551" s="199" t="n"/>
      <c r="D551" s="312" t="n"/>
      <c r="E551" s="312" t="n"/>
      <c r="F551" s="312" t="n"/>
      <c r="G551" s="312" t="n"/>
      <c r="H551" s="312" t="n"/>
      <c r="I551" s="313" t="n"/>
      <c r="J551" s="170" t="n"/>
      <c r="K551" s="314" t="n"/>
      <c r="L551" s="170" t="n"/>
      <c r="M551" s="170" t="n"/>
      <c r="N551" s="170" t="n"/>
      <c r="O551" s="172" t="n"/>
      <c r="P551" s="172" t="n"/>
    </row>
    <row r="552">
      <c r="B552" s="170" t="n">
        <v>537</v>
      </c>
      <c r="C552" s="199" t="n"/>
      <c r="D552" s="312" t="n"/>
      <c r="E552" s="312" t="n"/>
      <c r="F552" s="312" t="n"/>
      <c r="G552" s="312" t="n"/>
      <c r="H552" s="312" t="n"/>
      <c r="I552" s="313" t="n"/>
      <c r="J552" s="170" t="n"/>
      <c r="K552" s="314" t="n"/>
      <c r="L552" s="170" t="n"/>
      <c r="M552" s="170" t="n"/>
      <c r="N552" s="170" t="n"/>
      <c r="O552" s="172" t="n"/>
      <c r="P552" s="172" t="n"/>
    </row>
    <row r="553">
      <c r="B553" s="170" t="n">
        <v>538</v>
      </c>
      <c r="C553" s="199" t="n"/>
      <c r="D553" s="312" t="n"/>
      <c r="E553" s="312" t="n"/>
      <c r="F553" s="312" t="n"/>
      <c r="G553" s="312" t="n"/>
      <c r="H553" s="312" t="n"/>
      <c r="I553" s="313" t="n"/>
      <c r="J553" s="170" t="n"/>
      <c r="K553" s="314" t="n"/>
      <c r="L553" s="170" t="n"/>
      <c r="M553" s="170" t="n"/>
      <c r="N553" s="170" t="n"/>
      <c r="O553" s="172" t="n"/>
      <c r="P553" s="172" t="n"/>
    </row>
    <row r="554">
      <c r="B554" s="170" t="n">
        <v>539</v>
      </c>
      <c r="C554" s="199" t="n"/>
      <c r="D554" s="312" t="n"/>
      <c r="E554" s="312" t="n"/>
      <c r="F554" s="312" t="n"/>
      <c r="G554" s="312" t="n"/>
      <c r="H554" s="312" t="n"/>
      <c r="I554" s="313" t="n"/>
      <c r="J554" s="170" t="n"/>
      <c r="K554" s="314" t="n"/>
      <c r="L554" s="170" t="n"/>
      <c r="M554" s="170" t="n"/>
      <c r="N554" s="170" t="n"/>
      <c r="O554" s="172" t="n"/>
      <c r="P554" s="172" t="n"/>
    </row>
    <row r="555">
      <c r="B555" s="170" t="n">
        <v>540</v>
      </c>
      <c r="C555" s="199" t="n"/>
      <c r="D555" s="312" t="n"/>
      <c r="E555" s="312" t="n"/>
      <c r="F555" s="312" t="n"/>
      <c r="G555" s="312" t="n"/>
      <c r="H555" s="312" t="n"/>
      <c r="I555" s="313" t="n"/>
      <c r="J555" s="170" t="n"/>
      <c r="K555" s="314" t="n"/>
      <c r="L555" s="170" t="n"/>
      <c r="M555" s="170" t="n"/>
      <c r="N555" s="170" t="n"/>
      <c r="O555" s="172" t="n"/>
      <c r="P555" s="172" t="n"/>
    </row>
    <row r="556">
      <c r="B556" s="170" t="n">
        <v>541</v>
      </c>
      <c r="C556" s="199" t="n"/>
      <c r="D556" s="312" t="n"/>
      <c r="E556" s="312" t="n"/>
      <c r="F556" s="312" t="n"/>
      <c r="G556" s="312" t="n"/>
      <c r="H556" s="312" t="n"/>
      <c r="I556" s="313" t="n"/>
      <c r="J556" s="170" t="n"/>
      <c r="K556" s="314" t="n"/>
      <c r="L556" s="170" t="n"/>
      <c r="M556" s="170" t="n"/>
      <c r="N556" s="170" t="n"/>
      <c r="O556" s="172" t="n"/>
      <c r="P556" s="172" t="n"/>
    </row>
    <row r="557">
      <c r="B557" s="170" t="n">
        <v>542</v>
      </c>
      <c r="C557" s="199" t="n"/>
      <c r="D557" s="312" t="n"/>
      <c r="E557" s="312" t="n"/>
      <c r="F557" s="312" t="n"/>
      <c r="G557" s="312" t="n"/>
      <c r="H557" s="312" t="n"/>
      <c r="I557" s="313" t="n"/>
      <c r="J557" s="170" t="n"/>
      <c r="K557" s="314" t="n"/>
      <c r="L557" s="170" t="n"/>
      <c r="M557" s="170" t="n"/>
      <c r="N557" s="170" t="n"/>
      <c r="O557" s="172" t="n"/>
      <c r="P557" s="172" t="n"/>
    </row>
    <row r="558">
      <c r="B558" s="170" t="n">
        <v>543</v>
      </c>
      <c r="C558" s="199" t="n"/>
      <c r="D558" s="312" t="n"/>
      <c r="E558" s="312" t="n"/>
      <c r="F558" s="312" t="n"/>
      <c r="G558" s="312" t="n"/>
      <c r="H558" s="312" t="n"/>
      <c r="I558" s="313" t="n"/>
      <c r="J558" s="170" t="n"/>
      <c r="K558" s="314" t="n"/>
      <c r="L558" s="170" t="n"/>
      <c r="M558" s="170" t="n"/>
      <c r="N558" s="170" t="n"/>
      <c r="O558" s="172" t="n"/>
      <c r="P558" s="172" t="n"/>
    </row>
    <row r="559">
      <c r="B559" s="170" t="n">
        <v>544</v>
      </c>
      <c r="C559" s="199" t="n"/>
      <c r="D559" s="312" t="n"/>
      <c r="E559" s="312" t="n"/>
      <c r="F559" s="312" t="n"/>
      <c r="G559" s="312" t="n"/>
      <c r="H559" s="312" t="n"/>
      <c r="I559" s="313" t="n"/>
      <c r="J559" s="170" t="n"/>
      <c r="K559" s="314" t="n"/>
      <c r="L559" s="170" t="n"/>
      <c r="M559" s="170" t="n"/>
      <c r="N559" s="170" t="n"/>
      <c r="O559" s="172" t="n"/>
      <c r="P559" s="172" t="n"/>
    </row>
    <row r="560">
      <c r="B560" s="170" t="n">
        <v>545</v>
      </c>
      <c r="C560" s="199" t="n"/>
      <c r="D560" s="312" t="n"/>
      <c r="E560" s="312" t="n"/>
      <c r="F560" s="312" t="n"/>
      <c r="G560" s="312" t="n"/>
      <c r="H560" s="312" t="n"/>
      <c r="I560" s="313" t="n"/>
      <c r="J560" s="170" t="n"/>
      <c r="K560" s="314" t="n"/>
      <c r="L560" s="170" t="n"/>
      <c r="M560" s="170" t="n"/>
      <c r="N560" s="170" t="n"/>
      <c r="O560" s="172" t="n"/>
      <c r="P560" s="172" t="n"/>
    </row>
    <row r="561">
      <c r="B561" s="170" t="n">
        <v>546</v>
      </c>
      <c r="C561" s="199" t="n"/>
      <c r="D561" s="312" t="n"/>
      <c r="E561" s="312" t="n"/>
      <c r="F561" s="312" t="n"/>
      <c r="G561" s="312" t="n"/>
      <c r="H561" s="312" t="n"/>
      <c r="I561" s="313" t="n"/>
      <c r="J561" s="170" t="n"/>
      <c r="K561" s="314" t="n"/>
      <c r="L561" s="170" t="n"/>
      <c r="M561" s="170" t="n"/>
      <c r="N561" s="170" t="n"/>
      <c r="O561" s="172" t="n"/>
      <c r="P561" s="172" t="n"/>
    </row>
    <row r="562">
      <c r="B562" s="170" t="n">
        <v>547</v>
      </c>
      <c r="C562" s="199" t="n"/>
      <c r="D562" s="312" t="n"/>
      <c r="E562" s="312" t="n"/>
      <c r="F562" s="312" t="n"/>
      <c r="G562" s="312" t="n"/>
      <c r="H562" s="312" t="n"/>
      <c r="I562" s="313" t="n"/>
      <c r="J562" s="170" t="n"/>
      <c r="K562" s="314" t="n"/>
      <c r="L562" s="170" t="n"/>
      <c r="M562" s="170" t="n"/>
      <c r="N562" s="170" t="n"/>
      <c r="O562" s="172" t="n"/>
      <c r="P562" s="172" t="n"/>
    </row>
    <row r="563">
      <c r="B563" s="170" t="n">
        <v>548</v>
      </c>
      <c r="C563" s="199" t="n"/>
      <c r="D563" s="312" t="n"/>
      <c r="E563" s="312" t="n"/>
      <c r="F563" s="312" t="n"/>
      <c r="G563" s="312" t="n"/>
      <c r="H563" s="312" t="n"/>
      <c r="I563" s="313" t="n"/>
      <c r="J563" s="170" t="n"/>
      <c r="K563" s="314" t="n"/>
      <c r="L563" s="170" t="n"/>
      <c r="M563" s="170" t="n"/>
      <c r="N563" s="170" t="n"/>
      <c r="O563" s="172" t="n"/>
      <c r="P563" s="172" t="n"/>
    </row>
    <row r="564">
      <c r="B564" s="170" t="n">
        <v>549</v>
      </c>
      <c r="C564" s="199" t="n"/>
      <c r="D564" s="312" t="n"/>
      <c r="E564" s="312" t="n"/>
      <c r="F564" s="312" t="n"/>
      <c r="G564" s="312" t="n"/>
      <c r="H564" s="312" t="n"/>
      <c r="I564" s="313" t="n"/>
      <c r="J564" s="170" t="n"/>
      <c r="K564" s="314" t="n"/>
      <c r="L564" s="170" t="n"/>
      <c r="M564" s="170" t="n"/>
      <c r="N564" s="170" t="n"/>
      <c r="O564" s="172" t="n"/>
      <c r="P564" s="172" t="n"/>
    </row>
    <row r="565">
      <c r="B565" s="170" t="n">
        <v>550</v>
      </c>
      <c r="C565" s="199" t="n"/>
      <c r="D565" s="312" t="n"/>
      <c r="E565" s="312" t="n"/>
      <c r="F565" s="312" t="n"/>
      <c r="G565" s="312" t="n"/>
      <c r="H565" s="312" t="n"/>
      <c r="I565" s="313" t="n"/>
      <c r="J565" s="170" t="n"/>
      <c r="K565" s="314" t="n"/>
      <c r="L565" s="170" t="n"/>
      <c r="M565" s="170" t="n"/>
      <c r="N565" s="170" t="n"/>
      <c r="O565" s="172" t="n"/>
      <c r="P565" s="172" t="n"/>
    </row>
    <row r="566">
      <c r="B566" s="170" t="n">
        <v>551</v>
      </c>
      <c r="C566" s="199" t="n"/>
      <c r="D566" s="312" t="n"/>
      <c r="E566" s="312" t="n"/>
      <c r="F566" s="312" t="n"/>
      <c r="G566" s="312" t="n"/>
      <c r="H566" s="312" t="n"/>
      <c r="I566" s="313" t="n"/>
      <c r="J566" s="170" t="n"/>
      <c r="K566" s="314" t="n"/>
      <c r="L566" s="170" t="n"/>
      <c r="M566" s="170" t="n"/>
      <c r="N566" s="170" t="n"/>
      <c r="O566" s="172" t="n"/>
      <c r="P566" s="172" t="n"/>
    </row>
    <row r="567">
      <c r="B567" s="170" t="n">
        <v>552</v>
      </c>
      <c r="C567" s="199" t="n"/>
      <c r="D567" s="312" t="n"/>
      <c r="E567" s="312" t="n"/>
      <c r="F567" s="312" t="n"/>
      <c r="G567" s="312" t="n"/>
      <c r="H567" s="312" t="n"/>
      <c r="I567" s="313" t="n"/>
      <c r="J567" s="170" t="n"/>
      <c r="K567" s="314" t="n"/>
      <c r="L567" s="170" t="n"/>
      <c r="M567" s="170" t="n"/>
      <c r="N567" s="170" t="n"/>
      <c r="O567" s="172" t="n"/>
      <c r="P567" s="172" t="n"/>
    </row>
    <row r="568">
      <c r="B568" s="170" t="n">
        <v>553</v>
      </c>
      <c r="C568" s="199" t="n"/>
      <c r="D568" s="312" t="n"/>
      <c r="E568" s="312" t="n"/>
      <c r="F568" s="312" t="n"/>
      <c r="G568" s="312" t="n"/>
      <c r="H568" s="312" t="n"/>
      <c r="I568" s="313" t="n"/>
      <c r="J568" s="170" t="n"/>
      <c r="K568" s="314" t="n"/>
      <c r="L568" s="170" t="n"/>
      <c r="M568" s="170" t="n"/>
      <c r="N568" s="170" t="n"/>
      <c r="O568" s="172" t="n"/>
      <c r="P568" s="172" t="n"/>
    </row>
    <row r="569">
      <c r="B569" s="170" t="n">
        <v>554</v>
      </c>
      <c r="C569" s="199" t="n"/>
      <c r="D569" s="312" t="n"/>
      <c r="E569" s="312" t="n"/>
      <c r="F569" s="312" t="n"/>
      <c r="G569" s="312" t="n"/>
      <c r="H569" s="312" t="n"/>
      <c r="I569" s="313" t="n"/>
      <c r="J569" s="170" t="n"/>
      <c r="K569" s="314" t="n"/>
      <c r="L569" s="170" t="n"/>
      <c r="M569" s="170" t="n"/>
      <c r="N569" s="170" t="n"/>
      <c r="O569" s="172" t="n"/>
      <c r="P569" s="172" t="n"/>
    </row>
    <row r="570">
      <c r="B570" s="170" t="n">
        <v>555</v>
      </c>
      <c r="C570" s="199" t="n"/>
      <c r="D570" s="312" t="n"/>
      <c r="E570" s="312" t="n"/>
      <c r="F570" s="312" t="n"/>
      <c r="G570" s="312" t="n"/>
      <c r="H570" s="312" t="n"/>
      <c r="I570" s="313" t="n"/>
      <c r="J570" s="170" t="n"/>
      <c r="K570" s="314" t="n"/>
      <c r="L570" s="170" t="n"/>
      <c r="M570" s="170" t="n"/>
      <c r="N570" s="170" t="n"/>
      <c r="O570" s="172" t="n"/>
      <c r="P570" s="172" t="n"/>
    </row>
    <row r="571">
      <c r="B571" s="170" t="n">
        <v>556</v>
      </c>
      <c r="C571" s="199" t="n"/>
      <c r="D571" s="312" t="n"/>
      <c r="E571" s="312" t="n"/>
      <c r="F571" s="312" t="n"/>
      <c r="G571" s="312" t="n"/>
      <c r="H571" s="312" t="n"/>
      <c r="I571" s="313" t="n"/>
      <c r="J571" s="170" t="n"/>
      <c r="K571" s="314" t="n"/>
      <c r="L571" s="170" t="n"/>
      <c r="M571" s="170" t="n"/>
      <c r="N571" s="170" t="n"/>
      <c r="O571" s="172" t="n"/>
      <c r="P571" s="172" t="n"/>
    </row>
    <row r="572">
      <c r="B572" s="170" t="n">
        <v>557</v>
      </c>
      <c r="C572" s="199" t="n"/>
      <c r="D572" s="312" t="n"/>
      <c r="E572" s="312" t="n"/>
      <c r="F572" s="312" t="n"/>
      <c r="G572" s="312" t="n"/>
      <c r="H572" s="312" t="n"/>
      <c r="I572" s="313" t="n"/>
      <c r="J572" s="170" t="n"/>
      <c r="K572" s="314" t="n"/>
      <c r="L572" s="170" t="n"/>
      <c r="M572" s="170" t="n"/>
      <c r="N572" s="170" t="n"/>
      <c r="O572" s="172" t="n"/>
      <c r="P572" s="172" t="n"/>
    </row>
    <row r="573">
      <c r="B573" s="170" t="n">
        <v>558</v>
      </c>
      <c r="C573" s="199" t="n"/>
      <c r="D573" s="312" t="n"/>
      <c r="E573" s="312" t="n"/>
      <c r="F573" s="312" t="n"/>
      <c r="G573" s="312" t="n"/>
      <c r="H573" s="312" t="n"/>
      <c r="I573" s="313" t="n"/>
      <c r="J573" s="170" t="n"/>
      <c r="K573" s="314" t="n"/>
      <c r="L573" s="170" t="n"/>
      <c r="M573" s="170" t="n"/>
      <c r="N573" s="170" t="n"/>
      <c r="O573" s="172" t="n"/>
      <c r="P573" s="172" t="n"/>
    </row>
    <row r="574">
      <c r="B574" s="170" t="n">
        <v>559</v>
      </c>
      <c r="C574" s="199" t="n"/>
      <c r="D574" s="312" t="n"/>
      <c r="E574" s="312" t="n"/>
      <c r="F574" s="312" t="n"/>
      <c r="G574" s="312" t="n"/>
      <c r="H574" s="312" t="n"/>
      <c r="I574" s="313" t="n"/>
      <c r="J574" s="170" t="n"/>
      <c r="K574" s="314" t="n"/>
      <c r="L574" s="170" t="n"/>
      <c r="M574" s="170" t="n"/>
      <c r="N574" s="170" t="n"/>
      <c r="O574" s="172" t="n"/>
      <c r="P574" s="172" t="n"/>
    </row>
    <row r="575">
      <c r="B575" s="170" t="n">
        <v>560</v>
      </c>
      <c r="C575" s="199" t="n"/>
      <c r="D575" s="312" t="n"/>
      <c r="E575" s="312" t="n"/>
      <c r="F575" s="312" t="n"/>
      <c r="G575" s="312" t="n"/>
      <c r="H575" s="312" t="n"/>
      <c r="I575" s="313" t="n"/>
      <c r="J575" s="170" t="n"/>
      <c r="K575" s="314" t="n"/>
      <c r="L575" s="170" t="n"/>
      <c r="M575" s="170" t="n"/>
      <c r="N575" s="170" t="n"/>
      <c r="O575" s="172" t="n"/>
      <c r="P575" s="172" t="n"/>
    </row>
    <row r="576">
      <c r="B576" s="170" t="n">
        <v>561</v>
      </c>
      <c r="C576" s="199" t="n"/>
      <c r="D576" s="312" t="n"/>
      <c r="E576" s="312" t="n"/>
      <c r="F576" s="312" t="n"/>
      <c r="G576" s="312" t="n"/>
      <c r="H576" s="312" t="n"/>
      <c r="I576" s="313" t="n"/>
      <c r="J576" s="170" t="n"/>
      <c r="K576" s="314" t="n"/>
      <c r="L576" s="170" t="n"/>
      <c r="M576" s="170" t="n"/>
      <c r="N576" s="170" t="n"/>
      <c r="O576" s="172" t="n"/>
      <c r="P576" s="172" t="n"/>
    </row>
    <row r="577">
      <c r="B577" s="170" t="n">
        <v>562</v>
      </c>
      <c r="C577" s="199" t="n"/>
      <c r="D577" s="312" t="n"/>
      <c r="E577" s="312" t="n"/>
      <c r="F577" s="312" t="n"/>
      <c r="G577" s="312" t="n"/>
      <c r="H577" s="312" t="n"/>
      <c r="I577" s="313" t="n"/>
      <c r="J577" s="170" t="n"/>
      <c r="K577" s="314" t="n"/>
      <c r="L577" s="170" t="n"/>
      <c r="M577" s="170" t="n"/>
      <c r="N577" s="170" t="n"/>
      <c r="O577" s="172" t="n"/>
      <c r="P577" s="172" t="n"/>
    </row>
    <row r="578">
      <c r="B578" s="170" t="n">
        <v>563</v>
      </c>
      <c r="C578" s="199" t="n"/>
      <c r="D578" s="312" t="n"/>
      <c r="E578" s="312" t="n"/>
      <c r="F578" s="312" t="n"/>
      <c r="G578" s="312" t="n"/>
      <c r="H578" s="312" t="n"/>
      <c r="I578" s="313" t="n"/>
      <c r="J578" s="170" t="n"/>
      <c r="K578" s="314" t="n"/>
      <c r="L578" s="170" t="n"/>
      <c r="M578" s="170" t="n"/>
      <c r="N578" s="170" t="n"/>
      <c r="O578" s="172" t="n"/>
      <c r="P578" s="172" t="n"/>
    </row>
    <row r="579">
      <c r="B579" s="170" t="n">
        <v>564</v>
      </c>
      <c r="C579" s="199" t="n"/>
      <c r="D579" s="312" t="n"/>
      <c r="E579" s="312" t="n"/>
      <c r="F579" s="312" t="n"/>
      <c r="G579" s="312" t="n"/>
      <c r="H579" s="312" t="n"/>
      <c r="I579" s="313" t="n"/>
      <c r="J579" s="170" t="n"/>
      <c r="K579" s="314" t="n"/>
      <c r="L579" s="170" t="n"/>
      <c r="M579" s="170" t="n"/>
      <c r="N579" s="170" t="n"/>
      <c r="O579" s="172" t="n"/>
      <c r="P579" s="172" t="n"/>
    </row>
    <row r="580">
      <c r="B580" s="170" t="n">
        <v>565</v>
      </c>
      <c r="C580" s="199" t="n"/>
      <c r="D580" s="312" t="n"/>
      <c r="E580" s="312" t="n"/>
      <c r="F580" s="312" t="n"/>
      <c r="G580" s="312" t="n"/>
      <c r="H580" s="312" t="n"/>
      <c r="I580" s="313" t="n"/>
      <c r="J580" s="170" t="n"/>
      <c r="K580" s="314" t="n"/>
      <c r="L580" s="170" t="n"/>
      <c r="M580" s="170" t="n"/>
      <c r="N580" s="170" t="n"/>
      <c r="O580" s="172" t="n"/>
      <c r="P580" s="172" t="n"/>
    </row>
    <row r="581">
      <c r="B581" s="170" t="n">
        <v>566</v>
      </c>
      <c r="C581" s="199" t="n"/>
      <c r="D581" s="312" t="n"/>
      <c r="E581" s="312" t="n"/>
      <c r="F581" s="312" t="n"/>
      <c r="G581" s="312" t="n"/>
      <c r="H581" s="312" t="n"/>
      <c r="I581" s="313" t="n"/>
      <c r="J581" s="170" t="n"/>
      <c r="K581" s="314" t="n"/>
      <c r="L581" s="170" t="n"/>
      <c r="M581" s="170" t="n"/>
      <c r="N581" s="170" t="n"/>
      <c r="O581" s="172" t="n"/>
      <c r="P581" s="172" t="n"/>
    </row>
    <row r="582">
      <c r="B582" s="170" t="n">
        <v>567</v>
      </c>
      <c r="C582" s="199" t="n"/>
      <c r="D582" s="312" t="n"/>
      <c r="E582" s="312" t="n"/>
      <c r="F582" s="312" t="n"/>
      <c r="G582" s="312" t="n"/>
      <c r="H582" s="312" t="n"/>
      <c r="I582" s="313" t="n"/>
      <c r="J582" s="170" t="n"/>
      <c r="K582" s="314" t="n"/>
      <c r="L582" s="170" t="n"/>
      <c r="M582" s="170" t="n"/>
      <c r="N582" s="170" t="n"/>
      <c r="O582" s="172" t="n"/>
      <c r="P582" s="172" t="n"/>
    </row>
    <row r="583">
      <c r="B583" s="170" t="n">
        <v>568</v>
      </c>
      <c r="C583" s="199" t="n"/>
      <c r="D583" s="312" t="n"/>
      <c r="E583" s="312" t="n"/>
      <c r="F583" s="312" t="n"/>
      <c r="G583" s="312" t="n"/>
      <c r="H583" s="312" t="n"/>
      <c r="I583" s="313" t="n"/>
      <c r="J583" s="170" t="n"/>
      <c r="K583" s="314" t="n"/>
      <c r="L583" s="170" t="n"/>
      <c r="M583" s="170" t="n"/>
      <c r="N583" s="170" t="n"/>
      <c r="O583" s="172" t="n"/>
      <c r="P583" s="172" t="n"/>
    </row>
    <row r="584">
      <c r="B584" s="170" t="n">
        <v>569</v>
      </c>
      <c r="C584" s="199" t="n"/>
      <c r="D584" s="312" t="n"/>
      <c r="E584" s="312" t="n"/>
      <c r="F584" s="312" t="n"/>
      <c r="G584" s="312" t="n"/>
      <c r="H584" s="312" t="n"/>
      <c r="I584" s="313" t="n"/>
      <c r="J584" s="170" t="n"/>
      <c r="K584" s="314" t="n"/>
      <c r="L584" s="170" t="n"/>
      <c r="M584" s="170" t="n"/>
      <c r="N584" s="170" t="n"/>
      <c r="O584" s="172" t="n"/>
      <c r="P584" s="172" t="n"/>
    </row>
    <row r="585">
      <c r="B585" s="170" t="n">
        <v>570</v>
      </c>
      <c r="C585" s="199" t="n"/>
      <c r="D585" s="312" t="n"/>
      <c r="E585" s="312" t="n"/>
      <c r="F585" s="312" t="n"/>
      <c r="G585" s="312" t="n"/>
      <c r="H585" s="312" t="n"/>
      <c r="I585" s="313" t="n"/>
      <c r="J585" s="170" t="n"/>
      <c r="K585" s="314" t="n"/>
      <c r="L585" s="170" t="n"/>
      <c r="M585" s="170" t="n"/>
      <c r="N585" s="170" t="n"/>
      <c r="O585" s="172" t="n"/>
      <c r="P585" s="172" t="n"/>
    </row>
    <row r="586">
      <c r="B586" s="170" t="n">
        <v>571</v>
      </c>
      <c r="C586" s="199" t="n"/>
      <c r="D586" s="312" t="n"/>
      <c r="E586" s="312" t="n"/>
      <c r="F586" s="312" t="n"/>
      <c r="G586" s="312" t="n"/>
      <c r="H586" s="312" t="n"/>
      <c r="I586" s="313" t="n"/>
      <c r="J586" s="170" t="n"/>
      <c r="K586" s="314" t="n"/>
      <c r="L586" s="170" t="n"/>
      <c r="M586" s="170" t="n"/>
      <c r="N586" s="170" t="n"/>
      <c r="O586" s="172" t="n"/>
      <c r="P586" s="172" t="n"/>
    </row>
    <row r="587">
      <c r="B587" s="170" t="n">
        <v>572</v>
      </c>
      <c r="C587" s="199" t="n"/>
      <c r="D587" s="312" t="n"/>
      <c r="E587" s="312" t="n"/>
      <c r="F587" s="312" t="n"/>
      <c r="G587" s="312" t="n"/>
      <c r="H587" s="312" t="n"/>
      <c r="I587" s="313" t="n"/>
      <c r="J587" s="170" t="n"/>
      <c r="K587" s="314" t="n"/>
      <c r="L587" s="170" t="n"/>
      <c r="M587" s="170" t="n"/>
      <c r="N587" s="170" t="n"/>
      <c r="O587" s="172" t="n"/>
      <c r="P587" s="172" t="n"/>
    </row>
    <row r="588">
      <c r="B588" s="170" t="n">
        <v>573</v>
      </c>
      <c r="C588" s="199" t="n"/>
      <c r="D588" s="312" t="n"/>
      <c r="E588" s="312" t="n"/>
      <c r="F588" s="312" t="n"/>
      <c r="G588" s="312" t="n"/>
      <c r="H588" s="312" t="n"/>
      <c r="I588" s="313" t="n"/>
      <c r="J588" s="170" t="n"/>
      <c r="K588" s="314" t="n"/>
      <c r="L588" s="170" t="n"/>
      <c r="M588" s="170" t="n"/>
      <c r="N588" s="170" t="n"/>
      <c r="O588" s="172" t="n"/>
      <c r="P588" s="172" t="n"/>
    </row>
    <row r="589">
      <c r="B589" s="170" t="n">
        <v>574</v>
      </c>
      <c r="C589" s="199" t="n"/>
      <c r="D589" s="312" t="n"/>
      <c r="E589" s="312" t="n"/>
      <c r="F589" s="312" t="n"/>
      <c r="G589" s="312" t="n"/>
      <c r="H589" s="312" t="n"/>
      <c r="I589" s="313" t="n"/>
      <c r="J589" s="170" t="n"/>
      <c r="K589" s="314" t="n"/>
      <c r="L589" s="170" t="n"/>
      <c r="M589" s="170" t="n"/>
      <c r="N589" s="170" t="n"/>
      <c r="O589" s="172" t="n"/>
      <c r="P589" s="172" t="n"/>
    </row>
    <row r="590">
      <c r="B590" s="170" t="n">
        <v>575</v>
      </c>
      <c r="C590" s="199" t="n"/>
      <c r="D590" s="312" t="n"/>
      <c r="E590" s="312" t="n"/>
      <c r="F590" s="312" t="n"/>
      <c r="G590" s="312" t="n"/>
      <c r="H590" s="312" t="n"/>
      <c r="I590" s="313" t="n"/>
      <c r="J590" s="170" t="n"/>
      <c r="K590" s="314" t="n"/>
      <c r="L590" s="170" t="n"/>
      <c r="M590" s="170" t="n"/>
      <c r="N590" s="170" t="n"/>
      <c r="O590" s="172" t="n"/>
      <c r="P590" s="172" t="n"/>
    </row>
    <row r="591">
      <c r="B591" s="170" t="n">
        <v>576</v>
      </c>
      <c r="C591" s="199" t="n"/>
      <c r="D591" s="312" t="n"/>
      <c r="E591" s="312" t="n"/>
      <c r="F591" s="312" t="n"/>
      <c r="G591" s="312" t="n"/>
      <c r="H591" s="312" t="n"/>
      <c r="I591" s="313" t="n"/>
      <c r="J591" s="170" t="n"/>
      <c r="K591" s="314" t="n"/>
      <c r="L591" s="170" t="n"/>
      <c r="M591" s="170" t="n"/>
      <c r="N591" s="170" t="n"/>
      <c r="O591" s="172" t="n"/>
      <c r="P591" s="172" t="n"/>
    </row>
    <row r="592">
      <c r="B592" s="170" t="n">
        <v>577</v>
      </c>
      <c r="C592" s="199" t="n"/>
      <c r="D592" s="312" t="n"/>
      <c r="E592" s="312" t="n"/>
      <c r="F592" s="312" t="n"/>
      <c r="G592" s="312" t="n"/>
      <c r="H592" s="312" t="n"/>
      <c r="I592" s="313" t="n"/>
      <c r="J592" s="170" t="n"/>
      <c r="K592" s="314" t="n"/>
      <c r="L592" s="170" t="n"/>
      <c r="M592" s="170" t="n"/>
      <c r="N592" s="170" t="n"/>
      <c r="O592" s="172" t="n"/>
      <c r="P592" s="172" t="n"/>
    </row>
    <row r="593">
      <c r="B593" s="170" t="n">
        <v>578</v>
      </c>
      <c r="C593" s="199" t="n"/>
      <c r="D593" s="312" t="n"/>
      <c r="E593" s="312" t="n"/>
      <c r="F593" s="312" t="n"/>
      <c r="G593" s="312" t="n"/>
      <c r="H593" s="312" t="n"/>
      <c r="I593" s="313" t="n"/>
      <c r="J593" s="170" t="n"/>
      <c r="K593" s="314" t="n"/>
      <c r="L593" s="170" t="n"/>
      <c r="M593" s="170" t="n"/>
      <c r="N593" s="170" t="n"/>
      <c r="O593" s="172" t="n"/>
      <c r="P593" s="172" t="n"/>
    </row>
    <row r="594">
      <c r="B594" s="170" t="n">
        <v>579</v>
      </c>
      <c r="C594" s="199" t="n"/>
      <c r="D594" s="312" t="n"/>
      <c r="E594" s="312" t="n"/>
      <c r="F594" s="312" t="n"/>
      <c r="G594" s="312" t="n"/>
      <c r="H594" s="312" t="n"/>
      <c r="I594" s="313" t="n"/>
      <c r="J594" s="170" t="n"/>
      <c r="K594" s="314" t="n"/>
      <c r="L594" s="170" t="n"/>
      <c r="M594" s="170" t="n"/>
      <c r="N594" s="170" t="n"/>
      <c r="O594" s="172" t="n"/>
      <c r="P594" s="172" t="n"/>
    </row>
    <row r="595">
      <c r="B595" s="170" t="n">
        <v>580</v>
      </c>
      <c r="C595" s="199" t="n"/>
      <c r="D595" s="312" t="n"/>
      <c r="E595" s="312" t="n"/>
      <c r="F595" s="312" t="n"/>
      <c r="G595" s="312" t="n"/>
      <c r="H595" s="312" t="n"/>
      <c r="I595" s="313" t="n"/>
      <c r="J595" s="170" t="n"/>
      <c r="K595" s="314" t="n"/>
      <c r="L595" s="170" t="n"/>
      <c r="M595" s="170" t="n"/>
      <c r="N595" s="170" t="n"/>
      <c r="O595" s="172" t="n"/>
      <c r="P595" s="172" t="n"/>
    </row>
    <row r="596">
      <c r="B596" s="170" t="n">
        <v>581</v>
      </c>
      <c r="C596" s="199" t="n"/>
      <c r="D596" s="312" t="n"/>
      <c r="E596" s="312" t="n"/>
      <c r="F596" s="312" t="n"/>
      <c r="G596" s="312" t="n"/>
      <c r="H596" s="312" t="n"/>
      <c r="I596" s="313" t="n"/>
      <c r="J596" s="170" t="n"/>
      <c r="K596" s="314" t="n"/>
      <c r="L596" s="170" t="n"/>
      <c r="M596" s="170" t="n"/>
      <c r="N596" s="170" t="n"/>
      <c r="O596" s="172" t="n"/>
      <c r="P596" s="172" t="n"/>
    </row>
    <row r="597">
      <c r="B597" s="170" t="n">
        <v>582</v>
      </c>
      <c r="C597" s="199" t="n"/>
      <c r="D597" s="312" t="n"/>
      <c r="E597" s="312" t="n"/>
      <c r="F597" s="312" t="n"/>
      <c r="G597" s="312" t="n"/>
      <c r="H597" s="312" t="n"/>
      <c r="I597" s="313" t="n"/>
      <c r="J597" s="170" t="n"/>
      <c r="K597" s="314" t="n"/>
      <c r="L597" s="170" t="n"/>
      <c r="M597" s="170" t="n"/>
      <c r="N597" s="170" t="n"/>
      <c r="O597" s="172" t="n"/>
      <c r="P597" s="172" t="n"/>
    </row>
    <row r="598">
      <c r="B598" s="170" t="n">
        <v>583</v>
      </c>
      <c r="C598" s="199" t="n"/>
      <c r="D598" s="312" t="n"/>
      <c r="E598" s="312" t="n"/>
      <c r="F598" s="312" t="n"/>
      <c r="G598" s="312" t="n"/>
      <c r="H598" s="312" t="n"/>
      <c r="I598" s="313" t="n"/>
      <c r="J598" s="170" t="n"/>
      <c r="K598" s="314" t="n"/>
      <c r="L598" s="170" t="n"/>
      <c r="M598" s="170" t="n"/>
      <c r="N598" s="170" t="n"/>
      <c r="O598" s="172" t="n"/>
      <c r="P598" s="172" t="n"/>
    </row>
    <row r="599">
      <c r="B599" s="170" t="n">
        <v>584</v>
      </c>
      <c r="C599" s="199" t="n"/>
      <c r="D599" s="312" t="n"/>
      <c r="E599" s="312" t="n"/>
      <c r="F599" s="312" t="n"/>
      <c r="G599" s="312" t="n"/>
      <c r="H599" s="312" t="n"/>
      <c r="I599" s="313" t="n"/>
      <c r="J599" s="170" t="n"/>
      <c r="K599" s="314" t="n"/>
      <c r="L599" s="170" t="n"/>
      <c r="M599" s="170" t="n"/>
      <c r="N599" s="170" t="n"/>
      <c r="O599" s="172" t="n"/>
      <c r="P599" s="172" t="n"/>
    </row>
    <row r="600">
      <c r="B600" s="170" t="n">
        <v>585</v>
      </c>
      <c r="C600" s="199" t="n"/>
      <c r="D600" s="312" t="n"/>
      <c r="E600" s="312" t="n"/>
      <c r="F600" s="312" t="n"/>
      <c r="G600" s="312" t="n"/>
      <c r="H600" s="312" t="n"/>
      <c r="I600" s="313" t="n"/>
      <c r="J600" s="170" t="n"/>
      <c r="K600" s="314" t="n"/>
      <c r="L600" s="170" t="n"/>
      <c r="M600" s="170" t="n"/>
      <c r="N600" s="170" t="n"/>
      <c r="O600" s="172" t="n"/>
      <c r="P600" s="172" t="n"/>
    </row>
    <row r="601">
      <c r="B601" s="170" t="n">
        <v>586</v>
      </c>
      <c r="C601" s="199" t="n"/>
      <c r="D601" s="312" t="n"/>
      <c r="E601" s="312" t="n"/>
      <c r="F601" s="312" t="n"/>
      <c r="G601" s="312" t="n"/>
      <c r="H601" s="312" t="n"/>
      <c r="I601" s="313" t="n"/>
      <c r="J601" s="170" t="n"/>
      <c r="K601" s="314" t="n"/>
      <c r="L601" s="170" t="n"/>
      <c r="M601" s="170" t="n"/>
      <c r="N601" s="170" t="n"/>
      <c r="O601" s="172" t="n"/>
      <c r="P601" s="172" t="n"/>
    </row>
    <row r="602">
      <c r="B602" s="170" t="n">
        <v>587</v>
      </c>
      <c r="C602" s="199" t="n"/>
      <c r="D602" s="312" t="n"/>
      <c r="E602" s="312" t="n"/>
      <c r="F602" s="312" t="n"/>
      <c r="G602" s="312" t="n"/>
      <c r="H602" s="312" t="n"/>
      <c r="I602" s="313" t="n"/>
      <c r="J602" s="170" t="n"/>
      <c r="K602" s="314" t="n"/>
      <c r="L602" s="170" t="n"/>
      <c r="M602" s="170" t="n"/>
      <c r="N602" s="170" t="n"/>
      <c r="O602" s="172" t="n"/>
      <c r="P602" s="172" t="n"/>
    </row>
    <row r="603">
      <c r="B603" s="170" t="n">
        <v>588</v>
      </c>
      <c r="C603" s="199" t="n"/>
      <c r="D603" s="312" t="n"/>
      <c r="E603" s="312" t="n"/>
      <c r="F603" s="312" t="n"/>
      <c r="G603" s="312" t="n"/>
      <c r="H603" s="312" t="n"/>
      <c r="I603" s="313" t="n"/>
      <c r="J603" s="170" t="n"/>
      <c r="K603" s="314" t="n"/>
      <c r="L603" s="170" t="n"/>
      <c r="M603" s="170" t="n"/>
      <c r="N603" s="170" t="n"/>
      <c r="O603" s="172" t="n"/>
      <c r="P603" s="172" t="n"/>
    </row>
    <row r="604">
      <c r="B604" s="170" t="n">
        <v>589</v>
      </c>
      <c r="C604" s="199" t="n"/>
      <c r="D604" s="312" t="n"/>
      <c r="E604" s="312" t="n"/>
      <c r="F604" s="312" t="n"/>
      <c r="G604" s="312" t="n"/>
      <c r="H604" s="312" t="n"/>
      <c r="I604" s="313" t="n"/>
      <c r="J604" s="170" t="n"/>
      <c r="K604" s="314" t="n"/>
      <c r="L604" s="170" t="n"/>
      <c r="M604" s="170" t="n"/>
      <c r="N604" s="170" t="n"/>
      <c r="O604" s="172" t="n"/>
      <c r="P604" s="172" t="n"/>
    </row>
    <row r="605">
      <c r="B605" s="170" t="n">
        <v>590</v>
      </c>
      <c r="C605" s="199" t="n"/>
      <c r="D605" s="312" t="n"/>
      <c r="E605" s="312" t="n"/>
      <c r="F605" s="312" t="n"/>
      <c r="G605" s="312" t="n"/>
      <c r="H605" s="312" t="n"/>
      <c r="I605" s="313" t="n"/>
      <c r="J605" s="170" t="n"/>
      <c r="K605" s="314" t="n"/>
      <c r="L605" s="170" t="n"/>
      <c r="M605" s="170" t="n"/>
      <c r="N605" s="170" t="n"/>
      <c r="O605" s="172" t="n"/>
      <c r="P605" s="172" t="n"/>
    </row>
    <row r="606">
      <c r="B606" s="170" t="n">
        <v>591</v>
      </c>
      <c r="C606" s="199" t="n"/>
      <c r="D606" s="312" t="n"/>
      <c r="E606" s="312" t="n"/>
      <c r="F606" s="312" t="n"/>
      <c r="G606" s="312" t="n"/>
      <c r="H606" s="312" t="n"/>
      <c r="I606" s="313" t="n"/>
      <c r="J606" s="170" t="n"/>
      <c r="K606" s="314" t="n"/>
      <c r="L606" s="170" t="n"/>
      <c r="M606" s="170" t="n"/>
      <c r="N606" s="170" t="n"/>
      <c r="O606" s="172" t="n"/>
      <c r="P606" s="172" t="n"/>
    </row>
    <row r="607">
      <c r="B607" s="170" t="n">
        <v>592</v>
      </c>
      <c r="C607" s="199" t="n"/>
      <c r="D607" s="312" t="n"/>
      <c r="E607" s="312" t="n"/>
      <c r="F607" s="312" t="n"/>
      <c r="G607" s="312" t="n"/>
      <c r="H607" s="312" t="n"/>
      <c r="I607" s="313" t="n"/>
      <c r="J607" s="170" t="n"/>
      <c r="K607" s="314" t="n"/>
      <c r="L607" s="170" t="n"/>
      <c r="M607" s="170" t="n"/>
      <c r="N607" s="170" t="n"/>
      <c r="O607" s="172" t="n"/>
      <c r="P607" s="172" t="n"/>
    </row>
    <row r="608">
      <c r="B608" s="170" t="n">
        <v>593</v>
      </c>
      <c r="C608" s="199" t="n"/>
      <c r="D608" s="312" t="n"/>
      <c r="E608" s="312" t="n"/>
      <c r="F608" s="312" t="n"/>
      <c r="G608" s="312" t="n"/>
      <c r="H608" s="312" t="n"/>
      <c r="I608" s="313" t="n"/>
      <c r="J608" s="170" t="n"/>
      <c r="K608" s="314" t="n"/>
      <c r="L608" s="170" t="n"/>
      <c r="M608" s="170" t="n"/>
      <c r="N608" s="170" t="n"/>
      <c r="O608" s="172" t="n"/>
      <c r="P608" s="172" t="n"/>
    </row>
    <row r="609">
      <c r="B609" s="170" t="n">
        <v>594</v>
      </c>
      <c r="C609" s="199" t="n"/>
      <c r="D609" s="312" t="n"/>
      <c r="E609" s="312" t="n"/>
      <c r="F609" s="312" t="n"/>
      <c r="G609" s="312" t="n"/>
      <c r="H609" s="312" t="n"/>
      <c r="I609" s="313" t="n"/>
      <c r="J609" s="170" t="n"/>
      <c r="K609" s="314" t="n"/>
      <c r="L609" s="170" t="n"/>
      <c r="M609" s="170" t="n"/>
      <c r="N609" s="170" t="n"/>
      <c r="O609" s="172" t="n"/>
      <c r="P609" s="172" t="n"/>
    </row>
    <row r="610">
      <c r="B610" s="170" t="n">
        <v>595</v>
      </c>
      <c r="C610" s="199" t="n"/>
      <c r="D610" s="312" t="n"/>
      <c r="E610" s="312" t="n"/>
      <c r="F610" s="312" t="n"/>
      <c r="G610" s="312" t="n"/>
      <c r="H610" s="312" t="n"/>
      <c r="I610" s="313" t="n"/>
      <c r="J610" s="170" t="n"/>
      <c r="K610" s="314" t="n"/>
      <c r="L610" s="170" t="n"/>
      <c r="M610" s="170" t="n"/>
      <c r="N610" s="170" t="n"/>
      <c r="O610" s="172" t="n"/>
      <c r="P610" s="172" t="n"/>
    </row>
    <row r="611">
      <c r="B611" s="170" t="n">
        <v>596</v>
      </c>
      <c r="C611" s="199" t="n"/>
      <c r="D611" s="312" t="n"/>
      <c r="E611" s="312" t="n"/>
      <c r="F611" s="312" t="n"/>
      <c r="G611" s="312" t="n"/>
      <c r="H611" s="312" t="n"/>
      <c r="I611" s="313" t="n"/>
      <c r="J611" s="170" t="n"/>
      <c r="K611" s="314" t="n"/>
      <c r="L611" s="170" t="n"/>
      <c r="M611" s="170" t="n"/>
      <c r="N611" s="170" t="n"/>
      <c r="O611" s="172" t="n"/>
      <c r="P611" s="172" t="n"/>
    </row>
    <row r="612">
      <c r="B612" s="170" t="n">
        <v>597</v>
      </c>
      <c r="C612" s="199" t="n"/>
      <c r="D612" s="312" t="n"/>
      <c r="E612" s="312" t="n"/>
      <c r="F612" s="312" t="n"/>
      <c r="G612" s="312" t="n"/>
      <c r="H612" s="312" t="n"/>
      <c r="I612" s="313" t="n"/>
      <c r="J612" s="170" t="n"/>
      <c r="K612" s="314" t="n"/>
      <c r="L612" s="170" t="n"/>
      <c r="M612" s="170" t="n"/>
      <c r="N612" s="170" t="n"/>
      <c r="O612" s="172" t="n"/>
      <c r="P612" s="172" t="n"/>
    </row>
    <row r="613">
      <c r="B613" s="170" t="n">
        <v>598</v>
      </c>
      <c r="C613" s="199" t="n"/>
      <c r="D613" s="312" t="n"/>
      <c r="E613" s="312" t="n"/>
      <c r="F613" s="312" t="n"/>
      <c r="G613" s="312" t="n"/>
      <c r="H613" s="312" t="n"/>
      <c r="I613" s="313" t="n"/>
      <c r="J613" s="170" t="n"/>
      <c r="K613" s="314" t="n"/>
      <c r="L613" s="170" t="n"/>
      <c r="M613" s="170" t="n"/>
      <c r="N613" s="170" t="n"/>
      <c r="O613" s="172" t="n"/>
      <c r="P613" s="172" t="n"/>
    </row>
    <row r="614">
      <c r="B614" s="170" t="n">
        <v>599</v>
      </c>
      <c r="C614" s="199" t="n"/>
      <c r="D614" s="312" t="n"/>
      <c r="E614" s="312" t="n"/>
      <c r="F614" s="312" t="n"/>
      <c r="G614" s="312" t="n"/>
      <c r="H614" s="312" t="n"/>
      <c r="I614" s="313" t="n"/>
      <c r="J614" s="170" t="n"/>
      <c r="K614" s="314" t="n"/>
      <c r="L614" s="170" t="n"/>
      <c r="M614" s="170" t="n"/>
      <c r="N614" s="170" t="n"/>
      <c r="O614" s="172" t="n"/>
      <c r="P614" s="172" t="n"/>
    </row>
    <row r="615">
      <c r="B615" s="170" t="n">
        <v>600</v>
      </c>
      <c r="C615" s="199" t="n"/>
      <c r="D615" s="312" t="n"/>
      <c r="E615" s="312" t="n"/>
      <c r="F615" s="312" t="n"/>
      <c r="G615" s="312" t="n"/>
      <c r="H615" s="312" t="n"/>
      <c r="I615" s="313" t="n"/>
      <c r="J615" s="170" t="n"/>
      <c r="K615" s="314" t="n"/>
      <c r="L615" s="170" t="n"/>
      <c r="M615" s="170" t="n"/>
      <c r="N615" s="170" t="n"/>
      <c r="O615" s="172" t="n"/>
      <c r="P615" s="172" t="n"/>
    </row>
    <row r="616">
      <c r="B616" s="170" t="n">
        <v>601</v>
      </c>
      <c r="C616" s="199" t="n"/>
      <c r="D616" s="312" t="n"/>
      <c r="E616" s="312" t="n"/>
      <c r="F616" s="312" t="n"/>
      <c r="G616" s="312" t="n"/>
      <c r="H616" s="312" t="n"/>
      <c r="I616" s="313" t="n"/>
      <c r="J616" s="170" t="n"/>
      <c r="K616" s="314" t="n"/>
      <c r="L616" s="170" t="n"/>
      <c r="M616" s="170" t="n"/>
      <c r="N616" s="170" t="n"/>
      <c r="O616" s="172" t="n"/>
      <c r="P616" s="172" t="n"/>
    </row>
    <row r="617">
      <c r="B617" s="170" t="n">
        <v>602</v>
      </c>
      <c r="C617" s="199" t="n"/>
      <c r="D617" s="312" t="n"/>
      <c r="E617" s="312" t="n"/>
      <c r="F617" s="312" t="n"/>
      <c r="G617" s="312" t="n"/>
      <c r="H617" s="312" t="n"/>
      <c r="I617" s="313" t="n"/>
      <c r="J617" s="170" t="n"/>
      <c r="K617" s="314" t="n"/>
      <c r="L617" s="170" t="n"/>
      <c r="M617" s="170" t="n"/>
      <c r="N617" s="170" t="n"/>
      <c r="O617" s="172" t="n"/>
      <c r="P617" s="172" t="n"/>
    </row>
    <row r="618">
      <c r="B618" s="170" t="n">
        <v>603</v>
      </c>
      <c r="C618" s="199" t="n"/>
      <c r="D618" s="312" t="n"/>
      <c r="E618" s="312" t="n"/>
      <c r="F618" s="312" t="n"/>
      <c r="G618" s="312" t="n"/>
      <c r="H618" s="312" t="n"/>
      <c r="I618" s="313" t="n"/>
      <c r="J618" s="170" t="n"/>
      <c r="K618" s="314" t="n"/>
      <c r="L618" s="170" t="n"/>
      <c r="M618" s="170" t="n"/>
      <c r="N618" s="170" t="n"/>
      <c r="O618" s="172" t="n"/>
      <c r="P618" s="172" t="n"/>
    </row>
    <row r="619">
      <c r="B619" s="170" t="n">
        <v>604</v>
      </c>
      <c r="C619" s="199" t="n"/>
      <c r="D619" s="312" t="n"/>
      <c r="E619" s="312" t="n"/>
      <c r="F619" s="312" t="n"/>
      <c r="G619" s="312" t="n"/>
      <c r="H619" s="312" t="n"/>
      <c r="I619" s="313" t="n"/>
      <c r="J619" s="170" t="n"/>
      <c r="K619" s="314" t="n"/>
      <c r="L619" s="170" t="n"/>
      <c r="M619" s="170" t="n"/>
      <c r="N619" s="170" t="n"/>
      <c r="O619" s="172" t="n"/>
      <c r="P619" s="172" t="n"/>
    </row>
    <row r="620">
      <c r="B620" s="170" t="n">
        <v>605</v>
      </c>
      <c r="C620" s="199" t="n"/>
      <c r="D620" s="312" t="n"/>
      <c r="E620" s="312" t="n"/>
      <c r="F620" s="312" t="n"/>
      <c r="G620" s="312" t="n"/>
      <c r="H620" s="312" t="n"/>
      <c r="I620" s="313" t="n"/>
      <c r="J620" s="170" t="n"/>
      <c r="K620" s="314" t="n"/>
      <c r="L620" s="170" t="n"/>
      <c r="M620" s="170" t="n"/>
      <c r="N620" s="170" t="n"/>
      <c r="O620" s="172" t="n"/>
      <c r="P620" s="172" t="n"/>
    </row>
    <row r="621">
      <c r="B621" s="170" t="n">
        <v>606</v>
      </c>
      <c r="C621" s="199" t="n"/>
      <c r="D621" s="312" t="n"/>
      <c r="E621" s="312" t="n"/>
      <c r="F621" s="312" t="n"/>
      <c r="G621" s="312" t="n"/>
      <c r="H621" s="312" t="n"/>
      <c r="I621" s="313" t="n"/>
      <c r="J621" s="170" t="n"/>
      <c r="K621" s="314" t="n"/>
      <c r="L621" s="170" t="n"/>
      <c r="M621" s="170" t="n"/>
      <c r="N621" s="170" t="n"/>
      <c r="O621" s="172" t="n"/>
      <c r="P621" s="172" t="n"/>
    </row>
    <row r="622">
      <c r="B622" s="170" t="n">
        <v>607</v>
      </c>
      <c r="C622" s="199" t="n"/>
      <c r="D622" s="312" t="n"/>
      <c r="E622" s="312" t="n"/>
      <c r="F622" s="312" t="n"/>
      <c r="G622" s="312" t="n"/>
      <c r="H622" s="312" t="n"/>
      <c r="I622" s="313" t="n"/>
      <c r="J622" s="170" t="n"/>
      <c r="K622" s="314" t="n"/>
      <c r="L622" s="170" t="n"/>
      <c r="M622" s="170" t="n"/>
      <c r="N622" s="170" t="n"/>
      <c r="O622" s="172" t="n"/>
      <c r="P622" s="172" t="n"/>
    </row>
    <row r="623">
      <c r="B623" s="170" t="n">
        <v>608</v>
      </c>
      <c r="C623" s="199" t="n"/>
      <c r="D623" s="312" t="n"/>
      <c r="E623" s="312" t="n"/>
      <c r="F623" s="312" t="n"/>
      <c r="G623" s="312" t="n"/>
      <c r="H623" s="312" t="n"/>
      <c r="I623" s="313" t="n"/>
      <c r="J623" s="170" t="n"/>
      <c r="K623" s="314" t="n"/>
      <c r="L623" s="170" t="n"/>
      <c r="M623" s="170" t="n"/>
      <c r="N623" s="170" t="n"/>
      <c r="O623" s="172" t="n"/>
      <c r="P623" s="172" t="n"/>
    </row>
    <row r="624">
      <c r="B624" s="170" t="n">
        <v>609</v>
      </c>
      <c r="C624" s="199" t="n"/>
      <c r="D624" s="312" t="n"/>
      <c r="E624" s="312" t="n"/>
      <c r="F624" s="312" t="n"/>
      <c r="G624" s="312" t="n"/>
      <c r="H624" s="312" t="n"/>
      <c r="I624" s="313" t="n"/>
      <c r="J624" s="170" t="n"/>
      <c r="K624" s="314" t="n"/>
      <c r="L624" s="170" t="n"/>
      <c r="M624" s="170" t="n"/>
      <c r="N624" s="170" t="n"/>
      <c r="O624" s="172" t="n"/>
      <c r="P624" s="172" t="n"/>
    </row>
    <row r="625">
      <c r="B625" s="170" t="n">
        <v>610</v>
      </c>
      <c r="C625" s="199" t="n"/>
      <c r="D625" s="312" t="n"/>
      <c r="E625" s="312" t="n"/>
      <c r="F625" s="312" t="n"/>
      <c r="G625" s="312" t="n"/>
      <c r="H625" s="312" t="n"/>
      <c r="I625" s="313" t="n"/>
      <c r="J625" s="170" t="n"/>
      <c r="K625" s="314" t="n"/>
      <c r="L625" s="170" t="n"/>
      <c r="M625" s="170" t="n"/>
      <c r="N625" s="170" t="n"/>
      <c r="O625" s="172" t="n"/>
      <c r="P625" s="172" t="n"/>
    </row>
    <row r="626">
      <c r="B626" s="170" t="n">
        <v>611</v>
      </c>
      <c r="C626" s="199" t="n"/>
      <c r="D626" s="312" t="n"/>
      <c r="E626" s="312" t="n"/>
      <c r="F626" s="312" t="n"/>
      <c r="G626" s="312" t="n"/>
      <c r="H626" s="312" t="n"/>
      <c r="I626" s="313" t="n"/>
      <c r="J626" s="170" t="n"/>
      <c r="K626" s="314" t="n"/>
      <c r="L626" s="170" t="n"/>
      <c r="M626" s="170" t="n"/>
      <c r="N626" s="170" t="n"/>
      <c r="O626" s="172" t="n"/>
      <c r="P626" s="172" t="n"/>
    </row>
    <row r="627">
      <c r="B627" s="170" t="n">
        <v>612</v>
      </c>
      <c r="C627" s="199" t="n"/>
      <c r="D627" s="312" t="n"/>
      <c r="E627" s="312" t="n"/>
      <c r="F627" s="312" t="n"/>
      <c r="G627" s="312" t="n"/>
      <c r="H627" s="312" t="n"/>
      <c r="I627" s="313" t="n"/>
      <c r="J627" s="170" t="n"/>
      <c r="K627" s="314" t="n"/>
      <c r="L627" s="170" t="n"/>
      <c r="M627" s="170" t="n"/>
      <c r="N627" s="170" t="n"/>
      <c r="O627" s="172" t="n"/>
      <c r="P627" s="172" t="n"/>
    </row>
    <row r="628">
      <c r="B628" s="170" t="n">
        <v>613</v>
      </c>
      <c r="C628" s="199" t="n"/>
      <c r="D628" s="312" t="n"/>
      <c r="E628" s="312" t="n"/>
      <c r="F628" s="312" t="n"/>
      <c r="G628" s="312" t="n"/>
      <c r="H628" s="312" t="n"/>
      <c r="I628" s="313" t="n"/>
      <c r="J628" s="170" t="n"/>
      <c r="K628" s="314" t="n"/>
      <c r="L628" s="170" t="n"/>
      <c r="M628" s="170" t="n"/>
      <c r="N628" s="170" t="n"/>
      <c r="O628" s="172" t="n"/>
      <c r="P628" s="172" t="n"/>
    </row>
    <row r="629">
      <c r="B629" s="170" t="n">
        <v>614</v>
      </c>
      <c r="C629" s="199" t="n"/>
      <c r="D629" s="312" t="n"/>
      <c r="E629" s="312" t="n"/>
      <c r="F629" s="312" t="n"/>
      <c r="G629" s="312" t="n"/>
      <c r="H629" s="312" t="n"/>
      <c r="I629" s="313" t="n"/>
      <c r="J629" s="170" t="n"/>
      <c r="K629" s="314" t="n"/>
      <c r="L629" s="170" t="n"/>
      <c r="M629" s="170" t="n"/>
      <c r="N629" s="170" t="n"/>
      <c r="O629" s="172" t="n"/>
      <c r="P629" s="172" t="n"/>
    </row>
    <row r="630">
      <c r="B630" s="170" t="n">
        <v>615</v>
      </c>
      <c r="C630" s="199" t="n"/>
      <c r="D630" s="312" t="n"/>
      <c r="E630" s="312" t="n"/>
      <c r="F630" s="312" t="n"/>
      <c r="G630" s="312" t="n"/>
      <c r="H630" s="312" t="n"/>
      <c r="I630" s="313" t="n"/>
      <c r="J630" s="170" t="n"/>
      <c r="K630" s="314" t="n"/>
      <c r="L630" s="170" t="n"/>
      <c r="M630" s="170" t="n"/>
      <c r="N630" s="170" t="n"/>
      <c r="O630" s="172" t="n"/>
      <c r="P630" s="172" t="n"/>
    </row>
    <row r="631">
      <c r="B631" s="170" t="n">
        <v>616</v>
      </c>
      <c r="C631" s="199" t="n"/>
      <c r="D631" s="312" t="n"/>
      <c r="E631" s="312" t="n"/>
      <c r="F631" s="312" t="n"/>
      <c r="G631" s="312" t="n"/>
      <c r="H631" s="312" t="n"/>
      <c r="I631" s="313" t="n"/>
      <c r="J631" s="170" t="n"/>
      <c r="K631" s="314" t="n"/>
      <c r="L631" s="170" t="n"/>
      <c r="M631" s="170" t="n"/>
      <c r="N631" s="170" t="n"/>
      <c r="O631" s="172" t="n"/>
      <c r="P631" s="172" t="n"/>
    </row>
    <row r="632">
      <c r="B632" s="170" t="n">
        <v>617</v>
      </c>
      <c r="C632" s="199" t="n"/>
      <c r="D632" s="312" t="n"/>
      <c r="E632" s="312" t="n"/>
      <c r="F632" s="312" t="n"/>
      <c r="G632" s="312" t="n"/>
      <c r="H632" s="312" t="n"/>
      <c r="I632" s="313" t="n"/>
      <c r="J632" s="170" t="n"/>
      <c r="K632" s="314" t="n"/>
      <c r="L632" s="170" t="n"/>
      <c r="M632" s="170" t="n"/>
      <c r="N632" s="170" t="n"/>
      <c r="O632" s="172" t="n"/>
      <c r="P632" s="172" t="n"/>
    </row>
    <row r="633">
      <c r="B633" s="170" t="n">
        <v>618</v>
      </c>
      <c r="C633" s="199" t="n"/>
      <c r="D633" s="312" t="n"/>
      <c r="E633" s="312" t="n"/>
      <c r="F633" s="312" t="n"/>
      <c r="G633" s="312" t="n"/>
      <c r="H633" s="312" t="n"/>
      <c r="I633" s="313" t="n"/>
      <c r="J633" s="170" t="n"/>
      <c r="K633" s="314" t="n"/>
      <c r="L633" s="170" t="n"/>
      <c r="M633" s="170" t="n"/>
      <c r="N633" s="170" t="n"/>
      <c r="O633" s="172" t="n"/>
      <c r="P633" s="172" t="n"/>
    </row>
    <row r="634">
      <c r="B634" s="170" t="n">
        <v>619</v>
      </c>
      <c r="C634" s="199" t="n"/>
      <c r="D634" s="312" t="n"/>
      <c r="E634" s="312" t="n"/>
      <c r="F634" s="312" t="n"/>
      <c r="G634" s="312" t="n"/>
      <c r="H634" s="312" t="n"/>
      <c r="I634" s="313" t="n"/>
      <c r="J634" s="170" t="n"/>
      <c r="K634" s="314" t="n"/>
      <c r="L634" s="170" t="n"/>
      <c r="M634" s="170" t="n"/>
      <c r="N634" s="170" t="n"/>
      <c r="O634" s="172" t="n"/>
      <c r="P634" s="172" t="n"/>
    </row>
    <row r="635">
      <c r="B635" s="170" t="n">
        <v>620</v>
      </c>
      <c r="C635" s="199" t="n"/>
      <c r="D635" s="312" t="n"/>
      <c r="E635" s="312" t="n"/>
      <c r="F635" s="312" t="n"/>
      <c r="G635" s="312" t="n"/>
      <c r="H635" s="312" t="n"/>
      <c r="I635" s="313" t="n"/>
      <c r="J635" s="170" t="n"/>
      <c r="K635" s="314" t="n"/>
      <c r="L635" s="170" t="n"/>
      <c r="M635" s="170" t="n"/>
      <c r="N635" s="170" t="n"/>
      <c r="O635" s="172" t="n"/>
      <c r="P635" s="172" t="n"/>
    </row>
    <row r="636">
      <c r="B636" s="170" t="n">
        <v>621</v>
      </c>
      <c r="C636" s="199" t="n"/>
      <c r="D636" s="312" t="n"/>
      <c r="E636" s="312" t="n"/>
      <c r="F636" s="312" t="n"/>
      <c r="G636" s="312" t="n"/>
      <c r="H636" s="312" t="n"/>
      <c r="I636" s="313" t="n"/>
      <c r="J636" s="170" t="n"/>
      <c r="K636" s="314" t="n"/>
      <c r="L636" s="170" t="n"/>
      <c r="M636" s="170" t="n"/>
      <c r="N636" s="170" t="n"/>
      <c r="O636" s="172" t="n"/>
      <c r="P636" s="172" t="n"/>
    </row>
    <row r="637">
      <c r="B637" s="170" t="n">
        <v>622</v>
      </c>
      <c r="C637" s="199" t="n"/>
      <c r="D637" s="312" t="n"/>
      <c r="E637" s="312" t="n"/>
      <c r="F637" s="312" t="n"/>
      <c r="G637" s="312" t="n"/>
      <c r="H637" s="312" t="n"/>
      <c r="I637" s="313" t="n"/>
      <c r="J637" s="170" t="n"/>
      <c r="K637" s="314" t="n"/>
      <c r="L637" s="170" t="n"/>
      <c r="M637" s="170" t="n"/>
      <c r="N637" s="170" t="n"/>
      <c r="O637" s="172" t="n"/>
      <c r="P637" s="172" t="n"/>
    </row>
    <row r="638">
      <c r="B638" s="170" t="n">
        <v>623</v>
      </c>
      <c r="C638" s="199" t="n"/>
      <c r="D638" s="312" t="n"/>
      <c r="E638" s="312" t="n"/>
      <c r="F638" s="312" t="n"/>
      <c r="G638" s="312" t="n"/>
      <c r="H638" s="312" t="n"/>
      <c r="I638" s="313" t="n"/>
      <c r="J638" s="170" t="n"/>
      <c r="K638" s="314" t="n"/>
      <c r="L638" s="170" t="n"/>
      <c r="M638" s="170" t="n"/>
      <c r="N638" s="170" t="n"/>
      <c r="O638" s="172" t="n"/>
      <c r="P638" s="172" t="n"/>
    </row>
    <row r="639">
      <c r="B639" s="170" t="n">
        <v>624</v>
      </c>
      <c r="C639" s="199" t="n"/>
      <c r="D639" s="312" t="n"/>
      <c r="E639" s="312" t="n"/>
      <c r="F639" s="312" t="n"/>
      <c r="G639" s="312" t="n"/>
      <c r="H639" s="312" t="n"/>
      <c r="I639" s="313" t="n"/>
      <c r="J639" s="170" t="n"/>
      <c r="K639" s="314" t="n"/>
      <c r="L639" s="170" t="n"/>
      <c r="M639" s="170" t="n"/>
      <c r="N639" s="170" t="n"/>
      <c r="O639" s="172" t="n"/>
      <c r="P639" s="172" t="n"/>
    </row>
    <row r="640">
      <c r="B640" s="170" t="n">
        <v>625</v>
      </c>
      <c r="C640" s="199" t="n"/>
      <c r="D640" s="312" t="n"/>
      <c r="E640" s="312" t="n"/>
      <c r="F640" s="312" t="n"/>
      <c r="G640" s="312" t="n"/>
      <c r="H640" s="312" t="n"/>
      <c r="I640" s="313" t="n"/>
      <c r="J640" s="170" t="n"/>
      <c r="K640" s="314" t="n"/>
      <c r="L640" s="170" t="n"/>
      <c r="M640" s="170" t="n"/>
      <c r="N640" s="170" t="n"/>
      <c r="O640" s="172" t="n"/>
      <c r="P640" s="172" t="n"/>
    </row>
    <row r="641">
      <c r="B641" s="170" t="n">
        <v>626</v>
      </c>
      <c r="C641" s="199" t="n"/>
      <c r="D641" s="312" t="n"/>
      <c r="E641" s="312" t="n"/>
      <c r="F641" s="312" t="n"/>
      <c r="G641" s="312" t="n"/>
      <c r="H641" s="312" t="n"/>
      <c r="I641" s="313" t="n"/>
      <c r="J641" s="170" t="n"/>
      <c r="K641" s="314" t="n"/>
      <c r="L641" s="170" t="n"/>
      <c r="M641" s="170" t="n"/>
      <c r="N641" s="170" t="n"/>
      <c r="O641" s="172" t="n"/>
      <c r="P641" s="172" t="n"/>
    </row>
    <row r="642">
      <c r="B642" s="170" t="n">
        <v>627</v>
      </c>
      <c r="C642" s="199" t="n"/>
      <c r="D642" s="312" t="n"/>
      <c r="E642" s="312" t="n"/>
      <c r="F642" s="312" t="n"/>
      <c r="G642" s="312" t="n"/>
      <c r="H642" s="312" t="n"/>
      <c r="I642" s="313" t="n"/>
      <c r="J642" s="170" t="n"/>
      <c r="K642" s="314" t="n"/>
      <c r="L642" s="170" t="n"/>
      <c r="M642" s="170" t="n"/>
      <c r="N642" s="170" t="n"/>
      <c r="O642" s="172" t="n"/>
      <c r="P642" s="172" t="n"/>
    </row>
    <row r="643">
      <c r="B643" s="170" t="n">
        <v>628</v>
      </c>
      <c r="C643" s="199" t="n"/>
      <c r="D643" s="312" t="n"/>
      <c r="E643" s="312" t="n"/>
      <c r="F643" s="312" t="n"/>
      <c r="G643" s="312" t="n"/>
      <c r="H643" s="312" t="n"/>
      <c r="I643" s="313" t="n"/>
      <c r="J643" s="170" t="n"/>
      <c r="K643" s="314" t="n"/>
      <c r="L643" s="170" t="n"/>
      <c r="M643" s="170" t="n"/>
      <c r="N643" s="170" t="n"/>
      <c r="O643" s="172" t="n"/>
      <c r="P643" s="172" t="n"/>
    </row>
    <row r="644">
      <c r="B644" s="170" t="n">
        <v>629</v>
      </c>
      <c r="C644" s="199" t="n"/>
      <c r="D644" s="312" t="n"/>
      <c r="E644" s="312" t="n"/>
      <c r="F644" s="312" t="n"/>
      <c r="G644" s="312" t="n"/>
      <c r="H644" s="312" t="n"/>
      <c r="I644" s="313" t="n"/>
      <c r="J644" s="170" t="n"/>
      <c r="K644" s="314" t="n"/>
      <c r="L644" s="170" t="n"/>
      <c r="M644" s="170" t="n"/>
      <c r="N644" s="170" t="n"/>
      <c r="O644" s="172" t="n"/>
      <c r="P644" s="172" t="n"/>
    </row>
    <row r="645">
      <c r="B645" s="170" t="n">
        <v>630</v>
      </c>
      <c r="C645" s="199" t="n"/>
      <c r="D645" s="312" t="n"/>
      <c r="E645" s="312" t="n"/>
      <c r="F645" s="312" t="n"/>
      <c r="G645" s="312" t="n"/>
      <c r="H645" s="312" t="n"/>
      <c r="I645" s="313" t="n"/>
      <c r="J645" s="170" t="n"/>
      <c r="K645" s="314" t="n"/>
      <c r="L645" s="170" t="n"/>
      <c r="M645" s="170" t="n"/>
      <c r="N645" s="170" t="n"/>
      <c r="O645" s="172" t="n"/>
      <c r="P645" s="172" t="n"/>
    </row>
    <row r="646">
      <c r="B646" s="170" t="n">
        <v>631</v>
      </c>
      <c r="C646" s="199" t="n"/>
      <c r="D646" s="312" t="n"/>
      <c r="E646" s="312" t="n"/>
      <c r="F646" s="312" t="n"/>
      <c r="G646" s="312" t="n"/>
      <c r="H646" s="312" t="n"/>
      <c r="I646" s="313" t="n"/>
      <c r="J646" s="170" t="n"/>
      <c r="K646" s="314" t="n"/>
      <c r="L646" s="170" t="n"/>
      <c r="M646" s="170" t="n"/>
      <c r="N646" s="170" t="n"/>
      <c r="O646" s="172" t="n"/>
      <c r="P646" s="172" t="n"/>
    </row>
    <row r="647">
      <c r="B647" s="170" t="n">
        <v>632</v>
      </c>
      <c r="C647" s="199" t="n"/>
      <c r="D647" s="312" t="n"/>
      <c r="E647" s="312" t="n"/>
      <c r="F647" s="312" t="n"/>
      <c r="G647" s="312" t="n"/>
      <c r="H647" s="312" t="n"/>
      <c r="I647" s="313" t="n"/>
      <c r="J647" s="170" t="n"/>
      <c r="K647" s="314" t="n"/>
      <c r="L647" s="170" t="n"/>
      <c r="M647" s="170" t="n"/>
      <c r="N647" s="170" t="n"/>
      <c r="O647" s="172" t="n"/>
      <c r="P647" s="172" t="n"/>
    </row>
    <row r="648">
      <c r="B648" s="170" t="n">
        <v>633</v>
      </c>
      <c r="C648" s="199" t="n"/>
      <c r="D648" s="312" t="n"/>
      <c r="E648" s="312" t="n"/>
      <c r="F648" s="312" t="n"/>
      <c r="G648" s="312" t="n"/>
      <c r="H648" s="312" t="n"/>
      <c r="I648" s="313" t="n"/>
      <c r="J648" s="170" t="n"/>
      <c r="K648" s="314" t="n"/>
      <c r="L648" s="170" t="n"/>
      <c r="M648" s="170" t="n"/>
      <c r="N648" s="170" t="n"/>
      <c r="O648" s="172" t="n"/>
      <c r="P648" s="172" t="n"/>
    </row>
    <row r="649">
      <c r="B649" s="170" t="n">
        <v>634</v>
      </c>
      <c r="C649" s="199" t="n"/>
      <c r="D649" s="312" t="n"/>
      <c r="E649" s="312" t="n"/>
      <c r="F649" s="312" t="n"/>
      <c r="G649" s="312" t="n"/>
      <c r="H649" s="312" t="n"/>
      <c r="I649" s="313" t="n"/>
      <c r="J649" s="170" t="n"/>
      <c r="K649" s="314" t="n"/>
      <c r="L649" s="170" t="n"/>
      <c r="M649" s="170" t="n"/>
      <c r="N649" s="170" t="n"/>
      <c r="O649" s="172" t="n"/>
      <c r="P649" s="172" t="n"/>
    </row>
    <row r="650">
      <c r="B650" s="170" t="n">
        <v>635</v>
      </c>
      <c r="C650" s="199" t="n"/>
      <c r="D650" s="312" t="n"/>
      <c r="E650" s="312" t="n"/>
      <c r="F650" s="312" t="n"/>
      <c r="G650" s="312" t="n"/>
      <c r="H650" s="312" t="n"/>
      <c r="I650" s="313" t="n"/>
      <c r="J650" s="170" t="n"/>
      <c r="K650" s="314" t="n"/>
      <c r="L650" s="170" t="n"/>
      <c r="M650" s="170" t="n"/>
      <c r="N650" s="170" t="n"/>
      <c r="O650" s="172" t="n"/>
      <c r="P650" s="172" t="n"/>
    </row>
    <row r="651">
      <c r="B651" s="170" t="n">
        <v>636</v>
      </c>
      <c r="C651" s="199" t="n"/>
      <c r="D651" s="312" t="n"/>
      <c r="E651" s="312" t="n"/>
      <c r="F651" s="312" t="n"/>
      <c r="G651" s="312" t="n"/>
      <c r="H651" s="312" t="n"/>
      <c r="I651" s="313" t="n"/>
      <c r="J651" s="170" t="n"/>
      <c r="K651" s="314" t="n"/>
      <c r="L651" s="170" t="n"/>
      <c r="M651" s="170" t="n"/>
      <c r="N651" s="170" t="n"/>
      <c r="O651" s="172" t="n"/>
      <c r="P651" s="172" t="n"/>
    </row>
    <row r="652">
      <c r="B652" s="170" t="n">
        <v>637</v>
      </c>
      <c r="C652" s="199" t="n"/>
      <c r="D652" s="312" t="n"/>
      <c r="E652" s="312" t="n"/>
      <c r="F652" s="312" t="n"/>
      <c r="G652" s="312" t="n"/>
      <c r="H652" s="312" t="n"/>
      <c r="I652" s="313" t="n"/>
      <c r="J652" s="170" t="n"/>
      <c r="K652" s="314" t="n"/>
      <c r="L652" s="170" t="n"/>
      <c r="M652" s="170" t="n"/>
      <c r="N652" s="170" t="n"/>
      <c r="O652" s="172" t="n"/>
      <c r="P652" s="172" t="n"/>
    </row>
    <row r="653">
      <c r="B653" s="170" t="n">
        <v>638</v>
      </c>
      <c r="C653" s="199" t="n"/>
      <c r="D653" s="312" t="n"/>
      <c r="E653" s="312" t="n"/>
      <c r="F653" s="312" t="n"/>
      <c r="G653" s="312" t="n"/>
      <c r="H653" s="312" t="n"/>
      <c r="I653" s="313" t="n"/>
      <c r="J653" s="170" t="n"/>
      <c r="K653" s="314" t="n"/>
      <c r="L653" s="170" t="n"/>
      <c r="M653" s="170" t="n"/>
      <c r="N653" s="170" t="n"/>
      <c r="O653" s="172" t="n"/>
      <c r="P653" s="172" t="n"/>
    </row>
    <row r="654">
      <c r="B654" s="170" t="n">
        <v>639</v>
      </c>
      <c r="C654" s="199" t="n"/>
      <c r="D654" s="312" t="n"/>
      <c r="E654" s="312" t="n"/>
      <c r="F654" s="312" t="n"/>
      <c r="G654" s="312" t="n"/>
      <c r="H654" s="312" t="n"/>
      <c r="I654" s="313" t="n"/>
      <c r="J654" s="170" t="n"/>
      <c r="K654" s="314" t="n"/>
      <c r="L654" s="170" t="n"/>
      <c r="M654" s="170" t="n"/>
      <c r="N654" s="170" t="n"/>
      <c r="O654" s="172" t="n"/>
      <c r="P654" s="172" t="n"/>
    </row>
    <row r="655">
      <c r="B655" s="170" t="n">
        <v>640</v>
      </c>
      <c r="C655" s="199" t="n"/>
      <c r="D655" s="312" t="n"/>
      <c r="E655" s="312" t="n"/>
      <c r="F655" s="312" t="n"/>
      <c r="G655" s="312" t="n"/>
      <c r="H655" s="312" t="n"/>
      <c r="I655" s="313" t="n"/>
      <c r="J655" s="170" t="n"/>
      <c r="K655" s="314" t="n"/>
      <c r="L655" s="170" t="n"/>
      <c r="M655" s="170" t="n"/>
      <c r="N655" s="170" t="n"/>
      <c r="O655" s="172" t="n"/>
      <c r="P655" s="172" t="n"/>
    </row>
    <row r="656">
      <c r="B656" s="170" t="n">
        <v>641</v>
      </c>
      <c r="C656" s="199" t="n"/>
      <c r="D656" s="312" t="n"/>
      <c r="E656" s="312" t="n"/>
      <c r="F656" s="312" t="n"/>
      <c r="G656" s="312" t="n"/>
      <c r="H656" s="312" t="n"/>
      <c r="I656" s="313" t="n"/>
      <c r="J656" s="170" t="n"/>
      <c r="K656" s="314" t="n"/>
      <c r="L656" s="170" t="n"/>
      <c r="M656" s="170" t="n"/>
      <c r="N656" s="170" t="n"/>
      <c r="O656" s="172" t="n"/>
      <c r="P656" s="172" t="n"/>
    </row>
    <row r="657">
      <c r="B657" s="170" t="n">
        <v>642</v>
      </c>
      <c r="C657" s="199" t="n"/>
      <c r="D657" s="312" t="n"/>
      <c r="E657" s="312" t="n"/>
      <c r="F657" s="312" t="n"/>
      <c r="G657" s="312" t="n"/>
      <c r="H657" s="312" t="n"/>
      <c r="I657" s="313" t="n"/>
      <c r="J657" s="170" t="n"/>
      <c r="K657" s="314" t="n"/>
      <c r="L657" s="170" t="n"/>
      <c r="M657" s="170" t="n"/>
      <c r="N657" s="170" t="n"/>
      <c r="O657" s="172" t="n"/>
      <c r="P657" s="172" t="n"/>
    </row>
    <row r="658">
      <c r="B658" s="170" t="n">
        <v>643</v>
      </c>
      <c r="C658" s="199" t="n"/>
      <c r="D658" s="312" t="n"/>
      <c r="E658" s="312" t="n"/>
      <c r="F658" s="312" t="n"/>
      <c r="G658" s="312" t="n"/>
      <c r="H658" s="312" t="n"/>
      <c r="I658" s="313" t="n"/>
      <c r="J658" s="170" t="n"/>
      <c r="K658" s="314" t="n"/>
      <c r="L658" s="170" t="n"/>
      <c r="M658" s="170" t="n"/>
      <c r="N658" s="170" t="n"/>
      <c r="O658" s="172" t="n"/>
      <c r="P658" s="172" t="n"/>
    </row>
    <row r="659">
      <c r="B659" s="170" t="n">
        <v>644</v>
      </c>
      <c r="C659" s="199" t="n"/>
      <c r="D659" s="312" t="n"/>
      <c r="E659" s="312" t="n"/>
      <c r="F659" s="312" t="n"/>
      <c r="G659" s="312" t="n"/>
      <c r="H659" s="312" t="n"/>
      <c r="I659" s="313" t="n"/>
      <c r="J659" s="170" t="n"/>
      <c r="K659" s="314" t="n"/>
      <c r="L659" s="170" t="n"/>
      <c r="M659" s="170" t="n"/>
      <c r="N659" s="170" t="n"/>
      <c r="O659" s="172" t="n"/>
      <c r="P659" s="172" t="n"/>
    </row>
    <row r="660">
      <c r="B660" s="170" t="n">
        <v>645</v>
      </c>
      <c r="C660" s="199" t="n"/>
      <c r="D660" s="312" t="n"/>
      <c r="E660" s="312" t="n"/>
      <c r="F660" s="312" t="n"/>
      <c r="G660" s="312" t="n"/>
      <c r="H660" s="312" t="n"/>
      <c r="I660" s="313" t="n"/>
      <c r="J660" s="170" t="n"/>
      <c r="K660" s="314" t="n"/>
      <c r="L660" s="170" t="n"/>
      <c r="M660" s="170" t="n"/>
      <c r="N660" s="170" t="n"/>
      <c r="O660" s="172" t="n"/>
      <c r="P660" s="172" t="n"/>
    </row>
    <row r="661">
      <c r="B661" s="170" t="n">
        <v>646</v>
      </c>
      <c r="C661" s="199" t="n"/>
      <c r="D661" s="312" t="n"/>
      <c r="E661" s="312" t="n"/>
      <c r="F661" s="312" t="n"/>
      <c r="G661" s="312" t="n"/>
      <c r="H661" s="312" t="n"/>
      <c r="I661" s="313" t="n"/>
      <c r="J661" s="170" t="n"/>
      <c r="K661" s="314" t="n"/>
      <c r="L661" s="170" t="n"/>
      <c r="M661" s="170" t="n"/>
      <c r="N661" s="170" t="n"/>
      <c r="O661" s="172" t="n"/>
      <c r="P661" s="172" t="n"/>
    </row>
    <row r="662">
      <c r="B662" s="170" t="n">
        <v>647</v>
      </c>
      <c r="C662" s="199" t="n"/>
      <c r="D662" s="312" t="n"/>
      <c r="E662" s="312" t="n"/>
      <c r="F662" s="312" t="n"/>
      <c r="G662" s="312" t="n"/>
      <c r="H662" s="312" t="n"/>
      <c r="I662" s="313" t="n"/>
      <c r="J662" s="170" t="n"/>
      <c r="K662" s="314" t="n"/>
      <c r="L662" s="170" t="n"/>
      <c r="M662" s="170" t="n"/>
      <c r="N662" s="170" t="n"/>
      <c r="O662" s="172" t="n"/>
      <c r="P662" s="172" t="n"/>
    </row>
    <row r="663">
      <c r="B663" s="170" t="n">
        <v>648</v>
      </c>
      <c r="C663" s="199" t="n"/>
      <c r="D663" s="312" t="n"/>
      <c r="E663" s="312" t="n"/>
      <c r="F663" s="312" t="n"/>
      <c r="G663" s="312" t="n"/>
      <c r="H663" s="312" t="n"/>
      <c r="I663" s="313" t="n"/>
      <c r="J663" s="170" t="n"/>
      <c r="K663" s="314" t="n"/>
      <c r="L663" s="170" t="n"/>
      <c r="M663" s="170" t="n"/>
      <c r="N663" s="170" t="n"/>
      <c r="O663" s="172" t="n"/>
      <c r="P663" s="172" t="n"/>
    </row>
    <row r="664">
      <c r="B664" s="170" t="n">
        <v>649</v>
      </c>
      <c r="C664" s="199" t="n"/>
      <c r="D664" s="312" t="n"/>
      <c r="E664" s="312" t="n"/>
      <c r="F664" s="312" t="n"/>
      <c r="G664" s="312" t="n"/>
      <c r="H664" s="312" t="n"/>
      <c r="I664" s="313" t="n"/>
      <c r="J664" s="170" t="n"/>
      <c r="K664" s="314" t="n"/>
      <c r="L664" s="170" t="n"/>
      <c r="M664" s="170" t="n"/>
      <c r="N664" s="170" t="n"/>
      <c r="O664" s="172" t="n"/>
      <c r="P664" s="172" t="n"/>
    </row>
    <row r="665">
      <c r="B665" s="170" t="n">
        <v>650</v>
      </c>
      <c r="C665" s="199" t="n"/>
      <c r="D665" s="312" t="n"/>
      <c r="E665" s="312" t="n"/>
      <c r="F665" s="312" t="n"/>
      <c r="G665" s="312" t="n"/>
      <c r="H665" s="312" t="n"/>
      <c r="I665" s="313" t="n"/>
      <c r="J665" s="170" t="n"/>
      <c r="K665" s="314" t="n"/>
      <c r="L665" s="170" t="n"/>
      <c r="M665" s="170" t="n"/>
      <c r="N665" s="170" t="n"/>
      <c r="O665" s="172" t="n"/>
      <c r="P665" s="172" t="n"/>
    </row>
    <row r="666">
      <c r="B666" s="170" t="n">
        <v>651</v>
      </c>
      <c r="C666" s="199" t="n"/>
      <c r="D666" s="312" t="n"/>
      <c r="E666" s="312" t="n"/>
      <c r="F666" s="312" t="n"/>
      <c r="G666" s="312" t="n"/>
      <c r="H666" s="312" t="n"/>
      <c r="I666" s="313" t="n"/>
      <c r="J666" s="170" t="n"/>
      <c r="K666" s="314" t="n"/>
      <c r="L666" s="170" t="n"/>
      <c r="M666" s="170" t="n"/>
      <c r="N666" s="170" t="n"/>
      <c r="O666" s="172" t="n"/>
      <c r="P666" s="172" t="n"/>
    </row>
    <row r="667">
      <c r="B667" s="170" t="n">
        <v>652</v>
      </c>
      <c r="C667" s="199" t="n"/>
      <c r="D667" s="312" t="n"/>
      <c r="E667" s="312" t="n"/>
      <c r="F667" s="312" t="n"/>
      <c r="G667" s="312" t="n"/>
      <c r="H667" s="312" t="n"/>
      <c r="I667" s="313" t="n"/>
      <c r="J667" s="170" t="n"/>
      <c r="K667" s="314" t="n"/>
      <c r="L667" s="170" t="n"/>
      <c r="M667" s="170" t="n"/>
      <c r="N667" s="170" t="n"/>
      <c r="O667" s="172" t="n"/>
      <c r="P667" s="172" t="n"/>
    </row>
    <row r="668">
      <c r="B668" s="170" t="n">
        <v>653</v>
      </c>
      <c r="C668" s="199" t="n"/>
      <c r="D668" s="312" t="n"/>
      <c r="E668" s="312" t="n"/>
      <c r="F668" s="312" t="n"/>
      <c r="G668" s="312" t="n"/>
      <c r="H668" s="312" t="n"/>
      <c r="I668" s="313" t="n"/>
      <c r="J668" s="170" t="n"/>
      <c r="K668" s="314" t="n"/>
      <c r="L668" s="170" t="n"/>
      <c r="M668" s="170" t="n"/>
      <c r="N668" s="170" t="n"/>
      <c r="O668" s="172" t="n"/>
      <c r="P668" s="172" t="n"/>
    </row>
    <row r="669">
      <c r="B669" s="170" t="n">
        <v>654</v>
      </c>
      <c r="C669" s="199" t="n"/>
      <c r="D669" s="312" t="n"/>
      <c r="E669" s="312" t="n"/>
      <c r="F669" s="312" t="n"/>
      <c r="G669" s="312" t="n"/>
      <c r="H669" s="312" t="n"/>
      <c r="I669" s="313" t="n"/>
      <c r="J669" s="170" t="n"/>
      <c r="K669" s="314" t="n"/>
      <c r="L669" s="170" t="n"/>
      <c r="M669" s="170" t="n"/>
      <c r="N669" s="170" t="n"/>
      <c r="O669" s="172" t="n"/>
      <c r="P669" s="172" t="n"/>
    </row>
    <row r="670">
      <c r="B670" s="170" t="n">
        <v>655</v>
      </c>
      <c r="C670" s="199" t="n"/>
      <c r="D670" s="312" t="n"/>
      <c r="E670" s="312" t="n"/>
      <c r="F670" s="312" t="n"/>
      <c r="G670" s="312" t="n"/>
      <c r="H670" s="312" t="n"/>
      <c r="I670" s="313" t="n"/>
      <c r="J670" s="170" t="n"/>
      <c r="K670" s="314" t="n"/>
      <c r="L670" s="170" t="n"/>
      <c r="M670" s="170" t="n"/>
      <c r="N670" s="170" t="n"/>
      <c r="O670" s="172" t="n"/>
      <c r="P670" s="172" t="n"/>
    </row>
    <row r="671">
      <c r="B671" s="170" t="n">
        <v>656</v>
      </c>
      <c r="C671" s="199" t="n"/>
      <c r="D671" s="312" t="n"/>
      <c r="E671" s="312" t="n"/>
      <c r="F671" s="312" t="n"/>
      <c r="G671" s="312" t="n"/>
      <c r="H671" s="312" t="n"/>
      <c r="I671" s="313" t="n"/>
      <c r="J671" s="170" t="n"/>
      <c r="K671" s="314" t="n"/>
      <c r="L671" s="170" t="n"/>
      <c r="M671" s="170" t="n"/>
      <c r="N671" s="170" t="n"/>
      <c r="O671" s="172" t="n"/>
      <c r="P671" s="172" t="n"/>
    </row>
    <row r="672">
      <c r="B672" s="170" t="n">
        <v>657</v>
      </c>
      <c r="C672" s="199" t="n"/>
      <c r="D672" s="312" t="n"/>
      <c r="E672" s="312" t="n"/>
      <c r="F672" s="312" t="n"/>
      <c r="G672" s="312" t="n"/>
      <c r="H672" s="312" t="n"/>
      <c r="I672" s="313" t="n"/>
      <c r="J672" s="170" t="n"/>
      <c r="K672" s="314" t="n"/>
      <c r="L672" s="170" t="n"/>
      <c r="M672" s="170" t="n"/>
      <c r="N672" s="170" t="n"/>
      <c r="O672" s="172" t="n"/>
      <c r="P672" s="172" t="n"/>
    </row>
    <row r="673">
      <c r="B673" s="170" t="n">
        <v>658</v>
      </c>
      <c r="C673" s="199" t="n"/>
      <c r="D673" s="312" t="n"/>
      <c r="E673" s="312" t="n"/>
      <c r="F673" s="312" t="n"/>
      <c r="G673" s="312" t="n"/>
      <c r="H673" s="312" t="n"/>
      <c r="I673" s="313" t="n"/>
      <c r="J673" s="170" t="n"/>
      <c r="K673" s="314" t="n"/>
      <c r="L673" s="170" t="n"/>
      <c r="M673" s="170" t="n"/>
      <c r="N673" s="170" t="n"/>
      <c r="O673" s="172" t="n"/>
      <c r="P673" s="172" t="n"/>
    </row>
    <row r="674">
      <c r="B674" s="170" t="n">
        <v>659</v>
      </c>
      <c r="C674" s="199" t="n"/>
      <c r="D674" s="312" t="n"/>
      <c r="E674" s="312" t="n"/>
      <c r="F674" s="312" t="n"/>
      <c r="G674" s="312" t="n"/>
      <c r="H674" s="312" t="n"/>
      <c r="I674" s="313" t="n"/>
      <c r="J674" s="170" t="n"/>
      <c r="K674" s="314" t="n"/>
      <c r="L674" s="170" t="n"/>
      <c r="M674" s="170" t="n"/>
      <c r="N674" s="170" t="n"/>
      <c r="O674" s="172" t="n"/>
      <c r="P674" s="172" t="n"/>
    </row>
    <row r="675">
      <c r="B675" s="170" t="n">
        <v>660</v>
      </c>
      <c r="C675" s="199" t="n"/>
      <c r="D675" s="312" t="n"/>
      <c r="E675" s="312" t="n"/>
      <c r="F675" s="312" t="n"/>
      <c r="G675" s="312" t="n"/>
      <c r="H675" s="312" t="n"/>
      <c r="I675" s="313" t="n"/>
      <c r="J675" s="170" t="n"/>
      <c r="K675" s="314" t="n"/>
      <c r="L675" s="170" t="n"/>
      <c r="M675" s="170" t="n"/>
      <c r="N675" s="170" t="n"/>
      <c r="O675" s="172" t="n"/>
      <c r="P675" s="172" t="n"/>
    </row>
    <row r="676">
      <c r="B676" s="170" t="n">
        <v>661</v>
      </c>
      <c r="C676" s="199" t="n"/>
      <c r="D676" s="312" t="n"/>
      <c r="E676" s="312" t="n"/>
      <c r="F676" s="312" t="n"/>
      <c r="G676" s="312" t="n"/>
      <c r="H676" s="312" t="n"/>
      <c r="I676" s="313" t="n"/>
      <c r="J676" s="170" t="n"/>
      <c r="K676" s="314" t="n"/>
      <c r="L676" s="170" t="n"/>
      <c r="M676" s="170" t="n"/>
      <c r="N676" s="170" t="n"/>
      <c r="O676" s="172" t="n"/>
      <c r="P676" s="172" t="n"/>
    </row>
    <row r="677">
      <c r="B677" s="170" t="n">
        <v>662</v>
      </c>
      <c r="C677" s="199" t="n"/>
      <c r="D677" s="312" t="n"/>
      <c r="E677" s="312" t="n"/>
      <c r="F677" s="312" t="n"/>
      <c r="G677" s="312" t="n"/>
      <c r="H677" s="312" t="n"/>
      <c r="I677" s="313" t="n"/>
      <c r="J677" s="170" t="n"/>
      <c r="K677" s="314" t="n"/>
      <c r="L677" s="170" t="n"/>
      <c r="M677" s="170" t="n"/>
      <c r="N677" s="170" t="n"/>
      <c r="O677" s="172" t="n"/>
      <c r="P677" s="172" t="n"/>
    </row>
    <row r="678">
      <c r="B678" s="170" t="n">
        <v>663</v>
      </c>
      <c r="C678" s="199" t="n"/>
      <c r="D678" s="312" t="n"/>
      <c r="E678" s="312" t="n"/>
      <c r="F678" s="312" t="n"/>
      <c r="G678" s="312" t="n"/>
      <c r="H678" s="312" t="n"/>
      <c r="I678" s="313" t="n"/>
      <c r="J678" s="170" t="n"/>
      <c r="K678" s="314" t="n"/>
      <c r="L678" s="170" t="n"/>
      <c r="M678" s="170" t="n"/>
      <c r="N678" s="170" t="n"/>
      <c r="O678" s="172" t="n"/>
      <c r="P678" s="172" t="n"/>
    </row>
    <row r="679">
      <c r="B679" s="170" t="n">
        <v>664</v>
      </c>
      <c r="C679" s="199" t="n"/>
      <c r="D679" s="312" t="n"/>
      <c r="E679" s="312" t="n"/>
      <c r="F679" s="312" t="n"/>
      <c r="G679" s="312" t="n"/>
      <c r="H679" s="312" t="n"/>
      <c r="I679" s="313" t="n"/>
      <c r="J679" s="170" t="n"/>
      <c r="K679" s="314" t="n"/>
      <c r="L679" s="170" t="n"/>
      <c r="M679" s="170" t="n"/>
      <c r="N679" s="170" t="n"/>
      <c r="O679" s="172" t="n"/>
      <c r="P679" s="172" t="n"/>
    </row>
    <row r="680">
      <c r="B680" s="170" t="n">
        <v>665</v>
      </c>
      <c r="C680" s="199" t="n"/>
      <c r="D680" s="312" t="n"/>
      <c r="E680" s="312" t="n"/>
      <c r="F680" s="312" t="n"/>
      <c r="G680" s="312" t="n"/>
      <c r="H680" s="312" t="n"/>
      <c r="I680" s="313" t="n"/>
      <c r="J680" s="170" t="n"/>
      <c r="K680" s="314" t="n"/>
      <c r="L680" s="170" t="n"/>
      <c r="M680" s="170" t="n"/>
      <c r="N680" s="170" t="n"/>
      <c r="O680" s="172" t="n"/>
      <c r="P680" s="172" t="n"/>
    </row>
    <row r="681">
      <c r="B681" s="170" t="n">
        <v>666</v>
      </c>
      <c r="C681" s="199" t="n"/>
      <c r="D681" s="312" t="n"/>
      <c r="E681" s="312" t="n"/>
      <c r="F681" s="312" t="n"/>
      <c r="G681" s="312" t="n"/>
      <c r="H681" s="312" t="n"/>
      <c r="I681" s="313" t="n"/>
      <c r="J681" s="170" t="n"/>
      <c r="K681" s="314" t="n"/>
      <c r="L681" s="170" t="n"/>
      <c r="M681" s="170" t="n"/>
      <c r="N681" s="170" t="n"/>
      <c r="O681" s="172" t="n"/>
      <c r="P681" s="172" t="n"/>
    </row>
    <row r="682">
      <c r="B682" s="170" t="n">
        <v>667</v>
      </c>
      <c r="C682" s="199" t="n"/>
      <c r="D682" s="312" t="n"/>
      <c r="E682" s="312" t="n"/>
      <c r="F682" s="312" t="n"/>
      <c r="G682" s="312" t="n"/>
      <c r="H682" s="312" t="n"/>
      <c r="I682" s="313" t="n"/>
      <c r="J682" s="170" t="n"/>
      <c r="K682" s="314" t="n"/>
      <c r="L682" s="170" t="n"/>
      <c r="M682" s="170" t="n"/>
      <c r="N682" s="170" t="n"/>
      <c r="O682" s="172" t="n"/>
      <c r="P682" s="172" t="n"/>
    </row>
    <row r="683">
      <c r="B683" s="170" t="n">
        <v>668</v>
      </c>
      <c r="C683" s="199" t="n"/>
      <c r="D683" s="312" t="n"/>
      <c r="E683" s="312" t="n"/>
      <c r="F683" s="312" t="n"/>
      <c r="G683" s="312" t="n"/>
      <c r="H683" s="312" t="n"/>
      <c r="I683" s="313" t="n"/>
      <c r="J683" s="170" t="n"/>
      <c r="K683" s="314" t="n"/>
      <c r="L683" s="170" t="n"/>
      <c r="M683" s="170" t="n"/>
      <c r="N683" s="170" t="n"/>
      <c r="O683" s="172" t="n"/>
      <c r="P683" s="172" t="n"/>
    </row>
    <row r="684">
      <c r="B684" s="170" t="n">
        <v>669</v>
      </c>
      <c r="C684" s="199" t="n"/>
      <c r="D684" s="312" t="n"/>
      <c r="E684" s="312" t="n"/>
      <c r="F684" s="312" t="n"/>
      <c r="G684" s="312" t="n"/>
      <c r="H684" s="312" t="n"/>
      <c r="I684" s="313" t="n"/>
      <c r="J684" s="170" t="n"/>
      <c r="K684" s="314" t="n"/>
      <c r="L684" s="170" t="n"/>
      <c r="M684" s="170" t="n"/>
      <c r="N684" s="170" t="n"/>
      <c r="O684" s="172" t="n"/>
      <c r="P684" s="172" t="n"/>
    </row>
    <row r="685">
      <c r="B685" s="170" t="n">
        <v>670</v>
      </c>
      <c r="C685" s="199" t="n"/>
      <c r="D685" s="312" t="n"/>
      <c r="E685" s="312" t="n"/>
      <c r="F685" s="312" t="n"/>
      <c r="G685" s="312" t="n"/>
      <c r="H685" s="312" t="n"/>
      <c r="I685" s="313" t="n"/>
      <c r="J685" s="170" t="n"/>
      <c r="K685" s="314" t="n"/>
      <c r="L685" s="170" t="n"/>
      <c r="M685" s="170" t="n"/>
      <c r="N685" s="170" t="n"/>
      <c r="O685" s="172" t="n"/>
      <c r="P685" s="172" t="n"/>
    </row>
    <row r="686">
      <c r="B686" s="170" t="n">
        <v>671</v>
      </c>
      <c r="C686" s="199" t="n"/>
      <c r="D686" s="312" t="n"/>
      <c r="E686" s="312" t="n"/>
      <c r="F686" s="312" t="n"/>
      <c r="G686" s="312" t="n"/>
      <c r="H686" s="312" t="n"/>
      <c r="I686" s="313" t="n"/>
      <c r="J686" s="170" t="n"/>
      <c r="K686" s="314" t="n"/>
      <c r="L686" s="170" t="n"/>
      <c r="M686" s="170" t="n"/>
      <c r="N686" s="170" t="n"/>
      <c r="O686" s="172" t="n"/>
      <c r="P686" s="172" t="n"/>
    </row>
    <row r="687">
      <c r="B687" s="170" t="n">
        <v>672</v>
      </c>
      <c r="C687" s="199" t="n"/>
      <c r="D687" s="312" t="n"/>
      <c r="E687" s="312" t="n"/>
      <c r="F687" s="312" t="n"/>
      <c r="G687" s="312" t="n"/>
      <c r="H687" s="312" t="n"/>
      <c r="I687" s="313" t="n"/>
      <c r="J687" s="170" t="n"/>
      <c r="K687" s="314" t="n"/>
      <c r="L687" s="170" t="n"/>
      <c r="M687" s="170" t="n"/>
      <c r="N687" s="170" t="n"/>
      <c r="O687" s="172" t="n"/>
      <c r="P687" s="172" t="n"/>
    </row>
    <row r="688">
      <c r="B688" s="170" t="n">
        <v>673</v>
      </c>
      <c r="C688" s="199" t="n"/>
      <c r="D688" s="312" t="n"/>
      <c r="E688" s="312" t="n"/>
      <c r="F688" s="312" t="n"/>
      <c r="G688" s="312" t="n"/>
      <c r="H688" s="312" t="n"/>
      <c r="I688" s="313" t="n"/>
      <c r="J688" s="170" t="n"/>
      <c r="K688" s="314" t="n"/>
      <c r="L688" s="170" t="n"/>
      <c r="M688" s="170" t="n"/>
      <c r="N688" s="170" t="n"/>
      <c r="O688" s="172" t="n"/>
      <c r="P688" s="172" t="n"/>
    </row>
    <row r="689">
      <c r="B689" s="170" t="n">
        <v>674</v>
      </c>
      <c r="C689" s="199" t="n"/>
      <c r="D689" s="312" t="n"/>
      <c r="E689" s="312" t="n"/>
      <c r="F689" s="312" t="n"/>
      <c r="G689" s="312" t="n"/>
      <c r="H689" s="312" t="n"/>
      <c r="I689" s="313" t="n"/>
      <c r="J689" s="170" t="n"/>
      <c r="K689" s="314" t="n"/>
      <c r="L689" s="170" t="n"/>
      <c r="M689" s="170" t="n"/>
      <c r="N689" s="170" t="n"/>
      <c r="O689" s="172" t="n"/>
      <c r="P689" s="172" t="n"/>
    </row>
    <row r="690">
      <c r="B690" s="170" t="n">
        <v>675</v>
      </c>
      <c r="C690" s="199" t="n"/>
      <c r="D690" s="312" t="n"/>
      <c r="E690" s="312" t="n"/>
      <c r="F690" s="312" t="n"/>
      <c r="G690" s="312" t="n"/>
      <c r="H690" s="312" t="n"/>
      <c r="I690" s="313" t="n"/>
      <c r="J690" s="170" t="n"/>
      <c r="K690" s="314" t="n"/>
      <c r="L690" s="170" t="n"/>
      <c r="M690" s="170" t="n"/>
      <c r="N690" s="170" t="n"/>
      <c r="O690" s="172" t="n"/>
      <c r="P690" s="172" t="n"/>
    </row>
    <row r="691">
      <c r="B691" s="170" t="n">
        <v>676</v>
      </c>
      <c r="C691" s="199" t="n"/>
      <c r="D691" s="312" t="n"/>
      <c r="E691" s="312" t="n"/>
      <c r="F691" s="312" t="n"/>
      <c r="G691" s="312" t="n"/>
      <c r="H691" s="312" t="n"/>
      <c r="I691" s="313" t="n"/>
      <c r="J691" s="170" t="n"/>
      <c r="K691" s="314" t="n"/>
      <c r="L691" s="170" t="n"/>
      <c r="M691" s="170" t="n"/>
      <c r="N691" s="170" t="n"/>
      <c r="O691" s="172" t="n"/>
      <c r="P691" s="172" t="n"/>
    </row>
    <row r="692">
      <c r="B692" s="170" t="n">
        <v>677</v>
      </c>
      <c r="C692" s="199" t="n"/>
      <c r="D692" s="312" t="n"/>
      <c r="E692" s="312" t="n"/>
      <c r="F692" s="312" t="n"/>
      <c r="G692" s="312" t="n"/>
      <c r="H692" s="312" t="n"/>
      <c r="I692" s="313" t="n"/>
      <c r="J692" s="170" t="n"/>
      <c r="K692" s="314" t="n"/>
      <c r="L692" s="170" t="n"/>
      <c r="M692" s="170" t="n"/>
      <c r="N692" s="170" t="n"/>
      <c r="O692" s="172" t="n"/>
      <c r="P692" s="172" t="n"/>
    </row>
    <row r="693">
      <c r="B693" s="170" t="n">
        <v>678</v>
      </c>
      <c r="C693" s="199" t="n"/>
      <c r="D693" s="312" t="n"/>
      <c r="E693" s="312" t="n"/>
      <c r="F693" s="312" t="n"/>
      <c r="G693" s="312" t="n"/>
      <c r="H693" s="312" t="n"/>
      <c r="I693" s="313" t="n"/>
      <c r="J693" s="170" t="n"/>
      <c r="K693" s="314" t="n"/>
      <c r="L693" s="170" t="n"/>
      <c r="M693" s="170" t="n"/>
      <c r="N693" s="170" t="n"/>
      <c r="O693" s="172" t="n"/>
      <c r="P693" s="172" t="n"/>
    </row>
    <row r="694">
      <c r="B694" s="170" t="n">
        <v>679</v>
      </c>
      <c r="C694" s="199" t="n"/>
      <c r="D694" s="312" t="n"/>
      <c r="E694" s="312" t="n"/>
      <c r="F694" s="312" t="n"/>
      <c r="G694" s="312" t="n"/>
      <c r="H694" s="312" t="n"/>
      <c r="I694" s="313" t="n"/>
      <c r="J694" s="170" t="n"/>
      <c r="K694" s="314" t="n"/>
      <c r="L694" s="170" t="n"/>
      <c r="M694" s="170" t="n"/>
      <c r="N694" s="170" t="n"/>
      <c r="O694" s="172" t="n"/>
      <c r="P694" s="172" t="n"/>
    </row>
    <row r="695">
      <c r="B695" s="170" t="n">
        <v>680</v>
      </c>
      <c r="C695" s="199" t="n"/>
      <c r="D695" s="312" t="n"/>
      <c r="E695" s="312" t="n"/>
      <c r="F695" s="312" t="n"/>
      <c r="G695" s="312" t="n"/>
      <c r="H695" s="312" t="n"/>
      <c r="I695" s="313" t="n"/>
      <c r="J695" s="170" t="n"/>
      <c r="K695" s="314" t="n"/>
      <c r="L695" s="170" t="n"/>
      <c r="M695" s="170" t="n"/>
      <c r="N695" s="170" t="n"/>
      <c r="O695" s="172" t="n"/>
      <c r="P695" s="172" t="n"/>
    </row>
    <row r="696">
      <c r="B696" s="170" t="n">
        <v>681</v>
      </c>
      <c r="C696" s="199" t="n"/>
      <c r="D696" s="312" t="n"/>
      <c r="E696" s="312" t="n"/>
      <c r="F696" s="312" t="n"/>
      <c r="G696" s="312" t="n"/>
      <c r="H696" s="312" t="n"/>
      <c r="I696" s="313" t="n"/>
      <c r="J696" s="170" t="n"/>
      <c r="K696" s="314" t="n"/>
      <c r="L696" s="170" t="n"/>
      <c r="M696" s="170" t="n"/>
      <c r="N696" s="170" t="n"/>
      <c r="O696" s="172" t="n"/>
      <c r="P696" s="172" t="n"/>
    </row>
    <row r="697">
      <c r="B697" s="170" t="n">
        <v>682</v>
      </c>
      <c r="C697" s="199" t="n"/>
      <c r="D697" s="312" t="n"/>
      <c r="E697" s="312" t="n"/>
      <c r="F697" s="312" t="n"/>
      <c r="G697" s="312" t="n"/>
      <c r="H697" s="312" t="n"/>
      <c r="I697" s="313" t="n"/>
      <c r="J697" s="170" t="n"/>
      <c r="K697" s="314" t="n"/>
      <c r="L697" s="170" t="n"/>
      <c r="M697" s="170" t="n"/>
      <c r="N697" s="170" t="n"/>
      <c r="O697" s="172" t="n"/>
      <c r="P697" s="172" t="n"/>
    </row>
    <row r="698">
      <c r="B698" s="170" t="n">
        <v>683</v>
      </c>
      <c r="C698" s="199" t="n"/>
      <c r="D698" s="312" t="n"/>
      <c r="E698" s="312" t="n"/>
      <c r="F698" s="312" t="n"/>
      <c r="G698" s="312" t="n"/>
      <c r="H698" s="312" t="n"/>
      <c r="I698" s="313" t="n"/>
      <c r="J698" s="170" t="n"/>
      <c r="K698" s="314" t="n"/>
      <c r="L698" s="170" t="n"/>
      <c r="M698" s="170" t="n"/>
      <c r="N698" s="170" t="n"/>
      <c r="O698" s="172" t="n"/>
      <c r="P698" s="172" t="n"/>
    </row>
    <row r="699">
      <c r="B699" s="170" t="n">
        <v>684</v>
      </c>
      <c r="C699" s="199" t="n"/>
      <c r="D699" s="312" t="n"/>
      <c r="E699" s="312" t="n"/>
      <c r="F699" s="312" t="n"/>
      <c r="G699" s="312" t="n"/>
      <c r="H699" s="312" t="n"/>
      <c r="I699" s="313" t="n"/>
      <c r="J699" s="170" t="n"/>
      <c r="K699" s="314" t="n"/>
      <c r="L699" s="170" t="n"/>
      <c r="M699" s="170" t="n"/>
      <c r="N699" s="170" t="n"/>
      <c r="O699" s="172" t="n"/>
      <c r="P699" s="172" t="n"/>
    </row>
    <row r="700">
      <c r="B700" s="170" t="n">
        <v>685</v>
      </c>
      <c r="C700" s="199" t="n"/>
      <c r="D700" s="312" t="n"/>
      <c r="E700" s="312" t="n"/>
      <c r="F700" s="312" t="n"/>
      <c r="G700" s="312" t="n"/>
      <c r="H700" s="312" t="n"/>
      <c r="I700" s="313" t="n"/>
      <c r="J700" s="170" t="n"/>
      <c r="K700" s="314" t="n"/>
      <c r="L700" s="170" t="n"/>
      <c r="M700" s="170" t="n"/>
      <c r="N700" s="170" t="n"/>
      <c r="O700" s="172" t="n"/>
      <c r="P700" s="172" t="n"/>
    </row>
    <row r="701">
      <c r="B701" s="170" t="n">
        <v>686</v>
      </c>
      <c r="C701" s="199" t="n"/>
      <c r="D701" s="312" t="n"/>
      <c r="E701" s="312" t="n"/>
      <c r="F701" s="312" t="n"/>
      <c r="G701" s="312" t="n"/>
      <c r="H701" s="312" t="n"/>
      <c r="I701" s="313" t="n"/>
      <c r="J701" s="170" t="n"/>
      <c r="K701" s="314" t="n"/>
      <c r="L701" s="170" t="n"/>
      <c r="M701" s="170" t="n"/>
      <c r="N701" s="170" t="n"/>
      <c r="O701" s="172" t="n"/>
      <c r="P701" s="172" t="n"/>
    </row>
    <row r="702">
      <c r="B702" s="170" t="n">
        <v>687</v>
      </c>
      <c r="C702" s="199" t="n"/>
      <c r="D702" s="312" t="n"/>
      <c r="E702" s="312" t="n"/>
      <c r="F702" s="312" t="n"/>
      <c r="G702" s="312" t="n"/>
      <c r="H702" s="312" t="n"/>
      <c r="I702" s="313" t="n"/>
      <c r="J702" s="170" t="n"/>
      <c r="K702" s="314" t="n"/>
      <c r="L702" s="170" t="n"/>
      <c r="M702" s="170" t="n"/>
      <c r="N702" s="170" t="n"/>
      <c r="O702" s="172" t="n"/>
      <c r="P702" s="172" t="n"/>
    </row>
    <row r="703">
      <c r="B703" s="170" t="n">
        <v>688</v>
      </c>
      <c r="C703" s="199" t="n"/>
      <c r="D703" s="312" t="n"/>
      <c r="E703" s="312" t="n"/>
      <c r="F703" s="312" t="n"/>
      <c r="G703" s="312" t="n"/>
      <c r="H703" s="312" t="n"/>
      <c r="I703" s="313" t="n"/>
      <c r="J703" s="170" t="n"/>
      <c r="K703" s="314" t="n"/>
      <c r="L703" s="170" t="n"/>
      <c r="M703" s="170" t="n"/>
      <c r="N703" s="170" t="n"/>
      <c r="O703" s="172" t="n"/>
      <c r="P703" s="172" t="n"/>
    </row>
    <row r="704">
      <c r="B704" s="170" t="n">
        <v>689</v>
      </c>
      <c r="C704" s="199" t="n"/>
      <c r="D704" s="312" t="n"/>
      <c r="E704" s="312" t="n"/>
      <c r="F704" s="312" t="n"/>
      <c r="G704" s="312" t="n"/>
      <c r="H704" s="312" t="n"/>
      <c r="I704" s="313" t="n"/>
      <c r="J704" s="170" t="n"/>
      <c r="K704" s="314" t="n"/>
      <c r="L704" s="170" t="n"/>
      <c r="M704" s="170" t="n"/>
      <c r="N704" s="170" t="n"/>
      <c r="O704" s="172" t="n"/>
      <c r="P704" s="172" t="n"/>
    </row>
    <row r="705">
      <c r="B705" s="170" t="n">
        <v>690</v>
      </c>
      <c r="C705" s="199" t="n"/>
      <c r="D705" s="312" t="n"/>
      <c r="E705" s="312" t="n"/>
      <c r="F705" s="312" t="n"/>
      <c r="G705" s="312" t="n"/>
      <c r="H705" s="312" t="n"/>
      <c r="I705" s="313" t="n"/>
      <c r="J705" s="170" t="n"/>
      <c r="K705" s="314" t="n"/>
      <c r="L705" s="170" t="n"/>
      <c r="M705" s="170" t="n"/>
      <c r="N705" s="170" t="n"/>
      <c r="O705" s="172" t="n"/>
      <c r="P705" s="172" t="n"/>
    </row>
    <row r="706">
      <c r="B706" s="170" t="n">
        <v>691</v>
      </c>
      <c r="C706" s="199" t="n"/>
      <c r="D706" s="312" t="n"/>
      <c r="E706" s="312" t="n"/>
      <c r="F706" s="312" t="n"/>
      <c r="G706" s="312" t="n"/>
      <c r="H706" s="312" t="n"/>
      <c r="I706" s="313" t="n"/>
      <c r="J706" s="170" t="n"/>
      <c r="K706" s="314" t="n"/>
      <c r="L706" s="170" t="n"/>
      <c r="M706" s="170" t="n"/>
      <c r="N706" s="170" t="n"/>
      <c r="O706" s="172" t="n"/>
      <c r="P706" s="172" t="n"/>
    </row>
    <row r="707">
      <c r="B707" s="170" t="n">
        <v>692</v>
      </c>
      <c r="C707" s="199" t="n"/>
      <c r="D707" s="312" t="n"/>
      <c r="E707" s="312" t="n"/>
      <c r="F707" s="312" t="n"/>
      <c r="G707" s="312" t="n"/>
      <c r="H707" s="312" t="n"/>
      <c r="I707" s="313" t="n"/>
      <c r="J707" s="170" t="n"/>
      <c r="K707" s="314" t="n"/>
      <c r="L707" s="170" t="n"/>
      <c r="M707" s="170" t="n"/>
      <c r="N707" s="170" t="n"/>
      <c r="O707" s="172" t="n"/>
      <c r="P707" s="172" t="n"/>
    </row>
    <row r="708">
      <c r="B708" s="170" t="n">
        <v>693</v>
      </c>
      <c r="C708" s="199" t="n"/>
      <c r="D708" s="312" t="n"/>
      <c r="E708" s="312" t="n"/>
      <c r="F708" s="312" t="n"/>
      <c r="G708" s="312" t="n"/>
      <c r="H708" s="312" t="n"/>
      <c r="I708" s="313" t="n"/>
      <c r="J708" s="170" t="n"/>
      <c r="K708" s="314" t="n"/>
      <c r="L708" s="170" t="n"/>
      <c r="M708" s="170" t="n"/>
      <c r="N708" s="170" t="n"/>
      <c r="O708" s="172" t="n"/>
      <c r="P708" s="172" t="n"/>
    </row>
    <row r="709">
      <c r="B709" s="170" t="n">
        <v>694</v>
      </c>
      <c r="C709" s="199" t="n"/>
      <c r="D709" s="312" t="n"/>
      <c r="E709" s="312" t="n"/>
      <c r="F709" s="312" t="n"/>
      <c r="G709" s="312" t="n"/>
      <c r="H709" s="312" t="n"/>
      <c r="I709" s="313" t="n"/>
      <c r="J709" s="170" t="n"/>
      <c r="K709" s="314" t="n"/>
      <c r="L709" s="170" t="n"/>
      <c r="M709" s="170" t="n"/>
      <c r="N709" s="170" t="n"/>
      <c r="O709" s="172" t="n"/>
      <c r="P709" s="172" t="n"/>
    </row>
    <row r="710">
      <c r="B710" s="170" t="n">
        <v>695</v>
      </c>
      <c r="C710" s="199" t="n"/>
      <c r="D710" s="312" t="n"/>
      <c r="E710" s="312" t="n"/>
      <c r="F710" s="312" t="n"/>
      <c r="G710" s="312" t="n"/>
      <c r="H710" s="312" t="n"/>
      <c r="I710" s="313" t="n"/>
      <c r="J710" s="170" t="n"/>
      <c r="K710" s="314" t="n"/>
      <c r="L710" s="170" t="n"/>
      <c r="M710" s="170" t="n"/>
      <c r="N710" s="170" t="n"/>
      <c r="O710" s="172" t="n"/>
      <c r="P710" s="172" t="n"/>
    </row>
    <row r="711">
      <c r="B711" s="170" t="n">
        <v>696</v>
      </c>
      <c r="C711" s="199" t="n"/>
      <c r="D711" s="312" t="n"/>
      <c r="E711" s="312" t="n"/>
      <c r="F711" s="312" t="n"/>
      <c r="G711" s="312" t="n"/>
      <c r="H711" s="312" t="n"/>
      <c r="I711" s="313" t="n"/>
      <c r="J711" s="170" t="n"/>
      <c r="K711" s="314" t="n"/>
      <c r="L711" s="170" t="n"/>
      <c r="M711" s="170" t="n"/>
      <c r="N711" s="170" t="n"/>
      <c r="O711" s="172" t="n"/>
      <c r="P711" s="172" t="n"/>
    </row>
    <row r="712">
      <c r="B712" s="170" t="n">
        <v>697</v>
      </c>
      <c r="C712" s="199" t="n"/>
      <c r="D712" s="312" t="n"/>
      <c r="E712" s="312" t="n"/>
      <c r="F712" s="312" t="n"/>
      <c r="G712" s="312" t="n"/>
      <c r="H712" s="312" t="n"/>
      <c r="I712" s="313" t="n"/>
      <c r="J712" s="170" t="n"/>
      <c r="K712" s="314" t="n"/>
      <c r="L712" s="170" t="n"/>
      <c r="M712" s="170" t="n"/>
      <c r="N712" s="170" t="n"/>
      <c r="O712" s="172" t="n"/>
      <c r="P712" s="172" t="n"/>
    </row>
    <row r="713">
      <c r="B713" s="170" t="n">
        <v>698</v>
      </c>
      <c r="C713" s="199" t="n"/>
      <c r="D713" s="312" t="n"/>
      <c r="E713" s="312" t="n"/>
      <c r="F713" s="312" t="n"/>
      <c r="G713" s="312" t="n"/>
      <c r="H713" s="312" t="n"/>
      <c r="I713" s="313" t="n"/>
      <c r="J713" s="170" t="n"/>
      <c r="K713" s="314" t="n"/>
      <c r="L713" s="170" t="n"/>
      <c r="M713" s="170" t="n"/>
      <c r="N713" s="170" t="n"/>
      <c r="O713" s="172" t="n"/>
      <c r="P713" s="172" t="n"/>
    </row>
    <row r="714">
      <c r="B714" s="170" t="n">
        <v>699</v>
      </c>
      <c r="C714" s="199" t="n"/>
      <c r="D714" s="312" t="n"/>
      <c r="E714" s="312" t="n"/>
      <c r="F714" s="312" t="n"/>
      <c r="G714" s="312" t="n"/>
      <c r="H714" s="312" t="n"/>
      <c r="I714" s="313" t="n"/>
      <c r="J714" s="170" t="n"/>
      <c r="K714" s="314" t="n"/>
      <c r="L714" s="170" t="n"/>
      <c r="M714" s="170" t="n"/>
      <c r="N714" s="170" t="n"/>
      <c r="O714" s="172" t="n"/>
      <c r="P714" s="172" t="n"/>
    </row>
    <row r="715">
      <c r="B715" s="170" t="n">
        <v>700</v>
      </c>
      <c r="C715" s="199" t="n"/>
      <c r="D715" s="312" t="n"/>
      <c r="E715" s="312" t="n"/>
      <c r="F715" s="312" t="n"/>
      <c r="G715" s="312" t="n"/>
      <c r="H715" s="312" t="n"/>
      <c r="I715" s="313" t="n"/>
      <c r="J715" s="170" t="n"/>
      <c r="K715" s="314" t="n"/>
      <c r="L715" s="170" t="n"/>
      <c r="M715" s="170" t="n"/>
      <c r="N715" s="170" t="n"/>
      <c r="O715" s="172" t="n"/>
      <c r="P715" s="172" t="n"/>
    </row>
    <row r="716">
      <c r="B716" s="170" t="n">
        <v>701</v>
      </c>
      <c r="C716" s="199" t="n"/>
      <c r="D716" s="312" t="n"/>
      <c r="E716" s="312" t="n"/>
      <c r="F716" s="312" t="n"/>
      <c r="G716" s="312" t="n"/>
      <c r="H716" s="312" t="n"/>
      <c r="I716" s="313" t="n"/>
      <c r="J716" s="170" t="n"/>
      <c r="K716" s="314" t="n"/>
      <c r="L716" s="170" t="n"/>
      <c r="M716" s="170" t="n"/>
      <c r="N716" s="170" t="n"/>
      <c r="O716" s="172" t="n"/>
      <c r="P716" s="172" t="n"/>
    </row>
    <row r="717">
      <c r="B717" s="170" t="n">
        <v>702</v>
      </c>
      <c r="C717" s="199" t="n"/>
      <c r="D717" s="312" t="n"/>
      <c r="E717" s="312" t="n"/>
      <c r="F717" s="312" t="n"/>
      <c r="G717" s="312" t="n"/>
      <c r="H717" s="312" t="n"/>
      <c r="I717" s="313" t="n"/>
      <c r="J717" s="170" t="n"/>
      <c r="K717" s="314" t="n"/>
      <c r="L717" s="170" t="n"/>
      <c r="M717" s="170" t="n"/>
      <c r="N717" s="170" t="n"/>
      <c r="O717" s="172" t="n"/>
      <c r="P717" s="172" t="n"/>
    </row>
    <row r="718">
      <c r="B718" s="170" t="n">
        <v>703</v>
      </c>
      <c r="C718" s="199" t="n"/>
      <c r="D718" s="312" t="n"/>
      <c r="E718" s="312" t="n"/>
      <c r="F718" s="312" t="n"/>
      <c r="G718" s="312" t="n"/>
      <c r="H718" s="312" t="n"/>
      <c r="I718" s="313" t="n"/>
      <c r="J718" s="170" t="n"/>
      <c r="K718" s="314" t="n"/>
      <c r="L718" s="170" t="n"/>
      <c r="M718" s="170" t="n"/>
      <c r="N718" s="170" t="n"/>
      <c r="O718" s="172" t="n"/>
      <c r="P718" s="172" t="n"/>
    </row>
    <row r="719">
      <c r="B719" s="170" t="n">
        <v>704</v>
      </c>
      <c r="C719" s="199" t="n"/>
      <c r="D719" s="312" t="n"/>
      <c r="E719" s="312" t="n"/>
      <c r="F719" s="312" t="n"/>
      <c r="G719" s="312" t="n"/>
      <c r="H719" s="312" t="n"/>
      <c r="I719" s="313" t="n"/>
      <c r="J719" s="170" t="n"/>
      <c r="K719" s="314" t="n"/>
      <c r="L719" s="170" t="n"/>
      <c r="M719" s="170" t="n"/>
      <c r="N719" s="170" t="n"/>
      <c r="O719" s="172" t="n"/>
      <c r="P719" s="172" t="n"/>
    </row>
    <row r="720">
      <c r="B720" s="170" t="n">
        <v>705</v>
      </c>
      <c r="C720" s="199" t="n"/>
      <c r="D720" s="312" t="n"/>
      <c r="E720" s="312" t="n"/>
      <c r="F720" s="312" t="n"/>
      <c r="G720" s="312" t="n"/>
      <c r="H720" s="312" t="n"/>
      <c r="I720" s="313" t="n"/>
      <c r="J720" s="170" t="n"/>
      <c r="K720" s="314" t="n"/>
      <c r="L720" s="170" t="n"/>
      <c r="M720" s="170" t="n"/>
      <c r="N720" s="170" t="n"/>
      <c r="O720" s="172" t="n"/>
      <c r="P720" s="172" t="n"/>
    </row>
    <row r="721">
      <c r="B721" s="170" t="n">
        <v>706</v>
      </c>
      <c r="C721" s="199" t="n"/>
      <c r="D721" s="312" t="n"/>
      <c r="E721" s="312" t="n"/>
      <c r="F721" s="312" t="n"/>
      <c r="G721" s="312" t="n"/>
      <c r="H721" s="312" t="n"/>
      <c r="I721" s="313" t="n"/>
      <c r="J721" s="170" t="n"/>
      <c r="K721" s="314" t="n"/>
      <c r="L721" s="170" t="n"/>
      <c r="M721" s="170" t="n"/>
      <c r="N721" s="170" t="n"/>
      <c r="O721" s="172" t="n"/>
      <c r="P721" s="172" t="n"/>
    </row>
    <row r="722">
      <c r="B722" s="170" t="n">
        <v>707</v>
      </c>
      <c r="C722" s="199" t="n"/>
      <c r="D722" s="312" t="n"/>
      <c r="E722" s="312" t="n"/>
      <c r="F722" s="312" t="n"/>
      <c r="G722" s="312" t="n"/>
      <c r="H722" s="312" t="n"/>
      <c r="I722" s="313" t="n"/>
      <c r="J722" s="170" t="n"/>
      <c r="K722" s="314" t="n"/>
      <c r="L722" s="170" t="n"/>
      <c r="M722" s="170" t="n"/>
      <c r="N722" s="170" t="n"/>
      <c r="O722" s="172" t="n"/>
      <c r="P722" s="172" t="n"/>
    </row>
    <row r="723">
      <c r="B723" s="170" t="n">
        <v>708</v>
      </c>
      <c r="C723" s="199" t="n"/>
      <c r="D723" s="312" t="n"/>
      <c r="E723" s="312" t="n"/>
      <c r="F723" s="312" t="n"/>
      <c r="G723" s="312" t="n"/>
      <c r="H723" s="312" t="n"/>
      <c r="I723" s="313" t="n"/>
      <c r="J723" s="170" t="n"/>
      <c r="K723" s="314" t="n"/>
      <c r="L723" s="170" t="n"/>
      <c r="M723" s="170" t="n"/>
      <c r="N723" s="170" t="n"/>
      <c r="O723" s="172" t="n"/>
      <c r="P723" s="172" t="n"/>
    </row>
    <row r="724">
      <c r="B724" s="170" t="n">
        <v>709</v>
      </c>
      <c r="C724" s="199" t="n"/>
      <c r="D724" s="312" t="n"/>
      <c r="E724" s="312" t="n"/>
      <c r="F724" s="312" t="n"/>
      <c r="G724" s="312" t="n"/>
      <c r="H724" s="312" t="n"/>
      <c r="I724" s="313" t="n"/>
      <c r="J724" s="170" t="n"/>
      <c r="K724" s="314" t="n"/>
      <c r="L724" s="170" t="n"/>
      <c r="M724" s="170" t="n"/>
      <c r="N724" s="170" t="n"/>
      <c r="O724" s="172" t="n"/>
      <c r="P724" s="172" t="n"/>
    </row>
    <row r="725">
      <c r="B725" s="170" t="n">
        <v>710</v>
      </c>
      <c r="C725" s="199" t="n"/>
      <c r="D725" s="312" t="n"/>
      <c r="E725" s="312" t="n"/>
      <c r="F725" s="312" t="n"/>
      <c r="G725" s="312" t="n"/>
      <c r="H725" s="312" t="n"/>
      <c r="I725" s="313" t="n"/>
      <c r="J725" s="170" t="n"/>
      <c r="K725" s="314" t="n"/>
      <c r="L725" s="170" t="n"/>
      <c r="M725" s="170" t="n"/>
      <c r="N725" s="170" t="n"/>
      <c r="O725" s="172" t="n"/>
      <c r="P725" s="172" t="n"/>
    </row>
    <row r="726">
      <c r="B726" s="170" t="n">
        <v>711</v>
      </c>
      <c r="C726" s="199" t="n"/>
      <c r="D726" s="312" t="n"/>
      <c r="E726" s="312" t="n"/>
      <c r="F726" s="312" t="n"/>
      <c r="G726" s="312" t="n"/>
      <c r="H726" s="312" t="n"/>
      <c r="I726" s="313" t="n"/>
      <c r="J726" s="170" t="n"/>
      <c r="K726" s="314" t="n"/>
      <c r="L726" s="170" t="n"/>
      <c r="M726" s="170" t="n"/>
      <c r="N726" s="170" t="n"/>
      <c r="O726" s="172" t="n"/>
      <c r="P726" s="172" t="n"/>
    </row>
    <row r="727">
      <c r="B727" s="170" t="n">
        <v>712</v>
      </c>
      <c r="C727" s="199" t="n"/>
      <c r="D727" s="312" t="n"/>
      <c r="E727" s="312" t="n"/>
      <c r="F727" s="312" t="n"/>
      <c r="G727" s="312" t="n"/>
      <c r="H727" s="312" t="n"/>
      <c r="I727" s="313" t="n"/>
      <c r="J727" s="170" t="n"/>
      <c r="K727" s="314" t="n"/>
      <c r="L727" s="170" t="n"/>
      <c r="M727" s="170" t="n"/>
      <c r="N727" s="170" t="n"/>
      <c r="O727" s="172" t="n"/>
      <c r="P727" s="172" t="n"/>
    </row>
    <row r="728">
      <c r="B728" s="170" t="n">
        <v>713</v>
      </c>
      <c r="C728" s="199" t="n"/>
      <c r="D728" s="312" t="n"/>
      <c r="E728" s="312" t="n"/>
      <c r="F728" s="312" t="n"/>
      <c r="G728" s="312" t="n"/>
      <c r="H728" s="312" t="n"/>
      <c r="I728" s="313" t="n"/>
      <c r="J728" s="170" t="n"/>
      <c r="K728" s="314" t="n"/>
      <c r="L728" s="170" t="n"/>
      <c r="M728" s="170" t="n"/>
      <c r="N728" s="170" t="n"/>
      <c r="O728" s="172" t="n"/>
      <c r="P728" s="172" t="n"/>
    </row>
    <row r="729">
      <c r="B729" s="170" t="n">
        <v>714</v>
      </c>
      <c r="C729" s="199" t="n"/>
      <c r="D729" s="312" t="n"/>
      <c r="E729" s="312" t="n"/>
      <c r="F729" s="312" t="n"/>
      <c r="G729" s="312" t="n"/>
      <c r="H729" s="312" t="n"/>
      <c r="I729" s="313" t="n"/>
      <c r="J729" s="170" t="n"/>
      <c r="K729" s="314" t="n"/>
      <c r="L729" s="170" t="n"/>
      <c r="M729" s="170" t="n"/>
      <c r="N729" s="170" t="n"/>
      <c r="O729" s="172" t="n"/>
      <c r="P729" s="172" t="n"/>
    </row>
    <row r="730">
      <c r="B730" s="170" t="n">
        <v>715</v>
      </c>
      <c r="C730" s="199" t="n"/>
      <c r="D730" s="312" t="n"/>
      <c r="E730" s="312" t="n"/>
      <c r="F730" s="312" t="n"/>
      <c r="G730" s="312" t="n"/>
      <c r="H730" s="312" t="n"/>
      <c r="I730" s="313" t="n"/>
      <c r="J730" s="170" t="n"/>
      <c r="K730" s="314" t="n"/>
      <c r="L730" s="170" t="n"/>
      <c r="M730" s="170" t="n"/>
      <c r="N730" s="170" t="n"/>
      <c r="O730" s="172" t="n"/>
      <c r="P730" s="172" t="n"/>
    </row>
    <row r="731">
      <c r="B731" s="170" t="n">
        <v>716</v>
      </c>
      <c r="C731" s="199" t="n"/>
      <c r="D731" s="312" t="n"/>
      <c r="E731" s="312" t="n"/>
      <c r="F731" s="312" t="n"/>
      <c r="G731" s="312" t="n"/>
      <c r="H731" s="312" t="n"/>
      <c r="I731" s="313" t="n"/>
      <c r="J731" s="170" t="n"/>
      <c r="K731" s="314" t="n"/>
      <c r="L731" s="170" t="n"/>
      <c r="M731" s="170" t="n"/>
      <c r="N731" s="170" t="n"/>
      <c r="O731" s="172" t="n"/>
      <c r="P731" s="172" t="n"/>
    </row>
    <row r="732">
      <c r="B732" s="170" t="n">
        <v>717</v>
      </c>
      <c r="C732" s="199" t="n"/>
      <c r="D732" s="312" t="n"/>
      <c r="E732" s="312" t="n"/>
      <c r="F732" s="312" t="n"/>
      <c r="G732" s="312" t="n"/>
      <c r="H732" s="312" t="n"/>
      <c r="I732" s="313" t="n"/>
      <c r="J732" s="170" t="n"/>
      <c r="K732" s="314" t="n"/>
      <c r="L732" s="170" t="n"/>
      <c r="M732" s="170" t="n"/>
      <c r="N732" s="170" t="n"/>
      <c r="O732" s="172" t="n"/>
      <c r="P732" s="172" t="n"/>
    </row>
    <row r="733">
      <c r="B733" s="170" t="n">
        <v>718</v>
      </c>
      <c r="C733" s="199" t="n"/>
      <c r="D733" s="312" t="n"/>
      <c r="E733" s="312" t="n"/>
      <c r="F733" s="312" t="n"/>
      <c r="G733" s="312" t="n"/>
      <c r="H733" s="312" t="n"/>
      <c r="I733" s="313" t="n"/>
      <c r="J733" s="170" t="n"/>
      <c r="K733" s="314" t="n"/>
      <c r="L733" s="170" t="n"/>
      <c r="M733" s="170" t="n"/>
      <c r="N733" s="170" t="n"/>
      <c r="O733" s="172" t="n"/>
      <c r="P733" s="172" t="n"/>
    </row>
    <row r="734">
      <c r="B734" s="170" t="n">
        <v>719</v>
      </c>
      <c r="C734" s="199" t="n"/>
      <c r="D734" s="312" t="n"/>
      <c r="E734" s="312" t="n"/>
      <c r="F734" s="312" t="n"/>
      <c r="G734" s="312" t="n"/>
      <c r="H734" s="312" t="n"/>
      <c r="I734" s="313" t="n"/>
      <c r="J734" s="170" t="n"/>
      <c r="K734" s="314" t="n"/>
      <c r="L734" s="170" t="n"/>
      <c r="M734" s="170" t="n"/>
      <c r="N734" s="170" t="n"/>
      <c r="O734" s="172" t="n"/>
      <c r="P734" s="172" t="n"/>
    </row>
    <row r="735">
      <c r="B735" s="170" t="n">
        <v>720</v>
      </c>
      <c r="C735" s="199" t="n"/>
      <c r="D735" s="312" t="n"/>
      <c r="E735" s="312" t="n"/>
      <c r="F735" s="312" t="n"/>
      <c r="G735" s="312" t="n"/>
      <c r="H735" s="312" t="n"/>
      <c r="I735" s="313" t="n"/>
      <c r="J735" s="170" t="n"/>
      <c r="K735" s="314" t="n"/>
      <c r="L735" s="170" t="n"/>
      <c r="M735" s="170" t="n"/>
      <c r="N735" s="170" t="n"/>
      <c r="O735" s="172" t="n"/>
      <c r="P735" s="172" t="n"/>
    </row>
    <row r="736">
      <c r="B736" s="170" t="n">
        <v>721</v>
      </c>
      <c r="C736" s="199" t="n"/>
      <c r="D736" s="312" t="n"/>
      <c r="E736" s="312" t="n"/>
      <c r="F736" s="312" t="n"/>
      <c r="G736" s="312" t="n"/>
      <c r="H736" s="312" t="n"/>
      <c r="I736" s="313" t="n"/>
      <c r="J736" s="170" t="n"/>
      <c r="K736" s="314" t="n"/>
      <c r="L736" s="170" t="n"/>
      <c r="M736" s="170" t="n"/>
      <c r="N736" s="170" t="n"/>
      <c r="O736" s="172" t="n"/>
      <c r="P736" s="172" t="n"/>
    </row>
    <row r="737">
      <c r="B737" s="170" t="n">
        <v>722</v>
      </c>
      <c r="C737" s="199" t="n"/>
      <c r="D737" s="312" t="n"/>
      <c r="E737" s="312" t="n"/>
      <c r="F737" s="312" t="n"/>
      <c r="G737" s="312" t="n"/>
      <c r="H737" s="312" t="n"/>
      <c r="I737" s="313" t="n"/>
      <c r="J737" s="170" t="n"/>
      <c r="K737" s="314" t="n"/>
      <c r="L737" s="170" t="n"/>
      <c r="M737" s="170" t="n"/>
      <c r="N737" s="170" t="n"/>
      <c r="O737" s="172" t="n"/>
      <c r="P737" s="172" t="n"/>
    </row>
    <row r="738">
      <c r="B738" s="170" t="n">
        <v>723</v>
      </c>
      <c r="C738" s="199" t="n"/>
      <c r="D738" s="312" t="n"/>
      <c r="E738" s="312" t="n"/>
      <c r="F738" s="312" t="n"/>
      <c r="G738" s="312" t="n"/>
      <c r="H738" s="312" t="n"/>
      <c r="I738" s="313" t="n"/>
      <c r="J738" s="170" t="n"/>
      <c r="K738" s="314" t="n"/>
      <c r="L738" s="170" t="n"/>
      <c r="M738" s="170" t="n"/>
      <c r="N738" s="170" t="n"/>
      <c r="O738" s="172" t="n"/>
      <c r="P738" s="172" t="n"/>
    </row>
    <row r="739">
      <c r="B739" s="170" t="n">
        <v>724</v>
      </c>
      <c r="C739" s="199" t="n"/>
      <c r="D739" s="312" t="n"/>
      <c r="E739" s="312" t="n"/>
      <c r="F739" s="312" t="n"/>
      <c r="G739" s="312" t="n"/>
      <c r="H739" s="312" t="n"/>
      <c r="I739" s="313" t="n"/>
      <c r="J739" s="170" t="n"/>
      <c r="K739" s="314" t="n"/>
      <c r="L739" s="170" t="n"/>
      <c r="M739" s="170" t="n"/>
      <c r="N739" s="170" t="n"/>
      <c r="O739" s="172" t="n"/>
      <c r="P739" s="172" t="n"/>
    </row>
    <row r="740">
      <c r="B740" s="170" t="n">
        <v>725</v>
      </c>
      <c r="C740" s="199" t="n"/>
      <c r="D740" s="312" t="n"/>
      <c r="E740" s="312" t="n"/>
      <c r="F740" s="312" t="n"/>
      <c r="G740" s="312" t="n"/>
      <c r="H740" s="312" t="n"/>
      <c r="I740" s="313" t="n"/>
      <c r="J740" s="170" t="n"/>
      <c r="K740" s="314" t="n"/>
      <c r="L740" s="170" t="n"/>
      <c r="M740" s="170" t="n"/>
      <c r="N740" s="170" t="n"/>
      <c r="O740" s="172" t="n"/>
      <c r="P740" s="172" t="n"/>
    </row>
    <row r="741">
      <c r="B741" s="170" t="n">
        <v>726</v>
      </c>
      <c r="C741" s="199" t="n"/>
      <c r="D741" s="312" t="n"/>
      <c r="E741" s="312" t="n"/>
      <c r="F741" s="312" t="n"/>
      <c r="G741" s="312" t="n"/>
      <c r="H741" s="312" t="n"/>
      <c r="I741" s="313" t="n"/>
      <c r="J741" s="170" t="n"/>
      <c r="K741" s="314" t="n"/>
      <c r="L741" s="170" t="n"/>
      <c r="M741" s="170" t="n"/>
      <c r="N741" s="170" t="n"/>
      <c r="O741" s="172" t="n"/>
      <c r="P741" s="172" t="n"/>
    </row>
    <row r="742">
      <c r="B742" s="170" t="n">
        <v>727</v>
      </c>
      <c r="C742" s="199" t="n"/>
      <c r="D742" s="312" t="n"/>
      <c r="E742" s="312" t="n"/>
      <c r="F742" s="312" t="n"/>
      <c r="G742" s="312" t="n"/>
      <c r="H742" s="312" t="n"/>
      <c r="I742" s="313" t="n"/>
      <c r="J742" s="170" t="n"/>
      <c r="K742" s="314" t="n"/>
      <c r="L742" s="170" t="n"/>
      <c r="M742" s="170" t="n"/>
      <c r="N742" s="170" t="n"/>
      <c r="O742" s="172" t="n"/>
      <c r="P742" s="172" t="n"/>
    </row>
    <row r="743">
      <c r="B743" s="170" t="n">
        <v>728</v>
      </c>
      <c r="C743" s="199" t="n"/>
      <c r="D743" s="312" t="n"/>
      <c r="E743" s="312" t="n"/>
      <c r="F743" s="312" t="n"/>
      <c r="G743" s="312" t="n"/>
      <c r="H743" s="312" t="n"/>
      <c r="I743" s="313" t="n"/>
      <c r="J743" s="170" t="n"/>
      <c r="K743" s="314" t="n"/>
      <c r="L743" s="170" t="n"/>
      <c r="M743" s="170" t="n"/>
      <c r="N743" s="170" t="n"/>
      <c r="O743" s="172" t="n"/>
      <c r="P743" s="172" t="n"/>
    </row>
    <row r="744">
      <c r="B744" s="170" t="n">
        <v>729</v>
      </c>
      <c r="C744" s="199" t="n"/>
      <c r="D744" s="312" t="n"/>
      <c r="E744" s="312" t="n"/>
      <c r="F744" s="312" t="n"/>
      <c r="G744" s="312" t="n"/>
      <c r="H744" s="312" t="n"/>
      <c r="I744" s="313" t="n"/>
      <c r="J744" s="170" t="n"/>
      <c r="K744" s="314" t="n"/>
      <c r="L744" s="170" t="n"/>
      <c r="M744" s="170" t="n"/>
      <c r="N744" s="170" t="n"/>
      <c r="O744" s="172" t="n"/>
      <c r="P744" s="172" t="n"/>
    </row>
    <row r="745">
      <c r="B745" s="170" t="n">
        <v>730</v>
      </c>
      <c r="C745" s="199" t="n"/>
      <c r="D745" s="312" t="n"/>
      <c r="E745" s="312" t="n"/>
      <c r="F745" s="312" t="n"/>
      <c r="G745" s="312" t="n"/>
      <c r="H745" s="312" t="n"/>
      <c r="I745" s="313" t="n"/>
      <c r="J745" s="170" t="n"/>
      <c r="K745" s="314" t="n"/>
      <c r="L745" s="170" t="n"/>
      <c r="M745" s="170" t="n"/>
      <c r="N745" s="170" t="n"/>
      <c r="O745" s="172" t="n"/>
      <c r="P745" s="172" t="n"/>
    </row>
    <row r="746">
      <c r="B746" s="170" t="n">
        <v>731</v>
      </c>
      <c r="C746" s="199" t="n"/>
      <c r="D746" s="312" t="n"/>
      <c r="E746" s="312" t="n"/>
      <c r="F746" s="312" t="n"/>
      <c r="G746" s="312" t="n"/>
      <c r="H746" s="312" t="n"/>
      <c r="I746" s="313" t="n"/>
      <c r="J746" s="170" t="n"/>
      <c r="K746" s="314" t="n"/>
      <c r="L746" s="170" t="n"/>
      <c r="M746" s="170" t="n"/>
      <c r="N746" s="170" t="n"/>
      <c r="O746" s="172" t="n"/>
      <c r="P746" s="172" t="n"/>
    </row>
    <row r="747">
      <c r="B747" s="170" t="n">
        <v>732</v>
      </c>
      <c r="C747" s="199" t="n"/>
      <c r="D747" s="312" t="n"/>
      <c r="E747" s="312" t="n"/>
      <c r="F747" s="312" t="n"/>
      <c r="G747" s="312" t="n"/>
      <c r="H747" s="312" t="n"/>
      <c r="I747" s="313" t="n"/>
      <c r="J747" s="170" t="n"/>
      <c r="K747" s="314" t="n"/>
      <c r="L747" s="170" t="n"/>
      <c r="M747" s="170" t="n"/>
      <c r="N747" s="170" t="n"/>
      <c r="O747" s="172" t="n"/>
      <c r="P747" s="172" t="n"/>
    </row>
    <row r="748">
      <c r="B748" s="170" t="n">
        <v>733</v>
      </c>
      <c r="C748" s="199" t="n"/>
      <c r="D748" s="312" t="n"/>
      <c r="E748" s="312" t="n"/>
      <c r="F748" s="312" t="n"/>
      <c r="G748" s="312" t="n"/>
      <c r="H748" s="312" t="n"/>
      <c r="I748" s="313" t="n"/>
      <c r="J748" s="170" t="n"/>
      <c r="K748" s="314" t="n"/>
      <c r="L748" s="170" t="n"/>
      <c r="M748" s="170" t="n"/>
      <c r="N748" s="170" t="n"/>
      <c r="O748" s="172" t="n"/>
      <c r="P748" s="172" t="n"/>
    </row>
    <row r="749">
      <c r="B749" s="170" t="n">
        <v>734</v>
      </c>
      <c r="C749" s="199" t="n"/>
      <c r="D749" s="312" t="n"/>
      <c r="E749" s="312" t="n"/>
      <c r="F749" s="312" t="n"/>
      <c r="G749" s="312" t="n"/>
      <c r="H749" s="312" t="n"/>
      <c r="I749" s="313" t="n"/>
      <c r="J749" s="170" t="n"/>
      <c r="K749" s="314" t="n"/>
      <c r="L749" s="170" t="n"/>
      <c r="M749" s="170" t="n"/>
      <c r="N749" s="170" t="n"/>
      <c r="O749" s="172" t="n"/>
      <c r="P749" s="172" t="n"/>
    </row>
    <row r="750">
      <c r="B750" s="170" t="n">
        <v>735</v>
      </c>
      <c r="C750" s="199" t="n"/>
      <c r="D750" s="312" t="n"/>
      <c r="E750" s="312" t="n"/>
      <c r="F750" s="312" t="n"/>
      <c r="G750" s="312" t="n"/>
      <c r="H750" s="312" t="n"/>
      <c r="I750" s="313" t="n"/>
      <c r="J750" s="170" t="n"/>
      <c r="K750" s="314" t="n"/>
      <c r="L750" s="170" t="n"/>
      <c r="M750" s="170" t="n"/>
      <c r="N750" s="170" t="n"/>
      <c r="O750" s="172" t="n"/>
      <c r="P750" s="172" t="n"/>
    </row>
    <row r="751">
      <c r="B751" s="170" t="n">
        <v>736</v>
      </c>
      <c r="C751" s="199" t="n"/>
      <c r="D751" s="312" t="n"/>
      <c r="E751" s="312" t="n"/>
      <c r="F751" s="312" t="n"/>
      <c r="G751" s="312" t="n"/>
      <c r="H751" s="312" t="n"/>
      <c r="I751" s="313" t="n"/>
      <c r="J751" s="170" t="n"/>
      <c r="K751" s="314" t="n"/>
      <c r="L751" s="170" t="n"/>
      <c r="M751" s="170" t="n"/>
      <c r="N751" s="170" t="n"/>
      <c r="O751" s="172" t="n"/>
      <c r="P751" s="172" t="n"/>
    </row>
    <row r="752">
      <c r="B752" s="170" t="n">
        <v>737</v>
      </c>
      <c r="C752" s="199" t="n"/>
      <c r="D752" s="312" t="n"/>
      <c r="E752" s="312" t="n"/>
      <c r="F752" s="312" t="n"/>
      <c r="G752" s="312" t="n"/>
      <c r="H752" s="312" t="n"/>
      <c r="I752" s="313" t="n"/>
      <c r="J752" s="170" t="n"/>
      <c r="K752" s="314" t="n"/>
      <c r="L752" s="170" t="n"/>
      <c r="M752" s="170" t="n"/>
      <c r="N752" s="170" t="n"/>
      <c r="O752" s="172" t="n"/>
      <c r="P752" s="172" t="n"/>
    </row>
    <row r="753">
      <c r="B753" s="170" t="n">
        <v>738</v>
      </c>
      <c r="C753" s="199" t="n"/>
      <c r="D753" s="312" t="n"/>
      <c r="E753" s="312" t="n"/>
      <c r="F753" s="312" t="n"/>
      <c r="G753" s="312" t="n"/>
      <c r="H753" s="312" t="n"/>
      <c r="I753" s="313" t="n"/>
      <c r="J753" s="170" t="n"/>
      <c r="K753" s="314" t="n"/>
      <c r="L753" s="170" t="n"/>
      <c r="M753" s="170" t="n"/>
      <c r="N753" s="170" t="n"/>
      <c r="O753" s="172" t="n"/>
      <c r="P753" s="172" t="n"/>
    </row>
    <row r="754">
      <c r="B754" s="170" t="n">
        <v>739</v>
      </c>
      <c r="C754" s="199" t="n"/>
      <c r="D754" s="312" t="n"/>
      <c r="E754" s="312" t="n"/>
      <c r="F754" s="312" t="n"/>
      <c r="G754" s="312" t="n"/>
      <c r="H754" s="312" t="n"/>
      <c r="I754" s="313" t="n"/>
      <c r="J754" s="170" t="n"/>
      <c r="K754" s="314" t="n"/>
      <c r="L754" s="170" t="n"/>
      <c r="M754" s="170" t="n"/>
      <c r="N754" s="170" t="n"/>
      <c r="O754" s="172" t="n"/>
      <c r="P754" s="172" t="n"/>
    </row>
    <row r="755">
      <c r="B755" s="170" t="n">
        <v>740</v>
      </c>
      <c r="C755" s="199" t="n"/>
      <c r="D755" s="312" t="n"/>
      <c r="E755" s="312" t="n"/>
      <c r="F755" s="312" t="n"/>
      <c r="G755" s="312" t="n"/>
      <c r="H755" s="312" t="n"/>
      <c r="I755" s="313" t="n"/>
      <c r="J755" s="170" t="n"/>
      <c r="K755" s="314" t="n"/>
      <c r="L755" s="170" t="n"/>
      <c r="M755" s="170" t="n"/>
      <c r="N755" s="170" t="n"/>
      <c r="O755" s="172" t="n"/>
      <c r="P755" s="172" t="n"/>
    </row>
    <row r="756">
      <c r="B756" s="170" t="n">
        <v>741</v>
      </c>
      <c r="C756" s="199" t="n"/>
      <c r="D756" s="312" t="n"/>
      <c r="E756" s="312" t="n"/>
      <c r="F756" s="312" t="n"/>
      <c r="G756" s="312" t="n"/>
      <c r="H756" s="312" t="n"/>
      <c r="I756" s="313" t="n"/>
      <c r="J756" s="170" t="n"/>
      <c r="K756" s="314" t="n"/>
      <c r="L756" s="170" t="n"/>
      <c r="M756" s="170" t="n"/>
      <c r="N756" s="170" t="n"/>
      <c r="O756" s="172" t="n"/>
      <c r="P756" s="172" t="n"/>
    </row>
    <row r="757">
      <c r="B757" s="170" t="n">
        <v>742</v>
      </c>
      <c r="C757" s="199" t="n"/>
      <c r="D757" s="312" t="n"/>
      <c r="E757" s="312" t="n"/>
      <c r="F757" s="312" t="n"/>
      <c r="G757" s="312" t="n"/>
      <c r="H757" s="312" t="n"/>
      <c r="I757" s="313" t="n"/>
      <c r="J757" s="170" t="n"/>
      <c r="K757" s="314" t="n"/>
      <c r="L757" s="170" t="n"/>
      <c r="M757" s="170" t="n"/>
      <c r="N757" s="170" t="n"/>
      <c r="O757" s="172" t="n"/>
      <c r="P757" s="172" t="n"/>
    </row>
    <row r="758">
      <c r="B758" s="170" t="n">
        <v>743</v>
      </c>
      <c r="C758" s="199" t="n"/>
      <c r="D758" s="312" t="n"/>
      <c r="E758" s="312" t="n"/>
      <c r="F758" s="312" t="n"/>
      <c r="G758" s="312" t="n"/>
      <c r="H758" s="312" t="n"/>
      <c r="I758" s="313" t="n"/>
      <c r="J758" s="170" t="n"/>
      <c r="K758" s="314" t="n"/>
      <c r="L758" s="170" t="n"/>
      <c r="M758" s="170" t="n"/>
      <c r="N758" s="170" t="n"/>
      <c r="O758" s="172" t="n"/>
      <c r="P758" s="172" t="n"/>
    </row>
    <row r="759">
      <c r="B759" s="170" t="n">
        <v>744</v>
      </c>
      <c r="C759" s="199" t="n"/>
      <c r="D759" s="312" t="n"/>
      <c r="E759" s="312" t="n"/>
      <c r="F759" s="312" t="n"/>
      <c r="G759" s="312" t="n"/>
      <c r="H759" s="312" t="n"/>
      <c r="I759" s="313" t="n"/>
      <c r="J759" s="170" t="n"/>
      <c r="K759" s="314" t="n"/>
      <c r="L759" s="170" t="n"/>
      <c r="M759" s="170" t="n"/>
      <c r="N759" s="170" t="n"/>
      <c r="O759" s="172" t="n"/>
      <c r="P759" s="172" t="n"/>
    </row>
    <row r="760">
      <c r="B760" s="170" t="n">
        <v>745</v>
      </c>
      <c r="C760" s="199" t="n"/>
      <c r="D760" s="312" t="n"/>
      <c r="E760" s="312" t="n"/>
      <c r="F760" s="312" t="n"/>
      <c r="G760" s="312" t="n"/>
      <c r="H760" s="312" t="n"/>
      <c r="I760" s="313" t="n"/>
      <c r="J760" s="170" t="n"/>
      <c r="K760" s="314" t="n"/>
      <c r="L760" s="170" t="n"/>
      <c r="M760" s="170" t="n"/>
      <c r="N760" s="170" t="n"/>
      <c r="O760" s="172" t="n"/>
      <c r="P760" s="172" t="n"/>
    </row>
    <row r="761">
      <c r="B761" s="170" t="n">
        <v>746</v>
      </c>
      <c r="C761" s="199" t="n"/>
      <c r="D761" s="312" t="n"/>
      <c r="E761" s="312" t="n"/>
      <c r="F761" s="312" t="n"/>
      <c r="G761" s="312" t="n"/>
      <c r="H761" s="312" t="n"/>
      <c r="I761" s="313" t="n"/>
      <c r="J761" s="170" t="n"/>
      <c r="K761" s="314" t="n"/>
      <c r="L761" s="170" t="n"/>
      <c r="M761" s="170" t="n"/>
      <c r="N761" s="170" t="n"/>
      <c r="O761" s="172" t="n"/>
      <c r="P761" s="172" t="n"/>
    </row>
    <row r="762">
      <c r="B762" s="170" t="n">
        <v>747</v>
      </c>
      <c r="C762" s="199" t="n"/>
      <c r="D762" s="312" t="n"/>
      <c r="E762" s="312" t="n"/>
      <c r="F762" s="312" t="n"/>
      <c r="G762" s="312" t="n"/>
      <c r="H762" s="312" t="n"/>
      <c r="I762" s="313" t="n"/>
      <c r="J762" s="170" t="n"/>
      <c r="K762" s="314" t="n"/>
      <c r="L762" s="170" t="n"/>
      <c r="M762" s="170" t="n"/>
      <c r="N762" s="170" t="n"/>
      <c r="O762" s="172" t="n"/>
      <c r="P762" s="172" t="n"/>
    </row>
    <row r="763">
      <c r="B763" s="170" t="n">
        <v>748</v>
      </c>
      <c r="C763" s="199" t="n"/>
      <c r="D763" s="312" t="n"/>
      <c r="E763" s="312" t="n"/>
      <c r="F763" s="312" t="n"/>
      <c r="G763" s="312" t="n"/>
      <c r="H763" s="312" t="n"/>
      <c r="I763" s="313" t="n"/>
      <c r="J763" s="170" t="n"/>
      <c r="K763" s="314" t="n"/>
      <c r="L763" s="170" t="n"/>
      <c r="M763" s="170" t="n"/>
      <c r="N763" s="170" t="n"/>
      <c r="O763" s="172" t="n"/>
      <c r="P763" s="172" t="n"/>
    </row>
    <row r="764">
      <c r="B764" s="170" t="n">
        <v>749</v>
      </c>
      <c r="C764" s="199" t="n"/>
      <c r="D764" s="312" t="n"/>
      <c r="E764" s="312" t="n"/>
      <c r="F764" s="312" t="n"/>
      <c r="G764" s="312" t="n"/>
      <c r="H764" s="312" t="n"/>
      <c r="I764" s="313" t="n"/>
      <c r="J764" s="170" t="n"/>
      <c r="K764" s="314" t="n"/>
      <c r="L764" s="170" t="n"/>
      <c r="M764" s="170" t="n"/>
      <c r="N764" s="170" t="n"/>
      <c r="O764" s="172" t="n"/>
      <c r="P764" s="172" t="n"/>
    </row>
    <row r="765">
      <c r="B765" s="170" t="n">
        <v>750</v>
      </c>
      <c r="C765" s="199" t="n"/>
      <c r="D765" s="312" t="n"/>
      <c r="E765" s="312" t="n"/>
      <c r="F765" s="312" t="n"/>
      <c r="G765" s="312" t="n"/>
      <c r="H765" s="312" t="n"/>
      <c r="I765" s="313" t="n"/>
      <c r="J765" s="170" t="n"/>
      <c r="K765" s="314" t="n"/>
      <c r="L765" s="170" t="n"/>
      <c r="M765" s="170" t="n"/>
      <c r="N765" s="170" t="n"/>
      <c r="O765" s="172" t="n"/>
      <c r="P765" s="172" t="n"/>
    </row>
    <row r="766">
      <c r="B766" s="170" t="n">
        <v>751</v>
      </c>
      <c r="C766" s="199" t="n"/>
      <c r="D766" s="312" t="n"/>
      <c r="E766" s="312" t="n"/>
      <c r="F766" s="312" t="n"/>
      <c r="G766" s="312" t="n"/>
      <c r="H766" s="312" t="n"/>
      <c r="I766" s="313" t="n"/>
      <c r="J766" s="170" t="n"/>
      <c r="K766" s="314" t="n"/>
      <c r="L766" s="170" t="n"/>
      <c r="M766" s="170" t="n"/>
      <c r="N766" s="170" t="n"/>
      <c r="O766" s="172" t="n"/>
      <c r="P766" s="172" t="n"/>
    </row>
    <row r="767">
      <c r="B767" s="170" t="n">
        <v>752</v>
      </c>
      <c r="C767" s="199" t="n"/>
      <c r="D767" s="312" t="n"/>
      <c r="E767" s="312" t="n"/>
      <c r="F767" s="312" t="n"/>
      <c r="G767" s="312" t="n"/>
      <c r="H767" s="312" t="n"/>
      <c r="I767" s="313" t="n"/>
      <c r="J767" s="170" t="n"/>
      <c r="K767" s="314" t="n"/>
      <c r="L767" s="170" t="n"/>
      <c r="M767" s="170" t="n"/>
      <c r="N767" s="170" t="n"/>
      <c r="O767" s="172" t="n"/>
      <c r="P767" s="172" t="n"/>
    </row>
    <row r="768">
      <c r="B768" s="170" t="n">
        <v>753</v>
      </c>
      <c r="C768" s="199" t="n"/>
      <c r="D768" s="312" t="n"/>
      <c r="E768" s="312" t="n"/>
      <c r="F768" s="312" t="n"/>
      <c r="G768" s="312" t="n"/>
      <c r="H768" s="312" t="n"/>
      <c r="I768" s="313" t="n"/>
      <c r="J768" s="170" t="n"/>
      <c r="K768" s="314" t="n"/>
      <c r="L768" s="170" t="n"/>
      <c r="M768" s="170" t="n"/>
      <c r="N768" s="170" t="n"/>
      <c r="O768" s="172" t="n"/>
      <c r="P768" s="172" t="n"/>
    </row>
    <row r="769">
      <c r="B769" s="170" t="n">
        <v>754</v>
      </c>
      <c r="C769" s="199" t="n"/>
      <c r="D769" s="312" t="n"/>
      <c r="E769" s="312" t="n"/>
      <c r="F769" s="312" t="n"/>
      <c r="G769" s="312" t="n"/>
      <c r="H769" s="312" t="n"/>
      <c r="I769" s="313" t="n"/>
      <c r="J769" s="170" t="n"/>
      <c r="K769" s="314" t="n"/>
      <c r="L769" s="170" t="n"/>
      <c r="M769" s="170" t="n"/>
      <c r="N769" s="170" t="n"/>
      <c r="O769" s="172" t="n"/>
      <c r="P769" s="172" t="n"/>
    </row>
    <row r="770">
      <c r="B770" s="170" t="n">
        <v>755</v>
      </c>
      <c r="C770" s="199" t="n"/>
      <c r="D770" s="312" t="n"/>
      <c r="E770" s="312" t="n"/>
      <c r="F770" s="312" t="n"/>
      <c r="G770" s="312" t="n"/>
      <c r="H770" s="312" t="n"/>
      <c r="I770" s="313" t="n"/>
      <c r="J770" s="170" t="n"/>
      <c r="K770" s="314" t="n"/>
      <c r="L770" s="170" t="n"/>
      <c r="M770" s="170" t="n"/>
      <c r="N770" s="170" t="n"/>
      <c r="O770" s="172" t="n"/>
      <c r="P770" s="172" t="n"/>
    </row>
    <row r="771">
      <c r="B771" s="170" t="n">
        <v>756</v>
      </c>
      <c r="C771" s="199" t="n"/>
      <c r="D771" s="312" t="n"/>
      <c r="E771" s="312" t="n"/>
      <c r="F771" s="312" t="n"/>
      <c r="G771" s="312" t="n"/>
      <c r="H771" s="312" t="n"/>
      <c r="I771" s="313" t="n"/>
      <c r="J771" s="170" t="n"/>
      <c r="K771" s="314" t="n"/>
      <c r="L771" s="170" t="n"/>
      <c r="M771" s="170" t="n"/>
      <c r="N771" s="170" t="n"/>
      <c r="O771" s="172" t="n"/>
      <c r="P771" s="172" t="n"/>
    </row>
    <row r="772">
      <c r="B772" s="170" t="n">
        <v>757</v>
      </c>
      <c r="C772" s="199" t="n"/>
      <c r="D772" s="312" t="n"/>
      <c r="E772" s="312" t="n"/>
      <c r="F772" s="312" t="n"/>
      <c r="G772" s="312" t="n"/>
      <c r="H772" s="312" t="n"/>
      <c r="I772" s="313" t="n"/>
      <c r="J772" s="170" t="n"/>
      <c r="K772" s="314" t="n"/>
      <c r="L772" s="170" t="n"/>
      <c r="M772" s="170" t="n"/>
      <c r="N772" s="170" t="n"/>
      <c r="O772" s="172" t="n"/>
      <c r="P772" s="172" t="n"/>
    </row>
    <row r="773">
      <c r="B773" s="170" t="n">
        <v>758</v>
      </c>
      <c r="C773" s="199" t="n"/>
      <c r="D773" s="312" t="n"/>
      <c r="E773" s="312" t="n"/>
      <c r="F773" s="312" t="n"/>
      <c r="G773" s="312" t="n"/>
      <c r="H773" s="312" t="n"/>
      <c r="I773" s="313" t="n"/>
      <c r="J773" s="170" t="n"/>
      <c r="K773" s="314" t="n"/>
      <c r="L773" s="170" t="n"/>
      <c r="M773" s="170" t="n"/>
      <c r="N773" s="170" t="n"/>
      <c r="O773" s="172" t="n"/>
      <c r="P773" s="172" t="n"/>
    </row>
    <row r="774">
      <c r="B774" s="170" t="n">
        <v>759</v>
      </c>
      <c r="C774" s="199" t="n"/>
      <c r="D774" s="312" t="n"/>
      <c r="E774" s="312" t="n"/>
      <c r="F774" s="312" t="n"/>
      <c r="G774" s="312" t="n"/>
      <c r="H774" s="312" t="n"/>
      <c r="I774" s="313" t="n"/>
      <c r="J774" s="170" t="n"/>
      <c r="K774" s="314" t="n"/>
      <c r="L774" s="170" t="n"/>
      <c r="M774" s="170" t="n"/>
      <c r="N774" s="170" t="n"/>
      <c r="O774" s="172" t="n"/>
      <c r="P774" s="172" t="n"/>
    </row>
    <row r="775">
      <c r="B775" s="170" t="n">
        <v>760</v>
      </c>
      <c r="C775" s="199" t="n"/>
      <c r="D775" s="312" t="n"/>
      <c r="E775" s="312" t="n"/>
      <c r="F775" s="312" t="n"/>
      <c r="G775" s="312" t="n"/>
      <c r="H775" s="312" t="n"/>
      <c r="I775" s="313" t="n"/>
      <c r="J775" s="170" t="n"/>
      <c r="K775" s="314" t="n"/>
      <c r="L775" s="170" t="n"/>
      <c r="M775" s="170" t="n"/>
      <c r="N775" s="170" t="n"/>
      <c r="O775" s="172" t="n"/>
      <c r="P775" s="172" t="n"/>
    </row>
    <row r="776">
      <c r="B776" s="170" t="n">
        <v>761</v>
      </c>
      <c r="C776" s="199" t="n"/>
      <c r="D776" s="312" t="n"/>
      <c r="E776" s="312" t="n"/>
      <c r="F776" s="312" t="n"/>
      <c r="G776" s="312" t="n"/>
      <c r="H776" s="312" t="n"/>
      <c r="I776" s="313" t="n"/>
      <c r="J776" s="170" t="n"/>
      <c r="K776" s="314" t="n"/>
      <c r="L776" s="170" t="n"/>
      <c r="M776" s="170" t="n"/>
      <c r="N776" s="170" t="n"/>
      <c r="O776" s="172" t="n"/>
      <c r="P776" s="172" t="n"/>
    </row>
    <row r="777">
      <c r="B777" s="170" t="n">
        <v>762</v>
      </c>
      <c r="C777" s="199" t="n"/>
      <c r="D777" s="312" t="n"/>
      <c r="E777" s="312" t="n"/>
      <c r="F777" s="312" t="n"/>
      <c r="G777" s="312" t="n"/>
      <c r="H777" s="312" t="n"/>
      <c r="I777" s="313" t="n"/>
      <c r="J777" s="170" t="n"/>
      <c r="K777" s="314" t="n"/>
      <c r="L777" s="170" t="n"/>
      <c r="M777" s="170" t="n"/>
      <c r="N777" s="170" t="n"/>
      <c r="O777" s="172" t="n"/>
      <c r="P777" s="172" t="n"/>
    </row>
    <row r="778">
      <c r="B778" s="170" t="n">
        <v>763</v>
      </c>
      <c r="C778" s="199" t="n"/>
      <c r="D778" s="312" t="n"/>
      <c r="E778" s="312" t="n"/>
      <c r="F778" s="312" t="n"/>
      <c r="G778" s="312" t="n"/>
      <c r="H778" s="312" t="n"/>
      <c r="I778" s="313" t="n"/>
      <c r="J778" s="170" t="n"/>
      <c r="K778" s="314" t="n"/>
      <c r="L778" s="170" t="n"/>
      <c r="M778" s="170" t="n"/>
      <c r="N778" s="170" t="n"/>
      <c r="O778" s="172" t="n"/>
      <c r="P778" s="172" t="n"/>
    </row>
    <row r="779">
      <c r="B779" s="170" t="n">
        <v>764</v>
      </c>
      <c r="C779" s="199" t="n"/>
      <c r="D779" s="312" t="n"/>
      <c r="E779" s="312" t="n"/>
      <c r="F779" s="312" t="n"/>
      <c r="G779" s="312" t="n"/>
      <c r="H779" s="312" t="n"/>
      <c r="I779" s="313" t="n"/>
      <c r="J779" s="170" t="n"/>
      <c r="K779" s="314" t="n"/>
      <c r="L779" s="170" t="n"/>
      <c r="M779" s="170" t="n"/>
      <c r="N779" s="170" t="n"/>
      <c r="O779" s="172" t="n"/>
      <c r="P779" s="172" t="n"/>
    </row>
    <row r="780">
      <c r="B780" s="170" t="n">
        <v>765</v>
      </c>
      <c r="C780" s="199" t="n"/>
      <c r="D780" s="312" t="n"/>
      <c r="E780" s="312" t="n"/>
      <c r="F780" s="312" t="n"/>
      <c r="G780" s="312" t="n"/>
      <c r="H780" s="312" t="n"/>
      <c r="I780" s="313" t="n"/>
      <c r="J780" s="170" t="n"/>
      <c r="K780" s="314" t="n"/>
      <c r="L780" s="170" t="n"/>
      <c r="M780" s="170" t="n"/>
      <c r="N780" s="170" t="n"/>
      <c r="O780" s="172" t="n"/>
      <c r="P780" s="172" t="n"/>
    </row>
    <row r="781">
      <c r="B781" s="170" t="n">
        <v>766</v>
      </c>
      <c r="C781" s="199" t="n"/>
      <c r="D781" s="312" t="n"/>
      <c r="E781" s="312" t="n"/>
      <c r="F781" s="312" t="n"/>
      <c r="G781" s="312" t="n"/>
      <c r="H781" s="312" t="n"/>
      <c r="I781" s="313" t="n"/>
      <c r="J781" s="170" t="n"/>
      <c r="K781" s="314" t="n"/>
      <c r="L781" s="170" t="n"/>
      <c r="M781" s="170" t="n"/>
      <c r="N781" s="170" t="n"/>
      <c r="O781" s="172" t="n"/>
      <c r="P781" s="172" t="n"/>
    </row>
    <row r="782">
      <c r="B782" s="170" t="n">
        <v>767</v>
      </c>
      <c r="C782" s="199" t="n"/>
      <c r="D782" s="312" t="n"/>
      <c r="E782" s="312" t="n"/>
      <c r="F782" s="312" t="n"/>
      <c r="G782" s="312" t="n"/>
      <c r="H782" s="312" t="n"/>
      <c r="I782" s="313" t="n"/>
      <c r="J782" s="170" t="n"/>
      <c r="K782" s="314" t="n"/>
      <c r="L782" s="170" t="n"/>
      <c r="M782" s="170" t="n"/>
      <c r="N782" s="170" t="n"/>
      <c r="O782" s="172" t="n"/>
      <c r="P782" s="172" t="n"/>
    </row>
    <row r="783">
      <c r="B783" s="170" t="n">
        <v>768</v>
      </c>
      <c r="C783" s="199" t="n"/>
      <c r="D783" s="312" t="n"/>
      <c r="E783" s="312" t="n"/>
      <c r="F783" s="312" t="n"/>
      <c r="G783" s="312" t="n"/>
      <c r="H783" s="312" t="n"/>
      <c r="I783" s="313" t="n"/>
      <c r="J783" s="170" t="n"/>
      <c r="K783" s="314" t="n"/>
      <c r="L783" s="170" t="n"/>
      <c r="M783" s="170" t="n"/>
      <c r="N783" s="170" t="n"/>
      <c r="O783" s="172" t="n"/>
      <c r="P783" s="172" t="n"/>
    </row>
    <row r="784">
      <c r="B784" s="170" t="n">
        <v>769</v>
      </c>
      <c r="C784" s="199" t="n"/>
      <c r="D784" s="312" t="n"/>
      <c r="E784" s="312" t="n"/>
      <c r="F784" s="312" t="n"/>
      <c r="G784" s="312" t="n"/>
      <c r="H784" s="312" t="n"/>
      <c r="I784" s="313" t="n"/>
      <c r="J784" s="170" t="n"/>
      <c r="K784" s="314" t="n"/>
      <c r="L784" s="170" t="n"/>
      <c r="M784" s="170" t="n"/>
      <c r="N784" s="170" t="n"/>
      <c r="O784" s="172" t="n"/>
      <c r="P784" s="172" t="n"/>
    </row>
    <row r="785">
      <c r="B785" s="170" t="n">
        <v>770</v>
      </c>
      <c r="C785" s="199" t="n"/>
      <c r="D785" s="312" t="n"/>
      <c r="E785" s="312" t="n"/>
      <c r="F785" s="312" t="n"/>
      <c r="G785" s="312" t="n"/>
      <c r="H785" s="312" t="n"/>
      <c r="I785" s="313" t="n"/>
      <c r="J785" s="170" t="n"/>
      <c r="K785" s="314" t="n"/>
      <c r="L785" s="170" t="n"/>
      <c r="M785" s="170" t="n"/>
      <c r="N785" s="170" t="n"/>
      <c r="O785" s="172" t="n"/>
      <c r="P785" s="172" t="n"/>
    </row>
    <row r="786">
      <c r="B786" s="170" t="n">
        <v>771</v>
      </c>
      <c r="C786" s="199" t="n"/>
      <c r="D786" s="312" t="n"/>
      <c r="E786" s="312" t="n"/>
      <c r="F786" s="312" t="n"/>
      <c r="G786" s="312" t="n"/>
      <c r="H786" s="312" t="n"/>
      <c r="I786" s="313" t="n"/>
      <c r="J786" s="170" t="n"/>
      <c r="K786" s="314" t="n"/>
      <c r="L786" s="170" t="n"/>
      <c r="M786" s="170" t="n"/>
      <c r="N786" s="170" t="n"/>
      <c r="O786" s="172" t="n"/>
      <c r="P786" s="172" t="n"/>
    </row>
    <row r="787">
      <c r="B787" s="170" t="n">
        <v>772</v>
      </c>
      <c r="C787" s="199" t="n"/>
      <c r="D787" s="312" t="n"/>
      <c r="E787" s="312" t="n"/>
      <c r="F787" s="312" t="n"/>
      <c r="G787" s="312" t="n"/>
      <c r="H787" s="312" t="n"/>
      <c r="I787" s="313" t="n"/>
      <c r="J787" s="170" t="n"/>
      <c r="K787" s="314" t="n"/>
      <c r="L787" s="170" t="n"/>
      <c r="M787" s="170" t="n"/>
      <c r="N787" s="170" t="n"/>
      <c r="O787" s="172" t="n"/>
      <c r="P787" s="172" t="n"/>
    </row>
    <row r="788">
      <c r="B788" s="170" t="n">
        <v>773</v>
      </c>
      <c r="C788" s="199" t="n"/>
      <c r="D788" s="312" t="n"/>
      <c r="E788" s="312" t="n"/>
      <c r="F788" s="312" t="n"/>
      <c r="G788" s="312" t="n"/>
      <c r="H788" s="312" t="n"/>
      <c r="I788" s="313" t="n"/>
      <c r="J788" s="170" t="n"/>
      <c r="K788" s="314" t="n"/>
      <c r="L788" s="170" t="n"/>
      <c r="M788" s="170" t="n"/>
      <c r="N788" s="170" t="n"/>
      <c r="O788" s="172" t="n"/>
      <c r="P788" s="172" t="n"/>
    </row>
    <row r="789">
      <c r="B789" s="170" t="n">
        <v>774</v>
      </c>
      <c r="C789" s="199" t="n"/>
      <c r="D789" s="312" t="n"/>
      <c r="E789" s="312" t="n"/>
      <c r="F789" s="312" t="n"/>
      <c r="G789" s="312" t="n"/>
      <c r="H789" s="312" t="n"/>
      <c r="I789" s="313" t="n"/>
      <c r="J789" s="170" t="n"/>
      <c r="K789" s="314" t="n"/>
      <c r="L789" s="170" t="n"/>
      <c r="M789" s="170" t="n"/>
      <c r="N789" s="170" t="n"/>
      <c r="O789" s="172" t="n"/>
      <c r="P789" s="172" t="n"/>
    </row>
    <row r="790">
      <c r="B790" s="170" t="n">
        <v>775</v>
      </c>
      <c r="C790" s="199" t="n"/>
      <c r="D790" s="312" t="n"/>
      <c r="E790" s="312" t="n"/>
      <c r="F790" s="312" t="n"/>
      <c r="G790" s="312" t="n"/>
      <c r="H790" s="312" t="n"/>
      <c r="I790" s="313" t="n"/>
      <c r="J790" s="170" t="n"/>
      <c r="K790" s="314" t="n"/>
      <c r="L790" s="170" t="n"/>
      <c r="M790" s="170" t="n"/>
      <c r="N790" s="170" t="n"/>
      <c r="O790" s="172" t="n"/>
      <c r="P790" s="172" t="n"/>
    </row>
    <row r="791">
      <c r="B791" s="170" t="n">
        <v>776</v>
      </c>
      <c r="C791" s="199" t="n"/>
      <c r="D791" s="312" t="n"/>
      <c r="E791" s="312" t="n"/>
      <c r="F791" s="312" t="n"/>
      <c r="G791" s="312" t="n"/>
      <c r="H791" s="312" t="n"/>
      <c r="I791" s="313" t="n"/>
      <c r="J791" s="170" t="n"/>
      <c r="K791" s="314" t="n"/>
      <c r="L791" s="170" t="n"/>
      <c r="M791" s="170" t="n"/>
      <c r="N791" s="170" t="n"/>
      <c r="O791" s="172" t="n"/>
      <c r="P791" s="172" t="n"/>
    </row>
    <row r="792">
      <c r="B792" s="170" t="n">
        <v>777</v>
      </c>
      <c r="C792" s="199" t="n"/>
      <c r="D792" s="312" t="n"/>
      <c r="E792" s="312" t="n"/>
      <c r="F792" s="312" t="n"/>
      <c r="G792" s="312" t="n"/>
      <c r="H792" s="312" t="n"/>
      <c r="I792" s="313" t="n"/>
      <c r="J792" s="170" t="n"/>
      <c r="K792" s="314" t="n"/>
      <c r="L792" s="170" t="n"/>
      <c r="M792" s="170" t="n"/>
      <c r="N792" s="170" t="n"/>
      <c r="O792" s="172" t="n"/>
      <c r="P792" s="172" t="n"/>
    </row>
    <row r="793">
      <c r="B793" s="170" t="n">
        <v>778</v>
      </c>
      <c r="C793" s="199" t="n"/>
      <c r="D793" s="312" t="n"/>
      <c r="E793" s="312" t="n"/>
      <c r="F793" s="312" t="n"/>
      <c r="G793" s="312" t="n"/>
      <c r="H793" s="312" t="n"/>
      <c r="I793" s="313" t="n"/>
      <c r="J793" s="170" t="n"/>
      <c r="K793" s="314" t="n"/>
      <c r="L793" s="170" t="n"/>
      <c r="M793" s="170" t="n"/>
      <c r="N793" s="170" t="n"/>
      <c r="O793" s="172" t="n"/>
      <c r="P793" s="172" t="n"/>
    </row>
    <row r="794">
      <c r="B794" s="170" t="n">
        <v>779</v>
      </c>
      <c r="C794" s="199" t="n"/>
      <c r="D794" s="312" t="n"/>
      <c r="E794" s="312" t="n"/>
      <c r="F794" s="312" t="n"/>
      <c r="G794" s="312" t="n"/>
      <c r="H794" s="312" t="n"/>
      <c r="I794" s="313" t="n"/>
      <c r="J794" s="170" t="n"/>
      <c r="K794" s="314" t="n"/>
      <c r="L794" s="170" t="n"/>
      <c r="M794" s="170" t="n"/>
      <c r="N794" s="170" t="n"/>
      <c r="O794" s="172" t="n"/>
      <c r="P794" s="172" t="n"/>
    </row>
    <row r="795">
      <c r="B795" s="170" t="n">
        <v>780</v>
      </c>
      <c r="C795" s="199" t="n"/>
      <c r="D795" s="312" t="n"/>
      <c r="E795" s="312" t="n"/>
      <c r="F795" s="312" t="n"/>
      <c r="G795" s="312" t="n"/>
      <c r="H795" s="312" t="n"/>
      <c r="I795" s="313" t="n"/>
      <c r="J795" s="170" t="n"/>
      <c r="K795" s="314" t="n"/>
      <c r="L795" s="170" t="n"/>
      <c r="M795" s="170" t="n"/>
      <c r="N795" s="170" t="n"/>
      <c r="O795" s="172" t="n"/>
      <c r="P795" s="172" t="n"/>
    </row>
    <row r="796">
      <c r="B796" s="170" t="n">
        <v>781</v>
      </c>
      <c r="C796" s="199" t="n"/>
      <c r="D796" s="312" t="n"/>
      <c r="E796" s="312" t="n"/>
      <c r="F796" s="312" t="n"/>
      <c r="G796" s="312" t="n"/>
      <c r="H796" s="312" t="n"/>
      <c r="I796" s="313" t="n"/>
      <c r="J796" s="170" t="n"/>
      <c r="K796" s="314" t="n"/>
      <c r="L796" s="170" t="n"/>
      <c r="M796" s="170" t="n"/>
      <c r="N796" s="170" t="n"/>
      <c r="O796" s="172" t="n"/>
      <c r="P796" s="172" t="n"/>
    </row>
    <row r="797">
      <c r="B797" s="170" t="n">
        <v>782</v>
      </c>
      <c r="C797" s="199" t="n"/>
      <c r="D797" s="312" t="n"/>
      <c r="E797" s="312" t="n"/>
      <c r="F797" s="312" t="n"/>
      <c r="G797" s="312" t="n"/>
      <c r="H797" s="312" t="n"/>
      <c r="I797" s="313" t="n"/>
      <c r="J797" s="170" t="n"/>
      <c r="K797" s="314" t="n"/>
      <c r="L797" s="170" t="n"/>
      <c r="M797" s="170" t="n"/>
      <c r="N797" s="170" t="n"/>
      <c r="O797" s="172" t="n"/>
      <c r="P797" s="172" t="n"/>
    </row>
    <row r="798">
      <c r="B798" s="170" t="n">
        <v>783</v>
      </c>
      <c r="C798" s="199" t="n"/>
      <c r="D798" s="312" t="n"/>
      <c r="E798" s="312" t="n"/>
      <c r="F798" s="312" t="n"/>
      <c r="G798" s="312" t="n"/>
      <c r="H798" s="312" t="n"/>
      <c r="I798" s="313" t="n"/>
      <c r="J798" s="170" t="n"/>
      <c r="K798" s="314" t="n"/>
      <c r="L798" s="170" t="n"/>
      <c r="M798" s="170" t="n"/>
      <c r="N798" s="170" t="n"/>
      <c r="O798" s="172" t="n"/>
      <c r="P798" s="172" t="n"/>
    </row>
    <row r="799">
      <c r="B799" s="170" t="n">
        <v>784</v>
      </c>
      <c r="C799" s="199" t="n"/>
      <c r="D799" s="312" t="n"/>
      <c r="E799" s="312" t="n"/>
      <c r="F799" s="312" t="n"/>
      <c r="G799" s="312" t="n"/>
      <c r="H799" s="312" t="n"/>
      <c r="I799" s="313" t="n"/>
      <c r="J799" s="170" t="n"/>
      <c r="K799" s="314" t="n"/>
      <c r="L799" s="170" t="n"/>
      <c r="M799" s="170" t="n"/>
      <c r="N799" s="170" t="n"/>
      <c r="O799" s="172" t="n"/>
      <c r="P799" s="172" t="n"/>
    </row>
    <row r="800">
      <c r="B800" s="170" t="n">
        <v>785</v>
      </c>
      <c r="C800" s="199" t="n"/>
      <c r="D800" s="312" t="n"/>
      <c r="E800" s="312" t="n"/>
      <c r="F800" s="312" t="n"/>
      <c r="G800" s="312" t="n"/>
      <c r="H800" s="312" t="n"/>
      <c r="I800" s="313" t="n"/>
      <c r="J800" s="170" t="n"/>
      <c r="K800" s="314" t="n"/>
      <c r="L800" s="170" t="n"/>
      <c r="M800" s="170" t="n"/>
      <c r="N800" s="170" t="n"/>
      <c r="O800" s="172" t="n"/>
      <c r="P800" s="172" t="n"/>
    </row>
    <row r="801">
      <c r="B801" s="170" t="n">
        <v>786</v>
      </c>
      <c r="C801" s="199" t="n"/>
      <c r="D801" s="312" t="n"/>
      <c r="E801" s="312" t="n"/>
      <c r="F801" s="312" t="n"/>
      <c r="G801" s="312" t="n"/>
      <c r="H801" s="312" t="n"/>
      <c r="I801" s="313" t="n"/>
      <c r="J801" s="170" t="n"/>
      <c r="K801" s="314" t="n"/>
      <c r="L801" s="170" t="n"/>
      <c r="M801" s="170" t="n"/>
      <c r="N801" s="170" t="n"/>
      <c r="O801" s="172" t="n"/>
      <c r="P801" s="172" t="n"/>
    </row>
    <row r="802">
      <c r="B802" s="170" t="n">
        <v>787</v>
      </c>
      <c r="C802" s="199" t="n"/>
      <c r="D802" s="312" t="n"/>
      <c r="E802" s="312" t="n"/>
      <c r="F802" s="312" t="n"/>
      <c r="G802" s="312" t="n"/>
      <c r="H802" s="312" t="n"/>
      <c r="I802" s="313" t="n"/>
      <c r="J802" s="170" t="n"/>
      <c r="K802" s="314" t="n"/>
      <c r="L802" s="170" t="n"/>
      <c r="M802" s="170" t="n"/>
      <c r="N802" s="170" t="n"/>
      <c r="O802" s="172" t="n"/>
      <c r="P802" s="172" t="n"/>
    </row>
    <row r="803">
      <c r="B803" s="170" t="n">
        <v>788</v>
      </c>
      <c r="C803" s="199" t="n"/>
      <c r="D803" s="312" t="n"/>
      <c r="E803" s="312" t="n"/>
      <c r="F803" s="312" t="n"/>
      <c r="G803" s="312" t="n"/>
      <c r="H803" s="312" t="n"/>
      <c r="I803" s="313" t="n"/>
      <c r="J803" s="170" t="n"/>
      <c r="K803" s="314" t="n"/>
      <c r="L803" s="170" t="n"/>
      <c r="M803" s="170" t="n"/>
      <c r="N803" s="170" t="n"/>
      <c r="O803" s="172" t="n"/>
      <c r="P803" s="172" t="n"/>
    </row>
    <row r="804">
      <c r="B804" s="170" t="n">
        <v>789</v>
      </c>
      <c r="C804" s="199" t="n"/>
      <c r="D804" s="312" t="n"/>
      <c r="E804" s="312" t="n"/>
      <c r="F804" s="312" t="n"/>
      <c r="G804" s="312" t="n"/>
      <c r="H804" s="312" t="n"/>
      <c r="I804" s="313" t="n"/>
      <c r="J804" s="170" t="n"/>
      <c r="K804" s="314" t="n"/>
      <c r="L804" s="170" t="n"/>
      <c r="M804" s="170" t="n"/>
      <c r="N804" s="170" t="n"/>
      <c r="O804" s="172" t="n"/>
      <c r="P804" s="172" t="n"/>
    </row>
    <row r="805">
      <c r="B805" s="170" t="n">
        <v>790</v>
      </c>
      <c r="C805" s="199" t="n"/>
      <c r="D805" s="312" t="n"/>
      <c r="E805" s="312" t="n"/>
      <c r="F805" s="312" t="n"/>
      <c r="G805" s="312" t="n"/>
      <c r="H805" s="312" t="n"/>
      <c r="I805" s="313" t="n"/>
      <c r="J805" s="170" t="n"/>
      <c r="K805" s="314" t="n"/>
      <c r="L805" s="170" t="n"/>
      <c r="M805" s="170" t="n"/>
      <c r="N805" s="170" t="n"/>
      <c r="O805" s="172" t="n"/>
      <c r="P805" s="172" t="n"/>
    </row>
    <row r="806">
      <c r="B806" s="170" t="n">
        <v>791</v>
      </c>
      <c r="C806" s="199" t="n"/>
      <c r="D806" s="312" t="n"/>
      <c r="E806" s="312" t="n"/>
      <c r="F806" s="312" t="n"/>
      <c r="G806" s="312" t="n"/>
      <c r="H806" s="312" t="n"/>
      <c r="I806" s="313" t="n"/>
      <c r="J806" s="170" t="n"/>
      <c r="K806" s="314" t="n"/>
      <c r="L806" s="170" t="n"/>
      <c r="M806" s="170" t="n"/>
      <c r="N806" s="170" t="n"/>
      <c r="O806" s="172" t="n"/>
      <c r="P806" s="172" t="n"/>
    </row>
    <row r="807">
      <c r="B807" s="170" t="n">
        <v>792</v>
      </c>
      <c r="C807" s="199" t="n"/>
      <c r="D807" s="312" t="n"/>
      <c r="E807" s="312" t="n"/>
      <c r="F807" s="312" t="n"/>
      <c r="G807" s="312" t="n"/>
      <c r="H807" s="312" t="n"/>
      <c r="I807" s="313" t="n"/>
      <c r="J807" s="170" t="n"/>
      <c r="K807" s="314" t="n"/>
      <c r="L807" s="170" t="n"/>
      <c r="M807" s="170" t="n"/>
      <c r="N807" s="170" t="n"/>
      <c r="O807" s="172" t="n"/>
      <c r="P807" s="172" t="n"/>
    </row>
    <row r="808">
      <c r="B808" s="170" t="n">
        <v>793</v>
      </c>
      <c r="C808" s="199" t="n"/>
      <c r="D808" s="312" t="n"/>
      <c r="E808" s="312" t="n"/>
      <c r="F808" s="312" t="n"/>
      <c r="G808" s="312" t="n"/>
      <c r="H808" s="312" t="n"/>
      <c r="I808" s="313" t="n"/>
      <c r="J808" s="170" t="n"/>
      <c r="K808" s="314" t="n"/>
      <c r="L808" s="170" t="n"/>
      <c r="M808" s="170" t="n"/>
      <c r="N808" s="170" t="n"/>
      <c r="O808" s="172" t="n"/>
      <c r="P808" s="172" t="n"/>
    </row>
    <row r="809">
      <c r="B809" s="170" t="n">
        <v>794</v>
      </c>
      <c r="C809" s="199" t="n"/>
      <c r="D809" s="312" t="n"/>
      <c r="E809" s="312" t="n"/>
      <c r="F809" s="312" t="n"/>
      <c r="G809" s="312" t="n"/>
      <c r="H809" s="312" t="n"/>
      <c r="I809" s="313" t="n"/>
      <c r="J809" s="170" t="n"/>
      <c r="K809" s="314" t="n"/>
      <c r="L809" s="170" t="n"/>
      <c r="M809" s="170" t="n"/>
      <c r="N809" s="170" t="n"/>
      <c r="O809" s="172" t="n"/>
      <c r="P809" s="172" t="n"/>
    </row>
    <row r="810">
      <c r="B810" s="170" t="n">
        <v>795</v>
      </c>
      <c r="C810" s="199" t="n"/>
      <c r="D810" s="312" t="n"/>
      <c r="E810" s="312" t="n"/>
      <c r="F810" s="312" t="n"/>
      <c r="G810" s="312" t="n"/>
      <c r="H810" s="312" t="n"/>
      <c r="I810" s="313" t="n"/>
      <c r="J810" s="170" t="n"/>
      <c r="K810" s="314" t="n"/>
      <c r="L810" s="170" t="n"/>
      <c r="M810" s="170" t="n"/>
      <c r="N810" s="170" t="n"/>
      <c r="O810" s="172" t="n"/>
      <c r="P810" s="172" t="n"/>
    </row>
    <row r="811">
      <c r="B811" s="170" t="n">
        <v>796</v>
      </c>
      <c r="C811" s="199" t="n"/>
      <c r="D811" s="312" t="n"/>
      <c r="E811" s="312" t="n"/>
      <c r="F811" s="312" t="n"/>
      <c r="G811" s="312" t="n"/>
      <c r="H811" s="312" t="n"/>
      <c r="I811" s="313" t="n"/>
      <c r="J811" s="170" t="n"/>
      <c r="K811" s="314" t="n"/>
      <c r="L811" s="170" t="n"/>
      <c r="M811" s="170" t="n"/>
      <c r="N811" s="170" t="n"/>
      <c r="O811" s="172" t="n"/>
      <c r="P811" s="172" t="n"/>
    </row>
    <row r="812">
      <c r="B812" s="170" t="n">
        <v>797</v>
      </c>
      <c r="C812" s="199" t="n"/>
      <c r="D812" s="312" t="n"/>
      <c r="E812" s="312" t="n"/>
      <c r="F812" s="312" t="n"/>
      <c r="G812" s="312" t="n"/>
      <c r="H812" s="312" t="n"/>
      <c r="I812" s="313" t="n"/>
      <c r="J812" s="170" t="n"/>
      <c r="K812" s="314" t="n"/>
      <c r="L812" s="170" t="n"/>
      <c r="M812" s="170" t="n"/>
      <c r="N812" s="170" t="n"/>
      <c r="O812" s="172" t="n"/>
      <c r="P812" s="172" t="n"/>
    </row>
    <row r="813">
      <c r="B813" s="170" t="n">
        <v>798</v>
      </c>
      <c r="C813" s="199" t="n"/>
      <c r="D813" s="312" t="n"/>
      <c r="E813" s="312" t="n"/>
      <c r="F813" s="312" t="n"/>
      <c r="G813" s="312" t="n"/>
      <c r="H813" s="312" t="n"/>
      <c r="I813" s="313" t="n"/>
      <c r="J813" s="170" t="n"/>
      <c r="K813" s="314" t="n"/>
      <c r="L813" s="170" t="n"/>
      <c r="M813" s="170" t="n"/>
      <c r="N813" s="170" t="n"/>
      <c r="O813" s="172" t="n"/>
      <c r="P813" s="172" t="n"/>
    </row>
    <row r="814">
      <c r="B814" s="170" t="n">
        <v>799</v>
      </c>
      <c r="C814" s="199" t="n"/>
      <c r="D814" s="312" t="n"/>
      <c r="E814" s="312" t="n"/>
      <c r="F814" s="312" t="n"/>
      <c r="G814" s="312" t="n"/>
      <c r="H814" s="312" t="n"/>
      <c r="I814" s="313" t="n"/>
      <c r="J814" s="170" t="n"/>
      <c r="K814" s="314" t="n"/>
      <c r="L814" s="170" t="n"/>
      <c r="M814" s="170" t="n"/>
      <c r="N814" s="170" t="n"/>
      <c r="O814" s="172" t="n"/>
      <c r="P814" s="172" t="n"/>
    </row>
    <row r="815">
      <c r="B815" s="170" t="n">
        <v>800</v>
      </c>
      <c r="C815" s="199" t="n"/>
      <c r="D815" s="312" t="n"/>
      <c r="E815" s="312" t="n"/>
      <c r="F815" s="312" t="n"/>
      <c r="G815" s="312" t="n"/>
      <c r="H815" s="312" t="n"/>
      <c r="I815" s="313" t="n"/>
      <c r="J815" s="170" t="n"/>
      <c r="K815" s="314" t="n"/>
      <c r="L815" s="170" t="n"/>
      <c r="M815" s="170" t="n"/>
      <c r="N815" s="170" t="n"/>
      <c r="O815" s="172" t="n"/>
      <c r="P815" s="172" t="n"/>
    </row>
    <row r="816">
      <c r="B816" s="170" t="n">
        <v>801</v>
      </c>
      <c r="C816" s="199" t="n"/>
      <c r="D816" s="312" t="n"/>
      <c r="E816" s="312" t="n"/>
      <c r="F816" s="312" t="n"/>
      <c r="G816" s="312" t="n"/>
      <c r="H816" s="312" t="n"/>
      <c r="I816" s="313" t="n"/>
      <c r="J816" s="170" t="n"/>
      <c r="K816" s="314" t="n"/>
      <c r="L816" s="170" t="n"/>
      <c r="M816" s="170" t="n"/>
      <c r="N816" s="170" t="n"/>
      <c r="O816" s="172" t="n"/>
      <c r="P816" s="172" t="n"/>
    </row>
    <row r="817">
      <c r="B817" s="170" t="n">
        <v>802</v>
      </c>
      <c r="C817" s="199" t="n"/>
      <c r="D817" s="312" t="n"/>
      <c r="E817" s="312" t="n"/>
      <c r="F817" s="312" t="n"/>
      <c r="G817" s="312" t="n"/>
      <c r="H817" s="312" t="n"/>
      <c r="I817" s="313" t="n"/>
      <c r="J817" s="170" t="n"/>
      <c r="K817" s="314" t="n"/>
      <c r="L817" s="170" t="n"/>
      <c r="M817" s="170" t="n"/>
      <c r="N817" s="170" t="n"/>
      <c r="O817" s="172" t="n"/>
      <c r="P817" s="172" t="n"/>
    </row>
    <row r="818">
      <c r="B818" s="170" t="n">
        <v>803</v>
      </c>
      <c r="C818" s="199" t="n"/>
      <c r="D818" s="312" t="n"/>
      <c r="E818" s="312" t="n"/>
      <c r="F818" s="312" t="n"/>
      <c r="G818" s="312" t="n"/>
      <c r="H818" s="312" t="n"/>
      <c r="I818" s="313" t="n"/>
      <c r="J818" s="170" t="n"/>
      <c r="K818" s="314" t="n"/>
      <c r="L818" s="170" t="n"/>
      <c r="M818" s="170" t="n"/>
      <c r="N818" s="170" t="n"/>
      <c r="O818" s="172" t="n"/>
      <c r="P818" s="172" t="n"/>
    </row>
    <row r="819">
      <c r="B819" s="170" t="n">
        <v>804</v>
      </c>
      <c r="C819" s="199" t="n"/>
      <c r="D819" s="312" t="n"/>
      <c r="E819" s="312" t="n"/>
      <c r="F819" s="312" t="n"/>
      <c r="G819" s="312" t="n"/>
      <c r="H819" s="312" t="n"/>
      <c r="I819" s="313" t="n"/>
      <c r="J819" s="170" t="n"/>
      <c r="K819" s="314" t="n"/>
      <c r="L819" s="170" t="n"/>
      <c r="M819" s="170" t="n"/>
      <c r="N819" s="170" t="n"/>
      <c r="O819" s="172" t="n"/>
      <c r="P819" s="172" t="n"/>
    </row>
    <row r="820">
      <c r="B820" s="170" t="n">
        <v>805</v>
      </c>
      <c r="C820" s="199" t="n"/>
      <c r="D820" s="312" t="n"/>
      <c r="E820" s="312" t="n"/>
      <c r="F820" s="312" t="n"/>
      <c r="G820" s="312" t="n"/>
      <c r="H820" s="312" t="n"/>
      <c r="I820" s="313" t="n"/>
      <c r="J820" s="170" t="n"/>
      <c r="K820" s="314" t="n"/>
      <c r="L820" s="170" t="n"/>
      <c r="M820" s="170" t="n"/>
      <c r="N820" s="170" t="n"/>
      <c r="O820" s="172" t="n"/>
      <c r="P820" s="172" t="n"/>
    </row>
    <row r="821">
      <c r="B821" s="170" t="n">
        <v>806</v>
      </c>
      <c r="C821" s="199" t="n"/>
      <c r="D821" s="312" t="n"/>
      <c r="E821" s="312" t="n"/>
      <c r="F821" s="312" t="n"/>
      <c r="G821" s="312" t="n"/>
      <c r="H821" s="312" t="n"/>
      <c r="I821" s="313" t="n"/>
      <c r="J821" s="170" t="n"/>
      <c r="K821" s="314" t="n"/>
      <c r="L821" s="170" t="n"/>
      <c r="M821" s="170" t="n"/>
      <c r="N821" s="170" t="n"/>
      <c r="O821" s="172" t="n"/>
      <c r="P821" s="172" t="n"/>
    </row>
    <row r="822">
      <c r="B822" s="170" t="n">
        <v>807</v>
      </c>
      <c r="C822" s="199" t="n"/>
      <c r="D822" s="312" t="n"/>
      <c r="E822" s="312" t="n"/>
      <c r="F822" s="312" t="n"/>
      <c r="G822" s="312" t="n"/>
      <c r="H822" s="312" t="n"/>
      <c r="I822" s="313" t="n"/>
      <c r="J822" s="170" t="n"/>
      <c r="K822" s="314" t="n"/>
      <c r="L822" s="170" t="n"/>
      <c r="M822" s="170" t="n"/>
      <c r="N822" s="170" t="n"/>
      <c r="O822" s="172" t="n"/>
      <c r="P822" s="172" t="n"/>
    </row>
    <row r="823">
      <c r="B823" s="170" t="n">
        <v>808</v>
      </c>
      <c r="C823" s="199" t="n"/>
      <c r="D823" s="312" t="n"/>
      <c r="E823" s="312" t="n"/>
      <c r="F823" s="312" t="n"/>
      <c r="G823" s="312" t="n"/>
      <c r="H823" s="312" t="n"/>
      <c r="I823" s="313" t="n"/>
      <c r="J823" s="170" t="n"/>
      <c r="K823" s="314" t="n"/>
      <c r="L823" s="170" t="n"/>
      <c r="M823" s="170" t="n"/>
      <c r="N823" s="170" t="n"/>
      <c r="O823" s="172" t="n"/>
      <c r="P823" s="172" t="n"/>
    </row>
    <row r="824">
      <c r="B824" s="170" t="n">
        <v>809</v>
      </c>
      <c r="C824" s="199" t="n"/>
      <c r="D824" s="312" t="n"/>
      <c r="E824" s="312" t="n"/>
      <c r="F824" s="312" t="n"/>
      <c r="G824" s="312" t="n"/>
      <c r="H824" s="312" t="n"/>
      <c r="I824" s="313" t="n"/>
      <c r="J824" s="170" t="n"/>
      <c r="K824" s="314" t="n"/>
      <c r="L824" s="170" t="n"/>
      <c r="M824" s="170" t="n"/>
      <c r="N824" s="170" t="n"/>
      <c r="O824" s="172" t="n"/>
      <c r="P824" s="172" t="n"/>
    </row>
    <row r="825">
      <c r="B825" s="170" t="n">
        <v>810</v>
      </c>
      <c r="C825" s="199" t="n"/>
      <c r="D825" s="312" t="n"/>
      <c r="E825" s="312" t="n"/>
      <c r="F825" s="312" t="n"/>
      <c r="G825" s="312" t="n"/>
      <c r="H825" s="312" t="n"/>
      <c r="I825" s="313" t="n"/>
      <c r="J825" s="170" t="n"/>
      <c r="K825" s="314" t="n"/>
      <c r="L825" s="170" t="n"/>
      <c r="M825" s="170" t="n"/>
      <c r="N825" s="170" t="n"/>
      <c r="O825" s="172" t="n"/>
      <c r="P825" s="172" t="n"/>
    </row>
    <row r="826">
      <c r="B826" s="170" t="n">
        <v>811</v>
      </c>
      <c r="C826" s="199" t="n"/>
      <c r="D826" s="312" t="n"/>
      <c r="E826" s="312" t="n"/>
      <c r="F826" s="312" t="n"/>
      <c r="G826" s="312" t="n"/>
      <c r="H826" s="312" t="n"/>
      <c r="I826" s="313" t="n"/>
      <c r="J826" s="170" t="n"/>
      <c r="K826" s="314" t="n"/>
      <c r="L826" s="170" t="n"/>
      <c r="M826" s="170" t="n"/>
      <c r="N826" s="170" t="n"/>
      <c r="O826" s="172" t="n"/>
      <c r="P826" s="172" t="n"/>
    </row>
    <row r="827">
      <c r="B827" s="170" t="n">
        <v>812</v>
      </c>
      <c r="C827" s="199" t="n"/>
      <c r="D827" s="312" t="n"/>
      <c r="E827" s="312" t="n"/>
      <c r="F827" s="312" t="n"/>
      <c r="G827" s="312" t="n"/>
      <c r="H827" s="312" t="n"/>
      <c r="I827" s="313" t="n"/>
      <c r="J827" s="170" t="n"/>
      <c r="K827" s="314" t="n"/>
      <c r="L827" s="170" t="n"/>
      <c r="M827" s="170" t="n"/>
      <c r="N827" s="170" t="n"/>
      <c r="O827" s="172" t="n"/>
      <c r="P827" s="172" t="n"/>
    </row>
    <row r="828">
      <c r="B828" s="170" t="n">
        <v>813</v>
      </c>
      <c r="C828" s="199" t="n"/>
      <c r="D828" s="312" t="n"/>
      <c r="E828" s="312" t="n"/>
      <c r="F828" s="312" t="n"/>
      <c r="G828" s="312" t="n"/>
      <c r="H828" s="312" t="n"/>
      <c r="I828" s="313" t="n"/>
      <c r="J828" s="170" t="n"/>
      <c r="K828" s="314" t="n"/>
      <c r="L828" s="170" t="n"/>
      <c r="M828" s="170" t="n"/>
      <c r="N828" s="170" t="n"/>
      <c r="O828" s="172" t="n"/>
      <c r="P828" s="172" t="n"/>
    </row>
    <row r="829">
      <c r="B829" s="170" t="n">
        <v>814</v>
      </c>
      <c r="C829" s="199" t="n"/>
      <c r="D829" s="312" t="n"/>
      <c r="E829" s="312" t="n"/>
      <c r="F829" s="312" t="n"/>
      <c r="G829" s="312" t="n"/>
      <c r="H829" s="312" t="n"/>
      <c r="I829" s="313" t="n"/>
      <c r="J829" s="170" t="n"/>
      <c r="K829" s="314" t="n"/>
      <c r="L829" s="170" t="n"/>
      <c r="M829" s="170" t="n"/>
      <c r="N829" s="170" t="n"/>
      <c r="O829" s="172" t="n"/>
      <c r="P829" s="172" t="n"/>
    </row>
    <row r="830">
      <c r="B830" s="170" t="n">
        <v>815</v>
      </c>
      <c r="C830" s="199" t="n"/>
      <c r="D830" s="312" t="n"/>
      <c r="E830" s="312" t="n"/>
      <c r="F830" s="312" t="n"/>
      <c r="G830" s="312" t="n"/>
      <c r="H830" s="312" t="n"/>
      <c r="I830" s="313" t="n"/>
      <c r="J830" s="170" t="n"/>
      <c r="K830" s="314" t="n"/>
      <c r="L830" s="170" t="n"/>
      <c r="M830" s="170" t="n"/>
      <c r="N830" s="170" t="n"/>
      <c r="O830" s="172" t="n"/>
      <c r="P830" s="172" t="n"/>
    </row>
    <row r="831">
      <c r="B831" s="170" t="n">
        <v>816</v>
      </c>
      <c r="C831" s="199" t="n"/>
      <c r="D831" s="312" t="n"/>
      <c r="E831" s="312" t="n"/>
      <c r="F831" s="312" t="n"/>
      <c r="G831" s="312" t="n"/>
      <c r="H831" s="312" t="n"/>
      <c r="I831" s="313" t="n"/>
      <c r="J831" s="170" t="n"/>
      <c r="K831" s="314" t="n"/>
      <c r="L831" s="170" t="n"/>
      <c r="M831" s="170" t="n"/>
      <c r="N831" s="170" t="n"/>
      <c r="O831" s="172" t="n"/>
      <c r="P831" s="172" t="n"/>
    </row>
    <row r="832">
      <c r="B832" s="170" t="n">
        <v>817</v>
      </c>
      <c r="C832" s="199" t="n"/>
      <c r="D832" s="312" t="n"/>
      <c r="E832" s="312" t="n"/>
      <c r="F832" s="312" t="n"/>
      <c r="G832" s="312" t="n"/>
      <c r="H832" s="312" t="n"/>
      <c r="I832" s="313" t="n"/>
      <c r="J832" s="170" t="n"/>
      <c r="K832" s="314" t="n"/>
      <c r="L832" s="170" t="n"/>
      <c r="M832" s="170" t="n"/>
      <c r="N832" s="170" t="n"/>
      <c r="O832" s="172" t="n"/>
      <c r="P832" s="172" t="n"/>
    </row>
    <row r="833">
      <c r="B833" s="170" t="n">
        <v>818</v>
      </c>
      <c r="C833" s="199" t="n"/>
      <c r="D833" s="312" t="n"/>
      <c r="E833" s="312" t="n"/>
      <c r="F833" s="312" t="n"/>
      <c r="G833" s="312" t="n"/>
      <c r="H833" s="312" t="n"/>
      <c r="I833" s="313" t="n"/>
      <c r="J833" s="170" t="n"/>
      <c r="K833" s="314" t="n"/>
      <c r="L833" s="170" t="n"/>
      <c r="M833" s="170" t="n"/>
      <c r="N833" s="170" t="n"/>
      <c r="O833" s="172" t="n"/>
      <c r="P833" s="172" t="n"/>
    </row>
    <row r="834">
      <c r="B834" s="170" t="n">
        <v>819</v>
      </c>
      <c r="C834" s="199" t="n"/>
      <c r="D834" s="312" t="n"/>
      <c r="E834" s="312" t="n"/>
      <c r="F834" s="312" t="n"/>
      <c r="G834" s="312" t="n"/>
      <c r="H834" s="312" t="n"/>
      <c r="I834" s="313" t="n"/>
      <c r="J834" s="170" t="n"/>
      <c r="K834" s="314" t="n"/>
      <c r="L834" s="170" t="n"/>
      <c r="M834" s="170" t="n"/>
      <c r="N834" s="170" t="n"/>
      <c r="O834" s="172" t="n"/>
      <c r="P834" s="172" t="n"/>
    </row>
    <row r="835">
      <c r="B835" s="170" t="n">
        <v>820</v>
      </c>
      <c r="C835" s="199" t="n"/>
      <c r="D835" s="312" t="n"/>
      <c r="E835" s="312" t="n"/>
      <c r="F835" s="312" t="n"/>
      <c r="G835" s="312" t="n"/>
      <c r="H835" s="312" t="n"/>
      <c r="I835" s="313" t="n"/>
      <c r="J835" s="170" t="n"/>
      <c r="K835" s="314" t="n"/>
      <c r="L835" s="170" t="n"/>
      <c r="M835" s="170" t="n"/>
      <c r="N835" s="170" t="n"/>
      <c r="O835" s="172" t="n"/>
      <c r="P835" s="172" t="n"/>
    </row>
    <row r="836">
      <c r="B836" s="170" t="n">
        <v>821</v>
      </c>
      <c r="C836" s="199" t="n"/>
      <c r="D836" s="312" t="n"/>
      <c r="E836" s="312" t="n"/>
      <c r="F836" s="312" t="n"/>
      <c r="G836" s="312" t="n"/>
      <c r="H836" s="312" t="n"/>
      <c r="I836" s="313" t="n"/>
      <c r="J836" s="170" t="n"/>
      <c r="K836" s="314" t="n"/>
      <c r="L836" s="170" t="n"/>
      <c r="M836" s="170" t="n"/>
      <c r="N836" s="170" t="n"/>
      <c r="O836" s="172" t="n"/>
      <c r="P836" s="172" t="n"/>
    </row>
    <row r="837">
      <c r="B837" s="170" t="n">
        <v>822</v>
      </c>
      <c r="C837" s="199" t="n"/>
      <c r="D837" s="312" t="n"/>
      <c r="E837" s="312" t="n"/>
      <c r="F837" s="312" t="n"/>
      <c r="G837" s="312" t="n"/>
      <c r="H837" s="312" t="n"/>
      <c r="I837" s="313" t="n"/>
      <c r="J837" s="170" t="n"/>
      <c r="K837" s="314" t="n"/>
      <c r="L837" s="170" t="n"/>
      <c r="M837" s="170" t="n"/>
      <c r="N837" s="170" t="n"/>
      <c r="O837" s="172" t="n"/>
      <c r="P837" s="172" t="n"/>
    </row>
    <row r="838">
      <c r="B838" s="170" t="n">
        <v>823</v>
      </c>
      <c r="C838" s="199" t="n"/>
      <c r="D838" s="312" t="n"/>
      <c r="E838" s="312" t="n"/>
      <c r="F838" s="312" t="n"/>
      <c r="G838" s="312" t="n"/>
      <c r="H838" s="312" t="n"/>
      <c r="I838" s="313" t="n"/>
      <c r="J838" s="170" t="n"/>
      <c r="K838" s="314" t="n"/>
      <c r="L838" s="170" t="n"/>
      <c r="M838" s="170" t="n"/>
      <c r="N838" s="170" t="n"/>
      <c r="O838" s="172" t="n"/>
      <c r="P838" s="172" t="n"/>
    </row>
    <row r="839">
      <c r="B839" s="170" t="n">
        <v>824</v>
      </c>
      <c r="C839" s="199" t="n"/>
      <c r="D839" s="312" t="n"/>
      <c r="E839" s="312" t="n"/>
      <c r="F839" s="312" t="n"/>
      <c r="G839" s="312" t="n"/>
      <c r="H839" s="312" t="n"/>
      <c r="I839" s="313" t="n"/>
      <c r="J839" s="170" t="n"/>
      <c r="K839" s="314" t="n"/>
      <c r="L839" s="170" t="n"/>
      <c r="M839" s="170" t="n"/>
      <c r="N839" s="170" t="n"/>
      <c r="O839" s="172" t="n"/>
      <c r="P839" s="172" t="n"/>
    </row>
    <row r="840">
      <c r="B840" s="170" t="n">
        <v>825</v>
      </c>
      <c r="C840" s="199" t="n"/>
      <c r="D840" s="312" t="n"/>
      <c r="E840" s="312" t="n"/>
      <c r="F840" s="312" t="n"/>
      <c r="G840" s="312" t="n"/>
      <c r="H840" s="312" t="n"/>
      <c r="I840" s="313" t="n"/>
      <c r="J840" s="170" t="n"/>
      <c r="K840" s="314" t="n"/>
      <c r="L840" s="170" t="n"/>
      <c r="M840" s="170" t="n"/>
      <c r="N840" s="170" t="n"/>
      <c r="O840" s="172" t="n"/>
      <c r="P840" s="172" t="n"/>
    </row>
    <row r="841">
      <c r="B841" s="170" t="n">
        <v>826</v>
      </c>
      <c r="C841" s="199" t="n"/>
      <c r="D841" s="312" t="n"/>
      <c r="E841" s="312" t="n"/>
      <c r="F841" s="312" t="n"/>
      <c r="G841" s="312" t="n"/>
      <c r="H841" s="312" t="n"/>
      <c r="I841" s="313" t="n"/>
      <c r="J841" s="170" t="n"/>
      <c r="K841" s="314" t="n"/>
      <c r="L841" s="170" t="n"/>
      <c r="M841" s="170" t="n"/>
      <c r="N841" s="170" t="n"/>
      <c r="O841" s="172" t="n"/>
      <c r="P841" s="172" t="n"/>
    </row>
    <row r="842">
      <c r="B842" s="170" t="n">
        <v>827</v>
      </c>
      <c r="C842" s="199" t="n"/>
      <c r="D842" s="312" t="n"/>
      <c r="E842" s="312" t="n"/>
      <c r="F842" s="312" t="n"/>
      <c r="G842" s="312" t="n"/>
      <c r="H842" s="312" t="n"/>
      <c r="I842" s="313" t="n"/>
      <c r="J842" s="170" t="n"/>
      <c r="K842" s="314" t="n"/>
      <c r="L842" s="170" t="n"/>
      <c r="M842" s="170" t="n"/>
      <c r="N842" s="170" t="n"/>
      <c r="O842" s="172" t="n"/>
      <c r="P842" s="172" t="n"/>
    </row>
    <row r="843">
      <c r="B843" s="170" t="n">
        <v>828</v>
      </c>
      <c r="C843" s="199" t="n"/>
      <c r="D843" s="312" t="n"/>
      <c r="E843" s="312" t="n"/>
      <c r="F843" s="312" t="n"/>
      <c r="G843" s="312" t="n"/>
      <c r="H843" s="312" t="n"/>
      <c r="I843" s="313" t="n"/>
      <c r="J843" s="170" t="n"/>
      <c r="K843" s="314" t="n"/>
      <c r="L843" s="170" t="n"/>
      <c r="M843" s="170" t="n"/>
      <c r="N843" s="170" t="n"/>
      <c r="O843" s="172" t="n"/>
      <c r="P843" s="172" t="n"/>
    </row>
    <row r="844">
      <c r="B844" s="170" t="n">
        <v>829</v>
      </c>
      <c r="C844" s="199" t="n"/>
      <c r="D844" s="312" t="n"/>
      <c r="E844" s="312" t="n"/>
      <c r="F844" s="312" t="n"/>
      <c r="G844" s="312" t="n"/>
      <c r="H844" s="312" t="n"/>
      <c r="I844" s="313" t="n"/>
      <c r="J844" s="170" t="n"/>
      <c r="K844" s="314" t="n"/>
      <c r="L844" s="170" t="n"/>
      <c r="M844" s="170" t="n"/>
      <c r="N844" s="170" t="n"/>
      <c r="O844" s="172" t="n"/>
      <c r="P844" s="172" t="n"/>
    </row>
    <row r="845">
      <c r="B845" s="170" t="n">
        <v>830</v>
      </c>
      <c r="C845" s="199" t="n"/>
      <c r="D845" s="312" t="n"/>
      <c r="E845" s="312" t="n"/>
      <c r="F845" s="312" t="n"/>
      <c r="G845" s="312" t="n"/>
      <c r="H845" s="312" t="n"/>
      <c r="I845" s="313" t="n"/>
      <c r="J845" s="170" t="n"/>
      <c r="K845" s="314" t="n"/>
      <c r="L845" s="170" t="n"/>
      <c r="M845" s="170" t="n"/>
      <c r="N845" s="170" t="n"/>
      <c r="O845" s="172" t="n"/>
      <c r="P845" s="172" t="n"/>
    </row>
    <row r="846">
      <c r="B846" s="170" t="n">
        <v>831</v>
      </c>
      <c r="C846" s="199" t="n"/>
      <c r="D846" s="312" t="n"/>
      <c r="E846" s="312" t="n"/>
      <c r="F846" s="312" t="n"/>
      <c r="G846" s="312" t="n"/>
      <c r="H846" s="312" t="n"/>
      <c r="I846" s="313" t="n"/>
      <c r="J846" s="170" t="n"/>
      <c r="K846" s="314" t="n"/>
      <c r="L846" s="170" t="n"/>
      <c r="M846" s="170" t="n"/>
      <c r="N846" s="170" t="n"/>
      <c r="O846" s="172" t="n"/>
      <c r="P846" s="172" t="n"/>
    </row>
    <row r="847">
      <c r="B847" s="170" t="n">
        <v>832</v>
      </c>
      <c r="C847" s="199" t="n"/>
      <c r="D847" s="312" t="n"/>
      <c r="E847" s="312" t="n"/>
      <c r="F847" s="312" t="n"/>
      <c r="G847" s="312" t="n"/>
      <c r="H847" s="312" t="n"/>
      <c r="I847" s="313" t="n"/>
      <c r="J847" s="170" t="n"/>
      <c r="K847" s="314" t="n"/>
      <c r="L847" s="170" t="n"/>
      <c r="M847" s="170" t="n"/>
      <c r="N847" s="170" t="n"/>
      <c r="O847" s="172" t="n"/>
      <c r="P847" s="172" t="n"/>
    </row>
    <row r="848">
      <c r="B848" s="170" t="n">
        <v>833</v>
      </c>
      <c r="C848" s="199" t="n"/>
      <c r="D848" s="312" t="n"/>
      <c r="E848" s="312" t="n"/>
      <c r="F848" s="312" t="n"/>
      <c r="G848" s="312" t="n"/>
      <c r="H848" s="312" t="n"/>
      <c r="I848" s="313" t="n"/>
      <c r="J848" s="170" t="n"/>
      <c r="K848" s="314" t="n"/>
      <c r="L848" s="170" t="n"/>
      <c r="M848" s="170" t="n"/>
      <c r="N848" s="170" t="n"/>
      <c r="O848" s="172" t="n"/>
      <c r="P848" s="172" t="n"/>
    </row>
    <row r="849">
      <c r="B849" s="170" t="n">
        <v>834</v>
      </c>
      <c r="C849" s="199" t="n"/>
      <c r="D849" s="312" t="n"/>
      <c r="E849" s="312" t="n"/>
      <c r="F849" s="312" t="n"/>
      <c r="G849" s="312" t="n"/>
      <c r="H849" s="312" t="n"/>
      <c r="I849" s="313" t="n"/>
      <c r="J849" s="170" t="n"/>
      <c r="K849" s="314" t="n"/>
      <c r="L849" s="170" t="n"/>
      <c r="M849" s="170" t="n"/>
      <c r="N849" s="170" t="n"/>
      <c r="O849" s="172" t="n"/>
      <c r="P849" s="172" t="n"/>
    </row>
    <row r="850">
      <c r="B850" s="170" t="n">
        <v>835</v>
      </c>
      <c r="C850" s="199" t="n"/>
      <c r="D850" s="312" t="n"/>
      <c r="E850" s="312" t="n"/>
      <c r="F850" s="312" t="n"/>
      <c r="G850" s="312" t="n"/>
      <c r="H850" s="312" t="n"/>
      <c r="I850" s="313" t="n"/>
      <c r="J850" s="170" t="n"/>
      <c r="K850" s="314" t="n"/>
      <c r="L850" s="170" t="n"/>
      <c r="M850" s="170" t="n"/>
      <c r="N850" s="170" t="n"/>
      <c r="O850" s="172" t="n"/>
      <c r="P850" s="172" t="n"/>
    </row>
    <row r="851">
      <c r="B851" s="170" t="n">
        <v>836</v>
      </c>
      <c r="C851" s="199" t="n"/>
      <c r="D851" s="312" t="n"/>
      <c r="E851" s="312" t="n"/>
      <c r="F851" s="312" t="n"/>
      <c r="G851" s="312" t="n"/>
      <c r="H851" s="312" t="n"/>
      <c r="I851" s="313" t="n"/>
      <c r="J851" s="170" t="n"/>
      <c r="K851" s="314" t="n"/>
      <c r="L851" s="170" t="n"/>
      <c r="M851" s="170" t="n"/>
      <c r="N851" s="170" t="n"/>
      <c r="O851" s="172" t="n"/>
      <c r="P851" s="172" t="n"/>
    </row>
    <row r="852">
      <c r="B852" s="170" t="n">
        <v>837</v>
      </c>
      <c r="C852" s="199" t="n"/>
      <c r="D852" s="312" t="n"/>
      <c r="E852" s="312" t="n"/>
      <c r="F852" s="312" t="n"/>
      <c r="G852" s="312" t="n"/>
      <c r="H852" s="312" t="n"/>
      <c r="I852" s="313" t="n"/>
      <c r="J852" s="170" t="n"/>
      <c r="K852" s="314" t="n"/>
      <c r="L852" s="170" t="n"/>
      <c r="M852" s="170" t="n"/>
      <c r="N852" s="170" t="n"/>
      <c r="O852" s="172" t="n"/>
      <c r="P852" s="172" t="n"/>
    </row>
    <row r="853">
      <c r="B853" s="170" t="n">
        <v>838</v>
      </c>
      <c r="C853" s="199" t="n"/>
      <c r="D853" s="312" t="n"/>
      <c r="E853" s="312" t="n"/>
      <c r="F853" s="312" t="n"/>
      <c r="G853" s="312" t="n"/>
      <c r="H853" s="312" t="n"/>
      <c r="I853" s="313" t="n"/>
      <c r="J853" s="170" t="n"/>
      <c r="K853" s="314" t="n"/>
      <c r="L853" s="170" t="n"/>
      <c r="M853" s="170" t="n"/>
      <c r="N853" s="170" t="n"/>
      <c r="O853" s="172" t="n"/>
      <c r="P853" s="172" t="n"/>
    </row>
    <row r="854">
      <c r="B854" s="170" t="n">
        <v>839</v>
      </c>
      <c r="C854" s="199" t="n"/>
      <c r="D854" s="312" t="n"/>
      <c r="E854" s="312" t="n"/>
      <c r="F854" s="312" t="n"/>
      <c r="G854" s="312" t="n"/>
      <c r="H854" s="312" t="n"/>
      <c r="I854" s="313" t="n"/>
      <c r="J854" s="170" t="n"/>
      <c r="K854" s="314" t="n"/>
      <c r="L854" s="170" t="n"/>
      <c r="M854" s="170" t="n"/>
      <c r="N854" s="170" t="n"/>
      <c r="O854" s="172" t="n"/>
      <c r="P854" s="172" t="n"/>
    </row>
    <row r="855">
      <c r="B855" s="170" t="n">
        <v>840</v>
      </c>
      <c r="C855" s="199" t="n"/>
      <c r="D855" s="312" t="n"/>
      <c r="E855" s="312" t="n"/>
      <c r="F855" s="312" t="n"/>
      <c r="G855" s="312" t="n"/>
      <c r="H855" s="312" t="n"/>
      <c r="I855" s="313" t="n"/>
      <c r="J855" s="170" t="n"/>
      <c r="K855" s="314" t="n"/>
      <c r="L855" s="170" t="n"/>
      <c r="M855" s="170" t="n"/>
      <c r="N855" s="170" t="n"/>
      <c r="O855" s="172" t="n"/>
      <c r="P855" s="172" t="n"/>
    </row>
    <row r="856">
      <c r="B856" s="170" t="n">
        <v>841</v>
      </c>
      <c r="C856" s="199" t="n"/>
      <c r="D856" s="312" t="n"/>
      <c r="E856" s="312" t="n"/>
      <c r="F856" s="312" t="n"/>
      <c r="G856" s="312" t="n"/>
      <c r="H856" s="312" t="n"/>
      <c r="I856" s="313" t="n"/>
      <c r="J856" s="170" t="n"/>
      <c r="K856" s="314" t="n"/>
      <c r="L856" s="170" t="n"/>
      <c r="M856" s="170" t="n"/>
      <c r="N856" s="170" t="n"/>
      <c r="O856" s="172" t="n"/>
      <c r="P856" s="172" t="n"/>
    </row>
    <row r="857">
      <c r="B857" s="170" t="n">
        <v>842</v>
      </c>
      <c r="C857" s="199" t="n"/>
      <c r="D857" s="312" t="n"/>
      <c r="E857" s="312" t="n"/>
      <c r="F857" s="312" t="n"/>
      <c r="G857" s="312" t="n"/>
      <c r="H857" s="312" t="n"/>
      <c r="I857" s="313" t="n"/>
      <c r="J857" s="170" t="n"/>
      <c r="K857" s="314" t="n"/>
      <c r="L857" s="170" t="n"/>
      <c r="M857" s="170" t="n"/>
      <c r="N857" s="170" t="n"/>
      <c r="O857" s="172" t="n"/>
      <c r="P857" s="172" t="n"/>
    </row>
    <row r="858">
      <c r="B858" s="170" t="n">
        <v>843</v>
      </c>
      <c r="C858" s="199" t="n"/>
      <c r="D858" s="312" t="n"/>
      <c r="E858" s="312" t="n"/>
      <c r="F858" s="312" t="n"/>
      <c r="G858" s="312" t="n"/>
      <c r="H858" s="312" t="n"/>
      <c r="I858" s="313" t="n"/>
      <c r="J858" s="170" t="n"/>
      <c r="K858" s="314" t="n"/>
      <c r="L858" s="170" t="n"/>
      <c r="M858" s="170" t="n"/>
      <c r="N858" s="170" t="n"/>
      <c r="O858" s="172" t="n"/>
      <c r="P858" s="172" t="n"/>
    </row>
    <row r="859">
      <c r="B859" s="170" t="n">
        <v>844</v>
      </c>
      <c r="C859" s="199" t="n"/>
      <c r="D859" s="312" t="n"/>
      <c r="E859" s="312" t="n"/>
      <c r="F859" s="312" t="n"/>
      <c r="G859" s="312" t="n"/>
      <c r="H859" s="312" t="n"/>
      <c r="I859" s="313" t="n"/>
      <c r="J859" s="170" t="n"/>
      <c r="K859" s="314" t="n"/>
      <c r="L859" s="170" t="n"/>
      <c r="M859" s="170" t="n"/>
      <c r="N859" s="170" t="n"/>
      <c r="O859" s="172" t="n"/>
      <c r="P859" s="172" t="n"/>
    </row>
    <row r="860">
      <c r="B860" s="170" t="n">
        <v>845</v>
      </c>
      <c r="C860" s="199" t="n"/>
      <c r="D860" s="312" t="n"/>
      <c r="E860" s="312" t="n"/>
      <c r="F860" s="312" t="n"/>
      <c r="G860" s="312" t="n"/>
      <c r="H860" s="312" t="n"/>
      <c r="I860" s="313" t="n"/>
      <c r="J860" s="170" t="n"/>
      <c r="K860" s="314" t="n"/>
      <c r="L860" s="170" t="n"/>
      <c r="M860" s="170" t="n"/>
      <c r="N860" s="170" t="n"/>
      <c r="O860" s="172" t="n"/>
      <c r="P860" s="172" t="n"/>
    </row>
    <row r="861">
      <c r="B861" s="170" t="n">
        <v>846</v>
      </c>
      <c r="C861" s="199" t="n"/>
      <c r="D861" s="312" t="n"/>
      <c r="E861" s="312" t="n"/>
      <c r="F861" s="312" t="n"/>
      <c r="G861" s="312" t="n"/>
      <c r="H861" s="312" t="n"/>
      <c r="I861" s="313" t="n"/>
      <c r="J861" s="170" t="n"/>
      <c r="K861" s="314" t="n"/>
      <c r="L861" s="170" t="n"/>
      <c r="M861" s="170" t="n"/>
      <c r="N861" s="170" t="n"/>
      <c r="O861" s="172" t="n"/>
      <c r="P861" s="172" t="n"/>
    </row>
    <row r="862">
      <c r="B862" s="170" t="n">
        <v>847</v>
      </c>
      <c r="C862" s="199" t="n"/>
      <c r="D862" s="312" t="n"/>
      <c r="E862" s="312" t="n"/>
      <c r="F862" s="312" t="n"/>
      <c r="G862" s="312" t="n"/>
      <c r="H862" s="312" t="n"/>
      <c r="I862" s="313" t="n"/>
      <c r="J862" s="170" t="n"/>
      <c r="K862" s="314" t="n"/>
      <c r="L862" s="170" t="n"/>
      <c r="M862" s="170" t="n"/>
      <c r="N862" s="170" t="n"/>
      <c r="O862" s="172" t="n"/>
      <c r="P862" s="172" t="n"/>
    </row>
    <row r="863">
      <c r="B863" s="170" t="n">
        <v>848</v>
      </c>
      <c r="C863" s="199" t="n"/>
      <c r="D863" s="312" t="n"/>
      <c r="E863" s="312" t="n"/>
      <c r="F863" s="312" t="n"/>
      <c r="G863" s="312" t="n"/>
      <c r="H863" s="312" t="n"/>
      <c r="I863" s="313" t="n"/>
      <c r="J863" s="170" t="n"/>
      <c r="K863" s="314" t="n"/>
      <c r="L863" s="170" t="n"/>
      <c r="M863" s="170" t="n"/>
      <c r="N863" s="170" t="n"/>
      <c r="O863" s="172" t="n"/>
      <c r="P863" s="172" t="n"/>
    </row>
    <row r="864">
      <c r="B864" s="170" t="n">
        <v>849</v>
      </c>
      <c r="C864" s="199" t="n"/>
      <c r="D864" s="312" t="n"/>
      <c r="E864" s="312" t="n"/>
      <c r="F864" s="312" t="n"/>
      <c r="G864" s="312" t="n"/>
      <c r="H864" s="312" t="n"/>
      <c r="I864" s="313" t="n"/>
      <c r="J864" s="170" t="n"/>
      <c r="K864" s="314" t="n"/>
      <c r="L864" s="170" t="n"/>
      <c r="M864" s="170" t="n"/>
      <c r="N864" s="170" t="n"/>
      <c r="O864" s="172" t="n"/>
      <c r="P864" s="172" t="n"/>
    </row>
    <row r="865">
      <c r="B865" s="170" t="n">
        <v>850</v>
      </c>
      <c r="C865" s="199" t="n"/>
      <c r="D865" s="312" t="n"/>
      <c r="E865" s="312" t="n"/>
      <c r="F865" s="312" t="n"/>
      <c r="G865" s="312" t="n"/>
      <c r="H865" s="312" t="n"/>
      <c r="I865" s="313" t="n"/>
      <c r="J865" s="170" t="n"/>
      <c r="K865" s="314" t="n"/>
      <c r="L865" s="170" t="n"/>
      <c r="M865" s="170" t="n"/>
      <c r="N865" s="170" t="n"/>
      <c r="O865" s="172" t="n"/>
      <c r="P865" s="172" t="n"/>
    </row>
    <row r="866">
      <c r="B866" s="170" t="n">
        <v>851</v>
      </c>
      <c r="C866" s="199" t="n"/>
      <c r="D866" s="312" t="n"/>
      <c r="E866" s="312" t="n"/>
      <c r="F866" s="312" t="n"/>
      <c r="G866" s="312" t="n"/>
      <c r="H866" s="312" t="n"/>
      <c r="I866" s="313" t="n"/>
      <c r="J866" s="170" t="n"/>
      <c r="K866" s="314" t="n"/>
      <c r="L866" s="170" t="n"/>
      <c r="M866" s="170" t="n"/>
      <c r="N866" s="170" t="n"/>
      <c r="O866" s="172" t="n"/>
      <c r="P866" s="172" t="n"/>
    </row>
    <row r="867">
      <c r="B867" s="170" t="n">
        <v>852</v>
      </c>
      <c r="C867" s="199" t="n"/>
      <c r="D867" s="312" t="n"/>
      <c r="E867" s="312" t="n"/>
      <c r="F867" s="312" t="n"/>
      <c r="G867" s="312" t="n"/>
      <c r="H867" s="312" t="n"/>
      <c r="I867" s="313" t="n"/>
      <c r="J867" s="170" t="n"/>
      <c r="K867" s="314" t="n"/>
      <c r="L867" s="170" t="n"/>
      <c r="M867" s="170" t="n"/>
      <c r="N867" s="170" t="n"/>
      <c r="O867" s="172" t="n"/>
      <c r="P867" s="172" t="n"/>
    </row>
    <row r="868">
      <c r="B868" s="170" t="n">
        <v>853</v>
      </c>
      <c r="C868" s="199" t="n"/>
      <c r="D868" s="312" t="n"/>
      <c r="E868" s="312" t="n"/>
      <c r="F868" s="312" t="n"/>
      <c r="G868" s="312" t="n"/>
      <c r="H868" s="312" t="n"/>
      <c r="I868" s="313" t="n"/>
      <c r="J868" s="170" t="n"/>
      <c r="K868" s="314" t="n"/>
      <c r="L868" s="170" t="n"/>
      <c r="M868" s="170" t="n"/>
      <c r="N868" s="170" t="n"/>
      <c r="O868" s="172" t="n"/>
      <c r="P868" s="172" t="n"/>
    </row>
    <row r="869">
      <c r="B869" s="170" t="n">
        <v>854</v>
      </c>
      <c r="C869" s="199" t="n"/>
      <c r="D869" s="312" t="n"/>
      <c r="E869" s="312" t="n"/>
      <c r="F869" s="312" t="n"/>
      <c r="G869" s="312" t="n"/>
      <c r="H869" s="312" t="n"/>
      <c r="I869" s="313" t="n"/>
      <c r="J869" s="170" t="n"/>
      <c r="K869" s="314" t="n"/>
      <c r="L869" s="170" t="n"/>
      <c r="M869" s="170" t="n"/>
      <c r="N869" s="170" t="n"/>
      <c r="O869" s="172" t="n"/>
      <c r="P869" s="172" t="n"/>
    </row>
    <row r="870">
      <c r="B870" s="170" t="n">
        <v>855</v>
      </c>
      <c r="C870" s="199" t="n"/>
      <c r="D870" s="312" t="n"/>
      <c r="E870" s="312" t="n"/>
      <c r="F870" s="312" t="n"/>
      <c r="G870" s="312" t="n"/>
      <c r="H870" s="312" t="n"/>
      <c r="I870" s="313" t="n"/>
      <c r="J870" s="170" t="n"/>
      <c r="K870" s="314" t="n"/>
      <c r="L870" s="170" t="n"/>
      <c r="M870" s="170" t="n"/>
      <c r="N870" s="170" t="n"/>
      <c r="O870" s="172" t="n"/>
      <c r="P870" s="172" t="n"/>
    </row>
    <row r="871">
      <c r="B871" s="170" t="n">
        <v>856</v>
      </c>
      <c r="C871" s="199" t="n"/>
      <c r="D871" s="312" t="n"/>
      <c r="E871" s="312" t="n"/>
      <c r="F871" s="312" t="n"/>
      <c r="G871" s="312" t="n"/>
      <c r="H871" s="312" t="n"/>
      <c r="I871" s="313" t="n"/>
      <c r="J871" s="170" t="n"/>
      <c r="K871" s="314" t="n"/>
      <c r="L871" s="170" t="n"/>
      <c r="M871" s="170" t="n"/>
      <c r="N871" s="170" t="n"/>
      <c r="O871" s="172" t="n"/>
      <c r="P871" s="172" t="n"/>
    </row>
    <row r="872">
      <c r="B872" s="170" t="n">
        <v>857</v>
      </c>
      <c r="C872" s="199" t="n"/>
      <c r="D872" s="312" t="n"/>
      <c r="E872" s="312" t="n"/>
      <c r="F872" s="312" t="n"/>
      <c r="G872" s="312" t="n"/>
      <c r="H872" s="312" t="n"/>
      <c r="I872" s="313" t="n"/>
      <c r="J872" s="170" t="n"/>
      <c r="K872" s="314" t="n"/>
      <c r="L872" s="170" t="n"/>
      <c r="M872" s="170" t="n"/>
      <c r="N872" s="170" t="n"/>
      <c r="O872" s="172" t="n"/>
      <c r="P872" s="172" t="n"/>
    </row>
    <row r="873">
      <c r="B873" s="170" t="n">
        <v>858</v>
      </c>
      <c r="C873" s="199" t="n"/>
      <c r="D873" s="312" t="n"/>
      <c r="E873" s="312" t="n"/>
      <c r="F873" s="312" t="n"/>
      <c r="G873" s="312" t="n"/>
      <c r="H873" s="312" t="n"/>
      <c r="I873" s="313" t="n"/>
      <c r="J873" s="170" t="n"/>
      <c r="K873" s="314" t="n"/>
      <c r="L873" s="170" t="n"/>
      <c r="M873" s="170" t="n"/>
      <c r="N873" s="170" t="n"/>
      <c r="O873" s="172" t="n"/>
      <c r="P873" s="172" t="n"/>
    </row>
    <row r="874">
      <c r="B874" s="170" t="n">
        <v>859</v>
      </c>
      <c r="C874" s="199" t="n"/>
      <c r="D874" s="312" t="n"/>
      <c r="E874" s="312" t="n"/>
      <c r="F874" s="312" t="n"/>
      <c r="G874" s="312" t="n"/>
      <c r="H874" s="312" t="n"/>
      <c r="I874" s="313" t="n"/>
      <c r="J874" s="170" t="n"/>
      <c r="K874" s="314" t="n"/>
      <c r="L874" s="170" t="n"/>
      <c r="M874" s="170" t="n"/>
      <c r="N874" s="170" t="n"/>
      <c r="O874" s="172" t="n"/>
      <c r="P874" s="172" t="n"/>
    </row>
    <row r="875">
      <c r="B875" s="170" t="n">
        <v>860</v>
      </c>
      <c r="C875" s="199" t="n"/>
      <c r="D875" s="312" t="n"/>
      <c r="E875" s="312" t="n"/>
      <c r="F875" s="312" t="n"/>
      <c r="G875" s="312" t="n"/>
      <c r="H875" s="312" t="n"/>
      <c r="I875" s="313" t="n"/>
      <c r="J875" s="170" t="n"/>
      <c r="K875" s="314" t="n"/>
      <c r="L875" s="170" t="n"/>
      <c r="M875" s="170" t="n"/>
      <c r="N875" s="170" t="n"/>
      <c r="O875" s="172" t="n"/>
      <c r="P875" s="172" t="n"/>
    </row>
    <row r="876">
      <c r="B876" s="170" t="n">
        <v>861</v>
      </c>
      <c r="C876" s="199" t="n"/>
      <c r="D876" s="312" t="n"/>
      <c r="E876" s="312" t="n"/>
      <c r="F876" s="312" t="n"/>
      <c r="G876" s="312" t="n"/>
      <c r="H876" s="312" t="n"/>
      <c r="I876" s="313" t="n"/>
      <c r="J876" s="170" t="n"/>
      <c r="K876" s="314" t="n"/>
      <c r="L876" s="170" t="n"/>
      <c r="M876" s="170" t="n"/>
      <c r="N876" s="170" t="n"/>
      <c r="O876" s="172" t="n"/>
      <c r="P876" s="172" t="n"/>
    </row>
    <row r="877">
      <c r="B877" s="170" t="n">
        <v>862</v>
      </c>
      <c r="C877" s="199" t="n"/>
      <c r="D877" s="312" t="n"/>
      <c r="E877" s="312" t="n"/>
      <c r="F877" s="312" t="n"/>
      <c r="G877" s="312" t="n"/>
      <c r="H877" s="312" t="n"/>
      <c r="I877" s="313" t="n"/>
      <c r="J877" s="170" t="n"/>
      <c r="K877" s="314" t="n"/>
      <c r="L877" s="170" t="n"/>
      <c r="M877" s="170" t="n"/>
      <c r="N877" s="170" t="n"/>
      <c r="O877" s="172" t="n"/>
      <c r="P877" s="172" t="n"/>
    </row>
    <row r="878">
      <c r="B878" s="170" t="n">
        <v>863</v>
      </c>
      <c r="C878" s="199" t="n"/>
      <c r="D878" s="312" t="n"/>
      <c r="E878" s="312" t="n"/>
      <c r="F878" s="312" t="n"/>
      <c r="G878" s="312" t="n"/>
      <c r="H878" s="312" t="n"/>
      <c r="I878" s="313" t="n"/>
      <c r="J878" s="170" t="n"/>
      <c r="K878" s="314" t="n"/>
      <c r="L878" s="170" t="n"/>
      <c r="M878" s="170" t="n"/>
      <c r="N878" s="170" t="n"/>
      <c r="O878" s="172" t="n"/>
      <c r="P878" s="172" t="n"/>
    </row>
    <row r="879">
      <c r="B879" s="170" t="n">
        <v>864</v>
      </c>
      <c r="C879" s="199" t="n"/>
      <c r="D879" s="312" t="n"/>
      <c r="E879" s="312" t="n"/>
      <c r="F879" s="312" t="n"/>
      <c r="G879" s="312" t="n"/>
      <c r="H879" s="312" t="n"/>
      <c r="I879" s="313" t="n"/>
      <c r="J879" s="170" t="n"/>
      <c r="K879" s="314" t="n"/>
      <c r="L879" s="170" t="n"/>
      <c r="M879" s="170" t="n"/>
      <c r="N879" s="170" t="n"/>
      <c r="O879" s="172" t="n"/>
      <c r="P879" s="172" t="n"/>
    </row>
    <row r="880">
      <c r="B880" s="170" t="n">
        <v>865</v>
      </c>
      <c r="C880" s="199" t="n"/>
      <c r="D880" s="312" t="n"/>
      <c r="E880" s="312" t="n"/>
      <c r="F880" s="312" t="n"/>
      <c r="G880" s="312" t="n"/>
      <c r="H880" s="312" t="n"/>
      <c r="I880" s="313" t="n"/>
      <c r="J880" s="170" t="n"/>
      <c r="K880" s="314" t="n"/>
      <c r="L880" s="170" t="n"/>
      <c r="M880" s="170" t="n"/>
      <c r="N880" s="170" t="n"/>
      <c r="O880" s="172" t="n"/>
      <c r="P880" s="172" t="n"/>
    </row>
    <row r="881">
      <c r="B881" s="170" t="n">
        <v>866</v>
      </c>
      <c r="C881" s="199" t="n"/>
      <c r="D881" s="312" t="n"/>
      <c r="E881" s="312" t="n"/>
      <c r="F881" s="312" t="n"/>
      <c r="G881" s="312" t="n"/>
      <c r="H881" s="312" t="n"/>
      <c r="I881" s="313" t="n"/>
      <c r="J881" s="170" t="n"/>
      <c r="K881" s="314" t="n"/>
      <c r="L881" s="170" t="n"/>
      <c r="M881" s="170" t="n"/>
      <c r="N881" s="170" t="n"/>
      <c r="O881" s="172" t="n"/>
      <c r="P881" s="172" t="n"/>
    </row>
    <row r="882">
      <c r="B882" s="170" t="n">
        <v>867</v>
      </c>
      <c r="C882" s="199" t="n"/>
      <c r="D882" s="312" t="n"/>
      <c r="E882" s="312" t="n"/>
      <c r="F882" s="312" t="n"/>
      <c r="G882" s="312" t="n"/>
      <c r="H882" s="312" t="n"/>
      <c r="I882" s="313" t="n"/>
      <c r="J882" s="170" t="n"/>
      <c r="K882" s="314" t="n"/>
      <c r="L882" s="170" t="n"/>
      <c r="M882" s="170" t="n"/>
      <c r="N882" s="170" t="n"/>
      <c r="O882" s="172" t="n"/>
      <c r="P882" s="172" t="n"/>
    </row>
    <row r="883">
      <c r="B883" s="170" t="n">
        <v>868</v>
      </c>
      <c r="C883" s="199" t="n"/>
      <c r="D883" s="312" t="n"/>
      <c r="E883" s="312" t="n"/>
      <c r="F883" s="312" t="n"/>
      <c r="G883" s="312" t="n"/>
      <c r="H883" s="312" t="n"/>
      <c r="I883" s="313" t="n"/>
      <c r="J883" s="170" t="n"/>
      <c r="K883" s="314" t="n"/>
      <c r="L883" s="170" t="n"/>
      <c r="M883" s="170" t="n"/>
      <c r="N883" s="170" t="n"/>
      <c r="O883" s="172" t="n"/>
      <c r="P883" s="172" t="n"/>
    </row>
    <row r="884">
      <c r="B884" s="170" t="n">
        <v>869</v>
      </c>
      <c r="C884" s="199" t="n"/>
      <c r="D884" s="312" t="n"/>
      <c r="E884" s="312" t="n"/>
      <c r="F884" s="312" t="n"/>
      <c r="G884" s="312" t="n"/>
      <c r="H884" s="312" t="n"/>
      <c r="I884" s="313" t="n"/>
      <c r="J884" s="170" t="n"/>
      <c r="K884" s="314" t="n"/>
      <c r="L884" s="170" t="n"/>
      <c r="M884" s="170" t="n"/>
      <c r="N884" s="170" t="n"/>
      <c r="O884" s="172" t="n"/>
      <c r="P884" s="172" t="n"/>
    </row>
    <row r="885">
      <c r="B885" s="170" t="n">
        <v>870</v>
      </c>
      <c r="C885" s="199" t="n"/>
      <c r="D885" s="312" t="n"/>
      <c r="E885" s="312" t="n"/>
      <c r="F885" s="312" t="n"/>
      <c r="G885" s="312" t="n"/>
      <c r="H885" s="312" t="n"/>
      <c r="I885" s="313" t="n"/>
      <c r="J885" s="170" t="n"/>
      <c r="K885" s="314" t="n"/>
      <c r="L885" s="170" t="n"/>
      <c r="M885" s="170" t="n"/>
      <c r="N885" s="170" t="n"/>
      <c r="O885" s="172" t="n"/>
      <c r="P885" s="172" t="n"/>
    </row>
    <row r="886">
      <c r="B886" s="170" t="n">
        <v>871</v>
      </c>
      <c r="C886" s="199" t="n"/>
      <c r="D886" s="312" t="n"/>
      <c r="E886" s="312" t="n"/>
      <c r="F886" s="312" t="n"/>
      <c r="G886" s="312" t="n"/>
      <c r="H886" s="312" t="n"/>
      <c r="I886" s="313" t="n"/>
      <c r="J886" s="170" t="n"/>
      <c r="K886" s="314" t="n"/>
      <c r="L886" s="170" t="n"/>
      <c r="M886" s="170" t="n"/>
      <c r="N886" s="170" t="n"/>
      <c r="O886" s="172" t="n"/>
      <c r="P886" s="172" t="n"/>
    </row>
    <row r="887">
      <c r="B887" s="170" t="n">
        <v>872</v>
      </c>
      <c r="C887" s="199" t="n"/>
      <c r="D887" s="312" t="n"/>
      <c r="E887" s="312" t="n"/>
      <c r="F887" s="312" t="n"/>
      <c r="G887" s="312" t="n"/>
      <c r="H887" s="312" t="n"/>
      <c r="I887" s="313" t="n"/>
      <c r="J887" s="170" t="n"/>
      <c r="K887" s="314" t="n"/>
      <c r="L887" s="170" t="n"/>
      <c r="M887" s="170" t="n"/>
      <c r="N887" s="170" t="n"/>
      <c r="O887" s="172" t="n"/>
      <c r="P887" s="172" t="n"/>
    </row>
    <row r="888">
      <c r="B888" s="170" t="n">
        <v>873</v>
      </c>
      <c r="C888" s="199" t="n"/>
      <c r="D888" s="312" t="n"/>
      <c r="E888" s="312" t="n"/>
      <c r="F888" s="312" t="n"/>
      <c r="G888" s="312" t="n"/>
      <c r="H888" s="312" t="n"/>
      <c r="I888" s="313" t="n"/>
      <c r="J888" s="170" t="n"/>
      <c r="K888" s="314" t="n"/>
      <c r="L888" s="170" t="n"/>
      <c r="M888" s="170" t="n"/>
      <c r="N888" s="170" t="n"/>
      <c r="O888" s="172" t="n"/>
      <c r="P888" s="172" t="n"/>
    </row>
    <row r="889">
      <c r="B889" s="170" t="n">
        <v>874</v>
      </c>
      <c r="C889" s="199" t="n"/>
      <c r="D889" s="312" t="n"/>
      <c r="E889" s="312" t="n"/>
      <c r="F889" s="312" t="n"/>
      <c r="G889" s="312" t="n"/>
      <c r="H889" s="312" t="n"/>
      <c r="I889" s="313" t="n"/>
      <c r="J889" s="170" t="n"/>
      <c r="K889" s="314" t="n"/>
      <c r="L889" s="170" t="n"/>
      <c r="M889" s="170" t="n"/>
      <c r="N889" s="170" t="n"/>
      <c r="O889" s="172" t="n"/>
      <c r="P889" s="172" t="n"/>
    </row>
    <row r="890">
      <c r="B890" s="170" t="n">
        <v>875</v>
      </c>
      <c r="C890" s="199" t="n"/>
      <c r="D890" s="312" t="n"/>
      <c r="E890" s="312" t="n"/>
      <c r="F890" s="312" t="n"/>
      <c r="G890" s="312" t="n"/>
      <c r="H890" s="312" t="n"/>
      <c r="I890" s="313" t="n"/>
      <c r="J890" s="170" t="n"/>
      <c r="K890" s="314" t="n"/>
      <c r="L890" s="170" t="n"/>
      <c r="M890" s="170" t="n"/>
      <c r="N890" s="170" t="n"/>
      <c r="O890" s="172" t="n"/>
      <c r="P890" s="172" t="n"/>
    </row>
    <row r="891">
      <c r="B891" s="170" t="n">
        <v>876</v>
      </c>
      <c r="C891" s="199" t="n"/>
      <c r="D891" s="312" t="n"/>
      <c r="E891" s="312" t="n"/>
      <c r="F891" s="312" t="n"/>
      <c r="G891" s="312" t="n"/>
      <c r="H891" s="312" t="n"/>
      <c r="I891" s="313" t="n"/>
      <c r="J891" s="170" t="n"/>
      <c r="K891" s="314" t="n"/>
      <c r="L891" s="170" t="n"/>
      <c r="M891" s="170" t="n"/>
      <c r="N891" s="170" t="n"/>
      <c r="O891" s="172" t="n"/>
      <c r="P891" s="172" t="n"/>
    </row>
    <row r="892">
      <c r="B892" s="170" t="n">
        <v>877</v>
      </c>
      <c r="C892" s="199" t="n"/>
      <c r="D892" s="312" t="n"/>
      <c r="E892" s="312" t="n"/>
      <c r="F892" s="312" t="n"/>
      <c r="G892" s="312" t="n"/>
      <c r="H892" s="312" t="n"/>
      <c r="I892" s="313" t="n"/>
      <c r="J892" s="170" t="n"/>
      <c r="K892" s="314" t="n"/>
      <c r="L892" s="170" t="n"/>
      <c r="M892" s="170" t="n"/>
      <c r="N892" s="170" t="n"/>
      <c r="O892" s="172" t="n"/>
      <c r="P892" s="172" t="n"/>
    </row>
    <row r="893">
      <c r="B893" s="170" t="n">
        <v>878</v>
      </c>
      <c r="C893" s="199" t="n"/>
      <c r="D893" s="312" t="n"/>
      <c r="E893" s="312" t="n"/>
      <c r="F893" s="312" t="n"/>
      <c r="G893" s="312" t="n"/>
      <c r="H893" s="312" t="n"/>
      <c r="I893" s="313" t="n"/>
      <c r="J893" s="170" t="n"/>
      <c r="K893" s="314" t="n"/>
      <c r="L893" s="170" t="n"/>
      <c r="M893" s="170" t="n"/>
      <c r="N893" s="170" t="n"/>
      <c r="O893" s="172" t="n"/>
      <c r="P893" s="172" t="n"/>
    </row>
    <row r="894">
      <c r="B894" s="170" t="n">
        <v>879</v>
      </c>
      <c r="C894" s="199" t="n"/>
      <c r="D894" s="312" t="n"/>
      <c r="E894" s="312" t="n"/>
      <c r="F894" s="312" t="n"/>
      <c r="G894" s="312" t="n"/>
      <c r="H894" s="312" t="n"/>
      <c r="I894" s="313" t="n"/>
      <c r="J894" s="170" t="n"/>
      <c r="K894" s="314" t="n"/>
      <c r="L894" s="170" t="n"/>
      <c r="M894" s="170" t="n"/>
      <c r="N894" s="170" t="n"/>
      <c r="O894" s="172" t="n"/>
      <c r="P894" s="172" t="n"/>
    </row>
    <row r="895">
      <c r="B895" s="170" t="n">
        <v>880</v>
      </c>
      <c r="C895" s="199" t="n"/>
      <c r="D895" s="312" t="n"/>
      <c r="E895" s="312" t="n"/>
      <c r="F895" s="312" t="n"/>
      <c r="G895" s="312" t="n"/>
      <c r="H895" s="312" t="n"/>
      <c r="I895" s="313" t="n"/>
      <c r="J895" s="170" t="n"/>
      <c r="K895" s="314" t="n"/>
      <c r="L895" s="170" t="n"/>
      <c r="M895" s="170" t="n"/>
      <c r="N895" s="170" t="n"/>
      <c r="O895" s="172" t="n"/>
      <c r="P895" s="172" t="n"/>
    </row>
    <row r="896">
      <c r="B896" s="170" t="n">
        <v>881</v>
      </c>
      <c r="C896" s="199" t="n"/>
      <c r="D896" s="312" t="n"/>
      <c r="E896" s="312" t="n"/>
      <c r="F896" s="312" t="n"/>
      <c r="G896" s="312" t="n"/>
      <c r="H896" s="312" t="n"/>
      <c r="I896" s="313" t="n"/>
      <c r="J896" s="170" t="n"/>
      <c r="K896" s="314" t="n"/>
      <c r="L896" s="170" t="n"/>
      <c r="M896" s="170" t="n"/>
      <c r="N896" s="170" t="n"/>
      <c r="O896" s="172" t="n"/>
      <c r="P896" s="172" t="n"/>
    </row>
    <row r="897">
      <c r="B897" s="170" t="n">
        <v>882</v>
      </c>
      <c r="C897" s="199" t="n"/>
      <c r="D897" s="312" t="n"/>
      <c r="E897" s="312" t="n"/>
      <c r="F897" s="312" t="n"/>
      <c r="G897" s="312" t="n"/>
      <c r="H897" s="312" t="n"/>
      <c r="I897" s="313" t="n"/>
      <c r="J897" s="170" t="n"/>
      <c r="K897" s="314" t="n"/>
      <c r="L897" s="170" t="n"/>
      <c r="M897" s="170" t="n"/>
      <c r="N897" s="170" t="n"/>
      <c r="O897" s="172" t="n"/>
      <c r="P897" s="172" t="n"/>
    </row>
    <row r="898">
      <c r="B898" s="170" t="n">
        <v>883</v>
      </c>
      <c r="C898" s="199" t="n"/>
      <c r="D898" s="312" t="n"/>
      <c r="E898" s="312" t="n"/>
      <c r="F898" s="312" t="n"/>
      <c r="G898" s="312" t="n"/>
      <c r="H898" s="312" t="n"/>
      <c r="I898" s="313" t="n"/>
      <c r="J898" s="170" t="n"/>
      <c r="K898" s="314" t="n"/>
      <c r="L898" s="170" t="n"/>
      <c r="M898" s="170" t="n"/>
      <c r="N898" s="170" t="n"/>
      <c r="O898" s="172" t="n"/>
      <c r="P898" s="172" t="n"/>
    </row>
    <row r="899">
      <c r="B899" s="170" t="n">
        <v>884</v>
      </c>
      <c r="C899" s="199" t="n"/>
      <c r="D899" s="312" t="n"/>
      <c r="E899" s="312" t="n"/>
      <c r="F899" s="312" t="n"/>
      <c r="G899" s="312" t="n"/>
      <c r="H899" s="312" t="n"/>
      <c r="I899" s="313" t="n"/>
      <c r="J899" s="170" t="n"/>
      <c r="K899" s="314" t="n"/>
      <c r="L899" s="170" t="n"/>
      <c r="M899" s="170" t="n"/>
      <c r="N899" s="170" t="n"/>
      <c r="O899" s="172" t="n"/>
      <c r="P899" s="172" t="n"/>
    </row>
    <row r="900">
      <c r="B900" s="170" t="n">
        <v>885</v>
      </c>
      <c r="C900" s="199" t="n"/>
      <c r="D900" s="312" t="n"/>
      <c r="E900" s="312" t="n"/>
      <c r="F900" s="312" t="n"/>
      <c r="G900" s="312" t="n"/>
      <c r="H900" s="312" t="n"/>
      <c r="I900" s="313" t="n"/>
      <c r="J900" s="170" t="n"/>
      <c r="K900" s="314" t="n"/>
      <c r="L900" s="170" t="n"/>
      <c r="M900" s="170" t="n"/>
      <c r="N900" s="170" t="n"/>
      <c r="O900" s="172" t="n"/>
      <c r="P900" s="172" t="n"/>
    </row>
    <row r="901">
      <c r="B901" s="170" t="n">
        <v>886</v>
      </c>
      <c r="C901" s="199" t="n"/>
      <c r="D901" s="312" t="n"/>
      <c r="E901" s="312" t="n"/>
      <c r="F901" s="312" t="n"/>
      <c r="G901" s="312" t="n"/>
      <c r="H901" s="312" t="n"/>
      <c r="I901" s="313" t="n"/>
      <c r="J901" s="170" t="n"/>
      <c r="K901" s="314" t="n"/>
      <c r="L901" s="170" t="n"/>
      <c r="M901" s="170" t="n"/>
      <c r="N901" s="170" t="n"/>
      <c r="O901" s="172" t="n"/>
      <c r="P901" s="172" t="n"/>
    </row>
    <row r="902">
      <c r="B902" s="170" t="n">
        <v>887</v>
      </c>
      <c r="C902" s="199" t="n"/>
      <c r="D902" s="312" t="n"/>
      <c r="E902" s="312" t="n"/>
      <c r="F902" s="312" t="n"/>
      <c r="G902" s="312" t="n"/>
      <c r="H902" s="312" t="n"/>
      <c r="I902" s="313" t="n"/>
      <c r="J902" s="170" t="n"/>
      <c r="K902" s="314" t="n"/>
      <c r="L902" s="170" t="n"/>
      <c r="M902" s="170" t="n"/>
      <c r="N902" s="170" t="n"/>
      <c r="O902" s="172" t="n"/>
      <c r="P902" s="172" t="n"/>
    </row>
    <row r="903">
      <c r="B903" s="170" t="n">
        <v>888</v>
      </c>
      <c r="C903" s="199" t="n"/>
      <c r="D903" s="312" t="n"/>
      <c r="E903" s="312" t="n"/>
      <c r="F903" s="312" t="n"/>
      <c r="G903" s="312" t="n"/>
      <c r="H903" s="312" t="n"/>
      <c r="I903" s="313" t="n"/>
      <c r="J903" s="170" t="n"/>
      <c r="K903" s="314" t="n"/>
      <c r="L903" s="170" t="n"/>
      <c r="M903" s="170" t="n"/>
      <c r="N903" s="170" t="n"/>
      <c r="O903" s="172" t="n"/>
      <c r="P903" s="172" t="n"/>
    </row>
    <row r="904">
      <c r="B904" s="170" t="n">
        <v>889</v>
      </c>
      <c r="C904" s="199" t="n"/>
      <c r="D904" s="312" t="n"/>
      <c r="E904" s="312" t="n"/>
      <c r="F904" s="312" t="n"/>
      <c r="G904" s="312" t="n"/>
      <c r="H904" s="312" t="n"/>
      <c r="I904" s="313" t="n"/>
      <c r="J904" s="170" t="n"/>
      <c r="K904" s="314" t="n"/>
      <c r="L904" s="170" t="n"/>
      <c r="M904" s="170" t="n"/>
      <c r="N904" s="170" t="n"/>
      <c r="O904" s="172" t="n"/>
      <c r="P904" s="172" t="n"/>
    </row>
    <row r="905">
      <c r="B905" s="170" t="n">
        <v>890</v>
      </c>
      <c r="C905" s="199" t="n"/>
      <c r="D905" s="312" t="n"/>
      <c r="E905" s="312" t="n"/>
      <c r="F905" s="312" t="n"/>
      <c r="G905" s="312" t="n"/>
      <c r="H905" s="312" t="n"/>
      <c r="I905" s="313" t="n"/>
      <c r="J905" s="170" t="n"/>
      <c r="K905" s="314" t="n"/>
      <c r="L905" s="170" t="n"/>
      <c r="M905" s="170" t="n"/>
      <c r="N905" s="170" t="n"/>
      <c r="O905" s="172" t="n"/>
      <c r="P905" s="172" t="n"/>
    </row>
    <row r="906">
      <c r="B906" s="170" t="n">
        <v>891</v>
      </c>
      <c r="C906" s="199" t="n"/>
      <c r="D906" s="312" t="n"/>
      <c r="E906" s="312" t="n"/>
      <c r="F906" s="312" t="n"/>
      <c r="G906" s="312" t="n"/>
      <c r="H906" s="312" t="n"/>
      <c r="I906" s="313" t="n"/>
      <c r="J906" s="170" t="n"/>
      <c r="K906" s="314" t="n"/>
      <c r="L906" s="170" t="n"/>
      <c r="M906" s="170" t="n"/>
      <c r="N906" s="170" t="n"/>
      <c r="O906" s="172" t="n"/>
      <c r="P906" s="172" t="n"/>
    </row>
    <row r="907">
      <c r="B907" s="170" t="n">
        <v>892</v>
      </c>
      <c r="C907" s="199" t="n"/>
      <c r="D907" s="312" t="n"/>
      <c r="E907" s="312" t="n"/>
      <c r="F907" s="312" t="n"/>
      <c r="G907" s="312" t="n"/>
      <c r="H907" s="312" t="n"/>
      <c r="I907" s="313" t="n"/>
      <c r="J907" s="170" t="n"/>
      <c r="K907" s="314" t="n"/>
      <c r="L907" s="170" t="n"/>
      <c r="M907" s="170" t="n"/>
      <c r="N907" s="170" t="n"/>
      <c r="O907" s="172" t="n"/>
      <c r="P907" s="172" t="n"/>
    </row>
    <row r="908">
      <c r="B908" s="170" t="n">
        <v>893</v>
      </c>
      <c r="C908" s="199" t="n"/>
      <c r="D908" s="312" t="n"/>
      <c r="E908" s="312" t="n"/>
      <c r="F908" s="312" t="n"/>
      <c r="G908" s="312" t="n"/>
      <c r="H908" s="312" t="n"/>
      <c r="I908" s="313" t="n"/>
      <c r="J908" s="170" t="n"/>
      <c r="K908" s="314" t="n"/>
      <c r="L908" s="170" t="n"/>
      <c r="M908" s="170" t="n"/>
      <c r="N908" s="170" t="n"/>
      <c r="O908" s="172" t="n"/>
      <c r="P908" s="172" t="n"/>
    </row>
    <row r="909">
      <c r="B909" s="170" t="n">
        <v>894</v>
      </c>
      <c r="C909" s="199" t="n"/>
      <c r="D909" s="312" t="n"/>
      <c r="E909" s="312" t="n"/>
      <c r="F909" s="312" t="n"/>
      <c r="G909" s="312" t="n"/>
      <c r="H909" s="312" t="n"/>
      <c r="I909" s="313" t="n"/>
      <c r="J909" s="170" t="n"/>
      <c r="K909" s="314" t="n"/>
      <c r="L909" s="170" t="n"/>
      <c r="M909" s="170" t="n"/>
      <c r="N909" s="170" t="n"/>
      <c r="O909" s="172" t="n"/>
      <c r="P909" s="172" t="n"/>
    </row>
    <row r="910">
      <c r="B910" s="170" t="n">
        <v>895</v>
      </c>
      <c r="C910" s="199" t="n"/>
      <c r="D910" s="312" t="n"/>
      <c r="E910" s="312" t="n"/>
      <c r="F910" s="312" t="n"/>
      <c r="G910" s="312" t="n"/>
      <c r="H910" s="312" t="n"/>
      <c r="I910" s="313" t="n"/>
      <c r="J910" s="170" t="n"/>
      <c r="K910" s="314" t="n"/>
      <c r="L910" s="170" t="n"/>
      <c r="M910" s="170" t="n"/>
      <c r="N910" s="170" t="n"/>
      <c r="O910" s="172" t="n"/>
      <c r="P910" s="172" t="n"/>
    </row>
    <row r="911">
      <c r="B911" s="170" t="n">
        <v>896</v>
      </c>
      <c r="C911" s="199" t="n"/>
      <c r="D911" s="312" t="n"/>
      <c r="E911" s="312" t="n"/>
      <c r="F911" s="312" t="n"/>
      <c r="G911" s="312" t="n"/>
      <c r="H911" s="312" t="n"/>
      <c r="I911" s="313" t="n"/>
      <c r="J911" s="170" t="n"/>
      <c r="K911" s="314" t="n"/>
      <c r="L911" s="170" t="n"/>
      <c r="M911" s="170" t="n"/>
      <c r="N911" s="170" t="n"/>
      <c r="O911" s="172" t="n"/>
      <c r="P911" s="172" t="n"/>
    </row>
    <row r="912">
      <c r="B912" s="170" t="n">
        <v>897</v>
      </c>
      <c r="C912" s="199" t="n"/>
      <c r="D912" s="312" t="n"/>
      <c r="E912" s="312" t="n"/>
      <c r="F912" s="312" t="n"/>
      <c r="G912" s="312" t="n"/>
      <c r="H912" s="312" t="n"/>
      <c r="I912" s="313" t="n"/>
      <c r="J912" s="170" t="n"/>
      <c r="K912" s="314" t="n"/>
      <c r="L912" s="170" t="n"/>
      <c r="M912" s="170" t="n"/>
      <c r="N912" s="170" t="n"/>
      <c r="O912" s="172" t="n"/>
      <c r="P912" s="172" t="n"/>
    </row>
    <row r="913">
      <c r="B913" s="170" t="n">
        <v>898</v>
      </c>
      <c r="C913" s="199" t="n"/>
      <c r="D913" s="312" t="n"/>
      <c r="E913" s="312" t="n"/>
      <c r="F913" s="312" t="n"/>
      <c r="G913" s="312" t="n"/>
      <c r="H913" s="312" t="n"/>
      <c r="I913" s="313" t="n"/>
      <c r="J913" s="170" t="n"/>
      <c r="K913" s="314" t="n"/>
      <c r="L913" s="170" t="n"/>
      <c r="M913" s="170" t="n"/>
      <c r="N913" s="170" t="n"/>
      <c r="O913" s="172" t="n"/>
      <c r="P913" s="172" t="n"/>
    </row>
    <row r="914">
      <c r="B914" s="170" t="n">
        <v>899</v>
      </c>
      <c r="C914" s="199" t="n"/>
      <c r="D914" s="312" t="n"/>
      <c r="E914" s="312" t="n"/>
      <c r="F914" s="312" t="n"/>
      <c r="G914" s="312" t="n"/>
      <c r="H914" s="312" t="n"/>
      <c r="I914" s="313" t="n"/>
      <c r="J914" s="170" t="n"/>
      <c r="K914" s="314" t="n"/>
      <c r="L914" s="170" t="n"/>
      <c r="M914" s="170" t="n"/>
      <c r="N914" s="170" t="n"/>
      <c r="O914" s="172" t="n"/>
      <c r="P914" s="172" t="n"/>
    </row>
    <row r="915">
      <c r="B915" s="170" t="n">
        <v>900</v>
      </c>
      <c r="C915" s="199" t="n"/>
      <c r="D915" s="312" t="n"/>
      <c r="E915" s="312" t="n"/>
      <c r="F915" s="312" t="n"/>
      <c r="G915" s="312" t="n"/>
      <c r="H915" s="312" t="n"/>
      <c r="I915" s="313" t="n"/>
      <c r="J915" s="170" t="n"/>
      <c r="K915" s="314" t="n"/>
      <c r="L915" s="170" t="n"/>
      <c r="M915" s="170" t="n"/>
      <c r="N915" s="170" t="n"/>
      <c r="O915" s="172" t="n"/>
      <c r="P915" s="172" t="n"/>
    </row>
    <row r="916">
      <c r="B916" s="170" t="n">
        <v>901</v>
      </c>
      <c r="C916" s="199" t="n"/>
      <c r="D916" s="312" t="n"/>
      <c r="E916" s="312" t="n"/>
      <c r="F916" s="312" t="n"/>
      <c r="G916" s="312" t="n"/>
      <c r="H916" s="312" t="n"/>
      <c r="I916" s="313" t="n"/>
      <c r="J916" s="170" t="n"/>
      <c r="K916" s="314" t="n"/>
      <c r="L916" s="170" t="n"/>
      <c r="M916" s="170" t="n"/>
      <c r="N916" s="170" t="n"/>
      <c r="O916" s="172" t="n"/>
      <c r="P916" s="172" t="n"/>
    </row>
    <row r="917">
      <c r="B917" s="170" t="n">
        <v>902</v>
      </c>
      <c r="C917" s="199" t="n"/>
      <c r="D917" s="312" t="n"/>
      <c r="E917" s="312" t="n"/>
      <c r="F917" s="312" t="n"/>
      <c r="G917" s="312" t="n"/>
      <c r="H917" s="312" t="n"/>
      <c r="I917" s="313" t="n"/>
      <c r="J917" s="170" t="n"/>
      <c r="K917" s="314" t="n"/>
      <c r="L917" s="170" t="n"/>
      <c r="M917" s="170" t="n"/>
      <c r="N917" s="170" t="n"/>
      <c r="O917" s="172" t="n"/>
      <c r="P917" s="172" t="n"/>
    </row>
    <row r="918">
      <c r="B918" s="170" t="n">
        <v>903</v>
      </c>
      <c r="C918" s="199" t="n"/>
      <c r="D918" s="312" t="n"/>
      <c r="E918" s="312" t="n"/>
      <c r="F918" s="312" t="n"/>
      <c r="G918" s="312" t="n"/>
      <c r="H918" s="312" t="n"/>
      <c r="I918" s="313" t="n"/>
      <c r="J918" s="170" t="n"/>
      <c r="K918" s="314" t="n"/>
      <c r="L918" s="170" t="n"/>
      <c r="M918" s="170" t="n"/>
      <c r="N918" s="170" t="n"/>
      <c r="O918" s="172" t="n"/>
      <c r="P918" s="172" t="n"/>
    </row>
    <row r="919">
      <c r="B919" s="170" t="n">
        <v>904</v>
      </c>
      <c r="C919" s="199" t="n"/>
      <c r="D919" s="312" t="n"/>
      <c r="E919" s="312" t="n"/>
      <c r="F919" s="312" t="n"/>
      <c r="G919" s="312" t="n"/>
      <c r="H919" s="312" t="n"/>
      <c r="I919" s="313" t="n"/>
      <c r="J919" s="170" t="n"/>
      <c r="K919" s="314" t="n"/>
      <c r="L919" s="170" t="n"/>
      <c r="M919" s="170" t="n"/>
      <c r="N919" s="170" t="n"/>
      <c r="O919" s="172" t="n"/>
      <c r="P919" s="172" t="n"/>
    </row>
    <row r="920">
      <c r="B920" s="170" t="n">
        <v>905</v>
      </c>
      <c r="C920" s="199" t="n"/>
      <c r="D920" s="312" t="n"/>
      <c r="E920" s="312" t="n"/>
      <c r="F920" s="312" t="n"/>
      <c r="G920" s="312" t="n"/>
      <c r="H920" s="312" t="n"/>
      <c r="I920" s="313" t="n"/>
      <c r="J920" s="170" t="n"/>
      <c r="K920" s="314" t="n"/>
      <c r="L920" s="170" t="n"/>
      <c r="M920" s="170" t="n"/>
      <c r="N920" s="170" t="n"/>
      <c r="O920" s="172" t="n"/>
      <c r="P920" s="172" t="n"/>
    </row>
    <row r="921">
      <c r="B921" s="170" t="n">
        <v>906</v>
      </c>
      <c r="C921" s="199" t="n"/>
      <c r="D921" s="312" t="n"/>
      <c r="E921" s="312" t="n"/>
      <c r="F921" s="312" t="n"/>
      <c r="G921" s="312" t="n"/>
      <c r="H921" s="312" t="n"/>
      <c r="I921" s="313" t="n"/>
      <c r="J921" s="170" t="n"/>
      <c r="K921" s="314" t="n"/>
      <c r="L921" s="170" t="n"/>
      <c r="M921" s="170" t="n"/>
      <c r="N921" s="170" t="n"/>
      <c r="O921" s="172" t="n"/>
      <c r="P921" s="172" t="n"/>
    </row>
    <row r="922">
      <c r="B922" s="170" t="n">
        <v>907</v>
      </c>
      <c r="C922" s="199" t="n"/>
      <c r="D922" s="312" t="n"/>
      <c r="E922" s="312" t="n"/>
      <c r="F922" s="312" t="n"/>
      <c r="G922" s="312" t="n"/>
      <c r="H922" s="312" t="n"/>
      <c r="I922" s="313" t="n"/>
      <c r="J922" s="170" t="n"/>
      <c r="K922" s="314" t="n"/>
      <c r="L922" s="170" t="n"/>
      <c r="M922" s="170" t="n"/>
      <c r="N922" s="170" t="n"/>
      <c r="O922" s="172" t="n"/>
      <c r="P922" s="172" t="n"/>
    </row>
    <row r="923">
      <c r="B923" s="170" t="n">
        <v>908</v>
      </c>
      <c r="C923" s="199" t="n"/>
      <c r="D923" s="312" t="n"/>
      <c r="E923" s="312" t="n"/>
      <c r="F923" s="312" t="n"/>
      <c r="G923" s="312" t="n"/>
      <c r="H923" s="312" t="n"/>
      <c r="I923" s="313" t="n"/>
      <c r="J923" s="170" t="n"/>
      <c r="K923" s="314" t="n"/>
      <c r="L923" s="170" t="n"/>
      <c r="M923" s="170" t="n"/>
      <c r="N923" s="170" t="n"/>
      <c r="O923" s="172" t="n"/>
      <c r="P923" s="172" t="n"/>
    </row>
    <row r="924">
      <c r="B924" s="170" t="n">
        <v>909</v>
      </c>
      <c r="C924" s="199" t="n"/>
      <c r="D924" s="312" t="n"/>
      <c r="E924" s="312" t="n"/>
      <c r="F924" s="312" t="n"/>
      <c r="G924" s="312" t="n"/>
      <c r="H924" s="312" t="n"/>
      <c r="I924" s="313" t="n"/>
      <c r="J924" s="170" t="n"/>
      <c r="K924" s="314" t="n"/>
      <c r="L924" s="170" t="n"/>
      <c r="M924" s="170" t="n"/>
      <c r="N924" s="170" t="n"/>
      <c r="O924" s="172" t="n"/>
      <c r="P924" s="172" t="n"/>
    </row>
    <row r="925">
      <c r="B925" s="170" t="n">
        <v>910</v>
      </c>
      <c r="C925" s="199" t="n"/>
      <c r="D925" s="312" t="n"/>
      <c r="E925" s="312" t="n"/>
      <c r="F925" s="312" t="n"/>
      <c r="G925" s="312" t="n"/>
      <c r="H925" s="312" t="n"/>
      <c r="I925" s="313" t="n"/>
      <c r="J925" s="170" t="n"/>
      <c r="K925" s="314" t="n"/>
      <c r="L925" s="170" t="n"/>
      <c r="M925" s="170" t="n"/>
      <c r="N925" s="170" t="n"/>
      <c r="O925" s="172" t="n"/>
      <c r="P925" s="172" t="n"/>
    </row>
    <row r="926">
      <c r="B926" s="170" t="n">
        <v>911</v>
      </c>
      <c r="C926" s="199" t="n"/>
      <c r="D926" s="312" t="n"/>
      <c r="E926" s="312" t="n"/>
      <c r="F926" s="312" t="n"/>
      <c r="G926" s="312" t="n"/>
      <c r="H926" s="312" t="n"/>
      <c r="I926" s="313" t="n"/>
      <c r="J926" s="170" t="n"/>
      <c r="K926" s="314" t="n"/>
      <c r="L926" s="170" t="n"/>
      <c r="M926" s="170" t="n"/>
      <c r="N926" s="170" t="n"/>
      <c r="O926" s="172" t="n"/>
      <c r="P926" s="172" t="n"/>
    </row>
    <row r="927">
      <c r="B927" s="170" t="n">
        <v>912</v>
      </c>
      <c r="C927" s="199" t="n"/>
      <c r="D927" s="312" t="n"/>
      <c r="E927" s="312" t="n"/>
      <c r="F927" s="312" t="n"/>
      <c r="G927" s="312" t="n"/>
      <c r="H927" s="312" t="n"/>
      <c r="I927" s="313" t="n"/>
      <c r="J927" s="170" t="n"/>
      <c r="K927" s="314" t="n"/>
      <c r="L927" s="170" t="n"/>
      <c r="M927" s="170" t="n"/>
      <c r="N927" s="170" t="n"/>
      <c r="O927" s="172" t="n"/>
      <c r="P927" s="172" t="n"/>
    </row>
    <row r="928">
      <c r="B928" s="170" t="n">
        <v>913</v>
      </c>
      <c r="C928" s="199" t="n"/>
      <c r="D928" s="312" t="n"/>
      <c r="E928" s="312" t="n"/>
      <c r="F928" s="312" t="n"/>
      <c r="G928" s="312" t="n"/>
      <c r="H928" s="312" t="n"/>
      <c r="I928" s="313" t="n"/>
      <c r="J928" s="170" t="n"/>
      <c r="K928" s="314" t="n"/>
      <c r="L928" s="170" t="n"/>
      <c r="M928" s="170" t="n"/>
      <c r="N928" s="170" t="n"/>
      <c r="O928" s="172" t="n"/>
      <c r="P928" s="172" t="n"/>
    </row>
    <row r="929">
      <c r="B929" s="170" t="n">
        <v>914</v>
      </c>
      <c r="C929" s="199" t="n"/>
      <c r="D929" s="312" t="n"/>
      <c r="E929" s="312" t="n"/>
      <c r="F929" s="312" t="n"/>
      <c r="G929" s="312" t="n"/>
      <c r="H929" s="312" t="n"/>
      <c r="I929" s="313" t="n"/>
      <c r="J929" s="170" t="n"/>
      <c r="K929" s="314" t="n"/>
      <c r="L929" s="170" t="n"/>
      <c r="M929" s="170" t="n"/>
      <c r="N929" s="170" t="n"/>
      <c r="O929" s="172" t="n"/>
      <c r="P929" s="172" t="n"/>
    </row>
    <row r="930">
      <c r="B930" s="170" t="n">
        <v>915</v>
      </c>
      <c r="C930" s="199" t="n"/>
      <c r="D930" s="312" t="n"/>
      <c r="E930" s="312" t="n"/>
      <c r="F930" s="312" t="n"/>
      <c r="G930" s="312" t="n"/>
      <c r="H930" s="312" t="n"/>
      <c r="I930" s="313" t="n"/>
      <c r="J930" s="170" t="n"/>
      <c r="K930" s="314" t="n"/>
      <c r="L930" s="170" t="n"/>
      <c r="M930" s="170" t="n"/>
      <c r="N930" s="170" t="n"/>
      <c r="O930" s="172" t="n"/>
      <c r="P930" s="172" t="n"/>
    </row>
    <row r="931">
      <c r="B931" s="170" t="n">
        <v>916</v>
      </c>
      <c r="C931" s="199" t="n"/>
      <c r="D931" s="312" t="n"/>
      <c r="E931" s="312" t="n"/>
      <c r="F931" s="312" t="n"/>
      <c r="G931" s="312" t="n"/>
      <c r="H931" s="312" t="n"/>
      <c r="I931" s="313" t="n"/>
      <c r="J931" s="170" t="n"/>
      <c r="K931" s="314" t="n"/>
      <c r="L931" s="170" t="n"/>
      <c r="M931" s="170" t="n"/>
      <c r="N931" s="170" t="n"/>
      <c r="O931" s="172" t="n"/>
      <c r="P931" s="172" t="n"/>
    </row>
    <row r="932">
      <c r="B932" s="170" t="n">
        <v>917</v>
      </c>
      <c r="C932" s="199" t="n"/>
      <c r="D932" s="312" t="n"/>
      <c r="E932" s="312" t="n"/>
      <c r="F932" s="312" t="n"/>
      <c r="G932" s="312" t="n"/>
      <c r="H932" s="312" t="n"/>
      <c r="I932" s="313" t="n"/>
      <c r="J932" s="170" t="n"/>
      <c r="K932" s="314" t="n"/>
      <c r="L932" s="170" t="n"/>
      <c r="M932" s="170" t="n"/>
      <c r="N932" s="170" t="n"/>
      <c r="O932" s="172" t="n"/>
      <c r="P932" s="172" t="n"/>
    </row>
    <row r="933">
      <c r="B933" s="170" t="n">
        <v>918</v>
      </c>
      <c r="C933" s="199" t="n"/>
      <c r="D933" s="312" t="n"/>
      <c r="E933" s="312" t="n"/>
      <c r="F933" s="312" t="n"/>
      <c r="G933" s="312" t="n"/>
      <c r="H933" s="312" t="n"/>
      <c r="I933" s="313" t="n"/>
      <c r="J933" s="170" t="n"/>
      <c r="K933" s="314" t="n"/>
      <c r="L933" s="170" t="n"/>
      <c r="M933" s="170" t="n"/>
      <c r="N933" s="170" t="n"/>
      <c r="O933" s="172" t="n"/>
      <c r="P933" s="172" t="n"/>
    </row>
    <row r="934">
      <c r="B934" s="170" t="n">
        <v>919</v>
      </c>
      <c r="C934" s="199" t="n"/>
      <c r="D934" s="312" t="n"/>
      <c r="E934" s="312" t="n"/>
      <c r="F934" s="312" t="n"/>
      <c r="G934" s="312" t="n"/>
      <c r="H934" s="312" t="n"/>
      <c r="I934" s="313" t="n"/>
      <c r="J934" s="170" t="n"/>
      <c r="K934" s="314" t="n"/>
      <c r="L934" s="170" t="n"/>
      <c r="M934" s="170" t="n"/>
      <c r="N934" s="170" t="n"/>
      <c r="O934" s="172" t="n"/>
      <c r="P934" s="172" t="n"/>
    </row>
    <row r="935">
      <c r="B935" s="170" t="n">
        <v>920</v>
      </c>
      <c r="C935" s="199" t="n"/>
      <c r="D935" s="312" t="n"/>
      <c r="E935" s="312" t="n"/>
      <c r="F935" s="312" t="n"/>
      <c r="G935" s="312" t="n"/>
      <c r="H935" s="312" t="n"/>
      <c r="I935" s="313" t="n"/>
      <c r="J935" s="170" t="n"/>
      <c r="K935" s="314" t="n"/>
      <c r="L935" s="170" t="n"/>
      <c r="M935" s="170" t="n"/>
      <c r="N935" s="170" t="n"/>
      <c r="O935" s="172" t="n"/>
      <c r="P935" s="172" t="n"/>
    </row>
    <row r="936">
      <c r="B936" s="170" t="n">
        <v>921</v>
      </c>
      <c r="C936" s="199" t="n"/>
      <c r="D936" s="312" t="n"/>
      <c r="E936" s="312" t="n"/>
      <c r="F936" s="312" t="n"/>
      <c r="G936" s="312" t="n"/>
      <c r="H936" s="312" t="n"/>
      <c r="I936" s="313" t="n"/>
      <c r="J936" s="170" t="n"/>
      <c r="K936" s="314" t="n"/>
      <c r="L936" s="170" t="n"/>
      <c r="M936" s="170" t="n"/>
      <c r="N936" s="170" t="n"/>
      <c r="O936" s="172" t="n"/>
      <c r="P936" s="172" t="n"/>
    </row>
    <row r="937">
      <c r="B937" s="170" t="n">
        <v>922</v>
      </c>
      <c r="C937" s="199" t="n"/>
      <c r="D937" s="312" t="n"/>
      <c r="E937" s="312" t="n"/>
      <c r="F937" s="312" t="n"/>
      <c r="G937" s="312" t="n"/>
      <c r="H937" s="312" t="n"/>
      <c r="I937" s="313" t="n"/>
      <c r="J937" s="170" t="n"/>
      <c r="K937" s="314" t="n"/>
      <c r="L937" s="170" t="n"/>
      <c r="M937" s="170" t="n"/>
      <c r="N937" s="170" t="n"/>
      <c r="O937" s="172" t="n"/>
      <c r="P937" s="172" t="n"/>
    </row>
    <row r="938">
      <c r="B938" s="170" t="n">
        <v>923</v>
      </c>
      <c r="C938" s="199" t="n"/>
      <c r="D938" s="312" t="n"/>
      <c r="E938" s="312" t="n"/>
      <c r="F938" s="312" t="n"/>
      <c r="G938" s="312" t="n"/>
      <c r="H938" s="312" t="n"/>
      <c r="I938" s="313" t="n"/>
      <c r="J938" s="170" t="n"/>
      <c r="K938" s="314" t="n"/>
      <c r="L938" s="170" t="n"/>
      <c r="M938" s="170" t="n"/>
      <c r="N938" s="170" t="n"/>
      <c r="O938" s="172" t="n"/>
      <c r="P938" s="172" t="n"/>
    </row>
    <row r="939">
      <c r="B939" s="170" t="n">
        <v>924</v>
      </c>
      <c r="C939" s="199" t="n"/>
      <c r="D939" s="312" t="n"/>
      <c r="E939" s="312" t="n"/>
      <c r="F939" s="312" t="n"/>
      <c r="G939" s="312" t="n"/>
      <c r="H939" s="312" t="n"/>
      <c r="I939" s="313" t="n"/>
      <c r="J939" s="170" t="n"/>
      <c r="K939" s="314" t="n"/>
      <c r="L939" s="170" t="n"/>
      <c r="M939" s="170" t="n"/>
      <c r="N939" s="170" t="n"/>
      <c r="O939" s="172" t="n"/>
      <c r="P939" s="172" t="n"/>
    </row>
    <row r="940">
      <c r="B940" s="170" t="n">
        <v>925</v>
      </c>
      <c r="C940" s="199" t="n"/>
      <c r="D940" s="312" t="n"/>
      <c r="E940" s="312" t="n"/>
      <c r="F940" s="312" t="n"/>
      <c r="G940" s="312" t="n"/>
      <c r="H940" s="312" t="n"/>
      <c r="I940" s="313" t="n"/>
      <c r="J940" s="170" t="n"/>
      <c r="K940" s="314" t="n"/>
      <c r="L940" s="170" t="n"/>
      <c r="M940" s="170" t="n"/>
      <c r="N940" s="170" t="n"/>
      <c r="O940" s="172" t="n"/>
      <c r="P940" s="172" t="n"/>
    </row>
    <row r="941">
      <c r="B941" s="170" t="n">
        <v>926</v>
      </c>
      <c r="C941" s="199" t="n"/>
      <c r="D941" s="312" t="n"/>
      <c r="E941" s="312" t="n"/>
      <c r="F941" s="312" t="n"/>
      <c r="G941" s="312" t="n"/>
      <c r="H941" s="312" t="n"/>
      <c r="I941" s="313" t="n"/>
      <c r="J941" s="170" t="n"/>
      <c r="K941" s="314" t="n"/>
      <c r="L941" s="170" t="n"/>
      <c r="M941" s="170" t="n"/>
      <c r="N941" s="170" t="n"/>
      <c r="O941" s="172" t="n"/>
      <c r="P941" s="172" t="n"/>
    </row>
    <row r="942">
      <c r="B942" s="170" t="n">
        <v>927</v>
      </c>
      <c r="C942" s="199" t="n"/>
      <c r="D942" s="312" t="n"/>
      <c r="E942" s="312" t="n"/>
      <c r="F942" s="312" t="n"/>
      <c r="G942" s="312" t="n"/>
      <c r="H942" s="312" t="n"/>
      <c r="I942" s="313" t="n"/>
      <c r="J942" s="170" t="n"/>
      <c r="K942" s="314" t="n"/>
      <c r="L942" s="170" t="n"/>
      <c r="M942" s="170" t="n"/>
      <c r="N942" s="170" t="n"/>
      <c r="O942" s="172" t="n"/>
      <c r="P942" s="172" t="n"/>
    </row>
    <row r="943">
      <c r="B943" s="170" t="n">
        <v>928</v>
      </c>
      <c r="C943" s="199" t="n"/>
      <c r="D943" s="312" t="n"/>
      <c r="E943" s="312" t="n"/>
      <c r="F943" s="312" t="n"/>
      <c r="G943" s="312" t="n"/>
      <c r="H943" s="312" t="n"/>
      <c r="I943" s="313" t="n"/>
      <c r="J943" s="170" t="n"/>
      <c r="K943" s="314" t="n"/>
      <c r="L943" s="170" t="n"/>
      <c r="M943" s="170" t="n"/>
      <c r="N943" s="170" t="n"/>
      <c r="O943" s="172" t="n"/>
      <c r="P943" s="172" t="n"/>
    </row>
    <row r="944">
      <c r="B944" s="170" t="n">
        <v>929</v>
      </c>
      <c r="C944" s="199" t="n"/>
      <c r="D944" s="312" t="n"/>
      <c r="E944" s="312" t="n"/>
      <c r="F944" s="312" t="n"/>
      <c r="G944" s="312" t="n"/>
      <c r="H944" s="312" t="n"/>
      <c r="I944" s="313" t="n"/>
      <c r="J944" s="170" t="n"/>
      <c r="K944" s="314" t="n"/>
      <c r="L944" s="170" t="n"/>
      <c r="M944" s="170" t="n"/>
      <c r="N944" s="170" t="n"/>
      <c r="O944" s="172" t="n"/>
      <c r="P944" s="172" t="n"/>
    </row>
    <row r="945">
      <c r="B945" s="170" t="n">
        <v>930</v>
      </c>
      <c r="C945" s="199" t="n"/>
      <c r="D945" s="312" t="n"/>
      <c r="E945" s="312" t="n"/>
      <c r="F945" s="312" t="n"/>
      <c r="G945" s="312" t="n"/>
      <c r="H945" s="312" t="n"/>
      <c r="I945" s="313" t="n"/>
      <c r="J945" s="170" t="n"/>
      <c r="K945" s="314" t="n"/>
      <c r="L945" s="170" t="n"/>
      <c r="M945" s="170" t="n"/>
      <c r="N945" s="170" t="n"/>
      <c r="O945" s="172" t="n"/>
      <c r="P945" s="172" t="n"/>
    </row>
    <row r="946">
      <c r="B946" s="170" t="n">
        <v>931</v>
      </c>
      <c r="C946" s="199" t="n"/>
      <c r="D946" s="312" t="n"/>
      <c r="E946" s="312" t="n"/>
      <c r="F946" s="312" t="n"/>
      <c r="G946" s="312" t="n"/>
      <c r="H946" s="312" t="n"/>
      <c r="I946" s="313" t="n"/>
      <c r="J946" s="170" t="n"/>
      <c r="K946" s="314" t="n"/>
      <c r="L946" s="170" t="n"/>
      <c r="M946" s="170" t="n"/>
      <c r="N946" s="170" t="n"/>
      <c r="O946" s="172" t="n"/>
      <c r="P946" s="172" t="n"/>
    </row>
    <row r="947">
      <c r="B947" s="170" t="n">
        <v>932</v>
      </c>
      <c r="C947" s="199" t="n"/>
      <c r="D947" s="312" t="n"/>
      <c r="E947" s="312" t="n"/>
      <c r="F947" s="312" t="n"/>
      <c r="G947" s="312" t="n"/>
      <c r="H947" s="312" t="n"/>
      <c r="I947" s="313" t="n"/>
      <c r="J947" s="170" t="n"/>
      <c r="K947" s="314" t="n"/>
      <c r="L947" s="170" t="n"/>
      <c r="M947" s="170" t="n"/>
      <c r="N947" s="170" t="n"/>
      <c r="O947" s="172" t="n"/>
      <c r="P947" s="172" t="n"/>
    </row>
    <row r="948">
      <c r="B948" s="170" t="n">
        <v>933</v>
      </c>
      <c r="C948" s="199" t="n"/>
      <c r="D948" s="312" t="n"/>
      <c r="E948" s="312" t="n"/>
      <c r="F948" s="312" t="n"/>
      <c r="G948" s="312" t="n"/>
      <c r="H948" s="312" t="n"/>
      <c r="I948" s="313" t="n"/>
      <c r="J948" s="170" t="n"/>
      <c r="K948" s="314" t="n"/>
      <c r="L948" s="170" t="n"/>
      <c r="M948" s="170" t="n"/>
      <c r="N948" s="170" t="n"/>
      <c r="O948" s="172" t="n"/>
      <c r="P948" s="172" t="n"/>
    </row>
    <row r="949">
      <c r="B949" s="170" t="n">
        <v>934</v>
      </c>
      <c r="C949" s="199" t="n"/>
      <c r="D949" s="312" t="n"/>
      <c r="E949" s="312" t="n"/>
      <c r="F949" s="312" t="n"/>
      <c r="G949" s="312" t="n"/>
      <c r="H949" s="312" t="n"/>
      <c r="I949" s="313" t="n"/>
      <c r="J949" s="170" t="n"/>
      <c r="K949" s="314" t="n"/>
      <c r="L949" s="170" t="n"/>
      <c r="M949" s="170" t="n"/>
      <c r="N949" s="170" t="n"/>
      <c r="O949" s="172" t="n"/>
      <c r="P949" s="172" t="n"/>
    </row>
    <row r="950">
      <c r="B950" s="170" t="n">
        <v>935</v>
      </c>
      <c r="C950" s="199" t="n"/>
      <c r="D950" s="312" t="n"/>
      <c r="E950" s="312" t="n"/>
      <c r="F950" s="312" t="n"/>
      <c r="G950" s="312" t="n"/>
      <c r="H950" s="312" t="n"/>
      <c r="I950" s="313" t="n"/>
      <c r="J950" s="170" t="n"/>
      <c r="K950" s="314" t="n"/>
      <c r="L950" s="170" t="n"/>
      <c r="M950" s="170" t="n"/>
      <c r="N950" s="170" t="n"/>
      <c r="O950" s="172" t="n"/>
      <c r="P950" s="172" t="n"/>
    </row>
    <row r="951">
      <c r="B951" s="170" t="n">
        <v>936</v>
      </c>
      <c r="C951" s="199" t="n"/>
      <c r="D951" s="312" t="n"/>
      <c r="E951" s="312" t="n"/>
      <c r="F951" s="312" t="n"/>
      <c r="G951" s="312" t="n"/>
      <c r="H951" s="312" t="n"/>
      <c r="I951" s="313" t="n"/>
      <c r="J951" s="170" t="n"/>
      <c r="K951" s="314" t="n"/>
      <c r="L951" s="170" t="n"/>
      <c r="M951" s="170" t="n"/>
      <c r="N951" s="170" t="n"/>
      <c r="O951" s="172" t="n"/>
      <c r="P951" s="172" t="n"/>
    </row>
    <row r="952">
      <c r="B952" s="170" t="n">
        <v>937</v>
      </c>
      <c r="C952" s="199" t="n"/>
      <c r="D952" s="312" t="n"/>
      <c r="E952" s="312" t="n"/>
      <c r="F952" s="312" t="n"/>
      <c r="G952" s="312" t="n"/>
      <c r="H952" s="312" t="n"/>
      <c r="I952" s="313" t="n"/>
      <c r="J952" s="170" t="n"/>
      <c r="K952" s="314" t="n"/>
      <c r="L952" s="170" t="n"/>
      <c r="M952" s="170" t="n"/>
      <c r="N952" s="170" t="n"/>
      <c r="O952" s="172" t="n"/>
      <c r="P952" s="172" t="n"/>
    </row>
    <row r="953">
      <c r="B953" s="170" t="n">
        <v>938</v>
      </c>
      <c r="C953" s="199" t="n"/>
      <c r="D953" s="312" t="n"/>
      <c r="E953" s="312" t="n"/>
      <c r="F953" s="312" t="n"/>
      <c r="G953" s="312" t="n"/>
      <c r="H953" s="312" t="n"/>
      <c r="I953" s="313" t="n"/>
      <c r="J953" s="170" t="n"/>
      <c r="K953" s="314" t="n"/>
      <c r="L953" s="170" t="n"/>
      <c r="M953" s="170" t="n"/>
      <c r="N953" s="170" t="n"/>
      <c r="O953" s="172" t="n"/>
      <c r="P953" s="172" t="n"/>
    </row>
    <row r="954">
      <c r="B954" s="170" t="n">
        <v>939</v>
      </c>
      <c r="C954" s="199" t="n"/>
      <c r="D954" s="312" t="n"/>
      <c r="E954" s="312" t="n"/>
      <c r="F954" s="312" t="n"/>
      <c r="G954" s="312" t="n"/>
      <c r="H954" s="312" t="n"/>
      <c r="I954" s="313" t="n"/>
      <c r="J954" s="170" t="n"/>
      <c r="K954" s="314" t="n"/>
      <c r="L954" s="170" t="n"/>
      <c r="M954" s="170" t="n"/>
      <c r="N954" s="170" t="n"/>
      <c r="O954" s="172" t="n"/>
      <c r="P954" s="172" t="n"/>
    </row>
    <row r="955">
      <c r="B955" s="170" t="n">
        <v>940</v>
      </c>
      <c r="C955" s="199" t="n"/>
      <c r="D955" s="312" t="n"/>
      <c r="E955" s="312" t="n"/>
      <c r="F955" s="312" t="n"/>
      <c r="G955" s="312" t="n"/>
      <c r="H955" s="312" t="n"/>
      <c r="I955" s="313" t="n"/>
      <c r="J955" s="170" t="n"/>
      <c r="K955" s="314" t="n"/>
      <c r="L955" s="170" t="n"/>
      <c r="M955" s="170" t="n"/>
      <c r="N955" s="170" t="n"/>
      <c r="O955" s="172" t="n"/>
      <c r="P955" s="172" t="n"/>
    </row>
    <row r="956">
      <c r="B956" s="170" t="n">
        <v>941</v>
      </c>
      <c r="C956" s="199" t="n"/>
      <c r="D956" s="312" t="n"/>
      <c r="E956" s="312" t="n"/>
      <c r="F956" s="312" t="n"/>
      <c r="G956" s="312" t="n"/>
      <c r="H956" s="312" t="n"/>
      <c r="I956" s="313" t="n"/>
      <c r="J956" s="170" t="n"/>
      <c r="K956" s="314" t="n"/>
      <c r="L956" s="170" t="n"/>
      <c r="M956" s="170" t="n"/>
      <c r="N956" s="170" t="n"/>
      <c r="O956" s="172" t="n"/>
      <c r="P956" s="172" t="n"/>
    </row>
    <row r="957">
      <c r="B957" s="170" t="n">
        <v>942</v>
      </c>
      <c r="C957" s="199" t="n"/>
      <c r="D957" s="312" t="n"/>
      <c r="E957" s="312" t="n"/>
      <c r="F957" s="312" t="n"/>
      <c r="G957" s="312" t="n"/>
      <c r="H957" s="312" t="n"/>
      <c r="I957" s="313" t="n"/>
      <c r="J957" s="170" t="n"/>
      <c r="K957" s="314" t="n"/>
      <c r="L957" s="170" t="n"/>
      <c r="M957" s="170" t="n"/>
      <c r="N957" s="170" t="n"/>
      <c r="O957" s="172" t="n"/>
      <c r="P957" s="172" t="n"/>
    </row>
    <row r="958">
      <c r="B958" s="170" t="n">
        <v>943</v>
      </c>
      <c r="C958" s="199" t="n"/>
      <c r="D958" s="312" t="n"/>
      <c r="E958" s="312" t="n"/>
      <c r="F958" s="312" t="n"/>
      <c r="G958" s="312" t="n"/>
      <c r="H958" s="312" t="n"/>
      <c r="I958" s="313" t="n"/>
      <c r="J958" s="170" t="n"/>
      <c r="K958" s="314" t="n"/>
      <c r="L958" s="170" t="n"/>
      <c r="M958" s="170" t="n"/>
      <c r="N958" s="170" t="n"/>
      <c r="O958" s="172" t="n"/>
      <c r="P958" s="172" t="n"/>
    </row>
    <row r="959">
      <c r="B959" s="170" t="n">
        <v>944</v>
      </c>
      <c r="C959" s="199" t="n"/>
      <c r="D959" s="312" t="n"/>
      <c r="E959" s="312" t="n"/>
      <c r="F959" s="312" t="n"/>
      <c r="G959" s="312" t="n"/>
      <c r="H959" s="312" t="n"/>
      <c r="I959" s="313" t="n"/>
      <c r="J959" s="170" t="n"/>
      <c r="K959" s="314" t="n"/>
      <c r="L959" s="170" t="n"/>
      <c r="M959" s="170" t="n"/>
      <c r="N959" s="170" t="n"/>
      <c r="O959" s="172" t="n"/>
      <c r="P959" s="172" t="n"/>
    </row>
    <row r="960">
      <c r="B960" s="170" t="n">
        <v>945</v>
      </c>
      <c r="C960" s="199" t="n"/>
      <c r="D960" s="312" t="n"/>
      <c r="E960" s="312" t="n"/>
      <c r="F960" s="312" t="n"/>
      <c r="G960" s="312" t="n"/>
      <c r="H960" s="312" t="n"/>
      <c r="I960" s="313" t="n"/>
      <c r="J960" s="170" t="n"/>
      <c r="K960" s="314" t="n"/>
      <c r="L960" s="170" t="n"/>
      <c r="M960" s="170" t="n"/>
      <c r="N960" s="170" t="n"/>
      <c r="O960" s="172" t="n"/>
      <c r="P960" s="172" t="n"/>
    </row>
    <row r="961">
      <c r="B961" s="170" t="n">
        <v>946</v>
      </c>
      <c r="C961" s="199" t="n"/>
      <c r="D961" s="312" t="n"/>
      <c r="E961" s="312" t="n"/>
      <c r="F961" s="312" t="n"/>
      <c r="G961" s="312" t="n"/>
      <c r="H961" s="312" t="n"/>
      <c r="I961" s="313" t="n"/>
      <c r="J961" s="170" t="n"/>
      <c r="K961" s="314" t="n"/>
      <c r="L961" s="170" t="n"/>
      <c r="M961" s="170" t="n"/>
      <c r="N961" s="170" t="n"/>
      <c r="O961" s="172" t="n"/>
      <c r="P961" s="172" t="n"/>
    </row>
    <row r="962">
      <c r="B962" s="170" t="n">
        <v>947</v>
      </c>
      <c r="C962" s="199" t="n"/>
      <c r="D962" s="312" t="n"/>
      <c r="E962" s="312" t="n"/>
      <c r="F962" s="312" t="n"/>
      <c r="G962" s="312" t="n"/>
      <c r="H962" s="312" t="n"/>
      <c r="I962" s="313" t="n"/>
      <c r="J962" s="170" t="n"/>
      <c r="K962" s="314" t="n"/>
      <c r="L962" s="170" t="n"/>
      <c r="M962" s="170" t="n"/>
      <c r="N962" s="170" t="n"/>
      <c r="O962" s="172" t="n"/>
      <c r="P962" s="172" t="n"/>
    </row>
    <row r="963">
      <c r="B963" s="170" t="n">
        <v>948</v>
      </c>
      <c r="C963" s="199" t="n"/>
      <c r="D963" s="312" t="n"/>
      <c r="E963" s="312" t="n"/>
      <c r="F963" s="312" t="n"/>
      <c r="G963" s="312" t="n"/>
      <c r="H963" s="312" t="n"/>
      <c r="I963" s="313" t="n"/>
      <c r="J963" s="170" t="n"/>
      <c r="K963" s="314" t="n"/>
      <c r="L963" s="170" t="n"/>
      <c r="M963" s="170" t="n"/>
      <c r="N963" s="170" t="n"/>
      <c r="O963" s="172" t="n"/>
      <c r="P963" s="172" t="n"/>
    </row>
    <row r="964">
      <c r="B964" s="170" t="n">
        <v>949</v>
      </c>
      <c r="C964" s="199" t="n"/>
      <c r="D964" s="312" t="n"/>
      <c r="E964" s="312" t="n"/>
      <c r="F964" s="312" t="n"/>
      <c r="G964" s="312" t="n"/>
      <c r="H964" s="312" t="n"/>
      <c r="I964" s="313" t="n"/>
      <c r="J964" s="170" t="n"/>
      <c r="K964" s="314" t="n"/>
      <c r="L964" s="170" t="n"/>
      <c r="M964" s="170" t="n"/>
      <c r="N964" s="170" t="n"/>
      <c r="O964" s="172" t="n"/>
      <c r="P964" s="172" t="n"/>
    </row>
    <row r="965">
      <c r="B965" s="170" t="n">
        <v>950</v>
      </c>
      <c r="C965" s="199" t="n"/>
      <c r="D965" s="312" t="n"/>
      <c r="E965" s="312" t="n"/>
      <c r="F965" s="312" t="n"/>
      <c r="G965" s="312" t="n"/>
      <c r="H965" s="312" t="n"/>
      <c r="I965" s="313" t="n"/>
      <c r="J965" s="170" t="n"/>
      <c r="K965" s="314" t="n"/>
      <c r="L965" s="170" t="n"/>
      <c r="M965" s="170" t="n"/>
      <c r="N965" s="170" t="n"/>
      <c r="O965" s="172" t="n"/>
      <c r="P965" s="172" t="n"/>
    </row>
    <row r="966">
      <c r="B966" s="170" t="n">
        <v>951</v>
      </c>
      <c r="C966" s="199" t="n"/>
      <c r="D966" s="312" t="n"/>
      <c r="E966" s="312" t="n"/>
      <c r="F966" s="312" t="n"/>
      <c r="G966" s="312" t="n"/>
      <c r="H966" s="312" t="n"/>
      <c r="I966" s="313" t="n"/>
      <c r="J966" s="170" t="n"/>
      <c r="K966" s="314" t="n"/>
      <c r="L966" s="170" t="n"/>
      <c r="M966" s="170" t="n"/>
      <c r="N966" s="170" t="n"/>
      <c r="O966" s="172" t="n"/>
      <c r="P966" s="172" t="n"/>
    </row>
    <row r="967">
      <c r="B967" s="170" t="n">
        <v>952</v>
      </c>
      <c r="C967" s="199" t="n"/>
      <c r="D967" s="312" t="n"/>
      <c r="E967" s="312" t="n"/>
      <c r="F967" s="312" t="n"/>
      <c r="G967" s="312" t="n"/>
      <c r="H967" s="312" t="n"/>
      <c r="I967" s="313" t="n"/>
      <c r="J967" s="170" t="n"/>
      <c r="K967" s="314" t="n"/>
      <c r="L967" s="170" t="n"/>
      <c r="M967" s="170" t="n"/>
      <c r="N967" s="170" t="n"/>
      <c r="O967" s="172" t="n"/>
      <c r="P967" s="172" t="n"/>
    </row>
    <row r="968">
      <c r="B968" s="170" t="n">
        <v>953</v>
      </c>
      <c r="C968" s="199" t="n"/>
      <c r="D968" s="312" t="n"/>
      <c r="E968" s="312" t="n"/>
      <c r="F968" s="312" t="n"/>
      <c r="G968" s="312" t="n"/>
      <c r="H968" s="312" t="n"/>
      <c r="I968" s="313" t="n"/>
      <c r="J968" s="170" t="n"/>
      <c r="K968" s="314" t="n"/>
      <c r="L968" s="170" t="n"/>
      <c r="M968" s="170" t="n"/>
      <c r="N968" s="170" t="n"/>
      <c r="O968" s="172" t="n"/>
      <c r="P968" s="172" t="n"/>
    </row>
    <row r="969">
      <c r="B969" s="170" t="n">
        <v>954</v>
      </c>
      <c r="C969" s="199" t="n"/>
      <c r="D969" s="312" t="n"/>
      <c r="E969" s="312" t="n"/>
      <c r="F969" s="312" t="n"/>
      <c r="G969" s="312" t="n"/>
      <c r="H969" s="312" t="n"/>
      <c r="I969" s="313" t="n"/>
      <c r="J969" s="170" t="n"/>
      <c r="K969" s="314" t="n"/>
      <c r="L969" s="170" t="n"/>
      <c r="M969" s="170" t="n"/>
      <c r="N969" s="170" t="n"/>
      <c r="O969" s="172" t="n"/>
      <c r="P969" s="172" t="n"/>
    </row>
    <row r="970">
      <c r="B970" s="170" t="n">
        <v>955</v>
      </c>
      <c r="C970" s="199" t="n"/>
      <c r="D970" s="312" t="n"/>
      <c r="E970" s="312" t="n"/>
      <c r="F970" s="312" t="n"/>
      <c r="G970" s="312" t="n"/>
      <c r="H970" s="312" t="n"/>
      <c r="I970" s="313" t="n"/>
      <c r="J970" s="170" t="n"/>
      <c r="K970" s="314" t="n"/>
      <c r="L970" s="170" t="n"/>
      <c r="M970" s="170" t="n"/>
      <c r="N970" s="170" t="n"/>
      <c r="O970" s="172" t="n"/>
      <c r="P970" s="172" t="n"/>
    </row>
    <row r="971">
      <c r="B971" s="170" t="n">
        <v>956</v>
      </c>
      <c r="C971" s="199" t="n"/>
      <c r="D971" s="312" t="n"/>
      <c r="E971" s="312" t="n"/>
      <c r="F971" s="312" t="n"/>
      <c r="G971" s="312" t="n"/>
      <c r="H971" s="312" t="n"/>
      <c r="I971" s="313" t="n"/>
      <c r="J971" s="170" t="n"/>
      <c r="K971" s="314" t="n"/>
      <c r="L971" s="170" t="n"/>
      <c r="M971" s="170" t="n"/>
      <c r="N971" s="170" t="n"/>
      <c r="O971" s="172" t="n"/>
      <c r="P971" s="172" t="n"/>
    </row>
    <row r="972">
      <c r="B972" s="170" t="n">
        <v>957</v>
      </c>
      <c r="C972" s="199" t="n"/>
      <c r="D972" s="312" t="n"/>
      <c r="E972" s="312" t="n"/>
      <c r="F972" s="312" t="n"/>
      <c r="G972" s="312" t="n"/>
      <c r="H972" s="312" t="n"/>
      <c r="I972" s="313" t="n"/>
      <c r="J972" s="170" t="n"/>
      <c r="K972" s="314" t="n"/>
      <c r="L972" s="170" t="n"/>
      <c r="M972" s="170" t="n"/>
      <c r="N972" s="170" t="n"/>
      <c r="O972" s="172" t="n"/>
      <c r="P972" s="172" t="n"/>
    </row>
    <row r="973">
      <c r="B973" s="170" t="n">
        <v>958</v>
      </c>
      <c r="C973" s="199" t="n"/>
      <c r="D973" s="312" t="n"/>
      <c r="E973" s="312" t="n"/>
      <c r="F973" s="312" t="n"/>
      <c r="G973" s="312" t="n"/>
      <c r="H973" s="312" t="n"/>
      <c r="I973" s="313" t="n"/>
      <c r="J973" s="170" t="n"/>
      <c r="K973" s="314" t="n"/>
      <c r="L973" s="170" t="n"/>
      <c r="M973" s="170" t="n"/>
      <c r="N973" s="170" t="n"/>
      <c r="O973" s="172" t="n"/>
      <c r="P973" s="172" t="n"/>
    </row>
    <row r="974">
      <c r="B974" s="170" t="n">
        <v>959</v>
      </c>
      <c r="C974" s="199" t="n"/>
      <c r="D974" s="312" t="n"/>
      <c r="E974" s="312" t="n"/>
      <c r="F974" s="312" t="n"/>
      <c r="G974" s="312" t="n"/>
      <c r="H974" s="312" t="n"/>
      <c r="I974" s="313" t="n"/>
      <c r="J974" s="170" t="n"/>
      <c r="K974" s="314" t="n"/>
      <c r="L974" s="170" t="n"/>
      <c r="M974" s="170" t="n"/>
      <c r="N974" s="170" t="n"/>
      <c r="O974" s="172" t="n"/>
      <c r="P974" s="172" t="n"/>
    </row>
    <row r="975">
      <c r="B975" s="170" t="n">
        <v>960</v>
      </c>
      <c r="C975" s="199" t="n"/>
      <c r="D975" s="312" t="n"/>
      <c r="E975" s="312" t="n"/>
      <c r="F975" s="312" t="n"/>
      <c r="G975" s="312" t="n"/>
      <c r="H975" s="312" t="n"/>
      <c r="I975" s="313" t="n"/>
      <c r="J975" s="170" t="n"/>
      <c r="K975" s="314" t="n"/>
      <c r="L975" s="170" t="n"/>
      <c r="M975" s="170" t="n"/>
      <c r="N975" s="170" t="n"/>
      <c r="O975" s="172" t="n"/>
      <c r="P975" s="172" t="n"/>
    </row>
    <row r="976">
      <c r="B976" s="170" t="n">
        <v>961</v>
      </c>
      <c r="C976" s="199" t="n"/>
      <c r="D976" s="312" t="n"/>
      <c r="E976" s="312" t="n"/>
      <c r="F976" s="312" t="n"/>
      <c r="G976" s="312" t="n"/>
      <c r="H976" s="312" t="n"/>
      <c r="I976" s="313" t="n"/>
      <c r="J976" s="170" t="n"/>
      <c r="K976" s="314" t="n"/>
      <c r="L976" s="170" t="n"/>
      <c r="M976" s="170" t="n"/>
      <c r="N976" s="170" t="n"/>
      <c r="O976" s="172" t="n"/>
      <c r="P976" s="172" t="n"/>
    </row>
    <row r="977">
      <c r="B977" s="170" t="n">
        <v>962</v>
      </c>
      <c r="C977" s="199" t="n"/>
      <c r="D977" s="312" t="n"/>
      <c r="E977" s="312" t="n"/>
      <c r="F977" s="312" t="n"/>
      <c r="G977" s="312" t="n"/>
      <c r="H977" s="312" t="n"/>
      <c r="I977" s="313" t="n"/>
      <c r="J977" s="170" t="n"/>
      <c r="K977" s="314" t="n"/>
      <c r="L977" s="170" t="n"/>
      <c r="M977" s="170" t="n"/>
      <c r="N977" s="170" t="n"/>
      <c r="O977" s="172" t="n"/>
      <c r="P977" s="172" t="n"/>
    </row>
    <row r="978">
      <c r="B978" s="170" t="n">
        <v>963</v>
      </c>
      <c r="C978" s="199" t="n"/>
      <c r="D978" s="312" t="n"/>
      <c r="E978" s="312" t="n"/>
      <c r="F978" s="312" t="n"/>
      <c r="G978" s="312" t="n"/>
      <c r="H978" s="312" t="n"/>
      <c r="I978" s="313" t="n"/>
      <c r="J978" s="170" t="n"/>
      <c r="K978" s="314" t="n"/>
      <c r="L978" s="170" t="n"/>
      <c r="M978" s="170" t="n"/>
      <c r="N978" s="170" t="n"/>
      <c r="O978" s="172" t="n"/>
      <c r="P978" s="172" t="n"/>
    </row>
    <row r="979">
      <c r="B979" s="170" t="n">
        <v>964</v>
      </c>
      <c r="C979" s="199" t="n"/>
      <c r="D979" s="312" t="n"/>
      <c r="E979" s="312" t="n"/>
      <c r="F979" s="312" t="n"/>
      <c r="G979" s="312" t="n"/>
      <c r="H979" s="312" t="n"/>
      <c r="I979" s="313" t="n"/>
      <c r="J979" s="170" t="n"/>
      <c r="K979" s="314" t="n"/>
      <c r="L979" s="170" t="n"/>
      <c r="M979" s="170" t="n"/>
      <c r="N979" s="170" t="n"/>
      <c r="O979" s="172" t="n"/>
      <c r="P979" s="172" t="n"/>
    </row>
    <row r="980">
      <c r="B980" s="170" t="n">
        <v>965</v>
      </c>
      <c r="C980" s="199" t="n"/>
      <c r="D980" s="312" t="n"/>
      <c r="E980" s="312" t="n"/>
      <c r="F980" s="312" t="n"/>
      <c r="G980" s="312" t="n"/>
      <c r="H980" s="312" t="n"/>
      <c r="I980" s="313" t="n"/>
      <c r="J980" s="170" t="n"/>
      <c r="K980" s="314" t="n"/>
      <c r="L980" s="170" t="n"/>
      <c r="M980" s="170" t="n"/>
      <c r="N980" s="170" t="n"/>
      <c r="O980" s="172" t="n"/>
      <c r="P980" s="172" t="n"/>
    </row>
    <row r="981">
      <c r="B981" s="170" t="n">
        <v>966</v>
      </c>
      <c r="C981" s="199" t="n"/>
      <c r="D981" s="312" t="n"/>
      <c r="E981" s="312" t="n"/>
      <c r="F981" s="312" t="n"/>
      <c r="G981" s="312" t="n"/>
      <c r="H981" s="312" t="n"/>
      <c r="I981" s="313" t="n"/>
      <c r="J981" s="170" t="n"/>
      <c r="K981" s="314" t="n"/>
      <c r="L981" s="170" t="n"/>
      <c r="M981" s="170" t="n"/>
      <c r="N981" s="170" t="n"/>
      <c r="O981" s="172" t="n"/>
      <c r="P981" s="172" t="n"/>
    </row>
    <row r="982">
      <c r="B982" s="170" t="n">
        <v>967</v>
      </c>
      <c r="C982" s="199" t="n"/>
      <c r="D982" s="312" t="n"/>
      <c r="E982" s="312" t="n"/>
      <c r="F982" s="312" t="n"/>
      <c r="G982" s="312" t="n"/>
      <c r="H982" s="312" t="n"/>
      <c r="I982" s="313" t="n"/>
      <c r="J982" s="170" t="n"/>
      <c r="K982" s="314" t="n"/>
      <c r="L982" s="170" t="n"/>
      <c r="M982" s="170" t="n"/>
      <c r="N982" s="170" t="n"/>
      <c r="O982" s="172" t="n"/>
      <c r="P982" s="172" t="n"/>
    </row>
    <row r="983">
      <c r="B983" s="170" t="n">
        <v>968</v>
      </c>
      <c r="C983" s="199" t="n"/>
      <c r="D983" s="312" t="n"/>
      <c r="E983" s="312" t="n"/>
      <c r="F983" s="312" t="n"/>
      <c r="G983" s="312" t="n"/>
      <c r="H983" s="312" t="n"/>
      <c r="I983" s="313" t="n"/>
      <c r="J983" s="170" t="n"/>
      <c r="K983" s="314" t="n"/>
      <c r="L983" s="170" t="n"/>
      <c r="M983" s="170" t="n"/>
      <c r="N983" s="170" t="n"/>
      <c r="O983" s="172" t="n"/>
      <c r="P983" s="172" t="n"/>
    </row>
    <row r="984">
      <c r="B984" s="170" t="n">
        <v>969</v>
      </c>
      <c r="C984" s="199" t="n"/>
      <c r="D984" s="312" t="n"/>
      <c r="E984" s="312" t="n"/>
      <c r="F984" s="312" t="n"/>
      <c r="G984" s="312" t="n"/>
      <c r="H984" s="312" t="n"/>
      <c r="I984" s="313" t="n"/>
      <c r="J984" s="170" t="n"/>
      <c r="K984" s="314" t="n"/>
      <c r="L984" s="170" t="n"/>
      <c r="M984" s="170" t="n"/>
      <c r="N984" s="170" t="n"/>
      <c r="O984" s="172" t="n"/>
      <c r="P984" s="172" t="n"/>
    </row>
    <row r="985">
      <c r="B985" s="170" t="n">
        <v>970</v>
      </c>
      <c r="C985" s="199" t="n"/>
      <c r="D985" s="312" t="n"/>
      <c r="E985" s="312" t="n"/>
      <c r="F985" s="312" t="n"/>
      <c r="G985" s="312" t="n"/>
      <c r="H985" s="312" t="n"/>
      <c r="I985" s="313" t="n"/>
      <c r="J985" s="170" t="n"/>
      <c r="K985" s="314" t="n"/>
      <c r="L985" s="170" t="n"/>
      <c r="M985" s="170" t="n"/>
      <c r="N985" s="170" t="n"/>
      <c r="O985" s="172" t="n"/>
      <c r="P985" s="172" t="n"/>
    </row>
    <row r="986">
      <c r="B986" s="170" t="n">
        <v>971</v>
      </c>
      <c r="C986" s="199" t="n"/>
      <c r="D986" s="312" t="n"/>
      <c r="E986" s="312" t="n"/>
      <c r="F986" s="312" t="n"/>
      <c r="G986" s="312" t="n"/>
      <c r="H986" s="312" t="n"/>
      <c r="I986" s="313" t="n"/>
      <c r="J986" s="170" t="n"/>
      <c r="K986" s="314" t="n"/>
      <c r="L986" s="170" t="n"/>
      <c r="M986" s="170" t="n"/>
      <c r="N986" s="170" t="n"/>
      <c r="O986" s="172" t="n"/>
      <c r="P986" s="172" t="n"/>
    </row>
    <row r="987">
      <c r="B987" s="170" t="n">
        <v>972</v>
      </c>
      <c r="C987" s="199" t="n"/>
      <c r="D987" s="312" t="n"/>
      <c r="E987" s="312" t="n"/>
      <c r="F987" s="312" t="n"/>
      <c r="G987" s="312" t="n"/>
      <c r="H987" s="312" t="n"/>
      <c r="I987" s="313" t="n"/>
      <c r="J987" s="170" t="n"/>
      <c r="K987" s="314" t="n"/>
      <c r="L987" s="170" t="n"/>
      <c r="M987" s="170" t="n"/>
      <c r="N987" s="170" t="n"/>
      <c r="O987" s="172" t="n"/>
      <c r="P987" s="172" t="n"/>
    </row>
    <row r="988">
      <c r="B988" s="170" t="n">
        <v>973</v>
      </c>
      <c r="C988" s="199" t="n"/>
      <c r="D988" s="312" t="n"/>
      <c r="E988" s="312" t="n"/>
      <c r="F988" s="312" t="n"/>
      <c r="G988" s="312" t="n"/>
      <c r="H988" s="312" t="n"/>
      <c r="I988" s="313" t="n"/>
      <c r="J988" s="170" t="n"/>
      <c r="K988" s="314" t="n"/>
      <c r="L988" s="170" t="n"/>
      <c r="M988" s="170" t="n"/>
      <c r="N988" s="170" t="n"/>
      <c r="O988" s="172" t="n"/>
      <c r="P988" s="172" t="n"/>
    </row>
    <row r="989">
      <c r="B989" s="170" t="n">
        <v>974</v>
      </c>
      <c r="C989" s="199" t="n"/>
      <c r="D989" s="312" t="n"/>
      <c r="E989" s="312" t="n"/>
      <c r="F989" s="312" t="n"/>
      <c r="G989" s="312" t="n"/>
      <c r="H989" s="312" t="n"/>
      <c r="I989" s="313" t="n"/>
      <c r="J989" s="170" t="n"/>
      <c r="K989" s="314" t="n"/>
      <c r="L989" s="170" t="n"/>
      <c r="M989" s="170" t="n"/>
      <c r="N989" s="170" t="n"/>
      <c r="O989" s="172" t="n"/>
      <c r="P989" s="172" t="n"/>
    </row>
    <row r="990">
      <c r="B990" s="170" t="n">
        <v>975</v>
      </c>
      <c r="C990" s="199" t="n"/>
      <c r="D990" s="312" t="n"/>
      <c r="E990" s="312" t="n"/>
      <c r="F990" s="312" t="n"/>
      <c r="G990" s="312" t="n"/>
      <c r="H990" s="312" t="n"/>
      <c r="I990" s="313" t="n"/>
      <c r="J990" s="170" t="n"/>
      <c r="K990" s="314" t="n"/>
      <c r="L990" s="170" t="n"/>
      <c r="M990" s="170" t="n"/>
      <c r="N990" s="170" t="n"/>
      <c r="O990" s="172" t="n"/>
      <c r="P990" s="172" t="n"/>
    </row>
    <row r="991">
      <c r="B991" s="170" t="n">
        <v>976</v>
      </c>
      <c r="C991" s="199" t="n"/>
      <c r="D991" s="312" t="n"/>
      <c r="E991" s="312" t="n"/>
      <c r="F991" s="312" t="n"/>
      <c r="G991" s="312" t="n"/>
      <c r="H991" s="312" t="n"/>
      <c r="I991" s="313" t="n"/>
      <c r="J991" s="170" t="n"/>
      <c r="K991" s="314" t="n"/>
      <c r="L991" s="170" t="n"/>
      <c r="M991" s="170" t="n"/>
      <c r="N991" s="170" t="n"/>
      <c r="O991" s="172" t="n"/>
      <c r="P991" s="172" t="n"/>
    </row>
    <row r="992">
      <c r="B992" s="170" t="n">
        <v>977</v>
      </c>
      <c r="C992" s="199" t="n"/>
      <c r="D992" s="312" t="n"/>
      <c r="E992" s="312" t="n"/>
      <c r="F992" s="312" t="n"/>
      <c r="G992" s="312" t="n"/>
      <c r="H992" s="312" t="n"/>
      <c r="I992" s="313" t="n"/>
      <c r="J992" s="170" t="n"/>
      <c r="K992" s="314" t="n"/>
      <c r="L992" s="170" t="n"/>
      <c r="M992" s="170" t="n"/>
      <c r="N992" s="170" t="n"/>
      <c r="O992" s="172" t="n"/>
      <c r="P992" s="172" t="n"/>
    </row>
    <row r="993">
      <c r="B993" s="170" t="n">
        <v>978</v>
      </c>
      <c r="C993" s="199" t="n"/>
      <c r="D993" s="312" t="n"/>
      <c r="E993" s="312" t="n"/>
      <c r="F993" s="312" t="n"/>
      <c r="G993" s="312" t="n"/>
      <c r="H993" s="312" t="n"/>
      <c r="I993" s="313" t="n"/>
      <c r="J993" s="170" t="n"/>
      <c r="K993" s="314" t="n"/>
      <c r="L993" s="170" t="n"/>
      <c r="M993" s="170" t="n"/>
      <c r="N993" s="170" t="n"/>
      <c r="O993" s="172" t="n"/>
      <c r="P993" s="172" t="n"/>
    </row>
    <row r="994">
      <c r="B994" s="170" t="n">
        <v>979</v>
      </c>
      <c r="C994" s="199" t="n"/>
      <c r="D994" s="312" t="n"/>
      <c r="E994" s="312" t="n"/>
      <c r="F994" s="312" t="n"/>
      <c r="G994" s="312" t="n"/>
      <c r="H994" s="312" t="n"/>
      <c r="I994" s="313" t="n"/>
      <c r="J994" s="170" t="n"/>
      <c r="K994" s="314" t="n"/>
      <c r="L994" s="170" t="n"/>
      <c r="M994" s="170" t="n"/>
      <c r="N994" s="170" t="n"/>
      <c r="O994" s="172" t="n"/>
      <c r="P994" s="172" t="n"/>
    </row>
    <row r="995">
      <c r="B995" s="170" t="n">
        <v>980</v>
      </c>
      <c r="C995" s="199" t="n"/>
      <c r="D995" s="312" t="n"/>
      <c r="E995" s="312" t="n"/>
      <c r="F995" s="312" t="n"/>
      <c r="G995" s="312" t="n"/>
      <c r="H995" s="312" t="n"/>
      <c r="I995" s="313" t="n"/>
      <c r="J995" s="170" t="n"/>
      <c r="K995" s="314" t="n"/>
      <c r="L995" s="170" t="n"/>
      <c r="M995" s="170" t="n"/>
      <c r="N995" s="170" t="n"/>
      <c r="O995" s="172" t="n"/>
      <c r="P995" s="172" t="n"/>
    </row>
    <row r="996">
      <c r="B996" s="170" t="n">
        <v>981</v>
      </c>
      <c r="C996" s="199" t="n"/>
      <c r="D996" s="312" t="n"/>
      <c r="E996" s="312" t="n"/>
      <c r="F996" s="312" t="n"/>
      <c r="G996" s="312" t="n"/>
      <c r="H996" s="312" t="n"/>
      <c r="I996" s="313" t="n"/>
      <c r="J996" s="170" t="n"/>
      <c r="K996" s="314" t="n"/>
      <c r="L996" s="170" t="n"/>
      <c r="M996" s="170" t="n"/>
      <c r="N996" s="170" t="n"/>
      <c r="O996" s="172" t="n"/>
      <c r="P996" s="172" t="n"/>
    </row>
    <row r="997">
      <c r="B997" s="170" t="n">
        <v>982</v>
      </c>
      <c r="C997" s="199" t="n"/>
      <c r="D997" s="312" t="n"/>
      <c r="E997" s="312" t="n"/>
      <c r="F997" s="312" t="n"/>
      <c r="G997" s="312" t="n"/>
      <c r="H997" s="312" t="n"/>
      <c r="I997" s="313" t="n"/>
      <c r="J997" s="170" t="n"/>
      <c r="K997" s="314" t="n"/>
      <c r="L997" s="170" t="n"/>
      <c r="M997" s="170" t="n"/>
      <c r="N997" s="170" t="n"/>
      <c r="O997" s="172" t="n"/>
      <c r="P997" s="172" t="n"/>
    </row>
    <row r="998">
      <c r="B998" s="170" t="n">
        <v>983</v>
      </c>
      <c r="C998" s="199" t="n"/>
      <c r="D998" s="312" t="n"/>
      <c r="E998" s="312" t="n"/>
      <c r="F998" s="312" t="n"/>
      <c r="G998" s="312" t="n"/>
      <c r="H998" s="312" t="n"/>
      <c r="I998" s="313" t="n"/>
      <c r="J998" s="170" t="n"/>
      <c r="K998" s="314" t="n"/>
      <c r="L998" s="170" t="n"/>
      <c r="M998" s="170" t="n"/>
      <c r="N998" s="170" t="n"/>
      <c r="O998" s="172" t="n"/>
      <c r="P998" s="172" t="n"/>
    </row>
    <row r="999">
      <c r="B999" s="170" t="n">
        <v>984</v>
      </c>
      <c r="C999" s="199" t="n"/>
      <c r="D999" s="312" t="n"/>
      <c r="E999" s="312" t="n"/>
      <c r="F999" s="312" t="n"/>
      <c r="G999" s="312" t="n"/>
      <c r="H999" s="312" t="n"/>
      <c r="I999" s="313" t="n"/>
      <c r="J999" s="170" t="n"/>
      <c r="K999" s="314" t="n"/>
      <c r="L999" s="170" t="n"/>
      <c r="M999" s="170" t="n"/>
      <c r="N999" s="170" t="n"/>
      <c r="O999" s="172" t="n"/>
      <c r="P999" s="172" t="n"/>
    </row>
    <row r="1000">
      <c r="B1000" s="170" t="n">
        <v>985</v>
      </c>
      <c r="C1000" s="199" t="n"/>
      <c r="D1000" s="312" t="n"/>
      <c r="E1000" s="312" t="n"/>
      <c r="F1000" s="312" t="n"/>
      <c r="G1000" s="312" t="n"/>
      <c r="H1000" s="312" t="n"/>
      <c r="I1000" s="313" t="n"/>
      <c r="J1000" s="170" t="n"/>
      <c r="K1000" s="314" t="n"/>
      <c r="L1000" s="170" t="n"/>
      <c r="M1000" s="170" t="n"/>
      <c r="N1000" s="170" t="n"/>
      <c r="O1000" s="172" t="n"/>
      <c r="P1000" s="172" t="n"/>
    </row>
    <row r="1001">
      <c r="B1001" s="170" t="n">
        <v>986</v>
      </c>
      <c r="C1001" s="199" t="n"/>
      <c r="D1001" s="312" t="n"/>
      <c r="E1001" s="312" t="n"/>
      <c r="F1001" s="312" t="n"/>
      <c r="G1001" s="312" t="n"/>
      <c r="H1001" s="312" t="n"/>
      <c r="I1001" s="313" t="n"/>
      <c r="J1001" s="170" t="n"/>
      <c r="K1001" s="314" t="n"/>
      <c r="L1001" s="170" t="n"/>
      <c r="M1001" s="170" t="n"/>
      <c r="N1001" s="170" t="n"/>
      <c r="O1001" s="172" t="n"/>
      <c r="P1001" s="172" t="n"/>
    </row>
    <row r="1002">
      <c r="B1002" s="170" t="n">
        <v>987</v>
      </c>
      <c r="C1002" s="199" t="n"/>
      <c r="D1002" s="312" t="n"/>
      <c r="E1002" s="312" t="n"/>
      <c r="F1002" s="312" t="n"/>
      <c r="G1002" s="312" t="n"/>
      <c r="H1002" s="312" t="n"/>
      <c r="I1002" s="313" t="n"/>
      <c r="J1002" s="170" t="n"/>
      <c r="K1002" s="314" t="n"/>
      <c r="L1002" s="170" t="n"/>
      <c r="M1002" s="170" t="n"/>
      <c r="N1002" s="170" t="n"/>
      <c r="O1002" s="172" t="n"/>
      <c r="P1002" s="172" t="n"/>
    </row>
    <row r="1003">
      <c r="B1003" s="170" t="n">
        <v>988</v>
      </c>
      <c r="C1003" s="199" t="n"/>
      <c r="D1003" s="312" t="n"/>
      <c r="E1003" s="312" t="n"/>
      <c r="F1003" s="312" t="n"/>
      <c r="G1003" s="312" t="n"/>
      <c r="H1003" s="312" t="n"/>
      <c r="I1003" s="313" t="n"/>
      <c r="J1003" s="170" t="n"/>
      <c r="K1003" s="314" t="n"/>
      <c r="L1003" s="170" t="n"/>
      <c r="M1003" s="170" t="n"/>
      <c r="N1003" s="170" t="n"/>
      <c r="O1003" s="172" t="n"/>
      <c r="P1003" s="172" t="n"/>
    </row>
    <row r="1004">
      <c r="B1004" s="170" t="n">
        <v>989</v>
      </c>
      <c r="C1004" s="199" t="n"/>
      <c r="D1004" s="312" t="n"/>
      <c r="E1004" s="312" t="n"/>
      <c r="F1004" s="312" t="n"/>
      <c r="G1004" s="312" t="n"/>
      <c r="H1004" s="312" t="n"/>
      <c r="I1004" s="313" t="n"/>
      <c r="J1004" s="170" t="n"/>
      <c r="K1004" s="314" t="n"/>
      <c r="L1004" s="170" t="n"/>
      <c r="M1004" s="170" t="n"/>
      <c r="N1004" s="170" t="n"/>
      <c r="O1004" s="172" t="n"/>
      <c r="P1004" s="172" t="n"/>
    </row>
    <row r="1005">
      <c r="B1005" s="170" t="n">
        <v>990</v>
      </c>
      <c r="C1005" s="199" t="n"/>
      <c r="D1005" s="312" t="n"/>
      <c r="E1005" s="312" t="n"/>
      <c r="F1005" s="312" t="n"/>
      <c r="G1005" s="312" t="n"/>
      <c r="H1005" s="312" t="n"/>
      <c r="I1005" s="313" t="n"/>
      <c r="J1005" s="170" t="n"/>
      <c r="K1005" s="314" t="n"/>
      <c r="L1005" s="170" t="n"/>
      <c r="M1005" s="170" t="n"/>
      <c r="N1005" s="170" t="n"/>
      <c r="O1005" s="172" t="n"/>
      <c r="P1005" s="172" t="n"/>
    </row>
    <row r="1006">
      <c r="B1006" s="170" t="n">
        <v>991</v>
      </c>
      <c r="C1006" s="199" t="n"/>
      <c r="D1006" s="312" t="n"/>
      <c r="E1006" s="312" t="n"/>
      <c r="F1006" s="312" t="n"/>
      <c r="G1006" s="312" t="n"/>
      <c r="H1006" s="312" t="n"/>
      <c r="I1006" s="313" t="n"/>
      <c r="J1006" s="170" t="n"/>
      <c r="K1006" s="314" t="n"/>
      <c r="L1006" s="170" t="n"/>
      <c r="M1006" s="170" t="n"/>
      <c r="N1006" s="170" t="n"/>
      <c r="O1006" s="172" t="n"/>
      <c r="P1006" s="172" t="n"/>
    </row>
    <row r="1007">
      <c r="B1007" s="170" t="n">
        <v>992</v>
      </c>
      <c r="C1007" s="199" t="n"/>
      <c r="D1007" s="312" t="n"/>
      <c r="E1007" s="312" t="n"/>
      <c r="F1007" s="312" t="n"/>
      <c r="G1007" s="312" t="n"/>
      <c r="H1007" s="312" t="n"/>
      <c r="I1007" s="313" t="n"/>
      <c r="J1007" s="170" t="n"/>
      <c r="K1007" s="314" t="n"/>
      <c r="L1007" s="170" t="n"/>
      <c r="M1007" s="170" t="n"/>
      <c r="N1007" s="170" t="n"/>
      <c r="O1007" s="172" t="n"/>
      <c r="P1007" s="172" t="n"/>
    </row>
    <row r="1008">
      <c r="B1008" s="170" t="n">
        <v>993</v>
      </c>
      <c r="C1008" s="199" t="n"/>
      <c r="D1008" s="312" t="n"/>
      <c r="E1008" s="312" t="n"/>
      <c r="F1008" s="312" t="n"/>
      <c r="G1008" s="312" t="n"/>
      <c r="H1008" s="312" t="n"/>
      <c r="I1008" s="313" t="n"/>
      <c r="J1008" s="170" t="n"/>
      <c r="K1008" s="314" t="n"/>
      <c r="L1008" s="170" t="n"/>
      <c r="M1008" s="170" t="n"/>
      <c r="N1008" s="170" t="n"/>
      <c r="O1008" s="172" t="n"/>
      <c r="P1008" s="172" t="n"/>
    </row>
    <row r="1009">
      <c r="B1009" s="170" t="n">
        <v>994</v>
      </c>
      <c r="C1009" s="199" t="n"/>
      <c r="D1009" s="312" t="n"/>
      <c r="E1009" s="312" t="n"/>
      <c r="F1009" s="312" t="n"/>
      <c r="G1009" s="312" t="n"/>
      <c r="H1009" s="312" t="n"/>
      <c r="I1009" s="313" t="n"/>
      <c r="J1009" s="170" t="n"/>
      <c r="K1009" s="314" t="n"/>
      <c r="L1009" s="170" t="n"/>
      <c r="M1009" s="170" t="n"/>
      <c r="N1009" s="170" t="n"/>
      <c r="O1009" s="172" t="n"/>
      <c r="P1009" s="172" t="n"/>
    </row>
    <row r="1010">
      <c r="B1010" s="170" t="n">
        <v>995</v>
      </c>
      <c r="C1010" s="199" t="n"/>
      <c r="D1010" s="312" t="n"/>
      <c r="E1010" s="312" t="n"/>
      <c r="F1010" s="312" t="n"/>
      <c r="G1010" s="312" t="n"/>
      <c r="H1010" s="312" t="n"/>
      <c r="I1010" s="313" t="n"/>
      <c r="J1010" s="170" t="n"/>
      <c r="K1010" s="314" t="n"/>
      <c r="L1010" s="170" t="n"/>
      <c r="M1010" s="170" t="n"/>
      <c r="N1010" s="170" t="n"/>
      <c r="O1010" s="172" t="n"/>
      <c r="P1010" s="172" t="n"/>
    </row>
    <row r="1011">
      <c r="B1011" s="170" t="n">
        <v>996</v>
      </c>
      <c r="C1011" s="199" t="n"/>
      <c r="D1011" s="312" t="n"/>
      <c r="E1011" s="312" t="n"/>
      <c r="F1011" s="312" t="n"/>
      <c r="G1011" s="312" t="n"/>
      <c r="H1011" s="312" t="n"/>
      <c r="I1011" s="313" t="n"/>
      <c r="J1011" s="170" t="n"/>
      <c r="K1011" s="314" t="n"/>
      <c r="L1011" s="170" t="n"/>
      <c r="M1011" s="170" t="n"/>
      <c r="N1011" s="170" t="n"/>
      <c r="O1011" s="172" t="n"/>
      <c r="P1011" s="172" t="n"/>
    </row>
    <row r="1012">
      <c r="B1012" s="170" t="n">
        <v>997</v>
      </c>
      <c r="C1012" s="199" t="n"/>
      <c r="D1012" s="312" t="n"/>
      <c r="E1012" s="312" t="n"/>
      <c r="F1012" s="312" t="n"/>
      <c r="G1012" s="312" t="n"/>
      <c r="H1012" s="312" t="n"/>
      <c r="I1012" s="313" t="n"/>
      <c r="J1012" s="170" t="n"/>
      <c r="K1012" s="314" t="n"/>
      <c r="L1012" s="170" t="n"/>
      <c r="M1012" s="170" t="n"/>
      <c r="N1012" s="170" t="n"/>
      <c r="O1012" s="172" t="n"/>
      <c r="P1012" s="172" t="n"/>
    </row>
    <row r="1013">
      <c r="B1013" s="170" t="n">
        <v>998</v>
      </c>
      <c r="C1013" s="199" t="n"/>
      <c r="D1013" s="312" t="n"/>
      <c r="E1013" s="312" t="n"/>
      <c r="F1013" s="312" t="n"/>
      <c r="G1013" s="312" t="n"/>
      <c r="H1013" s="312" t="n"/>
      <c r="I1013" s="313" t="n"/>
      <c r="J1013" s="170" t="n"/>
      <c r="K1013" s="314" t="n"/>
      <c r="L1013" s="170" t="n"/>
      <c r="M1013" s="170" t="n"/>
      <c r="N1013" s="170" t="n"/>
      <c r="O1013" s="172" t="n"/>
      <c r="P1013" s="172" t="n"/>
    </row>
    <row r="1014">
      <c r="B1014" s="171" t="n"/>
      <c r="C1014" s="232" t="n"/>
      <c r="J1014" s="171" t="n"/>
      <c r="K1014" s="171" t="n"/>
      <c r="L1014" s="171" t="n"/>
      <c r="M1014" s="171" t="n"/>
      <c r="N1014" s="171" t="n"/>
    </row>
  </sheetData>
  <mergeCells count="1014">
    <mergeCell ref="C852:I852"/>
    <mergeCell ref="C262:I262"/>
    <mergeCell ref="C700:I700"/>
    <mergeCell ref="C529:I529"/>
    <mergeCell ref="C827:I827"/>
    <mergeCell ref="C802:I802"/>
    <mergeCell ref="C765:I765"/>
    <mergeCell ref="C998:I998"/>
    <mergeCell ref="C237:I237"/>
    <mergeCell ref="C547:I547"/>
    <mergeCell ref="C53:I53"/>
    <mergeCell ref="C28:I28"/>
    <mergeCell ref="C783:I783"/>
    <mergeCell ref="C351:I351"/>
    <mergeCell ref="C326:I326"/>
    <mergeCell ref="C593:I593"/>
    <mergeCell ref="C829:I829"/>
    <mergeCell ref="C1000:I1000"/>
    <mergeCell ref="C239:I239"/>
    <mergeCell ref="C310:I310"/>
    <mergeCell ref="C847:I847"/>
    <mergeCell ref="C92:I92"/>
    <mergeCell ref="C608:I608"/>
    <mergeCell ref="C30:I30"/>
    <mergeCell ref="C524:I524"/>
    <mergeCell ref="C695:I695"/>
    <mergeCell ref="C595:I595"/>
    <mergeCell ref="C766:I766"/>
    <mergeCell ref="C893:I893"/>
    <mergeCell ref="C97:I97"/>
    <mergeCell ref="C290:I290"/>
    <mergeCell ref="C384:I384"/>
    <mergeCell ref="C624:I624"/>
    <mergeCell ref="C918:I918"/>
    <mergeCell ref="C321:I321"/>
    <mergeCell ref="C255:I255"/>
    <mergeCell ref="C242:I242"/>
    <mergeCell ref="C413:I413"/>
    <mergeCell ref="C684:I684"/>
    <mergeCell ref="C982:I982"/>
    <mergeCell ref="C478:I478"/>
    <mergeCell ref="C842:I842"/>
    <mergeCell ref="C776:I776"/>
    <mergeCell ref="C21:I21"/>
    <mergeCell ref="C192:I192"/>
    <mergeCell ref="C252:I252"/>
    <mergeCell ref="C969:I969"/>
    <mergeCell ref="C379:I379"/>
    <mergeCell ref="C550:I550"/>
    <mergeCell ref="C621:I621"/>
    <mergeCell ref="C615:I615"/>
    <mergeCell ref="C415:I415"/>
    <mergeCell ref="C244:I244"/>
    <mergeCell ref="C857:I857"/>
    <mergeCell ref="C664:I664"/>
    <mergeCell ref="C713:I713"/>
    <mergeCell ref="C542:I542"/>
    <mergeCell ref="C840:I840"/>
    <mergeCell ref="C123:I123"/>
    <mergeCell ref="J10:J11"/>
    <mergeCell ref="C23:I23"/>
    <mergeCell ref="C194:I194"/>
    <mergeCell ref="C316:I316"/>
    <mergeCell ref="C492:I492"/>
    <mergeCell ref="C110:I110"/>
    <mergeCell ref="C552:I552"/>
    <mergeCell ref="C181:I181"/>
    <mergeCell ref="C408:I408"/>
    <mergeCell ref="C623:I623"/>
    <mergeCell ref="C479:I479"/>
    <mergeCell ref="C650:I650"/>
    <mergeCell ref="C679:I679"/>
    <mergeCell ref="C473:I473"/>
    <mergeCell ref="C606:I606"/>
    <mergeCell ref="C544:I544"/>
    <mergeCell ref="C777:I777"/>
    <mergeCell ref="C715:I715"/>
    <mergeCell ref="C850:I850"/>
    <mergeCell ref="C908:I908"/>
    <mergeCell ref="C921:I921"/>
    <mergeCell ref="C1013:I1013"/>
    <mergeCell ref="C423:I423"/>
    <mergeCell ref="C10:I11"/>
    <mergeCell ref="C174:I174"/>
    <mergeCell ref="C616:I616"/>
    <mergeCell ref="C410:I410"/>
    <mergeCell ref="C481:I481"/>
    <mergeCell ref="C779:I779"/>
    <mergeCell ref="C950:I950"/>
    <mergeCell ref="C18:I18"/>
    <mergeCell ref="C189:I189"/>
    <mergeCell ref="C456:I456"/>
    <mergeCell ref="C34:I34"/>
    <mergeCell ref="C397:I397"/>
    <mergeCell ref="C568:I568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29:I29"/>
    <mergeCell ref="C855:I855"/>
    <mergeCell ref="C100:I100"/>
    <mergeCell ref="C205:I205"/>
    <mergeCell ref="C94:I94"/>
    <mergeCell ref="C65:I65"/>
    <mergeCell ref="C265:I265"/>
    <mergeCell ref="C336:I336"/>
    <mergeCell ref="C563:I563"/>
    <mergeCell ref="C634:I634"/>
    <mergeCell ref="C830:I830"/>
    <mergeCell ref="C901:I901"/>
    <mergeCell ref="C44:I44"/>
    <mergeCell ref="C311:I311"/>
    <mergeCell ref="C428:I428"/>
    <mergeCell ref="C167:I167"/>
    <mergeCell ref="C142:I142"/>
    <mergeCell ref="C609:I609"/>
    <mergeCell ref="C80:I80"/>
    <mergeCell ref="C403:I403"/>
    <mergeCell ref="C129:I129"/>
    <mergeCell ref="C645:I645"/>
    <mergeCell ref="C701:I701"/>
    <mergeCell ref="C365:I365"/>
    <mergeCell ref="C832:I832"/>
    <mergeCell ref="C1003:I1003"/>
    <mergeCell ref="C924:I924"/>
    <mergeCell ref="C169:I169"/>
    <mergeCell ref="C611:I611"/>
    <mergeCell ref="C467:I467"/>
    <mergeCell ref="C598:I598"/>
    <mergeCell ref="C703:I703"/>
    <mergeCell ref="C896:I896"/>
    <mergeCell ref="C665:I665"/>
    <mergeCell ref="C233:I233"/>
    <mergeCell ref="C469:I469"/>
    <mergeCell ref="C640:I640"/>
    <mergeCell ref="C710:I710"/>
    <mergeCell ref="C848:I848"/>
    <mergeCell ref="C131:I131"/>
    <mergeCell ref="C258:I258"/>
    <mergeCell ref="C500:I500"/>
    <mergeCell ref="C556:I556"/>
    <mergeCell ref="C494:I494"/>
    <mergeCell ref="C245:I245"/>
    <mergeCell ref="C49:I49"/>
    <mergeCell ref="C858:I858"/>
    <mergeCell ref="C543:I543"/>
    <mergeCell ref="C714:I714"/>
    <mergeCell ref="C614:I614"/>
    <mergeCell ref="C785:I785"/>
    <mergeCell ref="C24:I24"/>
    <mergeCell ref="C195:I195"/>
    <mergeCell ref="C266:I266"/>
    <mergeCell ref="C322:I322"/>
    <mergeCell ref="C493:I493"/>
    <mergeCell ref="C260:I260"/>
    <mergeCell ref="C431:I431"/>
    <mergeCell ref="C116:I116"/>
    <mergeCell ref="C558:I558"/>
    <mergeCell ref="C800:I800"/>
    <mergeCell ref="C922:I922"/>
    <mergeCell ref="C545:I545"/>
    <mergeCell ref="C716:I716"/>
    <mergeCell ref="C787:I787"/>
    <mergeCell ref="C843:I843"/>
    <mergeCell ref="C88:I88"/>
    <mergeCell ref="C126:I126"/>
    <mergeCell ref="C26:I26"/>
    <mergeCell ref="C197:I197"/>
    <mergeCell ref="C259:I259"/>
    <mergeCell ref="C324:I324"/>
    <mergeCell ref="C495:I495"/>
    <mergeCell ref="C914:I914"/>
    <mergeCell ref="C1014:I1014"/>
    <mergeCell ref="C482:I482"/>
    <mergeCell ref="C416:I416"/>
    <mergeCell ref="C780:I780"/>
    <mergeCell ref="C845:I845"/>
    <mergeCell ref="C261:I261"/>
    <mergeCell ref="C432:I432"/>
    <mergeCell ref="C117:I117"/>
    <mergeCell ref="K10:K11"/>
    <mergeCell ref="C55:I55"/>
    <mergeCell ref="C795:I795"/>
    <mergeCell ref="C546:I546"/>
    <mergeCell ref="C782:I782"/>
    <mergeCell ref="C447:I447"/>
    <mergeCell ref="C115:I115"/>
    <mergeCell ref="C213:I213"/>
    <mergeCell ref="C273:I273"/>
    <mergeCell ref="C400:I400"/>
    <mergeCell ref="C571:I571"/>
    <mergeCell ref="C698:I698"/>
    <mergeCell ref="C869:I869"/>
    <mergeCell ref="C940:I940"/>
    <mergeCell ref="C52:I52"/>
    <mergeCell ref="C734:I734"/>
    <mergeCell ref="C150:I150"/>
    <mergeCell ref="C927:I927"/>
    <mergeCell ref="C39:I39"/>
    <mergeCell ref="C144:I144"/>
    <mergeCell ref="C337:I337"/>
    <mergeCell ref="C442:I442"/>
    <mergeCell ref="C513:I513"/>
    <mergeCell ref="C635:I635"/>
    <mergeCell ref="C573:I573"/>
    <mergeCell ref="C877:I877"/>
    <mergeCell ref="C429:I429"/>
    <mergeCell ref="C871:I871"/>
    <mergeCell ref="C671:I671"/>
    <mergeCell ref="C727:I727"/>
    <mergeCell ref="C942:I942"/>
    <mergeCell ref="C414:I414"/>
    <mergeCell ref="C81:I81"/>
    <mergeCell ref="C352:I352"/>
    <mergeCell ref="C548:I548"/>
    <mergeCell ref="C37:I37"/>
    <mergeCell ref="C208:I208"/>
    <mergeCell ref="C798:I798"/>
    <mergeCell ref="C917:I917"/>
    <mergeCell ref="C339:I339"/>
    <mergeCell ref="C932:I932"/>
    <mergeCell ref="C637:I637"/>
    <mergeCell ref="C437:I437"/>
    <mergeCell ref="C686:I686"/>
    <mergeCell ref="C935:I935"/>
    <mergeCell ref="C735:I735"/>
    <mergeCell ref="C419:I419"/>
    <mergeCell ref="C729:I729"/>
    <mergeCell ref="C145:I145"/>
    <mergeCell ref="C971:I971"/>
    <mergeCell ref="C406:I406"/>
    <mergeCell ref="C210:I210"/>
    <mergeCell ref="C381:I381"/>
    <mergeCell ref="C946:I946"/>
    <mergeCell ref="C185:I185"/>
    <mergeCell ref="C937:I937"/>
    <mergeCell ref="C949:I949"/>
    <mergeCell ref="C564:I564"/>
    <mergeCell ref="C63:I63"/>
    <mergeCell ref="C330:I330"/>
    <mergeCell ref="C305:I305"/>
    <mergeCell ref="C134:I134"/>
    <mergeCell ref="C50:I50"/>
    <mergeCell ref="C566:I566"/>
    <mergeCell ref="C864:I864"/>
    <mergeCell ref="C286:I286"/>
    <mergeCell ref="C553:I553"/>
    <mergeCell ref="C584:I584"/>
    <mergeCell ref="C851:I851"/>
    <mergeCell ref="C826:I826"/>
    <mergeCell ref="C90:I90"/>
    <mergeCell ref="C332:I332"/>
    <mergeCell ref="C388:I388"/>
    <mergeCell ref="C503:I503"/>
    <mergeCell ref="C163:I163"/>
    <mergeCell ref="C630:I630"/>
    <mergeCell ref="C801:I801"/>
    <mergeCell ref="C861:I861"/>
    <mergeCell ref="C866:I866"/>
    <mergeCell ref="C350:I350"/>
    <mergeCell ref="C617:I617"/>
    <mergeCell ref="C138:I138"/>
    <mergeCell ref="C915:I915"/>
    <mergeCell ref="C27:I27"/>
    <mergeCell ref="C853:I853"/>
    <mergeCell ref="C76:I76"/>
    <mergeCell ref="C132:I132"/>
    <mergeCell ref="C567:I567"/>
    <mergeCell ref="C119:I119"/>
    <mergeCell ref="C561:I561"/>
    <mergeCell ref="C361:I361"/>
    <mergeCell ref="C632:I632"/>
    <mergeCell ref="C732:I732"/>
    <mergeCell ref="C803:I803"/>
    <mergeCell ref="C865:I865"/>
    <mergeCell ref="C930:I930"/>
    <mergeCell ref="C790:I790"/>
    <mergeCell ref="C327:I327"/>
    <mergeCell ref="C498:I498"/>
    <mergeCell ref="C425:I425"/>
    <mergeCell ref="C723:I723"/>
    <mergeCell ref="C661:I661"/>
    <mergeCell ref="C264:I264"/>
    <mergeCell ref="C279:I279"/>
    <mergeCell ref="C450:I450"/>
    <mergeCell ref="C643:I643"/>
    <mergeCell ref="C748:I748"/>
    <mergeCell ref="C819:I819"/>
    <mergeCell ref="C879:I879"/>
    <mergeCell ref="C45:I45"/>
    <mergeCell ref="C216:I216"/>
    <mergeCell ref="C387:I387"/>
    <mergeCell ref="C343:I343"/>
    <mergeCell ref="C514:I514"/>
    <mergeCell ref="C281:I281"/>
    <mergeCell ref="C452:I452"/>
    <mergeCell ref="C685:I685"/>
    <mergeCell ref="C756:I756"/>
    <mergeCell ref="C501:I501"/>
    <mergeCell ref="C750:I750"/>
    <mergeCell ref="C943:I943"/>
    <mergeCell ref="C353:I353"/>
    <mergeCell ref="C737:I737"/>
    <mergeCell ref="C109:I109"/>
    <mergeCell ref="C147:I147"/>
    <mergeCell ref="C47:I47"/>
    <mergeCell ref="C218:I218"/>
    <mergeCell ref="C274:I274"/>
    <mergeCell ref="C280:I280"/>
    <mergeCell ref="C345:I345"/>
    <mergeCell ref="C451:I451"/>
    <mergeCell ref="C445:I445"/>
    <mergeCell ref="C516:I516"/>
    <mergeCell ref="C687:I687"/>
    <mergeCell ref="C814:I814"/>
    <mergeCell ref="C985:I985"/>
    <mergeCell ref="C1010:I1010"/>
    <mergeCell ref="C972:I972"/>
    <mergeCell ref="C958:I958"/>
    <mergeCell ref="C40:I40"/>
    <mergeCell ref="C211:I211"/>
    <mergeCell ref="C282:I282"/>
    <mergeCell ref="C453:I453"/>
    <mergeCell ref="C580:I580"/>
    <mergeCell ref="C751:I751"/>
    <mergeCell ref="C1012:I1012"/>
    <mergeCell ref="C987:I987"/>
    <mergeCell ref="C974:I974"/>
    <mergeCell ref="C71:I71"/>
    <mergeCell ref="C778:I778"/>
    <mergeCell ref="C592:I592"/>
    <mergeCell ref="C890:I890"/>
    <mergeCell ref="C371:I371"/>
    <mergeCell ref="C165:I165"/>
    <mergeCell ref="C358:I358"/>
    <mergeCell ref="C656:I656"/>
    <mergeCell ref="C66:I66"/>
    <mergeCell ref="C892:I892"/>
    <mergeCell ref="C308:I308"/>
    <mergeCell ref="C631:I631"/>
    <mergeCell ref="C990:I990"/>
    <mergeCell ref="C102:I102"/>
    <mergeCell ref="C569:I569"/>
    <mergeCell ref="C229:I229"/>
    <mergeCell ref="C867:I867"/>
    <mergeCell ref="C965:I965"/>
    <mergeCell ref="C77:I77"/>
    <mergeCell ref="C658:I658"/>
    <mergeCell ref="C375:I375"/>
    <mergeCell ref="C179:I179"/>
    <mergeCell ref="C446:I446"/>
    <mergeCell ref="C68:I68"/>
    <mergeCell ref="C956:I956"/>
    <mergeCell ref="C166:I166"/>
    <mergeCell ref="C633:I633"/>
    <mergeCell ref="C489:I489"/>
    <mergeCell ref="C160:I160"/>
    <mergeCell ref="C427:I427"/>
    <mergeCell ref="C402:I402"/>
    <mergeCell ref="C464:I464"/>
    <mergeCell ref="C682:I682"/>
    <mergeCell ref="C141:I141"/>
    <mergeCell ref="C725:I725"/>
    <mergeCell ref="C967:I967"/>
    <mergeCell ref="C206:I206"/>
    <mergeCell ref="C377:I377"/>
    <mergeCell ref="C662:I662"/>
    <mergeCell ref="C933:I933"/>
    <mergeCell ref="C143:I143"/>
    <mergeCell ref="C270:I270"/>
    <mergeCell ref="C441:I441"/>
    <mergeCell ref="C506:I506"/>
    <mergeCell ref="C870:I870"/>
    <mergeCell ref="C522:I522"/>
    <mergeCell ref="C59:I59"/>
    <mergeCell ref="C295:I295"/>
    <mergeCell ref="C46:I46"/>
    <mergeCell ref="C380:I380"/>
    <mergeCell ref="C822:I822"/>
    <mergeCell ref="C882:I882"/>
    <mergeCell ref="P10:P11"/>
    <mergeCell ref="C61:I61"/>
    <mergeCell ref="C359:I359"/>
    <mergeCell ref="C159:I159"/>
    <mergeCell ref="C48:I48"/>
    <mergeCell ref="C153:I153"/>
    <mergeCell ref="C219:I219"/>
    <mergeCell ref="C346:I346"/>
    <mergeCell ref="C395:I395"/>
    <mergeCell ref="C517:I517"/>
    <mergeCell ref="C588:I588"/>
    <mergeCell ref="C688:I688"/>
    <mergeCell ref="C582:I582"/>
    <mergeCell ref="C759:I759"/>
    <mergeCell ref="C653:I653"/>
    <mergeCell ref="C753:I753"/>
    <mergeCell ref="C125:I125"/>
    <mergeCell ref="C296:I296"/>
    <mergeCell ref="C680:I680"/>
    <mergeCell ref="C740:I740"/>
    <mergeCell ref="C824:I824"/>
    <mergeCell ref="C995:I995"/>
    <mergeCell ref="C161:I161"/>
    <mergeCell ref="C217:I217"/>
    <mergeCell ref="C283:I283"/>
    <mergeCell ref="C348:I348"/>
    <mergeCell ref="C519:I519"/>
    <mergeCell ref="C690:I690"/>
    <mergeCell ref="C646:I646"/>
    <mergeCell ref="C817:I817"/>
    <mergeCell ref="C988:I988"/>
    <mergeCell ref="C298:I298"/>
    <mergeCell ref="C154:I154"/>
    <mergeCell ref="C980:I980"/>
    <mergeCell ref="C285:I285"/>
    <mergeCell ref="C390:I390"/>
    <mergeCell ref="C583:I583"/>
    <mergeCell ref="C754:I754"/>
    <mergeCell ref="C648:I648"/>
    <mergeCell ref="C677:I677"/>
    <mergeCell ref="C906:I906"/>
    <mergeCell ref="C156:I156"/>
    <mergeCell ref="C769:I769"/>
    <mergeCell ref="C74:I74"/>
    <mergeCell ref="C250:I250"/>
    <mergeCell ref="C372:I372"/>
    <mergeCell ref="C875:I875"/>
    <mergeCell ref="C535:I535"/>
    <mergeCell ref="C706:I706"/>
    <mergeCell ref="C16:I16"/>
    <mergeCell ref="C964:I964"/>
    <mergeCell ref="C374:I374"/>
    <mergeCell ref="C230:I230"/>
    <mergeCell ref="C401:I401"/>
    <mergeCell ref="C168:I168"/>
    <mergeCell ref="C301:I301"/>
    <mergeCell ref="C472:I472"/>
    <mergeCell ref="C466:I466"/>
    <mergeCell ref="C672:I672"/>
    <mergeCell ref="C537:I537"/>
    <mergeCell ref="C659:I659"/>
    <mergeCell ref="C180:I180"/>
    <mergeCell ref="C708:I708"/>
    <mergeCell ref="C118:I118"/>
    <mergeCell ref="C764:I764"/>
    <mergeCell ref="C895:I895"/>
    <mergeCell ref="C1006:I1006"/>
    <mergeCell ref="C993:I993"/>
    <mergeCell ref="C238:I238"/>
    <mergeCell ref="C232:I232"/>
    <mergeCell ref="C674:I674"/>
    <mergeCell ref="C303:I303"/>
    <mergeCell ref="C474:I474"/>
    <mergeCell ref="C530:I530"/>
    <mergeCell ref="C601:I601"/>
    <mergeCell ref="C772:I772"/>
    <mergeCell ref="C207:I207"/>
    <mergeCell ref="C182:I182"/>
    <mergeCell ref="C959:I959"/>
    <mergeCell ref="C1008:I1008"/>
    <mergeCell ref="C747:I747"/>
    <mergeCell ref="C983:I983"/>
    <mergeCell ref="C532:I532"/>
    <mergeCell ref="C799:I799"/>
    <mergeCell ref="C970:I970"/>
    <mergeCell ref="C911:I911"/>
    <mergeCell ref="C69:I69"/>
    <mergeCell ref="C96:I96"/>
    <mergeCell ref="C87:I87"/>
    <mergeCell ref="C354:I354"/>
    <mergeCell ref="C652:I652"/>
    <mergeCell ref="C627:I627"/>
    <mergeCell ref="C590:I590"/>
    <mergeCell ref="C761:I761"/>
    <mergeCell ref="C62:I62"/>
    <mergeCell ref="C421:I421"/>
    <mergeCell ref="C823:I823"/>
    <mergeCell ref="C888:I888"/>
    <mergeCell ref="C894:I894"/>
    <mergeCell ref="C986:I986"/>
    <mergeCell ref="C98:I98"/>
    <mergeCell ref="C369:I369"/>
    <mergeCell ref="C396:I396"/>
    <mergeCell ref="C667:I667"/>
    <mergeCell ref="C89:I89"/>
    <mergeCell ref="C527:I527"/>
    <mergeCell ref="C825:I825"/>
    <mergeCell ref="C996:I996"/>
    <mergeCell ref="C187:I187"/>
    <mergeCell ref="C629:I629"/>
    <mergeCell ref="C654:I654"/>
    <mergeCell ref="C485:I485"/>
    <mergeCell ref="C64:I64"/>
    <mergeCell ref="C368:I368"/>
    <mergeCell ref="C306:I306"/>
    <mergeCell ref="C619:I619"/>
    <mergeCell ref="C162:I162"/>
    <mergeCell ref="C681:I681"/>
    <mergeCell ref="C752:I752"/>
    <mergeCell ref="C460:I460"/>
    <mergeCell ref="C349:I349"/>
    <mergeCell ref="C398:I398"/>
    <mergeCell ref="C591:I591"/>
    <mergeCell ref="C696:I696"/>
    <mergeCell ref="C889:I889"/>
    <mergeCell ref="C177:I177"/>
    <mergeCell ref="C683:I683"/>
    <mergeCell ref="C954:I954"/>
    <mergeCell ref="C981:I981"/>
    <mergeCell ref="C93:I93"/>
    <mergeCell ref="C226:I226"/>
    <mergeCell ref="C164:I164"/>
    <mergeCell ref="C335:I335"/>
    <mergeCell ref="C364:I364"/>
    <mergeCell ref="C462:I462"/>
    <mergeCell ref="C760:I760"/>
    <mergeCell ref="C891:I891"/>
    <mergeCell ref="C222:I222"/>
    <mergeCell ref="C251:I251"/>
    <mergeCell ref="C487:I487"/>
    <mergeCell ref="C920:I920"/>
    <mergeCell ref="C916:I916"/>
    <mergeCell ref="C17:I17"/>
    <mergeCell ref="C903:I903"/>
    <mergeCell ref="C82:I82"/>
    <mergeCell ref="C253:I253"/>
    <mergeCell ref="C551:I551"/>
    <mergeCell ref="C622:I622"/>
    <mergeCell ref="C240:I240"/>
    <mergeCell ref="C411:I411"/>
    <mergeCell ref="C538:I538"/>
    <mergeCell ref="C709:I709"/>
    <mergeCell ref="C1007:I1007"/>
    <mergeCell ref="C774:I774"/>
    <mergeCell ref="C19:I19"/>
    <mergeCell ref="C190:I190"/>
    <mergeCell ref="C945:I945"/>
    <mergeCell ref="C317:I317"/>
    <mergeCell ref="E2:P9"/>
    <mergeCell ref="C111:I111"/>
    <mergeCell ref="C304:I304"/>
    <mergeCell ref="C480:I480"/>
    <mergeCell ref="C602:I602"/>
    <mergeCell ref="C540:I540"/>
    <mergeCell ref="C711:I711"/>
    <mergeCell ref="C773:I773"/>
    <mergeCell ref="C838:I838"/>
    <mergeCell ref="C83:I83"/>
    <mergeCell ref="C254:I254"/>
    <mergeCell ref="C1009:I1009"/>
    <mergeCell ref="C248:I248"/>
    <mergeCell ref="C515:I515"/>
    <mergeCell ref="C319:I319"/>
    <mergeCell ref="C490:I490"/>
    <mergeCell ref="C175:I175"/>
    <mergeCell ref="C804:I804"/>
    <mergeCell ref="C235:I235"/>
    <mergeCell ref="C477:I477"/>
    <mergeCell ref="C604:I604"/>
    <mergeCell ref="C775:I775"/>
    <mergeCell ref="C902:I902"/>
    <mergeCell ref="C14:I14"/>
    <mergeCell ref="C579:I579"/>
    <mergeCell ref="C815:I815"/>
    <mergeCell ref="C475:I475"/>
    <mergeCell ref="C393:I393"/>
    <mergeCell ref="C137:I137"/>
    <mergeCell ref="B2:D9"/>
    <mergeCell ref="C702:I702"/>
    <mergeCell ref="C124:I124"/>
    <mergeCell ref="C422:I422"/>
    <mergeCell ref="C693:I693"/>
    <mergeCell ref="C925:I925"/>
    <mergeCell ref="C201:I201"/>
    <mergeCell ref="C668:I668"/>
    <mergeCell ref="C139:I139"/>
    <mergeCell ref="C188:I188"/>
    <mergeCell ref="C704:I704"/>
    <mergeCell ref="C1002:I1002"/>
    <mergeCell ref="C424:I424"/>
    <mergeCell ref="C722:I722"/>
    <mergeCell ref="C793:I793"/>
    <mergeCell ref="C228:I228"/>
    <mergeCell ref="C203:I203"/>
    <mergeCell ref="C399:I399"/>
    <mergeCell ref="C470:I470"/>
    <mergeCell ref="C526:I526"/>
    <mergeCell ref="C768:I768"/>
    <mergeCell ref="C939:I939"/>
    <mergeCell ref="C762:I762"/>
    <mergeCell ref="C488:I488"/>
    <mergeCell ref="C1004:I1004"/>
    <mergeCell ref="C724:I724"/>
    <mergeCell ref="C607:I607"/>
    <mergeCell ref="C991:I991"/>
    <mergeCell ref="C292:I292"/>
    <mergeCell ref="C528:I528"/>
    <mergeCell ref="C699:I699"/>
    <mergeCell ref="C941:I941"/>
    <mergeCell ref="C788:I788"/>
    <mergeCell ref="C465:I465"/>
    <mergeCell ref="C636:I636"/>
    <mergeCell ref="C907:I907"/>
    <mergeCell ref="C828:I828"/>
    <mergeCell ref="C559:I559"/>
    <mergeCell ref="C108:I108"/>
    <mergeCell ref="C844:I844"/>
    <mergeCell ref="C909:I909"/>
    <mergeCell ref="C325:I325"/>
    <mergeCell ref="C417:I417"/>
    <mergeCell ref="C859:I859"/>
    <mergeCell ref="C20:I20"/>
    <mergeCell ref="C846:I846"/>
    <mergeCell ref="C196:I196"/>
    <mergeCell ref="C973:I973"/>
    <mergeCell ref="C318:I318"/>
    <mergeCell ref="C85:I85"/>
    <mergeCell ref="C256:I256"/>
    <mergeCell ref="C112:I112"/>
    <mergeCell ref="C383:I383"/>
    <mergeCell ref="C183:I183"/>
    <mergeCell ref="C389:I389"/>
    <mergeCell ref="C560:I560"/>
    <mergeCell ref="C554:I554"/>
    <mergeCell ref="C625:I625"/>
    <mergeCell ref="C541:I541"/>
    <mergeCell ref="C923:I923"/>
    <mergeCell ref="C839:I839"/>
    <mergeCell ref="C612:I612"/>
    <mergeCell ref="C910:I910"/>
    <mergeCell ref="C717:I717"/>
    <mergeCell ref="C84:I84"/>
    <mergeCell ref="C133:I133"/>
    <mergeCell ref="O10:O11"/>
    <mergeCell ref="C22:I22"/>
    <mergeCell ref="C127:I127"/>
    <mergeCell ref="C198:I198"/>
    <mergeCell ref="C193:I193"/>
    <mergeCell ref="C176:I176"/>
    <mergeCell ref="C320:I320"/>
    <mergeCell ref="C114:I114"/>
    <mergeCell ref="C247:I247"/>
    <mergeCell ref="C356:I356"/>
    <mergeCell ref="C418:I418"/>
    <mergeCell ref="C412:I412"/>
    <mergeCell ref="C491:I491"/>
    <mergeCell ref="C483:I483"/>
    <mergeCell ref="C605:I605"/>
    <mergeCell ref="C781:I781"/>
    <mergeCell ref="C854:I854"/>
    <mergeCell ref="C719:I719"/>
    <mergeCell ref="C257:I257"/>
    <mergeCell ref="C841:I841"/>
    <mergeCell ref="C912:I912"/>
    <mergeCell ref="C51:I51"/>
    <mergeCell ref="C178:I178"/>
    <mergeCell ref="C620:I620"/>
    <mergeCell ref="C791:I791"/>
    <mergeCell ref="C1011:I1011"/>
    <mergeCell ref="C272:I272"/>
    <mergeCell ref="C443:I443"/>
    <mergeCell ref="C872:I872"/>
    <mergeCell ref="C38:I38"/>
    <mergeCell ref="C209:I209"/>
    <mergeCell ref="C743:I743"/>
    <mergeCell ref="C936:I936"/>
    <mergeCell ref="C730:I730"/>
    <mergeCell ref="C140:I140"/>
    <mergeCell ref="C267:I267"/>
    <mergeCell ref="C438:I438"/>
    <mergeCell ref="C338:I338"/>
    <mergeCell ref="C509:I509"/>
    <mergeCell ref="C496:I496"/>
    <mergeCell ref="C938:I938"/>
    <mergeCell ref="C994:I994"/>
    <mergeCell ref="C794:I794"/>
    <mergeCell ref="C33:I33"/>
    <mergeCell ref="C204:I204"/>
    <mergeCell ref="C104:I104"/>
    <mergeCell ref="C275:I275"/>
    <mergeCell ref="C269:I269"/>
    <mergeCell ref="C440:I440"/>
    <mergeCell ref="C340:I340"/>
    <mergeCell ref="C511:I511"/>
    <mergeCell ref="C707:I707"/>
    <mergeCell ref="C738:I738"/>
    <mergeCell ref="C809:I809"/>
    <mergeCell ref="C1005:I1005"/>
    <mergeCell ref="C796:I796"/>
    <mergeCell ref="C231:I231"/>
    <mergeCell ref="C35:I35"/>
    <mergeCell ref="C333:I333"/>
    <mergeCell ref="C504:I504"/>
    <mergeCell ref="C771:I771"/>
    <mergeCell ref="C99:I99"/>
    <mergeCell ref="C835:I835"/>
    <mergeCell ref="C885:I885"/>
    <mergeCell ref="C130:I130"/>
    <mergeCell ref="C562:I562"/>
    <mergeCell ref="C689:I689"/>
    <mergeCell ref="C860:I860"/>
    <mergeCell ref="C931:I931"/>
    <mergeCell ref="C409:I409"/>
    <mergeCell ref="C651:I651"/>
    <mergeCell ref="C135:I135"/>
    <mergeCell ref="C328:I328"/>
    <mergeCell ref="C433:I433"/>
    <mergeCell ref="C626:I626"/>
    <mergeCell ref="C122:I122"/>
    <mergeCell ref="C430:I430"/>
    <mergeCell ref="C420:I420"/>
    <mergeCell ref="C224:I224"/>
    <mergeCell ref="C862:I862"/>
    <mergeCell ref="C718:I718"/>
    <mergeCell ref="C989:I989"/>
    <mergeCell ref="C789:I789"/>
    <mergeCell ref="C72:I72"/>
    <mergeCell ref="C849:I849"/>
    <mergeCell ref="C960:I960"/>
    <mergeCell ref="C199:I199"/>
    <mergeCell ref="C497:I497"/>
    <mergeCell ref="C435:I435"/>
    <mergeCell ref="C186:I186"/>
    <mergeCell ref="C557:I557"/>
    <mergeCell ref="C628:I628"/>
    <mergeCell ref="C484:I484"/>
    <mergeCell ref="C655:I655"/>
    <mergeCell ref="C926:I926"/>
    <mergeCell ref="C720:I720"/>
    <mergeCell ref="C136:I136"/>
    <mergeCell ref="C913:I913"/>
    <mergeCell ref="C962:I962"/>
    <mergeCell ref="C263:I263"/>
    <mergeCell ref="C434:I434"/>
    <mergeCell ref="C323:I323"/>
    <mergeCell ref="C499:I499"/>
    <mergeCell ref="C863:I863"/>
    <mergeCell ref="C486:I486"/>
    <mergeCell ref="C657:I657"/>
    <mergeCell ref="C928:I928"/>
    <mergeCell ref="C784:I784"/>
    <mergeCell ref="C955:I955"/>
    <mergeCell ref="L10:L11"/>
    <mergeCell ref="N10:N11"/>
    <mergeCell ref="C952:I952"/>
    <mergeCell ref="C786:I786"/>
    <mergeCell ref="C957:I957"/>
    <mergeCell ref="C54:I54"/>
    <mergeCell ref="C41:I41"/>
    <mergeCell ref="C146:I146"/>
    <mergeCell ref="C212:I212"/>
    <mergeCell ref="C510:I510"/>
    <mergeCell ref="C277:I277"/>
    <mergeCell ref="C448:I448"/>
    <mergeCell ref="C581:I581"/>
    <mergeCell ref="C404:I404"/>
    <mergeCell ref="C575:I575"/>
    <mergeCell ref="C746:I746"/>
    <mergeCell ref="C873:I873"/>
    <mergeCell ref="C944:I944"/>
    <mergeCell ref="C56:I56"/>
    <mergeCell ref="C733:I733"/>
    <mergeCell ref="C105:I105"/>
    <mergeCell ref="C276:I276"/>
    <mergeCell ref="C43:I43"/>
    <mergeCell ref="C214:I214"/>
    <mergeCell ref="C341:I341"/>
    <mergeCell ref="C512:I512"/>
    <mergeCell ref="C639:I639"/>
    <mergeCell ref="C439:I439"/>
    <mergeCell ref="C577:I577"/>
    <mergeCell ref="C810:I810"/>
    <mergeCell ref="C120:I120"/>
    <mergeCell ref="C675:I675"/>
    <mergeCell ref="C731:I731"/>
    <mergeCell ref="C797:I797"/>
    <mergeCell ref="C36:I36"/>
    <mergeCell ref="C278:I278"/>
    <mergeCell ref="C405:I405"/>
    <mergeCell ref="C576:I576"/>
    <mergeCell ref="C370:I370"/>
    <mergeCell ref="C641:I641"/>
    <mergeCell ref="C812:I812"/>
    <mergeCell ref="C837:I837"/>
    <mergeCell ref="C149:I149"/>
    <mergeCell ref="C385:I385"/>
    <mergeCell ref="C67:I67"/>
    <mergeCell ref="C670:I670"/>
    <mergeCell ref="C367:I367"/>
    <mergeCell ref="C603:I603"/>
    <mergeCell ref="C288:I288"/>
    <mergeCell ref="C459:I459"/>
    <mergeCell ref="C726:I726"/>
    <mergeCell ref="C505:I505"/>
    <mergeCell ref="C225:I225"/>
    <mergeCell ref="C741:I741"/>
    <mergeCell ref="C461:I461"/>
    <mergeCell ref="C728:I728"/>
    <mergeCell ref="C200:I200"/>
    <mergeCell ref="C271:I271"/>
    <mergeCell ref="C1001:I1001"/>
    <mergeCell ref="C436:I436"/>
    <mergeCell ref="C507:I507"/>
    <mergeCell ref="C805:I805"/>
    <mergeCell ref="C227:I227"/>
    <mergeCell ref="C721:I721"/>
    <mergeCell ref="C525:I525"/>
    <mergeCell ref="C792:I792"/>
    <mergeCell ref="C31:I31"/>
    <mergeCell ref="C202:I202"/>
    <mergeCell ref="C373:I373"/>
    <mergeCell ref="C329:I329"/>
    <mergeCell ref="C444:I444"/>
    <mergeCell ref="C904:I904"/>
    <mergeCell ref="C565:I565"/>
    <mergeCell ref="C736:I736"/>
    <mergeCell ref="C291:I291"/>
    <mergeCell ref="C807:I807"/>
    <mergeCell ref="C589:I589"/>
    <mergeCell ref="C856:I856"/>
    <mergeCell ref="C95:I95"/>
    <mergeCell ref="C60:I60"/>
    <mergeCell ref="C331:I331"/>
    <mergeCell ref="C502:I502"/>
    <mergeCell ref="C673:I673"/>
    <mergeCell ref="C347:I347"/>
    <mergeCell ref="C268:I268"/>
    <mergeCell ref="C881:I881"/>
    <mergeCell ref="C360:I360"/>
    <mergeCell ref="C91:I91"/>
    <mergeCell ref="C362:I362"/>
    <mergeCell ref="C868:I868"/>
    <mergeCell ref="C454:I454"/>
    <mergeCell ref="C647:I647"/>
    <mergeCell ref="C818:I818"/>
    <mergeCell ref="C57:I57"/>
    <mergeCell ref="M10:M11"/>
    <mergeCell ref="C883:I883"/>
    <mergeCell ref="C355:I355"/>
    <mergeCell ref="C155:I155"/>
    <mergeCell ref="C293:I293"/>
    <mergeCell ref="C739:I739"/>
    <mergeCell ref="C975:I975"/>
    <mergeCell ref="C220:I220"/>
    <mergeCell ref="C342:I342"/>
    <mergeCell ref="C391:I391"/>
    <mergeCell ref="C518:I518"/>
    <mergeCell ref="C578:I578"/>
    <mergeCell ref="C749:I749"/>
    <mergeCell ref="C649:I649"/>
    <mergeCell ref="C820:I820"/>
    <mergeCell ref="C676:I676"/>
    <mergeCell ref="C876:I876"/>
    <mergeCell ref="C947:I947"/>
    <mergeCell ref="C86:I86"/>
    <mergeCell ref="C357:I357"/>
    <mergeCell ref="C157:I157"/>
    <mergeCell ref="C42:I42"/>
    <mergeCell ref="C151:I151"/>
    <mergeCell ref="C284:I284"/>
    <mergeCell ref="C344:I344"/>
    <mergeCell ref="C455:I455"/>
    <mergeCell ref="C449:I449"/>
    <mergeCell ref="C520:I520"/>
    <mergeCell ref="C58:I58"/>
    <mergeCell ref="C586:I586"/>
    <mergeCell ref="C642:I642"/>
    <mergeCell ref="C691:I691"/>
    <mergeCell ref="C813:I813"/>
    <mergeCell ref="C294:I294"/>
    <mergeCell ref="C678:I678"/>
    <mergeCell ref="C884:I884"/>
    <mergeCell ref="C878:I878"/>
    <mergeCell ref="C976:I976"/>
    <mergeCell ref="C215:I215"/>
    <mergeCell ref="C386:I386"/>
    <mergeCell ref="C951:I951"/>
    <mergeCell ref="C644:I644"/>
    <mergeCell ref="C152:I152"/>
    <mergeCell ref="C978:I978"/>
    <mergeCell ref="C75:I75"/>
    <mergeCell ref="C953:I953"/>
    <mergeCell ref="C531:I531"/>
    <mergeCell ref="C596:I596"/>
    <mergeCell ref="C767:I767"/>
    <mergeCell ref="C297:I297"/>
    <mergeCell ref="C533:I533"/>
    <mergeCell ref="C660:I660"/>
    <mergeCell ref="C831:I831"/>
    <mergeCell ref="C70:I70"/>
    <mergeCell ref="C241:I241"/>
    <mergeCell ref="C312:I312"/>
    <mergeCell ref="C508:I508"/>
    <mergeCell ref="C806:I806"/>
    <mergeCell ref="C610:I610"/>
    <mergeCell ref="C106:I106"/>
    <mergeCell ref="C744:I744"/>
    <mergeCell ref="C299:I299"/>
    <mergeCell ref="C597:I597"/>
    <mergeCell ref="C32:I32"/>
    <mergeCell ref="C833:I833"/>
    <mergeCell ref="C572:I572"/>
    <mergeCell ref="C243:I243"/>
    <mergeCell ref="C366:I366"/>
    <mergeCell ref="C170:I170"/>
    <mergeCell ref="C808:I808"/>
    <mergeCell ref="C468:I468"/>
    <mergeCell ref="C307:I307"/>
    <mergeCell ref="C574:I574"/>
    <mergeCell ref="C745:I745"/>
    <mergeCell ref="C101:I101"/>
    <mergeCell ref="C666:I666"/>
    <mergeCell ref="C966:I966"/>
    <mergeCell ref="C697:I697"/>
    <mergeCell ref="C246:I246"/>
    <mergeCell ref="C221:I221"/>
    <mergeCell ref="C25:I25"/>
    <mergeCell ref="C392:I392"/>
    <mergeCell ref="C463:I463"/>
    <mergeCell ref="C457:I457"/>
    <mergeCell ref="C755:I755"/>
    <mergeCell ref="C948:I948"/>
    <mergeCell ref="C997:I997"/>
    <mergeCell ref="C886:I886"/>
    <mergeCell ref="C236:I236"/>
    <mergeCell ref="C742:I742"/>
    <mergeCell ref="C984:I984"/>
    <mergeCell ref="C594:I594"/>
    <mergeCell ref="C223:I223"/>
    <mergeCell ref="C394:I394"/>
    <mergeCell ref="C521:I521"/>
    <mergeCell ref="C692:I692"/>
    <mergeCell ref="C763:I763"/>
    <mergeCell ref="C963:I963"/>
    <mergeCell ref="C757:I757"/>
    <mergeCell ref="C999:I999"/>
    <mergeCell ref="C300:I300"/>
    <mergeCell ref="C977:I977"/>
    <mergeCell ref="B12:M12"/>
    <mergeCell ref="C287:I287"/>
    <mergeCell ref="C458:I458"/>
    <mergeCell ref="C585:I585"/>
    <mergeCell ref="C523:I523"/>
    <mergeCell ref="C694:I694"/>
    <mergeCell ref="C887:I887"/>
    <mergeCell ref="C821:I821"/>
    <mergeCell ref="C992:I992"/>
    <mergeCell ref="C979:I979"/>
    <mergeCell ref="C158:I158"/>
    <mergeCell ref="C289:I289"/>
    <mergeCell ref="C587:I587"/>
    <mergeCell ref="C758:I758"/>
    <mergeCell ref="C929:I929"/>
    <mergeCell ref="C919:I919"/>
    <mergeCell ref="C13:I13"/>
    <mergeCell ref="C78:I78"/>
    <mergeCell ref="C249:I249"/>
    <mergeCell ref="C376:I376"/>
    <mergeCell ref="C314:I314"/>
    <mergeCell ref="C618:I618"/>
    <mergeCell ref="C363:I363"/>
    <mergeCell ref="C534:I534"/>
    <mergeCell ref="C539:I539"/>
    <mergeCell ref="C599:I599"/>
    <mergeCell ref="B10:B11"/>
    <mergeCell ref="C15:I15"/>
    <mergeCell ref="C770:I770"/>
    <mergeCell ref="C191:I191"/>
    <mergeCell ref="C313:I313"/>
    <mergeCell ref="C897:I897"/>
    <mergeCell ref="C968:I968"/>
    <mergeCell ref="C107:I107"/>
    <mergeCell ref="C378:I378"/>
    <mergeCell ref="C549:I549"/>
    <mergeCell ref="C234:I234"/>
    <mergeCell ref="C816:I816"/>
    <mergeCell ref="C172:I172"/>
    <mergeCell ref="C476:I476"/>
    <mergeCell ref="C536:I536"/>
    <mergeCell ref="C663:I663"/>
    <mergeCell ref="C79:I79"/>
    <mergeCell ref="C184:I184"/>
    <mergeCell ref="C961:I961"/>
    <mergeCell ref="C712:I712"/>
    <mergeCell ref="C899:I899"/>
    <mergeCell ref="C73:I73"/>
    <mergeCell ref="C834:I834"/>
    <mergeCell ref="C315:I315"/>
    <mergeCell ref="C905:I905"/>
    <mergeCell ref="C171:I171"/>
    <mergeCell ref="C613:I613"/>
    <mergeCell ref="C638:I638"/>
    <mergeCell ref="C880:I880"/>
    <mergeCell ref="C302:I302"/>
    <mergeCell ref="C407:I407"/>
    <mergeCell ref="C874:I874"/>
    <mergeCell ref="C600:I600"/>
    <mergeCell ref="C705:I705"/>
    <mergeCell ref="C121:I121"/>
    <mergeCell ref="C898:I898"/>
    <mergeCell ref="C836:I836"/>
    <mergeCell ref="C382:I382"/>
    <mergeCell ref="C934:I934"/>
    <mergeCell ref="C173:I173"/>
    <mergeCell ref="C811:I811"/>
    <mergeCell ref="C471:I471"/>
    <mergeCell ref="C148:I148"/>
    <mergeCell ref="C900:I900"/>
    <mergeCell ref="C669:I669"/>
  </mergeCells>
  <hyperlinks>
    <hyperlink xmlns:r="http://schemas.openxmlformats.org/officeDocument/2006/relationships" ref="P13" r:id="rId1"/>
    <hyperlink xmlns:r="http://schemas.openxmlformats.org/officeDocument/2006/relationships" ref="P14" r:id="rId2"/>
    <hyperlink xmlns:r="http://schemas.openxmlformats.org/officeDocument/2006/relationships" ref="P15" r:id="rId3"/>
    <hyperlink xmlns:r="http://schemas.openxmlformats.org/officeDocument/2006/relationships" ref="P16" r:id="rId4"/>
    <hyperlink xmlns:r="http://schemas.openxmlformats.org/officeDocument/2006/relationships" ref="P17" r:id="rId5"/>
    <hyperlink xmlns:r="http://schemas.openxmlformats.org/officeDocument/2006/relationships" ref="P18" r:id="rId6"/>
    <hyperlink xmlns:r="http://schemas.openxmlformats.org/officeDocument/2006/relationships" ref="P19" r:id="rId7"/>
    <hyperlink xmlns:r="http://schemas.openxmlformats.org/officeDocument/2006/relationships" ref="P20" r:id="rId8"/>
    <hyperlink xmlns:r="http://schemas.openxmlformats.org/officeDocument/2006/relationships" ref="P21" r:id="rId9"/>
    <hyperlink xmlns:r="http://schemas.openxmlformats.org/officeDocument/2006/relationships" ref="P23" r:id="rId10"/>
    <hyperlink xmlns:r="http://schemas.openxmlformats.org/officeDocument/2006/relationships" ref="P24" r:id="rId11"/>
    <hyperlink xmlns:r="http://schemas.openxmlformats.org/officeDocument/2006/relationships" ref="P32" r:id="rId12"/>
    <hyperlink xmlns:r="http://schemas.openxmlformats.org/officeDocument/2006/relationships" ref="P35" r:id="rId13"/>
    <hyperlink xmlns:r="http://schemas.openxmlformats.org/officeDocument/2006/relationships" ref="P40" r:id="rId14"/>
    <hyperlink xmlns:r="http://schemas.openxmlformats.org/officeDocument/2006/relationships" ref="P41" r:id="rId15"/>
    <hyperlink xmlns:r="http://schemas.openxmlformats.org/officeDocument/2006/relationships" ref="P56" r:id="rId16"/>
    <hyperlink xmlns:r="http://schemas.openxmlformats.org/officeDocument/2006/relationships" ref="P57" r:id="rId17"/>
    <hyperlink xmlns:r="http://schemas.openxmlformats.org/officeDocument/2006/relationships" ref="P62" r:id="rId18"/>
    <hyperlink xmlns:r="http://schemas.openxmlformats.org/officeDocument/2006/relationships" ref="P63" r:id="rId19"/>
    <hyperlink xmlns:r="http://schemas.openxmlformats.org/officeDocument/2006/relationships" ref="P76" r:id="rId20"/>
    <hyperlink xmlns:r="http://schemas.openxmlformats.org/officeDocument/2006/relationships" ref="P79" r:id="rId21"/>
    <hyperlink xmlns:r="http://schemas.openxmlformats.org/officeDocument/2006/relationships" ref="P81" r:id="rId22"/>
    <hyperlink xmlns:r="http://schemas.openxmlformats.org/officeDocument/2006/relationships" ref="P83" r:id="rId23"/>
    <hyperlink xmlns:r="http://schemas.openxmlformats.org/officeDocument/2006/relationships" ref="P90" r:id="rId24"/>
    <hyperlink xmlns:r="http://schemas.openxmlformats.org/officeDocument/2006/relationships" ref="P91" r:id="rId25"/>
    <hyperlink xmlns:r="http://schemas.openxmlformats.org/officeDocument/2006/relationships" ref="P93" r:id="rId26"/>
    <hyperlink xmlns:r="http://schemas.openxmlformats.org/officeDocument/2006/relationships" ref="P106" r:id="rId27"/>
    <hyperlink xmlns:r="http://schemas.openxmlformats.org/officeDocument/2006/relationships" ref="P108" r:id="rId28"/>
    <hyperlink xmlns:r="http://schemas.openxmlformats.org/officeDocument/2006/relationships" ref="P109" r:id="rId29"/>
    <hyperlink xmlns:r="http://schemas.openxmlformats.org/officeDocument/2006/relationships" ref="P110" r:id="rId30"/>
    <hyperlink xmlns:r="http://schemas.openxmlformats.org/officeDocument/2006/relationships" ref="P111" r:id="rId31"/>
    <hyperlink xmlns:r="http://schemas.openxmlformats.org/officeDocument/2006/relationships" ref="P112" r:id="rId32"/>
    <hyperlink xmlns:r="http://schemas.openxmlformats.org/officeDocument/2006/relationships" ref="P113" r:id="rId33"/>
    <hyperlink xmlns:r="http://schemas.openxmlformats.org/officeDocument/2006/relationships" ref="P114" r:id="rId34"/>
    <hyperlink xmlns:r="http://schemas.openxmlformats.org/officeDocument/2006/relationships" ref="P115" r:id="rId35"/>
    <hyperlink xmlns:r="http://schemas.openxmlformats.org/officeDocument/2006/relationships" ref="P116" r:id="rId36"/>
    <hyperlink xmlns:r="http://schemas.openxmlformats.org/officeDocument/2006/relationships" ref="P117" r:id="rId37"/>
    <hyperlink xmlns:r="http://schemas.openxmlformats.org/officeDocument/2006/relationships" ref="P118" r:id="rId38"/>
    <hyperlink xmlns:r="http://schemas.openxmlformats.org/officeDocument/2006/relationships" ref="P119" r:id="rId39"/>
    <hyperlink xmlns:r="http://schemas.openxmlformats.org/officeDocument/2006/relationships" ref="P120" r:id="rId40"/>
    <hyperlink xmlns:r="http://schemas.openxmlformats.org/officeDocument/2006/relationships" ref="P121" r:id="rId41"/>
    <hyperlink xmlns:r="http://schemas.openxmlformats.org/officeDocument/2006/relationships" ref="P122" r:id="rId42"/>
    <hyperlink xmlns:r="http://schemas.openxmlformats.org/officeDocument/2006/relationships" ref="P123" r:id="rId43"/>
    <hyperlink xmlns:r="http://schemas.openxmlformats.org/officeDocument/2006/relationships" ref="P124" r:id="rId44"/>
    <hyperlink xmlns:r="http://schemas.openxmlformats.org/officeDocument/2006/relationships" ref="P125" r:id="rId45"/>
    <hyperlink xmlns:r="http://schemas.openxmlformats.org/officeDocument/2006/relationships" ref="P126" r:id="rId46"/>
    <hyperlink xmlns:r="http://schemas.openxmlformats.org/officeDocument/2006/relationships" ref="P127" r:id="rId47"/>
    <hyperlink xmlns:r="http://schemas.openxmlformats.org/officeDocument/2006/relationships" ref="P128" r:id="rId48"/>
    <hyperlink xmlns:r="http://schemas.openxmlformats.org/officeDocument/2006/relationships" ref="P129" r:id="rId49"/>
    <hyperlink xmlns:r="http://schemas.openxmlformats.org/officeDocument/2006/relationships" ref="P130" r:id="rId50"/>
    <hyperlink xmlns:r="http://schemas.openxmlformats.org/officeDocument/2006/relationships" ref="P131" r:id="rId51"/>
    <hyperlink xmlns:r="http://schemas.openxmlformats.org/officeDocument/2006/relationships" ref="P132" r:id="rId52"/>
    <hyperlink xmlns:r="http://schemas.openxmlformats.org/officeDocument/2006/relationships" ref="P133" r:id="rId53"/>
    <hyperlink xmlns:r="http://schemas.openxmlformats.org/officeDocument/2006/relationships" ref="P134" r:id="rId54"/>
    <hyperlink xmlns:r="http://schemas.openxmlformats.org/officeDocument/2006/relationships" ref="P135" r:id="rId55"/>
    <hyperlink xmlns:r="http://schemas.openxmlformats.org/officeDocument/2006/relationships" ref="P136" r:id="rId56"/>
    <hyperlink xmlns:r="http://schemas.openxmlformats.org/officeDocument/2006/relationships" ref="P137" r:id="rId57"/>
    <hyperlink xmlns:r="http://schemas.openxmlformats.org/officeDocument/2006/relationships" ref="P138" r:id="rId58"/>
    <hyperlink xmlns:r="http://schemas.openxmlformats.org/officeDocument/2006/relationships" ref="P139" r:id="rId59"/>
    <hyperlink xmlns:r="http://schemas.openxmlformats.org/officeDocument/2006/relationships" ref="P140" r:id="rId60"/>
    <hyperlink xmlns:r="http://schemas.openxmlformats.org/officeDocument/2006/relationships" ref="P141" r:id="rId61"/>
    <hyperlink xmlns:r="http://schemas.openxmlformats.org/officeDocument/2006/relationships" ref="P142" r:id="rId62"/>
    <hyperlink xmlns:r="http://schemas.openxmlformats.org/officeDocument/2006/relationships" ref="P143" r:id="rId63"/>
    <hyperlink xmlns:r="http://schemas.openxmlformats.org/officeDocument/2006/relationships" ref="P144" r:id="rId64"/>
    <hyperlink xmlns:r="http://schemas.openxmlformats.org/officeDocument/2006/relationships" ref="P145" r:id="rId65"/>
    <hyperlink xmlns:r="http://schemas.openxmlformats.org/officeDocument/2006/relationships" ref="P147" r:id="rId66"/>
    <hyperlink xmlns:r="http://schemas.openxmlformats.org/officeDocument/2006/relationships" ref="P148" r:id="rId67"/>
    <hyperlink xmlns:r="http://schemas.openxmlformats.org/officeDocument/2006/relationships" ref="P149" r:id="rId68"/>
    <hyperlink xmlns:r="http://schemas.openxmlformats.org/officeDocument/2006/relationships" ref="P150" r:id="rId69"/>
    <hyperlink xmlns:r="http://schemas.openxmlformats.org/officeDocument/2006/relationships" ref="P151" r:id="rId70"/>
    <hyperlink xmlns:r="http://schemas.openxmlformats.org/officeDocument/2006/relationships" ref="P152" r:id="rId71"/>
    <hyperlink xmlns:r="http://schemas.openxmlformats.org/officeDocument/2006/relationships" ref="P153" r:id="rId72"/>
    <hyperlink xmlns:r="http://schemas.openxmlformats.org/officeDocument/2006/relationships" ref="P154" r:id="rId73"/>
    <hyperlink xmlns:r="http://schemas.openxmlformats.org/officeDocument/2006/relationships" ref="P155" r:id="rId74"/>
    <hyperlink xmlns:r="http://schemas.openxmlformats.org/officeDocument/2006/relationships" ref="P156" r:id="rId75"/>
    <hyperlink xmlns:r="http://schemas.openxmlformats.org/officeDocument/2006/relationships" ref="P157" r:id="rId76"/>
    <hyperlink xmlns:r="http://schemas.openxmlformats.org/officeDocument/2006/relationships" ref="P158" r:id="rId77"/>
    <hyperlink xmlns:r="http://schemas.openxmlformats.org/officeDocument/2006/relationships" ref="P159" r:id="rId78"/>
    <hyperlink xmlns:r="http://schemas.openxmlformats.org/officeDocument/2006/relationships" ref="P160" r:id="rId79"/>
    <hyperlink xmlns:r="http://schemas.openxmlformats.org/officeDocument/2006/relationships" ref="P161" r:id="rId80"/>
    <hyperlink xmlns:r="http://schemas.openxmlformats.org/officeDocument/2006/relationships" ref="P162" r:id="rId81"/>
    <hyperlink xmlns:r="http://schemas.openxmlformats.org/officeDocument/2006/relationships" ref="P163" r:id="rId82"/>
    <hyperlink xmlns:r="http://schemas.openxmlformats.org/officeDocument/2006/relationships" ref="P164" r:id="rId83"/>
    <hyperlink xmlns:r="http://schemas.openxmlformats.org/officeDocument/2006/relationships" ref="P165" r:id="rId84"/>
    <hyperlink xmlns:r="http://schemas.openxmlformats.org/officeDocument/2006/relationships" ref="P166" r:id="rId85"/>
    <hyperlink xmlns:r="http://schemas.openxmlformats.org/officeDocument/2006/relationships" ref="P167" display="david.lopera@socomes.com" r:id="rId86"/>
    <hyperlink xmlns:r="http://schemas.openxmlformats.org/officeDocument/2006/relationships" ref="P168" r:id="rId87"/>
    <hyperlink xmlns:r="http://schemas.openxmlformats.org/officeDocument/2006/relationships" ref="P169" r:id="rId88"/>
    <hyperlink xmlns:r="http://schemas.openxmlformats.org/officeDocument/2006/relationships" ref="P170" r:id="rId89"/>
    <hyperlink xmlns:r="http://schemas.openxmlformats.org/officeDocument/2006/relationships" ref="P171" r:id="rId90"/>
    <hyperlink xmlns:r="http://schemas.openxmlformats.org/officeDocument/2006/relationships" ref="P172" r:id="rId91"/>
    <hyperlink xmlns:r="http://schemas.openxmlformats.org/officeDocument/2006/relationships" ref="P173" r:id="rId92"/>
    <hyperlink xmlns:r="http://schemas.openxmlformats.org/officeDocument/2006/relationships" ref="P174" r:id="rId93"/>
    <hyperlink xmlns:r="http://schemas.openxmlformats.org/officeDocument/2006/relationships" ref="P175" r:id="rId94"/>
    <hyperlink xmlns:r="http://schemas.openxmlformats.org/officeDocument/2006/relationships" ref="P177" r:id="rId95"/>
    <hyperlink xmlns:r="http://schemas.openxmlformats.org/officeDocument/2006/relationships" ref="P178" r:id="rId96"/>
    <hyperlink xmlns:r="http://schemas.openxmlformats.org/officeDocument/2006/relationships" ref="P179" r:id="rId97"/>
    <hyperlink xmlns:r="http://schemas.openxmlformats.org/officeDocument/2006/relationships" ref="P180" r:id="rId98"/>
    <hyperlink xmlns:r="http://schemas.openxmlformats.org/officeDocument/2006/relationships" ref="P181" r:id="rId99"/>
    <hyperlink xmlns:r="http://schemas.openxmlformats.org/officeDocument/2006/relationships" ref="P182" r:id="rId100"/>
    <hyperlink xmlns:r="http://schemas.openxmlformats.org/officeDocument/2006/relationships" ref="P183" r:id="rId101"/>
    <hyperlink xmlns:r="http://schemas.openxmlformats.org/officeDocument/2006/relationships" ref="P184" r:id="rId102"/>
    <hyperlink xmlns:r="http://schemas.openxmlformats.org/officeDocument/2006/relationships" ref="P185" r:id="rId103"/>
    <hyperlink xmlns:r="http://schemas.openxmlformats.org/officeDocument/2006/relationships" ref="P186" r:id="rId104"/>
    <hyperlink xmlns:r="http://schemas.openxmlformats.org/officeDocument/2006/relationships" ref="P187" r:id="rId105"/>
    <hyperlink xmlns:r="http://schemas.openxmlformats.org/officeDocument/2006/relationships" ref="P188" r:id="rId106"/>
    <hyperlink xmlns:r="http://schemas.openxmlformats.org/officeDocument/2006/relationships" ref="P189" r:id="rId107"/>
    <hyperlink xmlns:r="http://schemas.openxmlformats.org/officeDocument/2006/relationships" ref="P190" r:id="rId108"/>
    <hyperlink xmlns:r="http://schemas.openxmlformats.org/officeDocument/2006/relationships" ref="P191" r:id="rId109"/>
    <hyperlink xmlns:r="http://schemas.openxmlformats.org/officeDocument/2006/relationships" ref="P192" r:id="rId110"/>
    <hyperlink xmlns:r="http://schemas.openxmlformats.org/officeDocument/2006/relationships" ref="P193" r:id="rId111"/>
    <hyperlink xmlns:r="http://schemas.openxmlformats.org/officeDocument/2006/relationships" ref="P194" r:id="rId112"/>
    <hyperlink xmlns:r="http://schemas.openxmlformats.org/officeDocument/2006/relationships" ref="P195" r:id="rId113"/>
    <hyperlink xmlns:r="http://schemas.openxmlformats.org/officeDocument/2006/relationships" ref="P196" r:id="rId114"/>
    <hyperlink xmlns:r="http://schemas.openxmlformats.org/officeDocument/2006/relationships" ref="P197" r:id="rId115"/>
    <hyperlink xmlns:r="http://schemas.openxmlformats.org/officeDocument/2006/relationships" ref="P198" r:id="rId116"/>
    <hyperlink xmlns:r="http://schemas.openxmlformats.org/officeDocument/2006/relationships" ref="P199" r:id="rId117"/>
    <hyperlink xmlns:r="http://schemas.openxmlformats.org/officeDocument/2006/relationships" ref="P200" r:id="rId118"/>
    <hyperlink xmlns:r="http://schemas.openxmlformats.org/officeDocument/2006/relationships" ref="P201" r:id="rId119"/>
    <hyperlink xmlns:r="http://schemas.openxmlformats.org/officeDocument/2006/relationships" ref="P202" r:id="rId120"/>
    <hyperlink xmlns:r="http://schemas.openxmlformats.org/officeDocument/2006/relationships" ref="P203" r:id="rId121"/>
    <hyperlink xmlns:r="http://schemas.openxmlformats.org/officeDocument/2006/relationships" ref="P204" r:id="rId122"/>
    <hyperlink xmlns:r="http://schemas.openxmlformats.org/officeDocument/2006/relationships" ref="P205" r:id="rId123"/>
    <hyperlink xmlns:r="http://schemas.openxmlformats.org/officeDocument/2006/relationships" ref="P206" r:id="rId124"/>
    <hyperlink xmlns:r="http://schemas.openxmlformats.org/officeDocument/2006/relationships" ref="P207" r:id="rId125"/>
    <hyperlink xmlns:r="http://schemas.openxmlformats.org/officeDocument/2006/relationships" ref="P208" r:id="rId126"/>
    <hyperlink xmlns:r="http://schemas.openxmlformats.org/officeDocument/2006/relationships" ref="P209" r:id="rId127"/>
    <hyperlink xmlns:r="http://schemas.openxmlformats.org/officeDocument/2006/relationships" ref="P210" r:id="rId128"/>
    <hyperlink xmlns:r="http://schemas.openxmlformats.org/officeDocument/2006/relationships" ref="P211" r:id="rId129"/>
    <hyperlink xmlns:r="http://schemas.openxmlformats.org/officeDocument/2006/relationships" ref="P212" r:id="rId130"/>
    <hyperlink xmlns:r="http://schemas.openxmlformats.org/officeDocument/2006/relationships" ref="P213" r:id="rId131"/>
    <hyperlink xmlns:r="http://schemas.openxmlformats.org/officeDocument/2006/relationships" ref="P214" r:id="rId132"/>
    <hyperlink xmlns:r="http://schemas.openxmlformats.org/officeDocument/2006/relationships" ref="P215" r:id="rId133"/>
    <hyperlink xmlns:r="http://schemas.openxmlformats.org/officeDocument/2006/relationships" ref="P216" r:id="rId134"/>
    <hyperlink xmlns:r="http://schemas.openxmlformats.org/officeDocument/2006/relationships" ref="P217" r:id="rId135"/>
    <hyperlink xmlns:r="http://schemas.openxmlformats.org/officeDocument/2006/relationships" ref="P218" r:id="rId136"/>
    <hyperlink xmlns:r="http://schemas.openxmlformats.org/officeDocument/2006/relationships" ref="P219" r:id="rId137"/>
    <hyperlink xmlns:r="http://schemas.openxmlformats.org/officeDocument/2006/relationships" ref="P220" r:id="rId138"/>
    <hyperlink xmlns:r="http://schemas.openxmlformats.org/officeDocument/2006/relationships" ref="P221" r:id="rId139"/>
    <hyperlink xmlns:r="http://schemas.openxmlformats.org/officeDocument/2006/relationships" ref="P222" r:id="rId140"/>
    <hyperlink xmlns:r="http://schemas.openxmlformats.org/officeDocument/2006/relationships" ref="P223" r:id="rId141"/>
    <hyperlink xmlns:r="http://schemas.openxmlformats.org/officeDocument/2006/relationships" ref="P225" r:id="rId142"/>
    <hyperlink xmlns:r="http://schemas.openxmlformats.org/officeDocument/2006/relationships" ref="P226" r:id="rId143"/>
    <hyperlink xmlns:r="http://schemas.openxmlformats.org/officeDocument/2006/relationships" ref="P227" r:id="rId144"/>
    <hyperlink xmlns:r="http://schemas.openxmlformats.org/officeDocument/2006/relationships" ref="P228" r:id="rId145"/>
    <hyperlink xmlns:r="http://schemas.openxmlformats.org/officeDocument/2006/relationships" ref="P229" r:id="rId146"/>
    <hyperlink xmlns:r="http://schemas.openxmlformats.org/officeDocument/2006/relationships" ref="P230" r:id="rId147"/>
    <hyperlink xmlns:r="http://schemas.openxmlformats.org/officeDocument/2006/relationships" ref="P231" r:id="rId148"/>
    <hyperlink xmlns:r="http://schemas.openxmlformats.org/officeDocument/2006/relationships" ref="P232" r:id="rId149"/>
    <hyperlink xmlns:r="http://schemas.openxmlformats.org/officeDocument/2006/relationships" ref="P233" r:id="rId150"/>
    <hyperlink xmlns:r="http://schemas.openxmlformats.org/officeDocument/2006/relationships" ref="P234" r:id="rId151"/>
    <hyperlink xmlns:r="http://schemas.openxmlformats.org/officeDocument/2006/relationships" ref="P235" r:id="rId152"/>
    <hyperlink xmlns:r="http://schemas.openxmlformats.org/officeDocument/2006/relationships" ref="P236" r:id="rId153"/>
    <hyperlink xmlns:r="http://schemas.openxmlformats.org/officeDocument/2006/relationships" ref="P237" r:id="rId154"/>
    <hyperlink xmlns:r="http://schemas.openxmlformats.org/officeDocument/2006/relationships" ref="P238" r:id="rId155"/>
    <hyperlink xmlns:r="http://schemas.openxmlformats.org/officeDocument/2006/relationships" ref="P239" r:id="rId156"/>
    <hyperlink xmlns:r="http://schemas.openxmlformats.org/officeDocument/2006/relationships" ref="P240" r:id="rId157"/>
    <hyperlink xmlns:r="http://schemas.openxmlformats.org/officeDocument/2006/relationships" ref="P241" r:id="rId158"/>
    <hyperlink xmlns:r="http://schemas.openxmlformats.org/officeDocument/2006/relationships" ref="P242" r:id="rId159"/>
    <hyperlink xmlns:r="http://schemas.openxmlformats.org/officeDocument/2006/relationships" ref="P243" r:id="rId160"/>
    <hyperlink xmlns:r="http://schemas.openxmlformats.org/officeDocument/2006/relationships" ref="P244" r:id="rId161"/>
    <hyperlink xmlns:r="http://schemas.openxmlformats.org/officeDocument/2006/relationships" ref="P245" r:id="rId162"/>
    <hyperlink xmlns:r="http://schemas.openxmlformats.org/officeDocument/2006/relationships" ref="P246" r:id="rId163"/>
    <hyperlink xmlns:r="http://schemas.openxmlformats.org/officeDocument/2006/relationships" ref="P247" r:id="rId164"/>
    <hyperlink xmlns:r="http://schemas.openxmlformats.org/officeDocument/2006/relationships" ref="P248" r:id="rId165"/>
    <hyperlink xmlns:r="http://schemas.openxmlformats.org/officeDocument/2006/relationships" ref="P249" r:id="rId166"/>
    <hyperlink xmlns:r="http://schemas.openxmlformats.org/officeDocument/2006/relationships" ref="P250" r:id="rId167"/>
    <hyperlink xmlns:r="http://schemas.openxmlformats.org/officeDocument/2006/relationships" ref="P251" r:id="rId168"/>
    <hyperlink xmlns:r="http://schemas.openxmlformats.org/officeDocument/2006/relationships" ref="P253" r:id="rId169"/>
    <hyperlink xmlns:r="http://schemas.openxmlformats.org/officeDocument/2006/relationships" ref="P254" r:id="rId170"/>
    <hyperlink xmlns:r="http://schemas.openxmlformats.org/officeDocument/2006/relationships" ref="P255" r:id="rId171"/>
    <hyperlink xmlns:r="http://schemas.openxmlformats.org/officeDocument/2006/relationships" ref="P256" r:id="rId172"/>
    <hyperlink xmlns:r="http://schemas.openxmlformats.org/officeDocument/2006/relationships" ref="P257" r:id="rId173"/>
    <hyperlink xmlns:r="http://schemas.openxmlformats.org/officeDocument/2006/relationships" ref="P258" r:id="rId174"/>
    <hyperlink xmlns:r="http://schemas.openxmlformats.org/officeDocument/2006/relationships" ref="P259" r:id="rId175"/>
    <hyperlink xmlns:r="http://schemas.openxmlformats.org/officeDocument/2006/relationships" ref="P260" r:id="rId176"/>
    <hyperlink xmlns:r="http://schemas.openxmlformats.org/officeDocument/2006/relationships" ref="P261" r:id="rId177"/>
    <hyperlink xmlns:r="http://schemas.openxmlformats.org/officeDocument/2006/relationships" ref="P262" r:id="rId178"/>
    <hyperlink xmlns:r="http://schemas.openxmlformats.org/officeDocument/2006/relationships" ref="P263" r:id="rId179"/>
    <hyperlink xmlns:r="http://schemas.openxmlformats.org/officeDocument/2006/relationships" ref="P264" r:id="rId180"/>
    <hyperlink xmlns:r="http://schemas.openxmlformats.org/officeDocument/2006/relationships" ref="P265" r:id="rId181"/>
    <hyperlink xmlns:r="http://schemas.openxmlformats.org/officeDocument/2006/relationships" ref="P267" r:id="rId182"/>
    <hyperlink xmlns:r="http://schemas.openxmlformats.org/officeDocument/2006/relationships" ref="P268" r:id="rId183"/>
    <hyperlink xmlns:r="http://schemas.openxmlformats.org/officeDocument/2006/relationships" ref="P269" r:id="rId184"/>
    <hyperlink xmlns:r="http://schemas.openxmlformats.org/officeDocument/2006/relationships" ref="P270" r:id="rId185"/>
    <hyperlink xmlns:r="http://schemas.openxmlformats.org/officeDocument/2006/relationships" ref="P271" r:id="rId186"/>
    <hyperlink xmlns:r="http://schemas.openxmlformats.org/officeDocument/2006/relationships" ref="P272" r:id="rId187"/>
    <hyperlink xmlns:r="http://schemas.openxmlformats.org/officeDocument/2006/relationships" ref="P273" r:id="rId188"/>
    <hyperlink xmlns:r="http://schemas.openxmlformats.org/officeDocument/2006/relationships" ref="P274" r:id="rId189"/>
    <hyperlink xmlns:r="http://schemas.openxmlformats.org/officeDocument/2006/relationships" ref="C275" display="johana.montoya@perfek.com.co" r:id="rId190"/>
    <hyperlink xmlns:r="http://schemas.openxmlformats.org/officeDocument/2006/relationships" ref="P275" r:id="rId191"/>
    <hyperlink xmlns:r="http://schemas.openxmlformats.org/officeDocument/2006/relationships" ref="P276" r:id="rId192"/>
    <hyperlink xmlns:r="http://schemas.openxmlformats.org/officeDocument/2006/relationships" ref="P277" r:id="rId193"/>
    <hyperlink xmlns:r="http://schemas.openxmlformats.org/officeDocument/2006/relationships" ref="P278" r:id="rId194"/>
    <hyperlink xmlns:r="http://schemas.openxmlformats.org/officeDocument/2006/relationships" ref="P279" r:id="rId195"/>
    <hyperlink xmlns:r="http://schemas.openxmlformats.org/officeDocument/2006/relationships" ref="P280" r:id="rId196"/>
    <hyperlink xmlns:r="http://schemas.openxmlformats.org/officeDocument/2006/relationships" ref="P281" r:id="rId197"/>
    <hyperlink xmlns:r="http://schemas.openxmlformats.org/officeDocument/2006/relationships" ref="P282" r:id="rId198"/>
    <hyperlink xmlns:r="http://schemas.openxmlformats.org/officeDocument/2006/relationships" ref="P283" r:id="rId199"/>
    <hyperlink xmlns:r="http://schemas.openxmlformats.org/officeDocument/2006/relationships" ref="P284" r:id="rId200"/>
    <hyperlink xmlns:r="http://schemas.openxmlformats.org/officeDocument/2006/relationships" ref="P285" r:id="rId201"/>
    <hyperlink xmlns:r="http://schemas.openxmlformats.org/officeDocument/2006/relationships" ref="P286" r:id="rId202"/>
    <hyperlink xmlns:r="http://schemas.openxmlformats.org/officeDocument/2006/relationships" ref="P287" r:id="rId203"/>
    <hyperlink xmlns:r="http://schemas.openxmlformats.org/officeDocument/2006/relationships" ref="P288" r:id="rId204"/>
    <hyperlink xmlns:r="http://schemas.openxmlformats.org/officeDocument/2006/relationships" ref="P289" r:id="rId205"/>
    <hyperlink xmlns:r="http://schemas.openxmlformats.org/officeDocument/2006/relationships" ref="P290" r:id="rId206"/>
    <hyperlink xmlns:r="http://schemas.openxmlformats.org/officeDocument/2006/relationships" ref="P291" r:id="rId207"/>
    <hyperlink xmlns:r="http://schemas.openxmlformats.org/officeDocument/2006/relationships" ref="P292" r:id="rId208"/>
    <hyperlink xmlns:r="http://schemas.openxmlformats.org/officeDocument/2006/relationships" ref="P293" r:id="rId209"/>
    <hyperlink xmlns:r="http://schemas.openxmlformats.org/officeDocument/2006/relationships" ref="P294" r:id="rId210"/>
    <hyperlink xmlns:r="http://schemas.openxmlformats.org/officeDocument/2006/relationships" ref="P295" r:id="rId211"/>
    <hyperlink xmlns:r="http://schemas.openxmlformats.org/officeDocument/2006/relationships" ref="P296" r:id="rId212"/>
    <hyperlink xmlns:r="http://schemas.openxmlformats.org/officeDocument/2006/relationships" ref="P297" r:id="rId213"/>
    <hyperlink xmlns:r="http://schemas.openxmlformats.org/officeDocument/2006/relationships" ref="P298" r:id="rId214"/>
    <hyperlink xmlns:r="http://schemas.openxmlformats.org/officeDocument/2006/relationships" ref="P299" r:id="rId215"/>
    <hyperlink xmlns:r="http://schemas.openxmlformats.org/officeDocument/2006/relationships" ref="P300" r:id="rId216"/>
    <hyperlink xmlns:r="http://schemas.openxmlformats.org/officeDocument/2006/relationships" ref="P301" r:id="rId217"/>
    <hyperlink xmlns:r="http://schemas.openxmlformats.org/officeDocument/2006/relationships" ref="P302" r:id="rId218"/>
    <hyperlink xmlns:r="http://schemas.openxmlformats.org/officeDocument/2006/relationships" ref="P303" r:id="rId219"/>
    <hyperlink xmlns:r="http://schemas.openxmlformats.org/officeDocument/2006/relationships" ref="P304" r:id="rId220"/>
    <hyperlink xmlns:r="http://schemas.openxmlformats.org/officeDocument/2006/relationships" ref="P305" r:id="rId221"/>
    <hyperlink xmlns:r="http://schemas.openxmlformats.org/officeDocument/2006/relationships" ref="P306" r:id="rId222"/>
    <hyperlink xmlns:r="http://schemas.openxmlformats.org/officeDocument/2006/relationships" ref="P308" r:id="rId223"/>
    <hyperlink xmlns:r="http://schemas.openxmlformats.org/officeDocument/2006/relationships" ref="P309" r:id="rId224"/>
  </hyperlink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015"/>
  <sheetViews>
    <sheetView topLeftCell="A55" zoomScale="85" zoomScaleNormal="85" workbookViewId="0">
      <selection activeCell="C75" sqref="C75:I75"/>
    </sheetView>
  </sheetViews>
  <sheetFormatPr baseColWidth="10" defaultColWidth="11.44140625" defaultRowHeight="14.4"/>
  <cols>
    <col width="2.88671875" customWidth="1" style="207" min="1" max="1"/>
    <col width="12.44140625" customWidth="1" style="176" min="2" max="2"/>
    <col width="11.44140625" customWidth="1" style="207" min="3" max="4"/>
    <col width="14.44140625" customWidth="1" style="207" min="5" max="5"/>
    <col width="14.88671875" customWidth="1" style="207" min="6" max="7"/>
    <col width="10.88671875" customWidth="1" style="207" min="8" max="8"/>
    <col width="42.109375" customWidth="1" style="207" min="9" max="9"/>
    <col width="38.109375" bestFit="1" customWidth="1" style="207" min="10" max="10"/>
    <col width="18.88671875" bestFit="1" customWidth="1" style="176" min="11" max="11"/>
    <col width="20.5546875" bestFit="1" customWidth="1" style="176" min="12" max="12"/>
    <col width="12.88671875" customWidth="1" style="176" min="13" max="13"/>
    <col width="14.44140625" customWidth="1" style="176" min="14" max="14"/>
    <col width="28.109375" customWidth="1" style="176" min="15" max="15"/>
    <col width="42.5546875" customWidth="1" style="176" min="16" max="16"/>
    <col width="2.109375" customWidth="1" style="207" min="17" max="17"/>
    <col width="3.109375" customWidth="1" style="207" min="18" max="18"/>
    <col width="20.109375" bestFit="1" customWidth="1" style="207" min="19" max="19"/>
    <col width="11.44140625" customWidth="1" style="207" min="20" max="16384"/>
  </cols>
  <sheetData>
    <row r="1" ht="15" customHeight="1" thickBot="1"/>
    <row r="2" ht="15" customHeight="1">
      <c r="B2" s="318" t="n"/>
      <c r="C2" s="296" t="n"/>
      <c r="D2" s="296" t="n"/>
      <c r="E2" s="297" t="inlineStr">
        <is>
          <t>SEGUIMIENTO A COTIZACIONES</t>
        </is>
      </c>
      <c r="F2" s="296" t="n"/>
      <c r="G2" s="296" t="n"/>
      <c r="H2" s="296" t="n"/>
      <c r="I2" s="296" t="n"/>
      <c r="J2" s="296" t="n"/>
      <c r="K2" s="296" t="n"/>
      <c r="L2" s="296" t="n"/>
      <c r="M2" s="296" t="n"/>
      <c r="N2" s="296" t="n"/>
      <c r="O2" s="296" t="n"/>
      <c r="P2" s="298" t="n"/>
      <c r="Q2" s="8" t="n"/>
    </row>
    <row r="3" ht="15" customHeight="1">
      <c r="B3" s="299" t="n"/>
      <c r="E3" s="299" t="n"/>
      <c r="P3" s="300" t="n"/>
      <c r="Q3" s="8" t="n"/>
    </row>
    <row r="4" ht="15" customHeight="1">
      <c r="B4" s="299" t="n"/>
      <c r="E4" s="299" t="n"/>
      <c r="P4" s="300" t="n"/>
      <c r="Q4" s="8" t="n"/>
    </row>
    <row r="5" ht="15" customHeight="1">
      <c r="B5" s="299" t="n"/>
      <c r="E5" s="299" t="n"/>
      <c r="P5" s="300" t="n"/>
      <c r="Q5" s="8" t="n"/>
      <c r="R5" s="9" t="n"/>
      <c r="S5" s="207" t="inlineStr">
        <is>
          <t>Consecutivo repetido</t>
        </is>
      </c>
    </row>
    <row r="6" ht="15" customHeight="1">
      <c r="B6" s="299" t="n"/>
      <c r="E6" s="299" t="n"/>
      <c r="P6" s="300" t="n"/>
      <c r="Q6" s="8" t="n"/>
      <c r="R6" s="26" t="n"/>
      <c r="S6" s="207" t="inlineStr">
        <is>
          <t>No encontre informacion</t>
        </is>
      </c>
    </row>
    <row r="7" ht="15" customHeight="1">
      <c r="B7" s="299" t="n"/>
      <c r="E7" s="299" t="n"/>
      <c r="P7" s="300" t="n"/>
      <c r="Q7" s="8" t="n"/>
    </row>
    <row r="8" ht="15" customHeight="1">
      <c r="B8" s="299" t="n"/>
      <c r="E8" s="299" t="n"/>
      <c r="P8" s="300" t="n"/>
      <c r="Q8" s="8" t="n"/>
    </row>
    <row r="9" ht="15.75" customHeight="1" thickBot="1">
      <c r="B9" s="301" t="n"/>
      <c r="C9" s="302" t="n"/>
      <c r="D9" s="302" t="n"/>
      <c r="E9" s="301" t="n"/>
      <c r="F9" s="302" t="n"/>
      <c r="G9" s="302" t="n"/>
      <c r="H9" s="302" t="n"/>
      <c r="I9" s="302" t="n"/>
      <c r="J9" s="302" t="n"/>
      <c r="K9" s="302" t="n"/>
      <c r="L9" s="302" t="n"/>
      <c r="M9" s="302" t="n"/>
      <c r="N9" s="302" t="n"/>
      <c r="O9" s="302" t="n"/>
      <c r="P9" s="303" t="n"/>
      <c r="Q9" s="8" t="n"/>
    </row>
    <row r="10" ht="15" customHeight="1">
      <c r="B10" s="179" t="inlineStr">
        <is>
          <t>Número de cotización</t>
        </is>
      </c>
      <c r="C10" s="236" t="inlineStr">
        <is>
          <t>Descripción de la cotización</t>
        </is>
      </c>
      <c r="D10" s="296" t="n"/>
      <c r="E10" s="296" t="n"/>
      <c r="F10" s="296" t="n"/>
      <c r="G10" s="296" t="n"/>
      <c r="H10" s="296" t="n"/>
      <c r="I10" s="304" t="n"/>
      <c r="J10" s="306" t="inlineStr">
        <is>
          <t>Cliente</t>
        </is>
      </c>
      <c r="K10" s="191" t="inlineStr">
        <is>
          <t>Valor sin IVA</t>
        </is>
      </c>
      <c r="L10" s="193" t="inlineStr">
        <is>
          <t>Fecha de cotización</t>
        </is>
      </c>
      <c r="M10" s="193" t="inlineStr">
        <is>
          <t>Fecha de aprobación</t>
        </is>
      </c>
      <c r="N10" s="305" t="inlineStr">
        <is>
          <t>Telefono</t>
        </is>
      </c>
      <c r="O10" s="305" t="inlineStr">
        <is>
          <t>Persona Encargada</t>
        </is>
      </c>
      <c r="P10" s="305" t="inlineStr">
        <is>
          <t>Correo</t>
        </is>
      </c>
      <c r="Q10" s="10" t="n"/>
    </row>
    <row r="11" ht="15" customHeight="1" thickBot="1">
      <c r="B11" s="307" t="n"/>
      <c r="C11" s="307" t="n"/>
      <c r="D11" s="308" t="n"/>
      <c r="E11" s="308" t="n"/>
      <c r="F11" s="308" t="n"/>
      <c r="G11" s="308" t="n"/>
      <c r="H11" s="308" t="n"/>
      <c r="I11" s="309" t="n"/>
      <c r="J11" s="311" t="n"/>
      <c r="K11" s="308" t="n"/>
      <c r="L11" s="310" t="n"/>
      <c r="M11" s="310" t="n"/>
      <c r="N11" s="311" t="n"/>
      <c r="O11" s="311" t="n"/>
      <c r="P11" s="311" t="n"/>
      <c r="Q11" s="10" t="n"/>
    </row>
    <row r="12" ht="9" customHeight="1">
      <c r="B12" s="203" t="n"/>
      <c r="C12" s="296" t="n"/>
      <c r="D12" s="296" t="n"/>
      <c r="E12" s="296" t="n"/>
      <c r="F12" s="296" t="n"/>
      <c r="G12" s="296" t="n"/>
      <c r="H12" s="296" t="n"/>
      <c r="I12" s="296" t="n"/>
      <c r="J12" s="296" t="n"/>
      <c r="K12" s="296" t="n"/>
      <c r="L12" s="296" t="n"/>
      <c r="M12" s="296" t="n"/>
      <c r="N12" s="42" t="n"/>
    </row>
    <row r="13">
      <c r="B13" s="170" t="n">
        <v>1</v>
      </c>
      <c r="C13" s="199" t="inlineStr">
        <is>
          <t>COTIZACION DE LOS DISEÑOS DE PROTECCIÓN CONTRA  INCENDIOS - CLUB HOUSE VIVA ENVIGADO</t>
        </is>
      </c>
      <c r="D13" s="312" t="n"/>
      <c r="E13" s="312" t="n"/>
      <c r="F13" s="312" t="n"/>
      <c r="G13" s="312" t="n"/>
      <c r="H13" s="312" t="n"/>
      <c r="I13" s="313" t="n"/>
      <c r="J13" s="199" t="inlineStr">
        <is>
          <t>AREAS FLEXIBLES</t>
        </is>
      </c>
      <c r="K13" s="314" t="n">
        <v>2850000</v>
      </c>
      <c r="L13" s="2" t="n">
        <v>44202</v>
      </c>
      <c r="M13" s="170" t="n"/>
      <c r="N13" s="170" t="inlineStr">
        <is>
          <t>319 280 96 29</t>
        </is>
      </c>
      <c r="O13" s="172" t="inlineStr">
        <is>
          <t>Andrés López Gallón</t>
        </is>
      </c>
      <c r="P13" s="52" t="inlineStr">
        <is>
          <t>arquitecto@areasflexibles.com</t>
        </is>
      </c>
    </row>
    <row r="14">
      <c r="B14" s="170" t="n">
        <v>2</v>
      </c>
      <c r="C14" s="199" t="inlineStr">
        <is>
          <t>COTIZACION DE LOS DISEÑOS DE SEGURIDAD HUMANA Y PROTECCIÓN CONTRA  INCENDIOS - BANCOLOMBIA FIC48</t>
        </is>
      </c>
      <c r="D14" s="312" t="n"/>
      <c r="E14" s="312" t="n"/>
      <c r="F14" s="312" t="n"/>
      <c r="G14" s="312" t="n"/>
      <c r="H14" s="312" t="n"/>
      <c r="I14" s="313" t="n"/>
      <c r="J14" s="199" t="inlineStr">
        <is>
          <t>STUDIO SUR</t>
        </is>
      </c>
      <c r="K14" s="314" t="n">
        <v>19930000</v>
      </c>
      <c r="L14" s="2" t="n">
        <v>44209</v>
      </c>
      <c r="M14" s="170" t="n"/>
      <c r="N14" s="170" t="n">
        <v>3134669894</v>
      </c>
      <c r="O14" s="172" t="inlineStr">
        <is>
          <t>Andrea Sanchez</t>
        </is>
      </c>
      <c r="P14" s="52" t="inlineStr">
        <is>
          <t>andrea.sanchez@studiosur.net</t>
        </is>
      </c>
    </row>
    <row r="15" ht="14.4" customHeight="1">
      <c r="B15" s="170" t="n">
        <v>3</v>
      </c>
      <c r="C15" s="199" t="inlineStr">
        <is>
          <t>COTIZACION DE LOS DISEÑOS DE SEGURIDAD HUMANA Y PROTECCIÓN CONTRA  INCENDIOS - EDIFICIO CATTLEYA</t>
        </is>
      </c>
      <c r="D15" s="312" t="n"/>
      <c r="E15" s="312" t="n"/>
      <c r="F15" s="312" t="n"/>
      <c r="G15" s="312" t="n"/>
      <c r="H15" s="312" t="n"/>
      <c r="I15" s="313" t="n"/>
      <c r="J15" s="199" t="inlineStr">
        <is>
          <t>SPCI</t>
        </is>
      </c>
      <c r="K15" s="314" t="n">
        <v>19940000</v>
      </c>
      <c r="L15" s="2" t="n">
        <v>44209</v>
      </c>
      <c r="M15" s="170" t="n"/>
      <c r="N15" s="170" t="n">
        <v>3104680508</v>
      </c>
      <c r="O15" s="172" t="inlineStr">
        <is>
          <t>Juan Pablo Grajales</t>
        </is>
      </c>
      <c r="P15" s="52" t="inlineStr">
        <is>
          <t>juan.grajales@spci.com.co</t>
        </is>
      </c>
    </row>
    <row r="16">
      <c r="B16" s="170" t="n">
        <v>4</v>
      </c>
      <c r="C16" s="199" t="inlineStr">
        <is>
          <t>COTIZACION DE LOS DISEÑOS DE SEGURIDAD HUMANA Y PROTECCIÓN CONTRA  INCENDIOS - BORAL RIONEGRO</t>
        </is>
      </c>
      <c r="D16" s="312" t="n"/>
      <c r="E16" s="312" t="n"/>
      <c r="F16" s="312" t="n"/>
      <c r="G16" s="312" t="n"/>
      <c r="H16" s="312" t="n"/>
      <c r="I16" s="313" t="n"/>
      <c r="J16" s="199" t="inlineStr">
        <is>
          <t>MÉNSULA</t>
        </is>
      </c>
      <c r="K16" s="314" t="n">
        <v>19950000</v>
      </c>
      <c r="L16" s="2" t="n">
        <v>44210</v>
      </c>
      <c r="M16" s="170" t="n"/>
      <c r="N16" s="170" t="n">
        <v>3207091752</v>
      </c>
      <c r="O16" s="172" t="inlineStr">
        <is>
          <t>Cristian Londoño Montoya</t>
        </is>
      </c>
      <c r="P16" s="52" t="inlineStr">
        <is>
          <t>cristianlondono@mensulaingenieros.com</t>
        </is>
      </c>
    </row>
    <row r="17">
      <c r="B17" s="170" t="n">
        <v>5</v>
      </c>
      <c r="C17" s="199" t="inlineStr">
        <is>
          <t>COTIZACION DIAGNÓSTICO SEGURIDAD HUMANA Y PROTECCIÓN CONTRA INCENDIOS - La FLA</t>
        </is>
      </c>
      <c r="D17" s="312" t="n"/>
      <c r="E17" s="312" t="n"/>
      <c r="F17" s="312" t="n"/>
      <c r="G17" s="312" t="n"/>
      <c r="H17" s="312" t="n"/>
      <c r="I17" s="313" t="n"/>
      <c r="J17" s="199" t="inlineStr">
        <is>
          <t>RISK</t>
        </is>
      </c>
      <c r="K17" s="314" t="n">
        <v>6000000</v>
      </c>
      <c r="L17" s="2" t="n">
        <v>44211</v>
      </c>
      <c r="M17" s="170" t="n"/>
      <c r="N17" s="170" t="n">
        <v>3104473509</v>
      </c>
      <c r="O17" s="172" t="inlineStr">
        <is>
          <t>Carlos Alberto Gil Valencia</t>
        </is>
      </c>
      <c r="P17" s="52" t="inlineStr">
        <is>
          <t>carlos.gil@risksg.com</t>
        </is>
      </c>
    </row>
    <row r="18">
      <c r="B18" s="170" t="n">
        <v>6</v>
      </c>
      <c r="C18" s="199" t="inlineStr">
        <is>
          <t>COTIZACION DE LOS DISEÑOS DE PROTECCIÓN CONTRA  INCENDIOS - LABORATORIO CLINICA LAS AMÉRICAS</t>
        </is>
      </c>
      <c r="D18" s="312" t="n"/>
      <c r="E18" s="312" t="n"/>
      <c r="F18" s="312" t="n"/>
      <c r="G18" s="312" t="n"/>
      <c r="H18" s="312" t="n"/>
      <c r="I18" s="313" t="n"/>
      <c r="J18" s="199" t="inlineStr">
        <is>
          <t>INTERVÉ</t>
        </is>
      </c>
      <c r="K18" s="314" t="n">
        <v>3580000</v>
      </c>
      <c r="L18" s="2" t="n">
        <v>44211</v>
      </c>
      <c r="M18" s="170" t="n"/>
      <c r="N18" s="170" t="inlineStr">
        <is>
          <t>57(4) 352 3434</t>
        </is>
      </c>
      <c r="O18" s="172" t="inlineStr">
        <is>
          <t>Humberto Acevedo</t>
        </is>
      </c>
      <c r="P18" s="52" t="inlineStr">
        <is>
          <t>hacevedo@interve.co</t>
        </is>
      </c>
    </row>
    <row r="19">
      <c r="B19" s="170" t="n">
        <v>7</v>
      </c>
      <c r="C19" s="199" t="inlineStr">
        <is>
          <t>COTIZACION DE LOS DISEÑOS DE SEGURIDAD HUMANA Y PROTECCIÓN CONTRA  INCENDIOS - EDIFICIO BLOQUE 3 SONSÓN UDEA</t>
        </is>
      </c>
      <c r="D19" s="312" t="n"/>
      <c r="E19" s="312" t="n"/>
      <c r="F19" s="312" t="n"/>
      <c r="G19" s="312" t="n"/>
      <c r="H19" s="312" t="n"/>
      <c r="I19" s="313" t="n"/>
      <c r="J19" s="199" t="inlineStr">
        <is>
          <t>SERVICIOS IPM</t>
        </is>
      </c>
      <c r="K19" s="314" t="n">
        <v>7200000</v>
      </c>
      <c r="L19" s="2" t="n">
        <v>44214</v>
      </c>
      <c r="M19" s="2" t="inlineStr">
        <is>
          <t>X</t>
        </is>
      </c>
      <c r="N19" s="170" t="n">
        <v>3015421412</v>
      </c>
      <c r="O19" s="172" t="inlineStr">
        <is>
          <t>Juan Londoño</t>
        </is>
      </c>
      <c r="P19" s="52" t="inlineStr">
        <is>
          <t>juan.londono@serviciosipm.com</t>
        </is>
      </c>
    </row>
    <row r="20">
      <c r="B20" s="170" t="n">
        <v>8</v>
      </c>
      <c r="C20" s="199" t="inlineStr">
        <is>
          <t>COTIZACION DE LOS DISEÑOS DE SEGURIDAD HUMANA Y PROTECCIÓN CONTRA  INCENDIOS - CAMPO NUEVO</t>
        </is>
      </c>
      <c r="D20" s="312" t="n"/>
      <c r="E20" s="312" t="n"/>
      <c r="F20" s="312" t="n"/>
      <c r="G20" s="312" t="n"/>
      <c r="H20" s="312" t="n"/>
      <c r="I20" s="313" t="n"/>
      <c r="J20" s="199" t="inlineStr">
        <is>
          <t>SECURETEC</t>
        </is>
      </c>
      <c r="K20" s="314" t="n">
        <v>14450000</v>
      </c>
      <c r="L20" s="2" t="n">
        <v>44214</v>
      </c>
      <c r="M20" s="170" t="n"/>
      <c r="N20" s="170" t="inlineStr">
        <is>
          <t>312 405 4584</t>
        </is>
      </c>
      <c r="O20" s="172" t="inlineStr">
        <is>
          <t>Maribel Osorio</t>
        </is>
      </c>
      <c r="P20" s="52" t="inlineStr">
        <is>
          <t>ascomercial@securetec.com.co</t>
        </is>
      </c>
    </row>
    <row r="21">
      <c r="B21" s="170" t="n">
        <v>9</v>
      </c>
      <c r="C21" s="199" t="inlineStr">
        <is>
          <t>COTIZACION PLANOS ASBUILT PLAZA FABRICATO PISO 1</t>
        </is>
      </c>
      <c r="D21" s="312" t="n"/>
      <c r="E21" s="312" t="n"/>
      <c r="F21" s="312" t="n"/>
      <c r="G21" s="312" t="n"/>
      <c r="H21" s="312" t="n"/>
      <c r="I21" s="313" t="n"/>
      <c r="J21" s="199" t="inlineStr">
        <is>
          <t>SPCI</t>
        </is>
      </c>
      <c r="K21" s="314" t="n">
        <v>750000</v>
      </c>
      <c r="L21" s="2" t="n">
        <v>44215</v>
      </c>
      <c r="M21" s="35" t="n"/>
      <c r="N21" s="170" t="n">
        <v>3104165783</v>
      </c>
      <c r="O21" s="172" t="inlineStr">
        <is>
          <t>Cristiam Mondragón</t>
        </is>
      </c>
      <c r="P21" s="52" t="inlineStr">
        <is>
          <t>cristiamondragon.spci@gmail.com</t>
        </is>
      </c>
    </row>
    <row r="22">
      <c r="B22" s="170" t="n">
        <v>10</v>
      </c>
      <c r="C22" s="199" t="inlineStr">
        <is>
          <t>COTIZACION DEL DISEÑO DE DETECCIÓN DE INCENDIOS - MALL COMERCIAL CIMARRONAS</t>
        </is>
      </c>
      <c r="D22" s="312" t="n"/>
      <c r="E22" s="312" t="n"/>
      <c r="F22" s="312" t="n"/>
      <c r="G22" s="312" t="n"/>
      <c r="H22" s="312" t="n"/>
      <c r="I22" s="313" t="n"/>
      <c r="J22" s="199" t="inlineStr">
        <is>
          <t>CIMARRONAS</t>
        </is>
      </c>
      <c r="K22" s="314" t="n">
        <v>3500000</v>
      </c>
      <c r="L22" s="2" t="n">
        <v>44216</v>
      </c>
      <c r="M22" s="170" t="n"/>
      <c r="N22" s="170" t="inlineStr">
        <is>
          <t>301 3859970</t>
        </is>
      </c>
      <c r="O22" s="172" t="inlineStr">
        <is>
          <t>Juan Carlos Gallego</t>
        </is>
      </c>
      <c r="P22" s="52" t="inlineStr">
        <is>
          <t>sptcimarronas@gmail.com</t>
        </is>
      </c>
    </row>
    <row r="23">
      <c r="B23" s="170" t="n">
        <v>11</v>
      </c>
      <c r="C23" s="199" t="inlineStr">
        <is>
          <t>COTIZACION DE LOS DISEÑOS DE PROTECCIÓN CONTRA  INCENDIOS - PLANTA RIONEGRO CLC</t>
        </is>
      </c>
      <c r="D23" s="312" t="n"/>
      <c r="E23" s="312" t="n"/>
      <c r="F23" s="312" t="n"/>
      <c r="G23" s="312" t="n"/>
      <c r="H23" s="312" t="n"/>
      <c r="I23" s="313" t="n"/>
      <c r="J23" s="199" t="inlineStr">
        <is>
          <t>SPCI</t>
        </is>
      </c>
      <c r="K23" s="314" t="n">
        <v>9900000</v>
      </c>
      <c r="L23" s="2" t="n">
        <v>44216</v>
      </c>
      <c r="M23" s="170" t="n"/>
      <c r="N23" s="170" t="n">
        <v>3104680508</v>
      </c>
      <c r="O23" s="172" t="inlineStr">
        <is>
          <t>Juan Pablo Grajales</t>
        </is>
      </c>
      <c r="P23" s="52" t="inlineStr">
        <is>
          <t>juan.grajales@spci.com.co</t>
        </is>
      </c>
    </row>
    <row r="24">
      <c r="B24" s="170" t="n">
        <v>12</v>
      </c>
      <c r="C24" s="199" t="inlineStr">
        <is>
          <t>COTIZACION DE LOS DISEÑOS DE SEGURIDAD HUMANA Y PROTECCIÓN CONTRA  INCENDIOS - PLANTA RDC INDURAL</t>
        </is>
      </c>
      <c r="D24" s="312" t="n"/>
      <c r="E24" s="312" t="n"/>
      <c r="F24" s="312" t="n"/>
      <c r="G24" s="312" t="n"/>
      <c r="H24" s="312" t="n"/>
      <c r="I24" s="313" t="n"/>
      <c r="J24" s="199" t="inlineStr">
        <is>
          <t>DGB</t>
        </is>
      </c>
      <c r="K24" s="314" t="n">
        <v>13950000</v>
      </c>
      <c r="L24" s="2" t="n">
        <v>44217</v>
      </c>
      <c r="M24" s="2" t="n"/>
      <c r="N24" s="170" t="n">
        <v>3127075530</v>
      </c>
      <c r="O24" s="172" t="inlineStr">
        <is>
          <t>Paula Jimenez</t>
        </is>
      </c>
      <c r="P24" s="52" t="inlineStr">
        <is>
          <t>pjimenezdgb@gmail.com</t>
        </is>
      </c>
    </row>
    <row r="25">
      <c r="B25" s="170" t="n">
        <v>13</v>
      </c>
      <c r="C25" s="199" t="inlineStr">
        <is>
          <t>COTIZACION DEL DISEÑO DE DETECCIÓN DE INCENDIOS - ACRE</t>
        </is>
      </c>
      <c r="D25" s="312" t="n"/>
      <c r="E25" s="312" t="n"/>
      <c r="F25" s="312" t="n"/>
      <c r="G25" s="312" t="n"/>
      <c r="H25" s="312" t="n"/>
      <c r="I25" s="313" t="n"/>
      <c r="J25" s="199" t="inlineStr">
        <is>
          <t>CASA SANA</t>
        </is>
      </c>
      <c r="K25" s="314" t="n">
        <v>4950000</v>
      </c>
      <c r="L25" s="2" t="n">
        <v>44221</v>
      </c>
      <c r="M25" s="2" t="n"/>
      <c r="N25" s="170" t="n">
        <v>3108945703</v>
      </c>
      <c r="O25" s="172" t="inlineStr">
        <is>
          <t>Jose Estrada</t>
        </is>
      </c>
      <c r="P25" s="52" t="inlineStr">
        <is>
          <t>joseestrada@casasana.com.co</t>
        </is>
      </c>
    </row>
    <row r="26">
      <c r="B26" s="170" t="n">
        <v>14</v>
      </c>
      <c r="C26" s="199" t="inlineStr">
        <is>
          <t>COTIZACION CONCEPTO TÉCNICO DE PROTECCIÓN TANQUE DE ACPM EDIFICIO EPM</t>
        </is>
      </c>
      <c r="D26" s="312" t="n"/>
      <c r="E26" s="312" t="n"/>
      <c r="F26" s="312" t="n"/>
      <c r="G26" s="312" t="n"/>
      <c r="H26" s="312" t="n"/>
      <c r="I26" s="313" t="n"/>
      <c r="J26" s="199" t="inlineStr">
        <is>
          <t>INFRATELCO</t>
        </is>
      </c>
      <c r="K26" s="314" t="n">
        <v>2650000</v>
      </c>
      <c r="L26" s="2" t="n">
        <v>44221</v>
      </c>
      <c r="M26" s="2" t="inlineStr">
        <is>
          <t>X</t>
        </is>
      </c>
      <c r="N26" s="2" t="inlineStr">
        <is>
          <t>312 7726924</t>
        </is>
      </c>
      <c r="O26" s="172" t="inlineStr">
        <is>
          <t>Andres Muñoz</t>
        </is>
      </c>
      <c r="P26" s="52" t="inlineStr">
        <is>
          <t>infratelcosas@gmail.com</t>
        </is>
      </c>
    </row>
    <row r="27">
      <c r="B27" s="170" t="n">
        <v>15</v>
      </c>
      <c r="C27" s="199" t="inlineStr">
        <is>
          <t>COTIZACION DEL DISEÑO DE EXTINCIÓN DE INCENDIOS PARA EL PROYECTO BODEGA SECADO ECOCEMENTOS</t>
        </is>
      </c>
      <c r="D27" s="312" t="n"/>
      <c r="E27" s="312" t="n"/>
      <c r="F27" s="312" t="n"/>
      <c r="G27" s="312" t="n"/>
      <c r="H27" s="312" t="n"/>
      <c r="I27" s="313" t="n"/>
      <c r="J27" s="199" t="inlineStr">
        <is>
          <t>SPCI</t>
        </is>
      </c>
      <c r="K27" s="314" t="n">
        <v>6900000</v>
      </c>
      <c r="L27" s="2" t="n">
        <v>44221</v>
      </c>
      <c r="M27" s="2" t="n"/>
      <c r="N27" s="170" t="n">
        <v>3137546144</v>
      </c>
      <c r="O27" s="172" t="inlineStr">
        <is>
          <t>Juan Camilo Quintero</t>
        </is>
      </c>
      <c r="P27" s="52" t="inlineStr">
        <is>
          <t>proyectos1spci@gmail.com</t>
        </is>
      </c>
    </row>
    <row r="28">
      <c r="B28" s="170" t="n">
        <v>16</v>
      </c>
      <c r="C28" s="199" t="inlineStr">
        <is>
          <t>COTIZACION DE LOS DISEÑOS DE PROTECCIÓN CONTRA  INCENDIOS - ALAMEDA</t>
        </is>
      </c>
      <c r="D28" s="312" t="n"/>
      <c r="E28" s="312" t="n"/>
      <c r="F28" s="312" t="n"/>
      <c r="G28" s="312" t="n"/>
      <c r="H28" s="312" t="n"/>
      <c r="I28" s="313" t="n"/>
      <c r="J28" s="199" t="inlineStr">
        <is>
          <t>ARPRE</t>
        </is>
      </c>
      <c r="K28" s="314" t="n">
        <v>1550000</v>
      </c>
      <c r="L28" s="2" t="n">
        <v>44225</v>
      </c>
      <c r="M28" s="170" t="n"/>
      <c r="N28" s="170" t="n">
        <v>3052925725</v>
      </c>
      <c r="O28" s="172" t="inlineStr">
        <is>
          <t>Luz Marina Restrepo</t>
        </is>
      </c>
      <c r="P28" s="52" t="inlineStr">
        <is>
          <t>elarpre.deco@gmail.com</t>
        </is>
      </c>
    </row>
    <row r="29">
      <c r="B29" s="170" t="n">
        <v>17</v>
      </c>
      <c r="C29" s="199" t="inlineStr">
        <is>
          <t>COTIZACION DEL ANÁLISIS DE SEGURIDAD HUMANA - HOUSSING</t>
        </is>
      </c>
      <c r="D29" s="312" t="n"/>
      <c r="E29" s="312" t="n"/>
      <c r="F29" s="312" t="n"/>
      <c r="G29" s="312" t="n"/>
      <c r="H29" s="312" t="n"/>
      <c r="I29" s="313" t="n"/>
      <c r="J29" s="199" t="inlineStr">
        <is>
          <t>JHON ARISTIZABAL</t>
        </is>
      </c>
      <c r="K29" s="314" t="n">
        <v>2250000</v>
      </c>
      <c r="L29" s="2" t="n">
        <v>44225</v>
      </c>
      <c r="M29" s="2" t="n"/>
      <c r="N29" s="2" t="inlineStr">
        <is>
          <t>311 4337099</t>
        </is>
      </c>
      <c r="O29" s="172" t="inlineStr">
        <is>
          <t>John Aristizabal</t>
        </is>
      </c>
      <c r="P29" s="52" t="inlineStr">
        <is>
          <t>jad@unoendiez.com.co</t>
        </is>
      </c>
    </row>
    <row r="30">
      <c r="B30" s="170" t="n">
        <v>18</v>
      </c>
      <c r="C30" s="199" t="inlineStr">
        <is>
          <t>COTIZACION DE LOS DISEÑOS DE PROTECCIÓN CONTRA  INCENDIOS - AGN PERÚ</t>
        </is>
      </c>
      <c r="D30" s="312" t="n"/>
      <c r="E30" s="312" t="n"/>
      <c r="F30" s="312" t="n"/>
      <c r="G30" s="312" t="n"/>
      <c r="H30" s="312" t="n"/>
      <c r="I30" s="313" t="n"/>
      <c r="J30" s="199" t="inlineStr">
        <is>
          <t>FPSG</t>
        </is>
      </c>
      <c r="K30" s="314" t="n">
        <v>17540</v>
      </c>
      <c r="L30" s="2" t="n">
        <v>44225</v>
      </c>
      <c r="M30" s="2" t="n"/>
      <c r="N30" s="170" t="n">
        <v>3108227462</v>
      </c>
      <c r="O30" s="172" t="inlineStr">
        <is>
          <t>Álvaro Manosalva</t>
        </is>
      </c>
      <c r="P30" s="52" t="inlineStr">
        <is>
          <t xml:space="preserve">alvaromanosalva@sfiregroup.com </t>
        </is>
      </c>
    </row>
    <row r="31">
      <c r="B31" s="170" t="n">
        <v>19</v>
      </c>
      <c r="C31" s="199" t="inlineStr">
        <is>
          <t>COTIZACION DE LOS DISEÑOS DE SEGURIDAD HUMANA Y PROTECCIÓN CONTRA  INCENDIOS - CAOBA</t>
        </is>
      </c>
      <c r="D31" s="312" t="n"/>
      <c r="E31" s="312" t="n"/>
      <c r="F31" s="312" t="n"/>
      <c r="G31" s="312" t="n"/>
      <c r="H31" s="312" t="n"/>
      <c r="I31" s="313" t="n"/>
      <c r="J31" s="199" t="inlineStr">
        <is>
          <t>SPCI</t>
        </is>
      </c>
      <c r="K31" s="314" t="n">
        <v>23460000</v>
      </c>
      <c r="L31" s="2" t="n">
        <v>44225</v>
      </c>
      <c r="M31" s="170" t="n"/>
      <c r="N31" s="170" t="n">
        <v>4487724</v>
      </c>
      <c r="O31" s="172" t="inlineStr">
        <is>
          <t>Laura Montoya</t>
        </is>
      </c>
      <c r="P31" s="52" t="inlineStr">
        <is>
          <t>lmontoyaspci@gmail.com</t>
        </is>
      </c>
    </row>
    <row r="32">
      <c r="B32" s="170" t="n">
        <v>20</v>
      </c>
      <c r="C32" s="199" t="inlineStr">
        <is>
          <t>COTIZACION DE LOS DISEÑOS DE SEGURIDAD HUMANA Y PROTECCIÓN CONTRA  INCENDIOS - PRATO</t>
        </is>
      </c>
      <c r="D32" s="312" t="n"/>
      <c r="E32" s="312" t="n"/>
      <c r="F32" s="312" t="n"/>
      <c r="G32" s="312" t="n"/>
      <c r="H32" s="312" t="n"/>
      <c r="I32" s="313" t="n"/>
      <c r="J32" s="199" t="inlineStr">
        <is>
          <t>SPCI</t>
        </is>
      </c>
      <c r="K32" s="314" t="n">
        <v>21190000</v>
      </c>
      <c r="L32" s="2" t="n">
        <v>44225</v>
      </c>
      <c r="M32" s="170" t="n"/>
      <c r="N32" s="170" t="n">
        <v>4487725</v>
      </c>
      <c r="O32" s="172" t="inlineStr">
        <is>
          <t>Laura Montoya</t>
        </is>
      </c>
      <c r="P32" s="52" t="inlineStr">
        <is>
          <t>lmontoyaspci@gmail.com</t>
        </is>
      </c>
    </row>
    <row r="33">
      <c r="B33" s="170" t="n">
        <v>21</v>
      </c>
      <c r="C33" s="199" t="inlineStr">
        <is>
          <t>COTIZACION DE LOS DISEÑOS DE SEGURIDAD HUMANA Y PROTECCIÓN CONTRA  INCENDIOS - LIVORINO</t>
        </is>
      </c>
      <c r="D33" s="312" t="n"/>
      <c r="E33" s="312" t="n"/>
      <c r="F33" s="312" t="n"/>
      <c r="G33" s="312" t="n"/>
      <c r="H33" s="312" t="n"/>
      <c r="I33" s="313" t="n"/>
      <c r="J33" s="199" t="inlineStr">
        <is>
          <t>SPCI</t>
        </is>
      </c>
      <c r="K33" s="314" t="n">
        <v>21190000</v>
      </c>
      <c r="L33" s="2" t="n">
        <v>44225</v>
      </c>
      <c r="M33" s="170" t="n"/>
      <c r="N33" s="170" t="n">
        <v>4487726</v>
      </c>
      <c r="O33" s="172" t="inlineStr">
        <is>
          <t>Laura Montoya</t>
        </is>
      </c>
      <c r="P33" s="52" t="inlineStr">
        <is>
          <t>lmontoyaspci@gmail.com</t>
        </is>
      </c>
    </row>
    <row r="34">
      <c r="B34" s="170" t="n">
        <v>22</v>
      </c>
      <c r="C34" s="199" t="inlineStr">
        <is>
          <t>COTIZACION DE LOS DISEÑOS DE SEGURIDAD HUMANA Y PROTECCIÓN CONTRA  INCENDIOS - BODEGA ITAGUÍ LAFLA</t>
        </is>
      </c>
      <c r="D34" s="312" t="n"/>
      <c r="E34" s="312" t="n"/>
      <c r="F34" s="312" t="n"/>
      <c r="G34" s="312" t="n"/>
      <c r="H34" s="312" t="n"/>
      <c r="I34" s="313" t="n"/>
      <c r="J34" s="199" t="inlineStr">
        <is>
          <t>GINO</t>
        </is>
      </c>
      <c r="K34" s="314" t="n">
        <v>25710000</v>
      </c>
      <c r="L34" s="2" t="n">
        <v>44225</v>
      </c>
      <c r="M34" s="170" t="n"/>
      <c r="N34" s="170" t="n">
        <v>3113396273</v>
      </c>
      <c r="O34" s="172" t="inlineStr">
        <is>
          <t>Gino Montoya</t>
        </is>
      </c>
      <c r="P34" s="52" t="inlineStr">
        <is>
          <t>gino1037@hotmail.com</t>
        </is>
      </c>
    </row>
    <row r="35">
      <c r="B35" s="170" t="n">
        <v>23</v>
      </c>
      <c r="C35" s="199" t="inlineStr">
        <is>
          <t>COTIZACION DE LOS DISEÑOS DE SEGURIDAD HUMANA Y PROTECCIÓN CONTRA  INCENDIOS - ENTREMONTES</t>
        </is>
      </c>
      <c r="D35" s="312" t="n"/>
      <c r="E35" s="312" t="n"/>
      <c r="F35" s="312" t="n"/>
      <c r="G35" s="312" t="n"/>
      <c r="H35" s="312" t="n"/>
      <c r="I35" s="313" t="n"/>
      <c r="J35" s="199" t="inlineStr">
        <is>
          <t>INGENIERÍA Y VIVIENDA</t>
        </is>
      </c>
      <c r="K35" s="314" t="n">
        <v>19950000</v>
      </c>
      <c r="L35" s="2" t="n">
        <v>44229</v>
      </c>
      <c r="M35" s="170" t="n"/>
      <c r="N35" s="170" t="n">
        <v>3124592</v>
      </c>
      <c r="O35" s="172" t="inlineStr">
        <is>
          <t>Alejandro Yepes</t>
        </is>
      </c>
      <c r="P35" s="52" t="inlineStr">
        <is>
          <t>alejandroyepes@ingenieriayvivienda.com</t>
        </is>
      </c>
    </row>
    <row r="36">
      <c r="B36" s="170" t="n">
        <v>24</v>
      </c>
      <c r="C36" s="199" t="inlineStr">
        <is>
          <t>COTIZACION DE LOS DISEÑOS DE SEGURIDAD HUMANA Y PROTECCIÓN CONTRA  INCENDIOS - TOPICARIO</t>
        </is>
      </c>
      <c r="D36" s="312" t="n"/>
      <c r="E36" s="312" t="n"/>
      <c r="F36" s="312" t="n"/>
      <c r="G36" s="312" t="n"/>
      <c r="H36" s="312" t="n"/>
      <c r="I36" s="313" t="n"/>
      <c r="J36" s="199" t="inlineStr">
        <is>
          <t>TROPICARIO</t>
        </is>
      </c>
      <c r="K36" s="314" t="n">
        <v>7550000</v>
      </c>
      <c r="L36" s="2" t="n">
        <v>44229</v>
      </c>
      <c r="M36" s="170" t="n"/>
      <c r="N36" s="170" t="inlineStr">
        <is>
          <t>300 864 37 10</t>
        </is>
      </c>
      <c r="O36" s="172" t="inlineStr">
        <is>
          <t>Cristina Palacio Pérez</t>
        </is>
      </c>
      <c r="P36" s="52" t="inlineStr">
        <is>
          <t>cristinapalacio@mensulaingenieros.com</t>
        </is>
      </c>
    </row>
    <row r="37">
      <c r="B37" s="170" t="n">
        <v>25</v>
      </c>
      <c r="C37" s="199" t="inlineStr">
        <is>
          <t>COTIZACION DE LOS DISEÑOS DE SEGURIDAD HUMANA Y PROTECCIÓN CONTRA  INCENDIOS - SIER BUCARAMANGA</t>
        </is>
      </c>
      <c r="D37" s="312" t="n"/>
      <c r="E37" s="312" t="n"/>
      <c r="F37" s="312" t="n"/>
      <c r="G37" s="312" t="n"/>
      <c r="H37" s="312" t="n"/>
      <c r="I37" s="313" t="n"/>
      <c r="J37" s="199" t="inlineStr">
        <is>
          <t>ENSAMBLE</t>
        </is>
      </c>
      <c r="K37" s="314" t="n">
        <v>3250000</v>
      </c>
      <c r="L37" s="2" t="n">
        <v>44229</v>
      </c>
      <c r="M37" s="170" t="n"/>
      <c r="N37" s="170" t="n">
        <v>3117477239</v>
      </c>
      <c r="O37" s="172" t="inlineStr">
        <is>
          <t>Paola López Cadavid</t>
        </is>
      </c>
      <c r="P37" s="52" t="inlineStr">
        <is>
          <t>paolopez@ensambleespaciosvivos.com</t>
        </is>
      </c>
    </row>
    <row r="38">
      <c r="B38" s="170" t="n">
        <v>26</v>
      </c>
      <c r="C38" s="199" t="inlineStr">
        <is>
          <t>COTIZACION DE LOS DISEÑOS DE EXTINCIÓN DE  INCENDIOS - ACUARELA DEL RIO</t>
        </is>
      </c>
      <c r="D38" s="312" t="n"/>
      <c r="E38" s="312" t="n"/>
      <c r="F38" s="312" t="n"/>
      <c r="G38" s="312" t="n"/>
      <c r="H38" s="312" t="n"/>
      <c r="I38" s="313" t="n"/>
      <c r="J38" s="199" t="inlineStr">
        <is>
          <t>SPCI</t>
        </is>
      </c>
      <c r="K38" s="314" t="n">
        <v>10035000</v>
      </c>
      <c r="L38" s="2" t="n">
        <v>44230</v>
      </c>
      <c r="M38" s="170" t="n"/>
      <c r="N38" s="170" t="n">
        <v>3104203649</v>
      </c>
      <c r="O38" s="172" t="inlineStr">
        <is>
          <t>Mauricio Guzman</t>
        </is>
      </c>
      <c r="P38" s="52" t="inlineStr">
        <is>
          <t>mauroguzmanspci@gmail.com</t>
        </is>
      </c>
    </row>
    <row r="39">
      <c r="B39" s="170" t="n">
        <v>27</v>
      </c>
      <c r="C39" s="199" t="inlineStr">
        <is>
          <t>COTIZACION DE LOS DISEÑOS DE SEGURIDAD HUMANA Y PROTECCIÓN CONTRA  INCENDIOS - ZIMA</t>
        </is>
      </c>
      <c r="D39" s="312" t="n"/>
      <c r="E39" s="312" t="n"/>
      <c r="F39" s="312" t="n"/>
      <c r="G39" s="312" t="n"/>
      <c r="H39" s="312" t="n"/>
      <c r="I39" s="313" t="n"/>
      <c r="J39" s="199" t="inlineStr">
        <is>
          <t>SOCOMES</t>
        </is>
      </c>
      <c r="K39" s="314" t="n">
        <v>11920000</v>
      </c>
      <c r="L39" s="2" t="n">
        <v>44230</v>
      </c>
      <c r="M39" s="170" t="n"/>
      <c r="N39" s="170" t="n">
        <v>3137851941</v>
      </c>
      <c r="O39" s="172" t="inlineStr">
        <is>
          <t>David Lopera</t>
        </is>
      </c>
      <c r="P39" s="52" t="inlineStr">
        <is>
          <t>david.lopera@socomes.com</t>
        </is>
      </c>
    </row>
    <row r="40">
      <c r="B40" s="170" t="n">
        <v>28</v>
      </c>
      <c r="C40" s="199" t="inlineStr">
        <is>
          <t>COTIZACION DEL ANÁLISIS DE SEGURIDAD HUMANA PARA EL PROYECTO BLOQUE 42 A UNAL</t>
        </is>
      </c>
      <c r="D40" s="312" t="n"/>
      <c r="E40" s="312" t="n"/>
      <c r="F40" s="312" t="n"/>
      <c r="G40" s="312" t="n"/>
      <c r="H40" s="312" t="n"/>
      <c r="I40" s="313" t="n"/>
      <c r="J40" s="199" t="inlineStr">
        <is>
          <t>UNAL</t>
        </is>
      </c>
      <c r="K40" s="314" t="n">
        <v>3500000</v>
      </c>
      <c r="L40" s="2" t="n">
        <v>44230</v>
      </c>
      <c r="M40" s="170" t="n"/>
      <c r="N40" s="170" t="n">
        <v>3113396273</v>
      </c>
      <c r="O40" s="172" t="inlineStr">
        <is>
          <t>Gino Montoya</t>
        </is>
      </c>
      <c r="P40" s="52" t="inlineStr">
        <is>
          <t>gino1037@hotmail.com</t>
        </is>
      </c>
    </row>
    <row r="41">
      <c r="B41" s="170" t="n">
        <v>29</v>
      </c>
      <c r="C41" s="199" t="inlineStr">
        <is>
          <t>COTIZACION DEL DISEÑO DE DETECCIÓN DE INCENDIOS - VINOS Y LICORES SAS</t>
        </is>
      </c>
      <c r="D41" s="312" t="n"/>
      <c r="E41" s="312" t="n"/>
      <c r="F41" s="312" t="n"/>
      <c r="G41" s="312" t="n"/>
      <c r="H41" s="312" t="n"/>
      <c r="I41" s="313" t="n"/>
      <c r="J41" s="199" t="inlineStr">
        <is>
          <t>SPCI</t>
        </is>
      </c>
      <c r="K41" s="314" t="n">
        <v>9880000</v>
      </c>
      <c r="L41" s="2" t="n">
        <v>44230</v>
      </c>
      <c r="M41" s="170" t="n"/>
      <c r="N41" s="170" t="n">
        <v>3104680508</v>
      </c>
      <c r="O41" s="172" t="inlineStr">
        <is>
          <t>Juan Pablo Grajales</t>
        </is>
      </c>
      <c r="P41" s="52" t="inlineStr">
        <is>
          <t>juan.grajales@spci.com.co</t>
        </is>
      </c>
    </row>
    <row r="42">
      <c r="B42" s="170" t="n">
        <v>30</v>
      </c>
      <c r="C42" s="199" t="inlineStr">
        <is>
          <t>COTIZACION DE LOS DISEÑOS DE SEGURIDAD HUMANA Y PROTECCIÓN CONTRA  INCENDIOS - PLANTA DE ALIMENTOS GUARNE</t>
        </is>
      </c>
      <c r="D42" s="312" t="n"/>
      <c r="E42" s="312" t="n"/>
      <c r="F42" s="312" t="n"/>
      <c r="G42" s="312" t="n"/>
      <c r="H42" s="312" t="n"/>
      <c r="I42" s="313" t="n"/>
      <c r="J42" s="199" t="inlineStr">
        <is>
          <t>SOCOMES</t>
        </is>
      </c>
      <c r="K42" s="314" t="n">
        <v>24960000</v>
      </c>
      <c r="L42" s="2" t="n">
        <v>44231</v>
      </c>
      <c r="M42" s="170" t="n"/>
      <c r="N42" s="170" t="n">
        <v>3137851941</v>
      </c>
      <c r="O42" s="172" t="inlineStr">
        <is>
          <t>David Lopera</t>
        </is>
      </c>
      <c r="P42" s="52" t="inlineStr">
        <is>
          <t>david.lopera@socomes.com</t>
        </is>
      </c>
    </row>
    <row r="43">
      <c r="B43" s="170" t="n">
        <v>31</v>
      </c>
      <c r="C43" s="199" t="inlineStr">
        <is>
          <t>COTIZACION DE LOS DISEÑOS DE SEGURIDAD HUMANA Y PROTECCIÓN CONTRA  INCENDIOS - BANCOLOMBIA FIC48</t>
        </is>
      </c>
      <c r="D43" s="312" t="n"/>
      <c r="E43" s="312" t="n"/>
      <c r="F43" s="312" t="n"/>
      <c r="G43" s="312" t="n"/>
      <c r="H43" s="312" t="n"/>
      <c r="I43" s="313" t="n"/>
      <c r="J43" s="199" t="inlineStr">
        <is>
          <t>ESPIRAL</t>
        </is>
      </c>
      <c r="K43" s="314" t="n">
        <v>18190000</v>
      </c>
      <c r="L43" s="2" t="n">
        <v>44231</v>
      </c>
      <c r="M43" s="170" t="n"/>
      <c r="N43" s="170" t="n">
        <v>3207198907</v>
      </c>
      <c r="O43" s="172" t="inlineStr">
        <is>
          <t>Cristian Marín</t>
        </is>
      </c>
      <c r="P43" s="52" t="inlineStr">
        <is>
          <t>cristian.marin@espiral.com.co</t>
        </is>
      </c>
    </row>
    <row r="44">
      <c r="B44" s="170" t="n">
        <v>32</v>
      </c>
      <c r="C44" s="199" t="inlineStr">
        <is>
          <t>COTIZACION DEL DISEÑO DE DETECCIÓN DE INCENDIOS PARA EL PROYECTO LA MARINA</t>
        </is>
      </c>
      <c r="D44" s="312" t="n"/>
      <c r="E44" s="312" t="n"/>
      <c r="F44" s="312" t="n"/>
      <c r="G44" s="312" t="n"/>
      <c r="H44" s="312" t="n"/>
      <c r="I44" s="313" t="n"/>
      <c r="J44" s="199" t="inlineStr">
        <is>
          <t>SPCI</t>
        </is>
      </c>
      <c r="K44" s="314" t="n">
        <v>3760000</v>
      </c>
      <c r="L44" s="2" t="n">
        <v>44231</v>
      </c>
      <c r="M44" s="170" t="inlineStr">
        <is>
          <t>X</t>
        </is>
      </c>
      <c r="N44" s="170" t="n">
        <v>3104680508</v>
      </c>
      <c r="O44" s="172" t="inlineStr">
        <is>
          <t>Juan Pablo Grajales</t>
        </is>
      </c>
      <c r="P44" s="52" t="inlineStr">
        <is>
          <t>juan.grajales@spci.com.co</t>
        </is>
      </c>
    </row>
    <row r="45">
      <c r="B45" s="170" t="n">
        <v>33</v>
      </c>
      <c r="C45" s="199" t="inlineStr">
        <is>
          <t>COTIZACION DEL ANÁLISIS DE SEGURIDAD HUMANA PARA EL PROYECTO CAMPO NUEVO</t>
        </is>
      </c>
      <c r="D45" s="312" t="n"/>
      <c r="E45" s="312" t="n"/>
      <c r="F45" s="312" t="n"/>
      <c r="G45" s="312" t="n"/>
      <c r="H45" s="312" t="n"/>
      <c r="I45" s="313" t="n"/>
      <c r="J45" s="199" t="inlineStr">
        <is>
          <t>ADMIRIS</t>
        </is>
      </c>
      <c r="K45" s="314" t="n">
        <v>2000000</v>
      </c>
      <c r="L45" s="2" t="n">
        <v>44231</v>
      </c>
      <c r="M45" s="2" t="inlineStr">
        <is>
          <t>X</t>
        </is>
      </c>
      <c r="N45" s="170" t="n">
        <v>3014188503</v>
      </c>
      <c r="O45" s="172" t="inlineStr">
        <is>
          <t>Andrés Velázquez</t>
        </is>
      </c>
      <c r="P45" s="52" t="inlineStr">
        <is>
          <t>avelasquez@admirisltda.com</t>
        </is>
      </c>
    </row>
    <row r="46">
      <c r="B46" s="170" t="n">
        <v>34</v>
      </c>
      <c r="C46" s="199" t="inlineStr">
        <is>
          <t>COTIZACION DEL DISEÑO DE DETECCIÓN DE INCENDIOS PARA EL PROYECTO PLANTA ITAGUÍ</t>
        </is>
      </c>
      <c r="D46" s="312" t="n"/>
      <c r="E46" s="312" t="n"/>
      <c r="F46" s="312" t="n"/>
      <c r="G46" s="312" t="n"/>
      <c r="H46" s="312" t="n"/>
      <c r="I46" s="313" t="n"/>
      <c r="J46" s="199" t="inlineStr">
        <is>
          <t>COLPA</t>
        </is>
      </c>
      <c r="K46" s="314" t="n">
        <v>6270000</v>
      </c>
      <c r="L46" s="2" t="n">
        <v>44232</v>
      </c>
      <c r="M46" s="170" t="n"/>
      <c r="N46" s="170" t="n">
        <v>3014325966</v>
      </c>
      <c r="O46" s="172" t="inlineStr">
        <is>
          <t>Juan Camilo Betancur</t>
        </is>
      </c>
      <c r="P46" s="52" t="inlineStr">
        <is>
          <t>colpafireinnovationsas@gmail.com</t>
        </is>
      </c>
    </row>
    <row r="47">
      <c r="B47" s="170" t="n">
        <v>35</v>
      </c>
      <c r="C47" s="199" t="inlineStr">
        <is>
          <t>COTIZACION DEL ANÁLISIS DE SEGURIDAD HUMANA PARA EL PROYECTO BLOQUE 42 A UNAL</t>
        </is>
      </c>
      <c r="D47" s="312" t="n"/>
      <c r="E47" s="312" t="n"/>
      <c r="F47" s="312" t="n"/>
      <c r="G47" s="312" t="n"/>
      <c r="H47" s="312" t="n"/>
      <c r="I47" s="313" t="n"/>
      <c r="J47" s="199" t="inlineStr">
        <is>
          <t>ADMIRIS</t>
        </is>
      </c>
      <c r="K47" s="314" t="n">
        <v>2500000</v>
      </c>
      <c r="L47" s="2" t="n">
        <v>44236</v>
      </c>
      <c r="M47" s="2" t="n"/>
      <c r="N47" s="170" t="n">
        <v>3014188503</v>
      </c>
      <c r="O47" s="172" t="inlineStr">
        <is>
          <t>Andrés Velázquez</t>
        </is>
      </c>
      <c r="P47" s="52" t="inlineStr">
        <is>
          <t>avelasquez@admirisltda.com</t>
        </is>
      </c>
    </row>
    <row r="48">
      <c r="B48" s="170" t="n">
        <v>36</v>
      </c>
      <c r="C48" s="199" t="inlineStr">
        <is>
          <t>COTIZACION DEL ANÁLISIS DE SEGURIDAD HUMANA PARA EL PROYECTO CENTRO DE NEGOCIOS SUR</t>
        </is>
      </c>
      <c r="D48" s="312" t="n"/>
      <c r="E48" s="312" t="n"/>
      <c r="F48" s="312" t="n"/>
      <c r="G48" s="312" t="n"/>
      <c r="H48" s="312" t="n"/>
      <c r="I48" s="313" t="n"/>
      <c r="J48" s="199" t="inlineStr">
        <is>
          <t>ADMIRIS</t>
        </is>
      </c>
      <c r="K48" s="314" t="n">
        <v>250000</v>
      </c>
      <c r="L48" s="2" t="n">
        <v>44236</v>
      </c>
      <c r="M48" s="2" t="inlineStr">
        <is>
          <t>X</t>
        </is>
      </c>
      <c r="N48" s="170" t="n">
        <v>3014188503</v>
      </c>
      <c r="O48" s="172" t="inlineStr">
        <is>
          <t>Andrés Velázquez</t>
        </is>
      </c>
      <c r="P48" s="52" t="inlineStr">
        <is>
          <t>avelasquez@admirisltda.com</t>
        </is>
      </c>
    </row>
    <row r="49">
      <c r="B49" s="170" t="n">
        <v>37</v>
      </c>
      <c r="C49" s="199" t="inlineStr">
        <is>
          <t>COTIZACIÓN DEL SISTEMA DE EXTINCIÓN DE INCENDIOS PARA EL PROYECTO BLOQUE 41 UNAL</t>
        </is>
      </c>
      <c r="D49" s="312" t="n"/>
      <c r="E49" s="312" t="n"/>
      <c r="F49" s="312" t="n"/>
      <c r="G49" s="312" t="n"/>
      <c r="H49" s="312" t="n"/>
      <c r="I49" s="313" t="n"/>
      <c r="J49" s="199" t="inlineStr">
        <is>
          <t>CONDISEÑO</t>
        </is>
      </c>
      <c r="K49" s="314" t="n">
        <v>4740000</v>
      </c>
      <c r="L49" s="2" t="n">
        <v>44236</v>
      </c>
      <c r="M49" s="2" t="inlineStr">
        <is>
          <t>X</t>
        </is>
      </c>
      <c r="N49" s="170" t="n">
        <v>3175594091</v>
      </c>
      <c r="O49" s="172" t="inlineStr">
        <is>
          <t>Nakary García Romero</t>
        </is>
      </c>
      <c r="P49" s="52" t="inlineStr">
        <is>
          <t>n.garcia@condiseno.co</t>
        </is>
      </c>
    </row>
    <row r="50">
      <c r="B50" s="170" t="n">
        <v>38</v>
      </c>
      <c r="C50" s="199" t="inlineStr">
        <is>
          <t>COTIZACION DE LOS DISEÑOS DE SEGURIDAD HUMANA Y PROTECCIÓN CONTRA  INCENDIOS - APTOS BELÉN</t>
        </is>
      </c>
      <c r="D50" s="312" t="n"/>
      <c r="E50" s="312" t="n"/>
      <c r="F50" s="312" t="n"/>
      <c r="G50" s="312" t="n"/>
      <c r="H50" s="312" t="n"/>
      <c r="I50" s="313" t="n"/>
      <c r="J50" s="199" t="inlineStr">
        <is>
          <t>GINO</t>
        </is>
      </c>
      <c r="K50" s="314" t="n">
        <v>7960000</v>
      </c>
      <c r="L50" s="2" t="n">
        <v>44236</v>
      </c>
      <c r="M50" s="170" t="n"/>
      <c r="N50" s="170" t="n">
        <v>3113396273</v>
      </c>
      <c r="O50" s="172" t="inlineStr">
        <is>
          <t>Gino Montoya</t>
        </is>
      </c>
      <c r="P50" s="52" t="inlineStr">
        <is>
          <t>gino1037@hotmail.com</t>
        </is>
      </c>
    </row>
    <row r="51">
      <c r="B51" s="170" t="n">
        <v>39</v>
      </c>
      <c r="C51" s="199" t="inlineStr">
        <is>
          <t>COTIZACION EVALUACIÓN DEL SISTEMA DE BOMBA CONTRA INCENDIOS - MITSUBISHI ELECTRIC</t>
        </is>
      </c>
      <c r="D51" s="312" t="n"/>
      <c r="E51" s="312" t="n"/>
      <c r="F51" s="312" t="n"/>
      <c r="G51" s="312" t="n"/>
      <c r="H51" s="312" t="n"/>
      <c r="I51" s="313" t="n"/>
      <c r="J51" s="199" t="inlineStr">
        <is>
          <t>MITSUBISHI</t>
        </is>
      </c>
      <c r="K51" s="314" t="n">
        <v>2500000</v>
      </c>
      <c r="L51" s="2" t="n">
        <v>44238</v>
      </c>
      <c r="M51" s="2" t="inlineStr">
        <is>
          <t>X</t>
        </is>
      </c>
      <c r="N51" s="170" t="n">
        <v>3178167881</v>
      </c>
      <c r="O51" s="172" t="inlineStr">
        <is>
          <t>Carolina Castaño</t>
        </is>
      </c>
      <c r="P51" s="52" t="inlineStr">
        <is>
          <t>carolina.castano@melcol.com.co</t>
        </is>
      </c>
    </row>
    <row r="52">
      <c r="B52" s="170" t="n">
        <v>40</v>
      </c>
      <c r="C52" s="199" t="inlineStr">
        <is>
          <t>COTIZACION DE LOS DISEÑOS DE SEGURIDAD HUMANA Y PROTECCIÓN CONTRA  INCENDIOS - EDIFICIO BE SIDE</t>
        </is>
      </c>
      <c r="D52" s="312" t="n"/>
      <c r="E52" s="312" t="n"/>
      <c r="F52" s="312" t="n"/>
      <c r="G52" s="312" t="n"/>
      <c r="H52" s="312" t="n"/>
      <c r="I52" s="313" t="n"/>
      <c r="J52" s="199" t="inlineStr">
        <is>
          <t>SOCOMES</t>
        </is>
      </c>
      <c r="K52" s="314" t="n">
        <v>10270000</v>
      </c>
      <c r="L52" s="2" t="n">
        <v>44238</v>
      </c>
      <c r="M52" s="170" t="n"/>
      <c r="N52" s="170" t="n">
        <v>3137851941</v>
      </c>
      <c r="O52" s="172" t="inlineStr">
        <is>
          <t>David Lopera</t>
        </is>
      </c>
      <c r="P52" s="52" t="inlineStr">
        <is>
          <t>david.lopera@socomes.com</t>
        </is>
      </c>
    </row>
    <row r="53">
      <c r="B53" s="170" t="n">
        <v>41</v>
      </c>
      <c r="C53" s="199" t="inlineStr">
        <is>
          <t>COTIZACION DE LOS DISEÑOS DE SEGURIDAD HUMANA Y PROTECCIÓN CONTRA  INCENDIOS - EDIFICIO ATMÓSFERA</t>
        </is>
      </c>
      <c r="D53" s="312" t="n"/>
      <c r="E53" s="312" t="n"/>
      <c r="F53" s="312" t="n"/>
      <c r="G53" s="312" t="n"/>
      <c r="H53" s="312" t="n"/>
      <c r="I53" s="313" t="n"/>
      <c r="J53" s="199" t="inlineStr">
        <is>
          <t>SOCOMES</t>
        </is>
      </c>
      <c r="K53" s="314" t="n">
        <v>6770000</v>
      </c>
      <c r="L53" s="2" t="n">
        <v>44238</v>
      </c>
      <c r="M53" s="170" t="n"/>
      <c r="N53" s="170" t="n">
        <v>3137851941</v>
      </c>
      <c r="O53" s="172" t="inlineStr">
        <is>
          <t>David Lopera</t>
        </is>
      </c>
      <c r="P53" s="52" t="inlineStr">
        <is>
          <t>david.lopera@socomes.com</t>
        </is>
      </c>
    </row>
    <row r="54">
      <c r="B54" s="170" t="n">
        <v>42</v>
      </c>
      <c r="C54" s="199" t="inlineStr">
        <is>
          <t>COTIZACION DEL DISEÑO DE EXTINCIÓN DE INCENDIOS VORTEX - SAN CRISTOBAL Y FRAIJANES</t>
        </is>
      </c>
      <c r="D54" s="312" t="n"/>
      <c r="E54" s="312" t="n"/>
      <c r="F54" s="312" t="n"/>
      <c r="G54" s="312" t="n"/>
      <c r="H54" s="312" t="n"/>
      <c r="I54" s="313" t="n"/>
      <c r="J54" s="199" t="inlineStr">
        <is>
          <t>HIDROMAQ</t>
        </is>
      </c>
      <c r="K54" s="314" t="n">
        <v>6200</v>
      </c>
      <c r="L54" s="43" t="n">
        <v>44240</v>
      </c>
      <c r="M54" s="170" t="n"/>
      <c r="N54" s="172" t="inlineStr">
        <is>
          <t>(502) 5874-6870</t>
        </is>
      </c>
      <c r="O54" s="172" t="inlineStr">
        <is>
          <t>Julio Llamas</t>
        </is>
      </c>
      <c r="P54" s="91" t="inlineStr">
        <is>
          <t>jllamas@hidromaq-gt.com</t>
        </is>
      </c>
    </row>
    <row r="55">
      <c r="B55" s="170" t="n">
        <v>43</v>
      </c>
      <c r="C55" s="199" t="inlineStr">
        <is>
          <t>COTIZACION DE LOS DISEÑOS DE SEGURIDAD HUMANA Y PROTECCIÓN CONTRA  INCENDIOS - LA HEREDIA</t>
        </is>
      </c>
      <c r="D55" s="312" t="n"/>
      <c r="E55" s="312" t="n"/>
      <c r="F55" s="312" t="n"/>
      <c r="G55" s="312" t="n"/>
      <c r="H55" s="312" t="n"/>
      <c r="I55" s="313" t="n"/>
      <c r="J55" s="199" t="inlineStr">
        <is>
          <t>CONTEX</t>
        </is>
      </c>
      <c r="K55" s="314" t="n">
        <v>8200000</v>
      </c>
      <c r="L55" s="2" t="n">
        <v>44240</v>
      </c>
      <c r="M55" s="170" t="n"/>
      <c r="N55" s="170" t="n">
        <v>3014841003</v>
      </c>
      <c r="O55" s="172" t="inlineStr">
        <is>
          <t>Anderson Zapata</t>
        </is>
      </c>
      <c r="P55" s="52" t="inlineStr">
        <is>
          <t>jzapata@contex.com.co</t>
        </is>
      </c>
    </row>
    <row r="56">
      <c r="B56" s="170" t="n">
        <v>44</v>
      </c>
      <c r="C56" s="199" t="inlineStr">
        <is>
          <t>COTIZACION DE LOS DISEÑOS DE SEGURIDAD HUMANA Y PROTECCIÓN CONTRA  INCENDIOS - TRIBUNALES LA ALPUJARRA</t>
        </is>
      </c>
      <c r="D56" s="312" t="n"/>
      <c r="E56" s="312" t="n"/>
      <c r="F56" s="312" t="n"/>
      <c r="G56" s="312" t="n"/>
      <c r="H56" s="312" t="n"/>
      <c r="I56" s="313" t="n"/>
      <c r="J56" s="199" t="inlineStr">
        <is>
          <t>CONVEL</t>
        </is>
      </c>
      <c r="K56" s="314" t="n">
        <v>29950000</v>
      </c>
      <c r="L56" s="2" t="n">
        <v>44242</v>
      </c>
      <c r="M56" s="2" t="n"/>
      <c r="N56" s="170" t="inlineStr">
        <is>
          <t>3508866 Ext 130</t>
        </is>
      </c>
      <c r="O56" s="172" t="inlineStr">
        <is>
          <t>Elizabeth Acevedo</t>
        </is>
      </c>
      <c r="P56" s="52" t="inlineStr">
        <is>
          <t>elizabethacevedo@convel.co</t>
        </is>
      </c>
    </row>
    <row r="57">
      <c r="B57" s="170" t="n">
        <v>45</v>
      </c>
      <c r="C57" s="199" t="inlineStr">
        <is>
          <t>COTIZACION DE LOS DISEÑOS DE SEGURIDAD HUMANA Y PROTECCIÓN CONTRA  INCENDIOS - CGR SEDE RISARALDA</t>
        </is>
      </c>
      <c r="D57" s="312" t="n"/>
      <c r="E57" s="312" t="n"/>
      <c r="F57" s="312" t="n"/>
      <c r="G57" s="312" t="n"/>
      <c r="H57" s="312" t="n"/>
      <c r="I57" s="313" t="n"/>
      <c r="J57" s="199" t="inlineStr">
        <is>
          <t>VHZ INGENIERÍA</t>
        </is>
      </c>
      <c r="K57" s="314" t="n">
        <v>13980000</v>
      </c>
      <c r="L57" s="2" t="n">
        <v>44242</v>
      </c>
      <c r="M57" s="2" t="inlineStr">
        <is>
          <t>X</t>
        </is>
      </c>
      <c r="N57" s="170" t="n">
        <v>3166205380</v>
      </c>
      <c r="O57" s="172" t="inlineStr">
        <is>
          <t>Daniel Sánchez</t>
        </is>
      </c>
      <c r="P57" s="52" t="inlineStr">
        <is>
          <t>administracion@vhz-ingenieria.com</t>
        </is>
      </c>
    </row>
    <row r="58">
      <c r="B58" s="170" t="n">
        <v>46</v>
      </c>
      <c r="C58" s="199" t="inlineStr">
        <is>
          <t>COTIZACION DE REVISIÓN Y PRUEBAS DE LOS SISTEMAS DE PROTECCIÓN CONTRA INCENDIOS INSTALADOS Y LA SEGURIDAD HUMANA PARA EL PROYECTO SQUARE</t>
        </is>
      </c>
      <c r="D58" s="312" t="n"/>
      <c r="E58" s="312" t="n"/>
      <c r="F58" s="312" t="n"/>
      <c r="G58" s="312" t="n"/>
      <c r="H58" s="312" t="n"/>
      <c r="I58" s="313" t="n"/>
      <c r="J58" s="199" t="inlineStr">
        <is>
          <t>GERENCIA INTEGRAL</t>
        </is>
      </c>
      <c r="K58" s="176" t="n">
        <v>6550000</v>
      </c>
      <c r="L58" s="2" t="n">
        <v>44242</v>
      </c>
      <c r="M58" s="2" t="inlineStr">
        <is>
          <t>X</t>
        </is>
      </c>
      <c r="N58" s="170" t="n">
        <v>3014383931</v>
      </c>
      <c r="O58" s="172" t="inlineStr">
        <is>
          <t>Yury Vélez</t>
        </is>
      </c>
      <c r="P58" s="327" t="inlineStr">
        <is>
          <t>yvelez@hdgerenciaintegral.com</t>
        </is>
      </c>
      <c r="Q58" s="324" t="n"/>
    </row>
    <row r="59">
      <c r="B59" s="170" t="n">
        <v>47</v>
      </c>
      <c r="C59" s="199" t="inlineStr">
        <is>
          <t>COTIZACION DE LOS DISEÑOS DE PROTECCIÓN CONTRA INCENDIOS Y SEGURIDAD HUMANA PARA EL PROYECTO HOSPITAL</t>
        </is>
      </c>
      <c r="D59" s="312" t="n"/>
      <c r="E59" s="312" t="n"/>
      <c r="F59" s="312" t="n"/>
      <c r="G59" s="312" t="n"/>
      <c r="H59" s="312" t="n"/>
      <c r="I59" s="313" t="n"/>
      <c r="J59" s="199" t="inlineStr">
        <is>
          <t>GINO</t>
        </is>
      </c>
      <c r="K59" s="314" t="n">
        <v>5645000</v>
      </c>
      <c r="L59" s="2" t="n">
        <v>44242</v>
      </c>
      <c r="M59" s="170" t="n"/>
      <c r="N59" s="170" t="n">
        <v>3113396273</v>
      </c>
      <c r="O59" s="172" t="inlineStr">
        <is>
          <t>Gino Montoya</t>
        </is>
      </c>
      <c r="P59" s="52" t="inlineStr">
        <is>
          <t>gino1037@hotmail.com</t>
        </is>
      </c>
    </row>
    <row r="60">
      <c r="B60" s="170" t="n">
        <v>48</v>
      </c>
      <c r="C60" s="199" t="inlineStr">
        <is>
          <t>COTIZACION DEL DISEÑO DE EXTINCIÓN DE INCENDIOS - TANQUES GLP PLANTA JUMBO</t>
        </is>
      </c>
      <c r="D60" s="312" t="n"/>
      <c r="E60" s="312" t="n"/>
      <c r="F60" s="312" t="n"/>
      <c r="G60" s="312" t="n"/>
      <c r="H60" s="312" t="n"/>
      <c r="I60" s="313" t="n"/>
      <c r="J60" s="199" t="inlineStr">
        <is>
          <t>SPCI</t>
        </is>
      </c>
      <c r="K60" s="314" t="n">
        <v>10035000</v>
      </c>
      <c r="L60" s="2" t="n">
        <v>44242</v>
      </c>
      <c r="M60" s="170" t="n"/>
      <c r="N60" s="170" t="n">
        <v>3104680508</v>
      </c>
      <c r="O60" s="172" t="inlineStr">
        <is>
          <t>Juan Pablo Grajales</t>
        </is>
      </c>
      <c r="P60" s="52" t="inlineStr">
        <is>
          <t>juan.grajales@spci.com.co</t>
        </is>
      </c>
    </row>
    <row r="61">
      <c r="B61" s="170" t="n">
        <v>49</v>
      </c>
      <c r="C61" s="199" t="inlineStr">
        <is>
          <t>COTIZACION DEL DISEÑO DE EXTINCIÓN DE INCENDIOS - TANQUES GLP PLANTA PUERTO SALGAR</t>
        </is>
      </c>
      <c r="D61" s="312" t="n"/>
      <c r="E61" s="312" t="n"/>
      <c r="F61" s="312" t="n"/>
      <c r="G61" s="312" t="n"/>
      <c r="H61" s="312" t="n"/>
      <c r="I61" s="313" t="n"/>
      <c r="J61" s="199" t="inlineStr">
        <is>
          <t>SPCI</t>
        </is>
      </c>
      <c r="K61" s="314" t="n">
        <v>13250000</v>
      </c>
      <c r="L61" s="2" t="n">
        <v>44242</v>
      </c>
      <c r="M61" s="170" t="n"/>
      <c r="N61" s="170" t="n">
        <v>3104680508</v>
      </c>
      <c r="O61" s="172" t="inlineStr">
        <is>
          <t>Juan Pablo Grajales</t>
        </is>
      </c>
      <c r="P61" s="52" t="inlineStr">
        <is>
          <t>juan.grajales@spci.com.co</t>
        </is>
      </c>
    </row>
    <row r="62">
      <c r="B62" s="170" t="n">
        <v>50</v>
      </c>
      <c r="C62" s="199" t="inlineStr">
        <is>
          <t>COTIZACION DEL DISEÑO DE EXTINCIÓN DE INCENDIOS PARA EL PROYECTO LOCAL SANTA PARRILLA VIVA ENVIGADO</t>
        </is>
      </c>
      <c r="D62" s="312" t="n"/>
      <c r="E62" s="312" t="n"/>
      <c r="F62" s="312" t="n"/>
      <c r="G62" s="312" t="n"/>
      <c r="H62" s="312" t="n"/>
      <c r="I62" s="313" t="n"/>
      <c r="J62" s="199" t="inlineStr">
        <is>
          <t>SANTA PARRILLA</t>
        </is>
      </c>
      <c r="K62" s="314" t="n">
        <v>1700000</v>
      </c>
      <c r="L62" s="2" t="n">
        <v>44243</v>
      </c>
      <c r="M62" s="2" t="n"/>
      <c r="N62" s="170" t="n">
        <v>3122322355</v>
      </c>
      <c r="O62" s="39" t="inlineStr">
        <is>
          <t>Juan David Ochoa</t>
        </is>
      </c>
      <c r="P62" s="52" t="inlineStr">
        <is>
          <t>juan.8arq@gmail.com</t>
        </is>
      </c>
    </row>
    <row r="63">
      <c r="B63" s="170" t="n">
        <v>51</v>
      </c>
      <c r="C63" s="199" t="inlineStr">
        <is>
          <t>COTIZACION DE LOS DISEÑOS DE SEGURIDAD HUMANA Y PROTECCIÓN CONTRA  INCENDIOS - PROYECTO SAN ANTONIO</t>
        </is>
      </c>
      <c r="D63" s="312" t="n"/>
      <c r="E63" s="312" t="n"/>
      <c r="F63" s="312" t="n"/>
      <c r="G63" s="312" t="n"/>
      <c r="H63" s="312" t="n"/>
      <c r="I63" s="313" t="n"/>
      <c r="J63" s="199" t="inlineStr">
        <is>
          <t>SOCOMES</t>
        </is>
      </c>
      <c r="K63" s="314" t="n">
        <v>7520000</v>
      </c>
      <c r="L63" s="2" t="n">
        <v>44257</v>
      </c>
      <c r="M63" s="170" t="n"/>
      <c r="N63" s="170" t="n">
        <v>3137851941</v>
      </c>
      <c r="O63" s="172" t="inlineStr">
        <is>
          <t>David Lopera</t>
        </is>
      </c>
      <c r="P63" s="52" t="inlineStr">
        <is>
          <t>david.lopera@socomes.com</t>
        </is>
      </c>
    </row>
    <row r="64">
      <c r="B64" s="170" t="n">
        <v>52</v>
      </c>
      <c r="C64" s="199" t="inlineStr">
        <is>
          <t>COTIZACION DE LOS DISEÑOS DE SEGURIDAD HUMANA Y EXTINCIÓN DE INCENDIOS - PISO 11 QUIRÓFANOS SALUD VEGAS</t>
        </is>
      </c>
      <c r="D64" s="312" t="n"/>
      <c r="E64" s="312" t="n"/>
      <c r="F64" s="312" t="n"/>
      <c r="G64" s="312" t="n"/>
      <c r="H64" s="312" t="n"/>
      <c r="I64" s="313" t="n"/>
      <c r="J64" s="199" t="inlineStr">
        <is>
          <t>INTERVÉ</t>
        </is>
      </c>
      <c r="K64" s="314" t="n">
        <v>2960000</v>
      </c>
      <c r="L64" s="2" t="n">
        <v>44244</v>
      </c>
      <c r="M64" s="2" t="inlineStr">
        <is>
          <t>X</t>
        </is>
      </c>
      <c r="N64" s="170" t="inlineStr">
        <is>
          <t>57(4) 352 3434</t>
        </is>
      </c>
      <c r="O64" s="172" t="inlineStr">
        <is>
          <t>Humberto Acevedo</t>
        </is>
      </c>
      <c r="P64" s="52" t="inlineStr">
        <is>
          <t>hacevedo@interve.co</t>
        </is>
      </c>
    </row>
    <row r="65">
      <c r="B65" s="170" t="n">
        <v>53</v>
      </c>
      <c r="C65" s="199" t="inlineStr">
        <is>
          <t>COTIZACION DE LOS DISEÑOS DE SEGURIDAD HUMANA Y PROTECCIÓN CONTRA  INCENDIOS - SATURNO</t>
        </is>
      </c>
      <c r="D65" s="312" t="n"/>
      <c r="E65" s="312" t="n"/>
      <c r="F65" s="312" t="n"/>
      <c r="G65" s="312" t="n"/>
      <c r="H65" s="312" t="n"/>
      <c r="I65" s="313" t="n"/>
      <c r="J65" s="199" t="inlineStr">
        <is>
          <t>ALEJANDRO GÓMEZ</t>
        </is>
      </c>
      <c r="K65" s="314" t="n">
        <v>11950000</v>
      </c>
      <c r="L65" s="2" t="n">
        <v>44244</v>
      </c>
      <c r="M65" s="170" t="n"/>
      <c r="N65" s="170" t="inlineStr">
        <is>
          <t>314 773 90 63</t>
        </is>
      </c>
      <c r="O65" s="172" t="inlineStr">
        <is>
          <t>Alejandro Gómez</t>
        </is>
      </c>
      <c r="P65" s="52" t="inlineStr">
        <is>
          <t>alejandrogomezvillegas@gmail.com</t>
        </is>
      </c>
    </row>
    <row r="66">
      <c r="B66" s="170" t="n">
        <v>54</v>
      </c>
      <c r="C66" s="199" t="inlineStr">
        <is>
          <t>COTIZACIÓN DEL ANÁLISIS DE SEGURIADAD HUMANA PARA PROYECTO ACUARELA DEL RIO</t>
        </is>
      </c>
      <c r="D66" s="312" t="n"/>
      <c r="E66" s="312" t="n"/>
      <c r="F66" s="312" t="n"/>
      <c r="G66" s="312" t="n"/>
      <c r="H66" s="312" t="n"/>
      <c r="I66" s="313" t="n"/>
      <c r="J66" s="199" t="inlineStr">
        <is>
          <t>SPCI</t>
        </is>
      </c>
      <c r="K66" s="314" t="n">
        <v>3515000</v>
      </c>
      <c r="L66" s="2" t="n">
        <v>44244</v>
      </c>
      <c r="M66" s="2" t="inlineStr">
        <is>
          <t>X</t>
        </is>
      </c>
      <c r="N66" s="170" t="n">
        <v>3104203649</v>
      </c>
      <c r="O66" s="172" t="inlineStr">
        <is>
          <t>Mauricio Guzman</t>
        </is>
      </c>
      <c r="P66" s="52" t="inlineStr">
        <is>
          <t>mauroguzmanspci@gmail.com</t>
        </is>
      </c>
    </row>
    <row r="67">
      <c r="B67" s="170" t="n">
        <v>55</v>
      </c>
      <c r="C67" s="199" t="inlineStr">
        <is>
          <t>COTIZACION DEL ANÁLISIS DE SEGURIDAD HUMANA PARA EL PROYECTO UPTOWN 127</t>
        </is>
      </c>
      <c r="D67" s="312" t="n"/>
      <c r="E67" s="312" t="n"/>
      <c r="F67" s="312" t="n"/>
      <c r="G67" s="312" t="n"/>
      <c r="H67" s="312" t="n"/>
      <c r="I67" s="313" t="n"/>
      <c r="J67" s="199" t="inlineStr">
        <is>
          <t>ADMIRIS</t>
        </is>
      </c>
      <c r="K67" s="314" t="n">
        <v>2800000</v>
      </c>
      <c r="L67" s="2" t="n">
        <v>44244</v>
      </c>
      <c r="M67" s="2" t="inlineStr">
        <is>
          <t>X</t>
        </is>
      </c>
      <c r="N67" s="170" t="n">
        <v>3014188503</v>
      </c>
      <c r="O67" s="172" t="inlineStr">
        <is>
          <t>Andrés Velázquez</t>
        </is>
      </c>
      <c r="P67" s="52" t="inlineStr">
        <is>
          <t>avelasquez@admirisltda.com</t>
        </is>
      </c>
    </row>
    <row r="68">
      <c r="B68" s="170" t="n">
        <v>56</v>
      </c>
      <c r="C68" s="199" t="inlineStr">
        <is>
          <t>COTIZACION DE LOS DISEÑOS DE PROTECCIÓN CONTRA INCENDIOS Y SEGURIDAD HUMANA PARA EL PROYECTO AWA</t>
        </is>
      </c>
      <c r="D68" s="312" t="n"/>
      <c r="E68" s="312" t="n"/>
      <c r="F68" s="312" t="n"/>
      <c r="G68" s="312" t="n"/>
      <c r="H68" s="312" t="n"/>
      <c r="I68" s="313" t="n"/>
      <c r="J68" s="199" t="inlineStr">
        <is>
          <t>CONSTRUGEN</t>
        </is>
      </c>
      <c r="K68" s="314" t="n">
        <v>16940000</v>
      </c>
      <c r="L68" s="2" t="n">
        <v>44245</v>
      </c>
      <c r="M68" s="170" t="inlineStr">
        <is>
          <t>X</t>
        </is>
      </c>
      <c r="N68" s="170" t="n">
        <v>3174376208</v>
      </c>
      <c r="O68" s="172" t="inlineStr">
        <is>
          <t>William Hernandez</t>
        </is>
      </c>
      <c r="P68" s="52" t="inlineStr">
        <is>
          <t xml:space="preserve">william.hernandez@construgen.com </t>
        </is>
      </c>
    </row>
    <row r="69">
      <c r="B69" s="170" t="n">
        <v>57</v>
      </c>
      <c r="C69" s="199" t="inlineStr">
        <is>
          <t>COTIZACION DE LOS DISEÑOS DE SEGURIDAD HUMANA Y PROTECCIÓN CONTRA  INCENDIOS - EDIFICIO FONADE</t>
        </is>
      </c>
      <c r="D69" s="312" t="n"/>
      <c r="E69" s="312" t="n"/>
      <c r="F69" s="312" t="n"/>
      <c r="G69" s="312" t="n"/>
      <c r="H69" s="312" t="n"/>
      <c r="I69" s="313" t="n"/>
      <c r="J69" s="199" t="inlineStr">
        <is>
          <t>CONVEL</t>
        </is>
      </c>
      <c r="K69" s="314" t="n">
        <v>27950000</v>
      </c>
      <c r="L69" s="2" t="n">
        <v>44246</v>
      </c>
      <c r="M69" s="170" t="n"/>
      <c r="N69" s="170" t="inlineStr">
        <is>
          <t>3508866 Ext 130</t>
        </is>
      </c>
      <c r="O69" s="172" t="inlineStr">
        <is>
          <t>Elizabeth Acevedo</t>
        </is>
      </c>
      <c r="P69" s="52" t="inlineStr">
        <is>
          <t>elizabethacevedo@convel.co</t>
        </is>
      </c>
    </row>
    <row r="70">
      <c r="B70" s="170" t="n">
        <v>58</v>
      </c>
      <c r="C70" s="199" t="inlineStr">
        <is>
          <t>COTIZACION DEL DISEÑO DE EXTINCIÓN DE INCENDIOS - TORRE DE SERVICIOS PLAZA FABRICATO</t>
        </is>
      </c>
      <c r="D70" s="312" t="n"/>
      <c r="E70" s="312" t="n"/>
      <c r="F70" s="312" t="n"/>
      <c r="G70" s="312" t="n"/>
      <c r="H70" s="312" t="n"/>
      <c r="I70" s="313" t="n"/>
      <c r="J70" s="199" t="inlineStr">
        <is>
          <t>CONEXO</t>
        </is>
      </c>
      <c r="K70" s="314" t="n">
        <v>3500000</v>
      </c>
      <c r="L70" s="2" t="n">
        <v>44246</v>
      </c>
      <c r="M70" s="170" t="inlineStr">
        <is>
          <t>X</t>
        </is>
      </c>
      <c r="N70" s="170" t="n">
        <v>3005861916</v>
      </c>
      <c r="O70" s="172" t="inlineStr">
        <is>
          <t>John Jaramillo</t>
        </is>
      </c>
      <c r="P70" s="52" t="inlineStr">
        <is>
          <t>jjaramillo@conexoinmobiliario.com</t>
        </is>
      </c>
    </row>
    <row r="71">
      <c r="A71" s="207" t="n">
        <v>59</v>
      </c>
      <c r="B71" s="170" t="n">
        <v>59</v>
      </c>
      <c r="C71" s="199" t="inlineStr">
        <is>
          <t>COTIZACION DE LOS DISEÑOS DE SEGURIDAD HUMANA Y PROTECCIÓN CONTRA  INCENDIOS - PLANTA DE ALIMENTOS GUARNE</t>
        </is>
      </c>
      <c r="D71" s="312" t="n"/>
      <c r="E71" s="312" t="n"/>
      <c r="F71" s="312" t="n"/>
      <c r="G71" s="312" t="n"/>
      <c r="H71" s="312" t="n"/>
      <c r="I71" s="313" t="n"/>
      <c r="J71" s="199" t="inlineStr">
        <is>
          <t>SPCI</t>
        </is>
      </c>
      <c r="K71" s="314" t="n">
        <v>20500000</v>
      </c>
      <c r="L71" s="2" t="n">
        <v>44247</v>
      </c>
      <c r="M71" s="170" t="n"/>
      <c r="N71" s="170" t="n">
        <v>3017213541</v>
      </c>
      <c r="O71" s="172" t="inlineStr">
        <is>
          <t>Juan Camilo Echavarría</t>
        </is>
      </c>
      <c r="P71" s="52" t="inlineStr">
        <is>
          <t>dir.comercial@spcisas.com.co</t>
        </is>
      </c>
    </row>
    <row r="72">
      <c r="B72" s="170" t="n">
        <v>60</v>
      </c>
      <c r="C72" s="199" t="inlineStr">
        <is>
          <t>COTIZACION DE LOS DISEÑOS DE PROTECCIÓN CONTRA  INCENDIOS - CENTRO ACEROS</t>
        </is>
      </c>
      <c r="D72" s="312" t="n"/>
      <c r="E72" s="312" t="n"/>
      <c r="F72" s="312" t="n"/>
      <c r="G72" s="312" t="n"/>
      <c r="H72" s="312" t="n"/>
      <c r="I72" s="313" t="n"/>
      <c r="J72" s="199" t="inlineStr">
        <is>
          <t>PEDRO PABLO RESTREPO</t>
        </is>
      </c>
      <c r="K72" s="314" t="n">
        <v>2000000</v>
      </c>
      <c r="L72" s="2" t="n">
        <v>44249</v>
      </c>
      <c r="M72" s="2" t="n"/>
      <c r="N72" s="170" t="n">
        <v>3004240239</v>
      </c>
      <c r="O72" s="172" t="inlineStr">
        <is>
          <t>Pedro Pablo Restrepo Santa Maria.</t>
        </is>
      </c>
      <c r="P72" s="52" t="inlineStr">
        <is>
          <t>pedroprpo@gmail.com</t>
        </is>
      </c>
    </row>
    <row r="73">
      <c r="B73" s="170" t="n">
        <v>61</v>
      </c>
      <c r="C73" s="199" t="inlineStr">
        <is>
          <t>COTIZACIÓN DEL ANÁLISIS DE SEGURIADAD HUMANA PARA PROYECTO SENA LA CEJA</t>
        </is>
      </c>
      <c r="D73" s="312" t="n"/>
      <c r="E73" s="312" t="n"/>
      <c r="F73" s="312" t="n"/>
      <c r="G73" s="312" t="n"/>
      <c r="H73" s="312" t="n"/>
      <c r="I73" s="313" t="n"/>
      <c r="J73" s="199" t="inlineStr">
        <is>
          <t>SPCI</t>
        </is>
      </c>
      <c r="K73" s="314" t="n">
        <v>4200000</v>
      </c>
      <c r="L73" s="2" t="n">
        <v>44249</v>
      </c>
      <c r="M73" s="170" t="n"/>
      <c r="N73" s="170" t="n">
        <v>3017213541</v>
      </c>
      <c r="O73" s="172" t="inlineStr">
        <is>
          <t>Juan Camilo Echavarría</t>
        </is>
      </c>
      <c r="P73" s="52" t="inlineStr">
        <is>
          <t>dir.comercial@spcisas.com.co</t>
        </is>
      </c>
    </row>
    <row r="74">
      <c r="B74" s="170" t="n">
        <v>62</v>
      </c>
      <c r="C74" s="199" t="inlineStr">
        <is>
          <t>COTIZACION DE LOS DISEÑOS DE SEGURIDAD HUMANA Y PROTECCIÓN CONTRA  INCENDIOS - SPIAGGIA DI CARTAGENA</t>
        </is>
      </c>
      <c r="D74" s="312" t="n"/>
      <c r="E74" s="312" t="n"/>
      <c r="F74" s="312" t="n"/>
      <c r="G74" s="312" t="n"/>
      <c r="H74" s="312" t="n"/>
      <c r="I74" s="313" t="n"/>
      <c r="J74" s="199" t="inlineStr">
        <is>
          <t>IA&amp;C</t>
        </is>
      </c>
      <c r="K74" s="314" t="n">
        <v>22500000</v>
      </c>
      <c r="L74" s="2" t="n">
        <v>44249</v>
      </c>
      <c r="M74" s="2" t="n"/>
      <c r="N74" s="2" t="inlineStr">
        <is>
          <t>314 667 5509</t>
        </is>
      </c>
      <c r="O74" s="172" t="inlineStr">
        <is>
          <t>Andres Reinosa</t>
        </is>
      </c>
      <c r="P74" s="52" t="inlineStr">
        <is>
          <t>andresreinosa@iayc.co</t>
        </is>
      </c>
    </row>
    <row r="75">
      <c r="B75" s="170" t="n">
        <v>63</v>
      </c>
      <c r="C75" s="199" t="inlineStr">
        <is>
          <t>COTIZACION DE LOS DISEÑOS DE SEGURIDAD HUMANA Y PROTECCIÓN CONTRA  INCENDIOS - CARTÓN DE COLOMBIA</t>
        </is>
      </c>
      <c r="D75" s="312" t="n"/>
      <c r="E75" s="312" t="n"/>
      <c r="F75" s="312" t="n"/>
      <c r="G75" s="312" t="n"/>
      <c r="H75" s="312" t="n"/>
      <c r="I75" s="313" t="n"/>
      <c r="J75" s="199" t="inlineStr">
        <is>
          <t>ARQUITECTURA Y CONCRETO</t>
        </is>
      </c>
      <c r="K75" s="314" t="n">
        <v>21350000</v>
      </c>
      <c r="L75" s="2" t="n">
        <v>44251</v>
      </c>
      <c r="M75" s="170" t="n"/>
      <c r="N75" s="170" t="inlineStr">
        <is>
          <t>3123618 ext: 2111</t>
        </is>
      </c>
      <c r="O75" s="172" t="inlineStr">
        <is>
          <t>Blanca Saldarriaga Restrepo</t>
        </is>
      </c>
      <c r="P75" s="52" t="inlineStr">
        <is>
          <t>blancasaldarriaga@arquitecturayconcreto.com</t>
        </is>
      </c>
    </row>
    <row r="76">
      <c r="B76" s="170" t="n">
        <v>64</v>
      </c>
      <c r="C76" s="199" t="inlineStr">
        <is>
          <t>COTIZACION DE COMISIONAMIENTO Y PRUEBAS DE LOS SISTEMAS DE PROTECCIÓN CONTRA INCENDIOS INSTALADOS EN LA CENTRAL AMOYA</t>
        </is>
      </c>
      <c r="D76" s="312" t="n"/>
      <c r="E76" s="312" t="n"/>
      <c r="F76" s="312" t="n"/>
      <c r="G76" s="312" t="n"/>
      <c r="H76" s="312" t="n"/>
      <c r="I76" s="313" t="n"/>
      <c r="J76" s="199" t="inlineStr">
        <is>
          <t>SPCI</t>
        </is>
      </c>
      <c r="K76" s="314" t="n">
        <v>4500000</v>
      </c>
      <c r="L76" s="2" t="n">
        <v>44252</v>
      </c>
      <c r="M76" s="2" t="inlineStr">
        <is>
          <t>X</t>
        </is>
      </c>
      <c r="N76" s="170" t="n">
        <v>3104278593</v>
      </c>
      <c r="O76" s="172" t="inlineStr">
        <is>
          <t>Daniel Uribe</t>
        </is>
      </c>
      <c r="P76" s="52" t="inlineStr">
        <is>
          <t>duribe86@gmail.com</t>
        </is>
      </c>
    </row>
    <row r="77">
      <c r="B77" s="170" t="n">
        <v>65</v>
      </c>
      <c r="C77" s="199" t="inlineStr">
        <is>
          <t>COTIZACION DEL DISEÑO DE EXTINCIÓN DE INCENDIOS - PARKLOG</t>
        </is>
      </c>
      <c r="D77" s="312" t="n"/>
      <c r="E77" s="312" t="n"/>
      <c r="F77" s="312" t="n"/>
      <c r="G77" s="312" t="n"/>
      <c r="H77" s="312" t="n"/>
      <c r="I77" s="313" t="n"/>
      <c r="J77" s="199" t="inlineStr">
        <is>
          <t>SPCI</t>
        </is>
      </c>
      <c r="K77" s="314" t="n">
        <v>12550000</v>
      </c>
      <c r="L77" s="2" t="n">
        <v>44252</v>
      </c>
      <c r="M77" s="2" t="n"/>
      <c r="N77" s="170" t="n">
        <v>3104203649</v>
      </c>
      <c r="O77" s="172" t="inlineStr">
        <is>
          <t>Mauricio Guzman</t>
        </is>
      </c>
      <c r="P77" s="52" t="inlineStr">
        <is>
          <t>mauroguzmanspci@gmail.com</t>
        </is>
      </c>
    </row>
    <row r="78">
      <c r="B78" s="170" t="n">
        <v>66</v>
      </c>
      <c r="C78" s="199" t="inlineStr">
        <is>
          <t>COTIZACION DE LOS DISEÑOS DE SEGURIDAD HUMANA Y PROTECCIÓN CONTRA  INCENDIOS - PTAR TRANVÍA</t>
        </is>
      </c>
      <c r="D78" s="312" t="n"/>
      <c r="E78" s="312" t="n"/>
      <c r="F78" s="312" t="n"/>
      <c r="G78" s="312" t="n"/>
      <c r="H78" s="312" t="n"/>
      <c r="I78" s="313" t="n"/>
      <c r="J78" s="199" t="inlineStr">
        <is>
          <t>SPCI</t>
        </is>
      </c>
      <c r="K78" s="314" t="n">
        <v>37630000</v>
      </c>
      <c r="L78" s="2" t="n">
        <v>44256</v>
      </c>
      <c r="M78" s="2" t="inlineStr">
        <is>
          <t>X</t>
        </is>
      </c>
      <c r="N78" s="170" t="n">
        <v>3104203649</v>
      </c>
      <c r="O78" s="172" t="inlineStr">
        <is>
          <t>Mauricio Guzman</t>
        </is>
      </c>
      <c r="P78" s="52" t="inlineStr">
        <is>
          <t>mauroguzmanspci@gmail.com</t>
        </is>
      </c>
    </row>
    <row r="79">
      <c r="B79" s="170" t="n">
        <v>67</v>
      </c>
      <c r="C79" s="199" t="inlineStr">
        <is>
          <t>COTIZACION PLANOS ASBUILT VIVA ENVIGADO</t>
        </is>
      </c>
      <c r="D79" s="312" t="n"/>
      <c r="E79" s="312" t="n"/>
      <c r="F79" s="312" t="n"/>
      <c r="G79" s="312" t="n"/>
      <c r="H79" s="312" t="n"/>
      <c r="I79" s="313" t="n"/>
      <c r="J79" s="199" t="inlineStr">
        <is>
          <t>SPCI</t>
        </is>
      </c>
      <c r="K79" s="314" t="n">
        <v>25000000</v>
      </c>
      <c r="L79" s="2" t="n">
        <v>44256</v>
      </c>
      <c r="M79" s="170" t="n"/>
      <c r="N79" s="170" t="n">
        <v>3137546144</v>
      </c>
      <c r="O79" s="172" t="inlineStr">
        <is>
          <t>Juan Camilo Quintero</t>
        </is>
      </c>
      <c r="P79" s="52" t="inlineStr">
        <is>
          <t>proyectos1spci@gmail.com</t>
        </is>
      </c>
    </row>
    <row r="80">
      <c r="B80" s="170" t="n">
        <v>68</v>
      </c>
      <c r="C80" s="199" t="inlineStr">
        <is>
          <t>COTIZACION DEL ANÁLISIS DE SEGURIDAD HUMANA PARA EL PROYECTO VIVE</t>
        </is>
      </c>
      <c r="D80" s="312" t="n"/>
      <c r="E80" s="312" t="n"/>
      <c r="F80" s="312" t="n"/>
      <c r="G80" s="312" t="n"/>
      <c r="H80" s="312" t="n"/>
      <c r="I80" s="313" t="n"/>
      <c r="J80" s="199" t="inlineStr">
        <is>
          <t>ADMIRIS</t>
        </is>
      </c>
      <c r="K80" s="314" t="n">
        <v>2800000</v>
      </c>
      <c r="L80" s="2" t="n">
        <v>44256</v>
      </c>
      <c r="M80" s="2" t="inlineStr">
        <is>
          <t>X</t>
        </is>
      </c>
      <c r="N80" s="170" t="n">
        <v>3014188503</v>
      </c>
      <c r="O80" s="172" t="inlineStr">
        <is>
          <t>Andrés Velázquez</t>
        </is>
      </c>
      <c r="P80" s="52" t="inlineStr">
        <is>
          <t>avelasquez@admirisltda.com</t>
        </is>
      </c>
    </row>
    <row r="81">
      <c r="B81" s="170" t="n">
        <v>69</v>
      </c>
      <c r="C81" s="199" t="inlineStr">
        <is>
          <t>COTIZACION REVISIÓN Y CONSULTORÍA DEL SISTEMA DE PROTECCIÓN CONTRA INCENDIOS QUARTIER</t>
        </is>
      </c>
      <c r="D81" s="312" t="n"/>
      <c r="E81" s="312" t="n"/>
      <c r="F81" s="312" t="n"/>
      <c r="G81" s="312" t="n"/>
      <c r="H81" s="312" t="n"/>
      <c r="I81" s="313" t="n"/>
      <c r="J81" s="199" t="inlineStr">
        <is>
          <t>QUARTIER</t>
        </is>
      </c>
      <c r="K81" s="314" t="n">
        <v>950000</v>
      </c>
      <c r="L81" s="2" t="n">
        <v>44257</v>
      </c>
      <c r="M81" s="2" t="inlineStr">
        <is>
          <t>X</t>
        </is>
      </c>
      <c r="N81" s="170" t="inlineStr">
        <is>
          <t>310 8372505</t>
        </is>
      </c>
      <c r="O81" s="172" t="inlineStr">
        <is>
          <t xml:space="preserve">Juan Fernando </t>
        </is>
      </c>
      <c r="P81" s="52" t="inlineStr">
        <is>
          <t>okobra3@gmail.com</t>
        </is>
      </c>
    </row>
    <row r="82">
      <c r="B82" s="170" t="n">
        <v>70</v>
      </c>
      <c r="C82" s="199" t="inlineStr">
        <is>
          <t>COTIZACION DEL DISEÑO DE EXTINCIÓN DE INCENDIOS PARA EL PROYECTO BODEGA CRUZ ROJA GUAYABAL MEDELLÍN</t>
        </is>
      </c>
      <c r="D82" s="312" t="n"/>
      <c r="E82" s="312" t="n"/>
      <c r="F82" s="312" t="n"/>
      <c r="G82" s="312" t="n"/>
      <c r="H82" s="312" t="n"/>
      <c r="I82" s="313" t="n"/>
      <c r="J82" s="199" t="inlineStr">
        <is>
          <t>CRUZ ROJA</t>
        </is>
      </c>
      <c r="K82" s="314" t="n">
        <v>7525000</v>
      </c>
      <c r="L82" s="2" t="n">
        <v>44257</v>
      </c>
      <c r="M82" s="170" t="n"/>
      <c r="N82" s="170" t="inlineStr">
        <is>
          <t>312 2543533</t>
        </is>
      </c>
      <c r="O82" s="172" t="inlineStr">
        <is>
          <t>Juan Camilo Gomez Bustamante</t>
        </is>
      </c>
      <c r="P82" s="52" t="inlineStr">
        <is>
          <t>jcgomez@crantioquia.org.co</t>
        </is>
      </c>
    </row>
    <row r="83">
      <c r="A83" s="207" t="n">
        <v>69</v>
      </c>
      <c r="B83" s="170" t="n">
        <v>71</v>
      </c>
      <c r="C83" s="199" t="inlineStr">
        <is>
          <t>COTIZACION DEL DISEÑO DE DETECCIÓN DE INCENDIOS - SUBESTACIONES ELECTRICARIBE</t>
        </is>
      </c>
      <c r="D83" s="312" t="n"/>
      <c r="E83" s="312" t="n"/>
      <c r="F83" s="312" t="n"/>
      <c r="G83" s="312" t="n"/>
      <c r="H83" s="312" t="n"/>
      <c r="I83" s="313" t="n"/>
      <c r="J83" s="199" t="inlineStr">
        <is>
          <t>SPCI</t>
        </is>
      </c>
      <c r="K83" s="314" t="n">
        <v>2500000</v>
      </c>
      <c r="L83" s="2" t="n">
        <v>44257</v>
      </c>
      <c r="M83" s="2" t="inlineStr">
        <is>
          <t>X</t>
        </is>
      </c>
      <c r="N83" s="170" t="n">
        <v>3104203649</v>
      </c>
      <c r="O83" s="172" t="inlineStr">
        <is>
          <t>Mauricio Guzman</t>
        </is>
      </c>
      <c r="P83" s="52" t="inlineStr">
        <is>
          <t>mauroguzmanspci@gmail.com</t>
        </is>
      </c>
    </row>
    <row r="84">
      <c r="B84" s="170" t="n">
        <v>72</v>
      </c>
      <c r="C84" s="199" t="inlineStr">
        <is>
          <t>COTIZACION DE LOS DISEÑOS DE SEGURIDAD HUMANA Y PROTECCIÓN CONTRA  INCENDIOS - EDIFICIO BE SIDE</t>
        </is>
      </c>
      <c r="D84" s="312" t="n"/>
      <c r="E84" s="312" t="n"/>
      <c r="F84" s="312" t="n"/>
      <c r="G84" s="312" t="n"/>
      <c r="H84" s="312" t="n"/>
      <c r="I84" s="313" t="n"/>
      <c r="J84" s="199" t="inlineStr">
        <is>
          <t>PROCOI</t>
        </is>
      </c>
      <c r="K84" s="314" t="n">
        <v>11300000</v>
      </c>
      <c r="L84" s="2" t="n">
        <v>44257</v>
      </c>
      <c r="M84" s="170" t="n"/>
      <c r="N84" s="170" t="n">
        <v>3012224544</v>
      </c>
      <c r="O84" s="172" t="inlineStr">
        <is>
          <t>Andrés Mauricio Correa</t>
        </is>
      </c>
      <c r="P84" s="52" t="inlineStr">
        <is>
          <t>proyectos@procoi.com</t>
        </is>
      </c>
    </row>
    <row r="85">
      <c r="B85" s="170" t="n">
        <v>73</v>
      </c>
      <c r="C85" s="199" t="inlineStr">
        <is>
          <t>COTIZACION DE LOS DISEÑOS DE SEGURIDAD HUMANA Y PROTECCIÓN CONTRA  INCENDIOS - EDIFICIO ATMÓSFERA</t>
        </is>
      </c>
      <c r="D85" s="312" t="n"/>
      <c r="E85" s="312" t="n"/>
      <c r="F85" s="312" t="n"/>
      <c r="G85" s="312" t="n"/>
      <c r="H85" s="312" t="n"/>
      <c r="I85" s="313" t="n"/>
      <c r="J85" s="199" t="inlineStr">
        <is>
          <t>CONSTRUTEC</t>
        </is>
      </c>
      <c r="K85" s="314" t="n">
        <v>7450000</v>
      </c>
      <c r="L85" s="2" t="n">
        <v>44257</v>
      </c>
      <c r="M85" s="170" t="n"/>
      <c r="N85" s="170" t="n"/>
      <c r="O85" s="172" t="inlineStr">
        <is>
          <t>Heydy Natalia Marín</t>
        </is>
      </c>
      <c r="P85" s="52" t="inlineStr">
        <is>
          <t>heydynaty@gmail.com</t>
        </is>
      </c>
    </row>
    <row r="86">
      <c r="B86" s="170" t="n">
        <v>74</v>
      </c>
      <c r="C86" s="199" t="inlineStr">
        <is>
          <t>COTIZACION PLANOS DE SEGURIDAD HUMANA - DISTRITO AVIGNON</t>
        </is>
      </c>
      <c r="D86" s="312" t="n"/>
      <c r="E86" s="312" t="n"/>
      <c r="F86" s="312" t="n"/>
      <c r="G86" s="312" t="n"/>
      <c r="H86" s="312" t="n"/>
      <c r="I86" s="313" t="n"/>
      <c r="J86" s="199" t="inlineStr">
        <is>
          <t>INDUSTRIAS CRUCE</t>
        </is>
      </c>
      <c r="K86" s="314" t="n">
        <v>1050000</v>
      </c>
      <c r="L86" s="2" t="n">
        <v>44258</v>
      </c>
      <c r="M86" s="170" t="n"/>
      <c r="N86" s="170" t="n">
        <v>3147005714</v>
      </c>
      <c r="O86" s="172" t="inlineStr">
        <is>
          <t>Juan Manuel Serrano</t>
        </is>
      </c>
      <c r="P86" s="52" t="inlineStr">
        <is>
          <t>jmaserrano@gmail.com</t>
        </is>
      </c>
    </row>
    <row r="87">
      <c r="B87" s="170" t="n">
        <v>75</v>
      </c>
      <c r="C87" s="199" t="inlineStr">
        <is>
          <t>COTIZACION DEL DISEÑO DE EXTINCIÓN DE INCENDIOS PARA LA PLANTA DE MITSUBISHI ELECTRIC BELLO</t>
        </is>
      </c>
      <c r="D87" s="312" t="n"/>
      <c r="E87" s="312" t="n"/>
      <c r="F87" s="312" t="n"/>
      <c r="G87" s="312" t="n"/>
      <c r="H87" s="312" t="n"/>
      <c r="I87" s="313" t="n"/>
      <c r="J87" s="199" t="inlineStr">
        <is>
          <t>MITSUBISHI</t>
        </is>
      </c>
      <c r="K87" s="314" t="n">
        <v>3135000</v>
      </c>
      <c r="L87" s="2" t="n">
        <v>44258</v>
      </c>
      <c r="M87" s="2" t="n"/>
      <c r="N87" s="170" t="n">
        <v>3178167881</v>
      </c>
      <c r="O87" s="172" t="inlineStr">
        <is>
          <t>Carolina Castaño</t>
        </is>
      </c>
      <c r="P87" s="52" t="inlineStr">
        <is>
          <t>carolina.castano@melcol.com.co</t>
        </is>
      </c>
    </row>
    <row r="88">
      <c r="B88" s="170" t="n">
        <v>76</v>
      </c>
      <c r="C88" s="199" t="inlineStr">
        <is>
          <t>COTIZACION DE LOS DISEÑOS DE SEGURIDAD HUMANA Y PROTECCIÓN CONTRA  INCENDIOS - HOGAR CALDAS</t>
        </is>
      </c>
      <c r="D88" s="312" t="n"/>
      <c r="E88" s="312" t="n"/>
      <c r="F88" s="312" t="n"/>
      <c r="G88" s="312" t="n"/>
      <c r="H88" s="312" t="n"/>
      <c r="I88" s="313" t="n"/>
      <c r="J88" s="199" t="inlineStr">
        <is>
          <t>FUNDACIÓN EMILIANI</t>
        </is>
      </c>
      <c r="K88" s="314" t="n">
        <v>3000000</v>
      </c>
      <c r="L88" s="2" t="n">
        <v>44258</v>
      </c>
      <c r="M88" s="170" t="n"/>
      <c r="N88" s="170" t="inlineStr">
        <is>
          <t>315 451 00 01</t>
        </is>
      </c>
      <c r="O88" s="172" t="inlineStr">
        <is>
          <t>Gustavo Betancourt</t>
        </is>
      </c>
      <c r="P88" s="52" t="inlineStr">
        <is>
          <t>Gustavo.betancourt@homeideal.com.co</t>
        </is>
      </c>
    </row>
    <row r="89">
      <c r="B89" s="170" t="n">
        <v>77</v>
      </c>
      <c r="C89" s="199" t="inlineStr">
        <is>
          <t>COTIZACION DEL DISEÑO DE EXTINCIÓN DE INCENDIOS PARA EL PROYECTO ÁREA PISO 1 VIVA ENVIGADO – 1.000 m2 APROX</t>
        </is>
      </c>
      <c r="D89" s="312" t="n"/>
      <c r="E89" s="312" t="n"/>
      <c r="F89" s="312" t="n"/>
      <c r="G89" s="312" t="n"/>
      <c r="H89" s="312" t="n"/>
      <c r="I89" s="313" t="n"/>
      <c r="J89" s="199" t="inlineStr">
        <is>
          <t>SPCI</t>
        </is>
      </c>
      <c r="K89" s="314" t="n">
        <v>2950000</v>
      </c>
      <c r="L89" s="2" t="n">
        <v>44259</v>
      </c>
      <c r="M89" s="170" t="n"/>
      <c r="N89" s="170" t="n">
        <v>3137546144</v>
      </c>
      <c r="O89" s="172" t="inlineStr">
        <is>
          <t>Juan Camilo Quintero</t>
        </is>
      </c>
      <c r="P89" s="52" t="inlineStr">
        <is>
          <t>proyectos1spci@gmail.com</t>
        </is>
      </c>
    </row>
    <row r="90">
      <c r="B90" s="170" t="n">
        <v>78</v>
      </c>
      <c r="C90" s="199" t="inlineStr">
        <is>
          <t>COTIZACION DEL DISEÑO DE EXTINCIÓN DE INCENDIOS PARA EL PROYECTO ÁREA PISO 1 VIVA ENVIGADO – 2.000 m2 APROX</t>
        </is>
      </c>
      <c r="D90" s="312" t="n"/>
      <c r="E90" s="312" t="n"/>
      <c r="F90" s="312" t="n"/>
      <c r="G90" s="312" t="n"/>
      <c r="H90" s="312" t="n"/>
      <c r="I90" s="313" t="n"/>
      <c r="J90" s="199" t="inlineStr">
        <is>
          <t>SPCI</t>
        </is>
      </c>
      <c r="K90" s="314" t="n">
        <v>4950000</v>
      </c>
      <c r="L90" s="2" t="n">
        <v>44259</v>
      </c>
      <c r="M90" s="170" t="n"/>
      <c r="N90" s="170" t="n">
        <v>3137546144</v>
      </c>
      <c r="O90" s="172" t="inlineStr">
        <is>
          <t>Juan Camilo Quintero</t>
        </is>
      </c>
      <c r="P90" s="52" t="inlineStr">
        <is>
          <t>proyectos1spci@gmail.com</t>
        </is>
      </c>
    </row>
    <row r="91">
      <c r="B91" s="170" t="n">
        <v>79</v>
      </c>
      <c r="C91" s="199" t="inlineStr">
        <is>
          <t>COTIZACION DEL DISEÑO DE EXTINCIÓN DE INCENDIOS PARA EL PROYECTO ÁREA PISO 1 VIVA ENVIGADO – 4.500 m2 APROX</t>
        </is>
      </c>
      <c r="D91" s="312" t="n"/>
      <c r="E91" s="312" t="n"/>
      <c r="F91" s="312" t="n"/>
      <c r="G91" s="312" t="n"/>
      <c r="H91" s="312" t="n"/>
      <c r="I91" s="313" t="n"/>
      <c r="J91" s="199" t="inlineStr">
        <is>
          <t>SPCI</t>
        </is>
      </c>
      <c r="K91" s="314" t="n">
        <v>8970000</v>
      </c>
      <c r="L91" s="2" t="n">
        <v>44259</v>
      </c>
      <c r="M91" s="170" t="n"/>
      <c r="N91" s="170" t="n">
        <v>3137546144</v>
      </c>
      <c r="O91" s="172" t="inlineStr">
        <is>
          <t>Juan Camilo Quintero</t>
        </is>
      </c>
      <c r="P91" s="52" t="inlineStr">
        <is>
          <t>proyectos1spci@gmail.com</t>
        </is>
      </c>
    </row>
    <row r="92">
      <c r="B92" s="170" t="n">
        <v>80</v>
      </c>
      <c r="C92" s="199" t="inlineStr">
        <is>
          <t>COTIZACION DEL ANÁLISIS DE SEGURIDAD HUMANA - HYGGE PALMAS</t>
        </is>
      </c>
      <c r="D92" s="312" t="n"/>
      <c r="E92" s="312" t="n"/>
      <c r="F92" s="312" t="n"/>
      <c r="G92" s="312" t="n"/>
      <c r="H92" s="312" t="n"/>
      <c r="I92" s="313" t="n"/>
      <c r="J92" s="199" t="inlineStr">
        <is>
          <t>GINO</t>
        </is>
      </c>
      <c r="K92" s="314" t="n">
        <v>3990000</v>
      </c>
      <c r="L92" s="2" t="n">
        <v>44259</v>
      </c>
      <c r="M92" s="170" t="n"/>
      <c r="N92" s="170" t="n">
        <v>3113396273</v>
      </c>
      <c r="O92" s="172" t="inlineStr">
        <is>
          <t>Gino Montoya</t>
        </is>
      </c>
      <c r="P92" s="52" t="inlineStr">
        <is>
          <t>gino1037@hotmail.com</t>
        </is>
      </c>
    </row>
    <row r="93">
      <c r="B93" s="170" t="n">
        <v>81</v>
      </c>
      <c r="C93" s="199" t="inlineStr">
        <is>
          <t>COTIZACION DEL ANÁLISIS DE SEGURIDAD HUMANA - PARQUE DEL SOL</t>
        </is>
      </c>
      <c r="D93" s="312" t="n"/>
      <c r="E93" s="312" t="n"/>
      <c r="F93" s="312" t="n"/>
      <c r="G93" s="312" t="n"/>
      <c r="H93" s="312" t="n"/>
      <c r="I93" s="313" t="n"/>
      <c r="J93" s="199" t="inlineStr">
        <is>
          <t>GINO</t>
        </is>
      </c>
      <c r="K93" s="314" t="n">
        <v>1500000</v>
      </c>
      <c r="L93" s="2" t="n">
        <v>44259</v>
      </c>
      <c r="M93" s="170" t="n"/>
      <c r="N93" s="170" t="n">
        <v>3113396273</v>
      </c>
      <c r="O93" s="172" t="inlineStr">
        <is>
          <t>Gino Montoya</t>
        </is>
      </c>
      <c r="P93" s="52" t="inlineStr">
        <is>
          <t>gino1037@hotmail.com</t>
        </is>
      </c>
    </row>
    <row r="94">
      <c r="B94" s="170" t="n">
        <v>82</v>
      </c>
      <c r="C94" s="199" t="inlineStr">
        <is>
          <t>COTIZACION DE LOS DISEÑOS DE PROTECCIÓN CONTRA INCENDIOS - EMPANADAS</t>
        </is>
      </c>
      <c r="D94" s="312" t="n"/>
      <c r="E94" s="312" t="n"/>
      <c r="F94" s="312" t="n"/>
      <c r="G94" s="312" t="n"/>
      <c r="H94" s="312" t="n"/>
      <c r="I94" s="313" t="n"/>
      <c r="J94" s="199" t="inlineStr">
        <is>
          <t>GINO</t>
        </is>
      </c>
      <c r="K94" s="314" t="n">
        <v>1800000</v>
      </c>
      <c r="L94" s="2" t="n">
        <v>44259</v>
      </c>
      <c r="M94" s="170" t="n"/>
      <c r="N94" s="170" t="n">
        <v>3113396273</v>
      </c>
      <c r="O94" s="172" t="inlineStr">
        <is>
          <t>Gino Montoya</t>
        </is>
      </c>
      <c r="P94" s="52" t="inlineStr">
        <is>
          <t>gino1037@hotmail.com</t>
        </is>
      </c>
      <c r="S94" s="321" t="n"/>
    </row>
    <row r="95">
      <c r="B95" s="170" t="n">
        <v>83</v>
      </c>
      <c r="C95" s="199" t="inlineStr">
        <is>
          <t>COTIZACION DEL DISEÑO DE EXTINCIÓN DE INCENDIOS - ZONAS DESPROTEGIDAS PLAZA FABRICATO</t>
        </is>
      </c>
      <c r="D95" s="312" t="n"/>
      <c r="E95" s="312" t="n"/>
      <c r="F95" s="312" t="n"/>
      <c r="G95" s="312" t="n"/>
      <c r="H95" s="312" t="n"/>
      <c r="I95" s="313" t="n"/>
      <c r="J95" s="199" t="inlineStr">
        <is>
          <t>SPCI</t>
        </is>
      </c>
      <c r="K95" s="314" t="n">
        <v>1000000</v>
      </c>
      <c r="L95" s="2" t="n">
        <v>44259</v>
      </c>
      <c r="M95" s="35" t="n"/>
      <c r="N95" s="170" t="n">
        <v>3104165783</v>
      </c>
      <c r="O95" s="172" t="inlineStr">
        <is>
          <t>Cristiam Mondragón</t>
        </is>
      </c>
      <c r="P95" s="52" t="inlineStr">
        <is>
          <t>cristiamondragon.spci@gmail.com</t>
        </is>
      </c>
      <c r="S95" s="321" t="n"/>
    </row>
    <row r="96">
      <c r="B96" s="170" t="n">
        <v>84</v>
      </c>
      <c r="C96" s="199" t="inlineStr">
        <is>
          <t>COTIZACION DEL DISEÑO DE EXTINCIÓN DE INCENDIOS - ALTIPAL GIRARDOTA</t>
        </is>
      </c>
      <c r="D96" s="312" t="n"/>
      <c r="E96" s="312" t="n"/>
      <c r="F96" s="312" t="n"/>
      <c r="G96" s="312" t="n"/>
      <c r="H96" s="312" t="n"/>
      <c r="I96" s="313" t="n"/>
      <c r="J96" s="199" t="inlineStr">
        <is>
          <t>ALTIPAL</t>
        </is>
      </c>
      <c r="K96" s="314" t="n">
        <v>24950000</v>
      </c>
      <c r="L96" s="2" t="n">
        <v>44260</v>
      </c>
      <c r="M96" s="170" t="n"/>
      <c r="N96" s="170" t="n">
        <v>3203470297</v>
      </c>
      <c r="O96" s="172" t="inlineStr">
        <is>
          <t>Juan Carlos Diaz Mayorga</t>
        </is>
      </c>
      <c r="P96" s="52" t="inlineStr">
        <is>
          <t>juan.diaz@altipal.com.co</t>
        </is>
      </c>
    </row>
    <row r="97">
      <c r="B97" s="170" t="n">
        <v>85</v>
      </c>
      <c r="C97" s="199" t="inlineStr">
        <is>
          <t>COTIZACION DEL ANÁLISIS DE SEGURIDAD HUMANA - GO LIVING</t>
        </is>
      </c>
      <c r="D97" s="312" t="n"/>
      <c r="E97" s="312" t="n"/>
      <c r="F97" s="312" t="n"/>
      <c r="G97" s="312" t="n"/>
      <c r="H97" s="312" t="n"/>
      <c r="I97" s="313" t="n"/>
      <c r="J97" s="199" t="inlineStr">
        <is>
          <t>INTERVENTORIA FCR</t>
        </is>
      </c>
      <c r="K97" s="314" t="n">
        <v>3750000</v>
      </c>
      <c r="L97" s="2" t="n">
        <v>44260</v>
      </c>
      <c r="M97" s="2" t="inlineStr">
        <is>
          <t>X</t>
        </is>
      </c>
      <c r="N97" s="170" t="n">
        <v>3008246874</v>
      </c>
      <c r="O97" s="172" t="inlineStr">
        <is>
          <t>Aura Taborda</t>
        </is>
      </c>
      <c r="P97" s="52" t="inlineStr">
        <is>
          <t>interventoriagoliving@gmail.com</t>
        </is>
      </c>
    </row>
    <row r="98">
      <c r="B98" s="170" t="n">
        <v>86</v>
      </c>
      <c r="C98" s="199" t="inlineStr">
        <is>
          <t>COTIZACION DE LOS DISEÑOS DE PROTECCIÓN CONTRA INCENDIOS Y SEGURIDAD HUMANA PARA EL EDIFICIO CARVAJAL PABÓN</t>
        </is>
      </c>
      <c r="D98" s="312" t="n"/>
      <c r="E98" s="312" t="n"/>
      <c r="F98" s="312" t="n"/>
      <c r="G98" s="312" t="n"/>
      <c r="H98" s="312" t="n"/>
      <c r="I98" s="313" t="n"/>
      <c r="J98" s="199" t="inlineStr">
        <is>
          <t>RRP ARQUITECTOS</t>
        </is>
      </c>
      <c r="K98" s="314" t="n">
        <v>11920000</v>
      </c>
      <c r="L98" s="2" t="n">
        <v>44264</v>
      </c>
      <c r="M98" s="170" t="inlineStr">
        <is>
          <t>X</t>
        </is>
      </c>
      <c r="N98" s="170" t="inlineStr">
        <is>
          <t>310 4300137</t>
        </is>
      </c>
      <c r="O98" s="172" t="inlineStr">
        <is>
          <t>Roberto Pineda</t>
        </is>
      </c>
      <c r="P98" s="52" t="inlineStr">
        <is>
          <t>roberto.pineda@rrp.com.co</t>
        </is>
      </c>
    </row>
    <row r="99">
      <c r="B99" s="170" t="n">
        <v>87</v>
      </c>
      <c r="C99" s="199" t="inlineStr">
        <is>
          <t>COTIZACION DE LOS DISEÑOS DE SEGURIDAD HUMANA Y PROTECCIÓN CONTRA  INCENDIOS - SAINT JOSEPH</t>
        </is>
      </c>
      <c r="D99" s="312" t="n"/>
      <c r="E99" s="312" t="n"/>
      <c r="F99" s="312" t="n"/>
      <c r="G99" s="312" t="n"/>
      <c r="H99" s="312" t="n"/>
      <c r="I99" s="313" t="n"/>
      <c r="J99" s="199" t="inlineStr">
        <is>
          <t>JAIME AGUILAR</t>
        </is>
      </c>
      <c r="K99" s="314" t="n">
        <v>9410000</v>
      </c>
      <c r="L99" s="2" t="n">
        <v>44263</v>
      </c>
      <c r="M99" s="170" t="n"/>
      <c r="N99" s="170" t="inlineStr">
        <is>
          <t>320 7254044</t>
        </is>
      </c>
      <c r="O99" s="172" t="inlineStr">
        <is>
          <t>Jaime Andrés Aguilar</t>
        </is>
      </c>
      <c r="P99" s="52" t="inlineStr">
        <is>
          <t xml:space="preserve">	aguilargomez@une.net.co</t>
        </is>
      </c>
    </row>
    <row r="100">
      <c r="B100" s="170" t="n">
        <v>88</v>
      </c>
      <c r="C100" s="199" t="inlineStr">
        <is>
          <t>COTIZACION DE LOS DISEÑOS DE SEGURIDAD HUMANA Y PROTECCIÓN CONTRA  INCENDIOS - ARARAT</t>
        </is>
      </c>
      <c r="D100" s="312" t="n"/>
      <c r="E100" s="312" t="n"/>
      <c r="F100" s="312" t="n"/>
      <c r="G100" s="312" t="n"/>
      <c r="H100" s="312" t="n"/>
      <c r="I100" s="313" t="n"/>
      <c r="J100" s="199" t="inlineStr">
        <is>
          <t>JAIME AGUILAR</t>
        </is>
      </c>
      <c r="K100" s="314" t="n">
        <v>8530000</v>
      </c>
      <c r="L100" s="2" t="n">
        <v>44263</v>
      </c>
      <c r="M100" s="170" t="n"/>
      <c r="N100" s="170" t="inlineStr">
        <is>
          <t>320 7254044</t>
        </is>
      </c>
      <c r="O100" s="172" t="inlineStr">
        <is>
          <t>Jaime Andrés Aguilar</t>
        </is>
      </c>
      <c r="P100" s="52" t="inlineStr">
        <is>
          <t xml:space="preserve">	aguilargomez@une.net.co</t>
        </is>
      </c>
    </row>
    <row r="101">
      <c r="B101" s="170" t="n">
        <v>89</v>
      </c>
      <c r="C101" s="199" t="inlineStr">
        <is>
          <t>COTIZACION DE LOS DISEÑOS DE SEGURIDAD HUMANA Y PROTECCIÓN CONTRA  INCENDIOS - TESORO LIVING</t>
        </is>
      </c>
      <c r="D101" s="312" t="n"/>
      <c r="E101" s="312" t="n"/>
      <c r="F101" s="312" t="n"/>
      <c r="G101" s="312" t="n"/>
      <c r="H101" s="312" t="n"/>
      <c r="I101" s="313" t="n"/>
      <c r="J101" s="199" t="inlineStr">
        <is>
          <t>JAIME AGUILAR</t>
        </is>
      </c>
      <c r="K101" s="314" t="n">
        <v>9280000</v>
      </c>
      <c r="L101" s="2" t="n">
        <v>44263</v>
      </c>
      <c r="M101" s="170" t="n"/>
      <c r="N101" s="170" t="inlineStr">
        <is>
          <t>320 7254044</t>
        </is>
      </c>
      <c r="O101" s="172" t="inlineStr">
        <is>
          <t>Jaime Andrés Aguilar</t>
        </is>
      </c>
      <c r="P101" s="52" t="inlineStr">
        <is>
          <t xml:space="preserve">	aguilargomez@une.net.co</t>
        </is>
      </c>
    </row>
    <row r="102">
      <c r="B102" s="170" t="n">
        <v>90</v>
      </c>
      <c r="C102" s="199" t="inlineStr">
        <is>
          <t>COTIZACION DE LOS DISEÑOS DE SEGURIDAD HUMANA Y PROTECCIÓN CONTRA  INCENDIOS - NUEVA SEDE CLÍNICA SOHEC</t>
        </is>
      </c>
      <c r="D102" s="312" t="n"/>
      <c r="E102" s="312" t="n"/>
      <c r="F102" s="312" t="n"/>
      <c r="G102" s="312" t="n"/>
      <c r="H102" s="312" t="n"/>
      <c r="I102" s="313" t="n"/>
      <c r="J102" s="199" t="inlineStr">
        <is>
          <t>GINO</t>
        </is>
      </c>
      <c r="K102" s="314" t="n">
        <v>22195000</v>
      </c>
      <c r="L102" s="2" t="n">
        <v>44263</v>
      </c>
      <c r="M102" s="170" t="n"/>
      <c r="N102" s="170" t="n">
        <v>3113396273</v>
      </c>
      <c r="O102" s="172" t="inlineStr">
        <is>
          <t>Gino Montoya</t>
        </is>
      </c>
      <c r="P102" s="52" t="inlineStr">
        <is>
          <t>gino1037@hotmail.com</t>
        </is>
      </c>
    </row>
    <row r="103">
      <c r="B103" s="170" t="n">
        <v>91</v>
      </c>
      <c r="C103" s="199" t="inlineStr">
        <is>
          <t>COTIZACION DE LOS DISEÑOS DE SEGURIDAD HUMANA Y PROTECCIÓN CONTRA  INCENDIOS - CALLE FLORA</t>
        </is>
      </c>
      <c r="D103" s="312" t="n"/>
      <c r="E103" s="312" t="n"/>
      <c r="F103" s="312" t="n"/>
      <c r="G103" s="312" t="n"/>
      <c r="H103" s="312" t="n"/>
      <c r="I103" s="313" t="n"/>
      <c r="J103" s="199" t="inlineStr">
        <is>
          <t>TRAZOS URBANOS</t>
        </is>
      </c>
      <c r="K103" s="314" t="n">
        <v>24950000</v>
      </c>
      <c r="L103" s="2" t="n">
        <v>44264</v>
      </c>
      <c r="M103" s="170" t="n"/>
      <c r="N103" s="170" t="inlineStr">
        <is>
          <t>314-773-93-14</t>
        </is>
      </c>
      <c r="O103" s="39" t="inlineStr">
        <is>
          <t>Ana Paulina Isaza E.</t>
        </is>
      </c>
      <c r="P103" s="52" t="inlineStr">
        <is>
          <t>paulinaisaza@trazosurbanos.com.co</t>
        </is>
      </c>
    </row>
    <row r="104">
      <c r="B104" s="170" t="n">
        <v>92</v>
      </c>
      <c r="C104" s="199" t="inlineStr">
        <is>
          <t>COTIZACION DEL DISEÑO DE EXTINCIÓN DE INCENDIOS - INVERPRIMOS</t>
        </is>
      </c>
      <c r="D104" s="312" t="n"/>
      <c r="E104" s="312" t="n"/>
      <c r="F104" s="312" t="n"/>
      <c r="G104" s="312" t="n"/>
      <c r="H104" s="312" t="n"/>
      <c r="I104" s="313" t="n"/>
      <c r="J104" s="199" t="inlineStr">
        <is>
          <t>INVERPRIMOS</t>
        </is>
      </c>
      <c r="K104" s="314" t="n">
        <v>11990000</v>
      </c>
      <c r="L104" s="2" t="n">
        <v>44264</v>
      </c>
      <c r="M104" s="170" t="n"/>
      <c r="N104" s="170" t="n">
        <v>3137851941</v>
      </c>
      <c r="O104" s="172" t="inlineStr">
        <is>
          <t>David Lopera</t>
        </is>
      </c>
      <c r="P104" s="52" t="inlineStr">
        <is>
          <t>david.lopera@socomes.com</t>
        </is>
      </c>
    </row>
    <row r="105">
      <c r="B105" s="170" t="n">
        <v>93</v>
      </c>
      <c r="C105" s="199" t="inlineStr">
        <is>
          <t>COTIZACION DEL RE-DISEÑO DE DETECCIÓN DE INCENDIOS - CAMINO REAL</t>
        </is>
      </c>
      <c r="D105" s="312" t="n"/>
      <c r="E105" s="312" t="n"/>
      <c r="F105" s="312" t="n"/>
      <c r="G105" s="312" t="n"/>
      <c r="H105" s="312" t="n"/>
      <c r="I105" s="313" t="n"/>
      <c r="J105" s="199" t="inlineStr">
        <is>
          <t>SANTIAGO ROJAS</t>
        </is>
      </c>
      <c r="K105" s="314" t="n">
        <v>950000</v>
      </c>
      <c r="L105" s="2" t="n">
        <v>44264</v>
      </c>
      <c r="M105" s="170" t="inlineStr">
        <is>
          <t>X</t>
        </is>
      </c>
      <c r="N105" s="170" t="n">
        <v>3022295772</v>
      </c>
      <c r="O105" s="172" t="inlineStr">
        <is>
          <t>Aurora Rios</t>
        </is>
      </c>
      <c r="P105" s="52" t="inlineStr">
        <is>
          <t>proyectos@santiagorojas.com.co</t>
        </is>
      </c>
    </row>
    <row r="106">
      <c r="B106" s="170" t="n">
        <v>94</v>
      </c>
      <c r="C106" s="199" t="inlineStr">
        <is>
          <t>COTIZACION DEL DISEÑO DE DETECCIÓN DE INCENDIOS - HALL CAJEROS VALLEDUPAR</t>
        </is>
      </c>
      <c r="D106" s="312" t="n"/>
      <c r="E106" s="312" t="n"/>
      <c r="F106" s="312" t="n"/>
      <c r="G106" s="312" t="n"/>
      <c r="H106" s="312" t="n"/>
      <c r="I106" s="313" t="n"/>
      <c r="J106" s="199" t="inlineStr">
        <is>
          <t>SANTIAGO ROJAS</t>
        </is>
      </c>
      <c r="K106" s="314" t="n">
        <v>750000</v>
      </c>
      <c r="L106" s="2" t="n">
        <v>44264</v>
      </c>
      <c r="M106" s="2" t="inlineStr">
        <is>
          <t>X</t>
        </is>
      </c>
      <c r="N106" s="170" t="n">
        <v>3022295773</v>
      </c>
      <c r="O106" s="172" t="inlineStr">
        <is>
          <t>Aurora Rios</t>
        </is>
      </c>
      <c r="P106" s="52" t="inlineStr">
        <is>
          <t>proyectos@santiagorojas.com.co</t>
        </is>
      </c>
      <c r="Q106" s="19" t="n"/>
    </row>
    <row r="107">
      <c r="B107" s="170" t="n">
        <v>95</v>
      </c>
      <c r="C107" s="199" t="inlineStr">
        <is>
          <t>COTIZACION DEL ANÁLISIS DE SEGURIDAD HUMANA PARA LA UNIVERSIDAD CES SEDE APARTADÓ</t>
        </is>
      </c>
      <c r="D107" s="312" t="n"/>
      <c r="E107" s="312" t="n"/>
      <c r="F107" s="312" t="n"/>
      <c r="G107" s="312" t="n"/>
      <c r="H107" s="312" t="n"/>
      <c r="I107" s="313" t="n"/>
      <c r="J107" s="199" t="inlineStr">
        <is>
          <t>CES</t>
        </is>
      </c>
      <c r="K107" s="314" t="n">
        <v>1820000</v>
      </c>
      <c r="L107" s="2" t="n">
        <v>44265</v>
      </c>
      <c r="M107" s="170" t="inlineStr">
        <is>
          <t>X</t>
        </is>
      </c>
      <c r="N107" s="170" t="inlineStr">
        <is>
          <t>316 5793596</t>
        </is>
      </c>
      <c r="O107" s="172" t="inlineStr">
        <is>
          <t>Carlos Andrés Saldarriaga</t>
        </is>
      </c>
      <c r="P107" s="52" t="inlineStr">
        <is>
          <t xml:space="preserve">obras@ces.edu.co </t>
        </is>
      </c>
    </row>
    <row r="108">
      <c r="B108" s="170" t="n">
        <v>96</v>
      </c>
      <c r="C108" s="199" t="inlineStr">
        <is>
          <t>COTIZACION DEL DISEÑO DE EXTINCIÓN DE INCENDIOS - DECATHLON PLAZA FABRICATO</t>
        </is>
      </c>
      <c r="D108" s="312" t="n"/>
      <c r="E108" s="312" t="n"/>
      <c r="F108" s="312" t="n"/>
      <c r="G108" s="312" t="n"/>
      <c r="H108" s="312" t="n"/>
      <c r="I108" s="313" t="n"/>
      <c r="J108" s="199" t="inlineStr">
        <is>
          <t>CONEXO</t>
        </is>
      </c>
      <c r="K108" s="314" t="n">
        <v>4200000</v>
      </c>
      <c r="L108" s="2" t="n">
        <v>44265</v>
      </c>
      <c r="M108" s="170" t="n"/>
      <c r="N108" s="170" t="n">
        <v>3005861916</v>
      </c>
      <c r="O108" s="172" t="inlineStr">
        <is>
          <t>John Jaramillo</t>
        </is>
      </c>
      <c r="P108" s="52" t="inlineStr">
        <is>
          <t>jjaramillo@conexoinmobiliario.com</t>
        </is>
      </c>
      <c r="Q108" s="19" t="n"/>
    </row>
    <row r="109">
      <c r="B109" s="170" t="n">
        <v>97</v>
      </c>
      <c r="C109" s="199" t="inlineStr">
        <is>
          <t>COTIZACION DEL DISEÑO DE EXTINCIÓN DE INCENDIOS - PARQUEADEROS PISOS 4 Y 4_5 PLAZA FABRICATO</t>
        </is>
      </c>
      <c r="D109" s="312" t="n"/>
      <c r="E109" s="312" t="n"/>
      <c r="F109" s="312" t="n"/>
      <c r="G109" s="312" t="n"/>
      <c r="H109" s="312" t="n"/>
      <c r="I109" s="313" t="n"/>
      <c r="J109" s="199" t="inlineStr">
        <is>
          <t>CONEXO</t>
        </is>
      </c>
      <c r="K109" s="314" t="n">
        <v>3500000</v>
      </c>
      <c r="L109" s="2" t="n">
        <v>44265</v>
      </c>
      <c r="M109" s="170" t="n"/>
      <c r="N109" s="170" t="n">
        <v>3005861916</v>
      </c>
      <c r="O109" s="172" t="inlineStr">
        <is>
          <t>John Jaramillo</t>
        </is>
      </c>
      <c r="P109" s="52" t="inlineStr">
        <is>
          <t>jjaramillo@conexoinmobiliario.com</t>
        </is>
      </c>
      <c r="Q109" s="19" t="n"/>
    </row>
    <row r="110">
      <c r="B110" s="170" t="n">
        <v>98</v>
      </c>
      <c r="C110" s="199" t="inlineStr">
        <is>
          <t>COTIZACION DEL ANÁLISIS DE SEGURIDAD HUMANA - EDIFICIO USO MIXTO</t>
        </is>
      </c>
      <c r="D110" s="312" t="n"/>
      <c r="E110" s="312" t="n"/>
      <c r="F110" s="312" t="n"/>
      <c r="G110" s="312" t="n"/>
      <c r="H110" s="312" t="n"/>
      <c r="I110" s="313" t="n"/>
      <c r="J110" s="199" t="inlineStr">
        <is>
          <t>ASHES FIRE</t>
        </is>
      </c>
      <c r="K110" s="314" t="n">
        <v>4640000</v>
      </c>
      <c r="L110" s="2" t="n">
        <v>44265</v>
      </c>
      <c r="M110" s="170" t="n"/>
      <c r="N110" s="170" t="n">
        <v>3103156058</v>
      </c>
      <c r="O110" s="172" t="inlineStr">
        <is>
          <t>Alexander Carvajal Murcia</t>
        </is>
      </c>
      <c r="P110" s="52" t="inlineStr">
        <is>
          <t>direccionregional@ashesfire.co</t>
        </is>
      </c>
    </row>
    <row r="111">
      <c r="B111" s="170" t="n">
        <v>99</v>
      </c>
      <c r="C111" s="199" t="inlineStr">
        <is>
          <t>COTIZACION DEL DISEÑO DE EXTINCIÓN DE INCENDIOS - PARQ 4 Y 4_5 T SERVICIOS Y DECATLHON PLAZA FABRICATO</t>
        </is>
      </c>
      <c r="D111" s="312" t="n"/>
      <c r="E111" s="312" t="n"/>
      <c r="F111" s="312" t="n"/>
      <c r="G111" s="312" t="n"/>
      <c r="H111" s="312" t="n"/>
      <c r="I111" s="313" t="n"/>
      <c r="J111" s="199" t="inlineStr">
        <is>
          <t>CONEXO</t>
        </is>
      </c>
      <c r="K111" s="314" t="n">
        <v>9900000</v>
      </c>
      <c r="L111" s="2" t="n">
        <v>44266</v>
      </c>
      <c r="M111" s="2" t="inlineStr">
        <is>
          <t>X</t>
        </is>
      </c>
      <c r="N111" s="170" t="n">
        <v>3005861916</v>
      </c>
      <c r="O111" s="172" t="inlineStr">
        <is>
          <t>John Jaramillo</t>
        </is>
      </c>
      <c r="P111" s="52" t="inlineStr">
        <is>
          <t>jjaramillo@conexoinmobiliario.com</t>
        </is>
      </c>
    </row>
    <row r="112">
      <c r="B112" s="170" t="n">
        <v>100</v>
      </c>
      <c r="C112" s="199" t="inlineStr">
        <is>
          <t>COTIZACION DE LOS DISEÑOS DE SEGURIDAD HUMANA Y PROTECCIÓN CONTRA  INCENDIOS - HOSPITAL SANTA FÉ DE ANTIOQUIA</t>
        </is>
      </c>
      <c r="D112" s="312" t="n"/>
      <c r="E112" s="312" t="n"/>
      <c r="F112" s="312" t="n"/>
      <c r="G112" s="312" t="n"/>
      <c r="H112" s="312" t="n"/>
      <c r="I112" s="313" t="n"/>
      <c r="J112" s="199" t="inlineStr">
        <is>
          <t>HOSPITAL SANTA FE DE ANTIOQUIA</t>
        </is>
      </c>
      <c r="K112" s="314" t="n">
        <v>9900000</v>
      </c>
      <c r="L112" s="2" t="n">
        <v>44266</v>
      </c>
      <c r="M112" s="170" t="n"/>
      <c r="N112" s="170" t="inlineStr">
        <is>
          <t>310 3215538</t>
        </is>
      </c>
      <c r="O112" s="172" t="inlineStr">
        <is>
          <t>Bibiana Maldonado</t>
        </is>
      </c>
      <c r="P112" s="52" t="inlineStr">
        <is>
          <t>robibimaldonado@hotmail.com</t>
        </is>
      </c>
    </row>
    <row r="113">
      <c r="B113" s="170" t="n">
        <v>101</v>
      </c>
      <c r="C113" s="199" t="inlineStr">
        <is>
          <t>COTIZACION DE LOS DISEÑOS DE PROTECCIÓN CONTRA INCENDIOS Y SEGURIDAD HUMANA PARA EL PROYECTO PANORAMA BOREAL</t>
        </is>
      </c>
      <c r="D113" s="312" t="n"/>
      <c r="E113" s="312" t="n"/>
      <c r="F113" s="312" t="n"/>
      <c r="G113" s="312" t="n"/>
      <c r="H113" s="312" t="n"/>
      <c r="I113" s="313" t="n"/>
      <c r="J113" s="199" t="inlineStr">
        <is>
          <t>SPCI</t>
        </is>
      </c>
      <c r="K113" s="314" t="n">
        <v>21950000</v>
      </c>
      <c r="L113" s="2" t="n">
        <v>44268</v>
      </c>
      <c r="M113" s="170" t="n"/>
      <c r="N113" s="170" t="n">
        <v>3017213541</v>
      </c>
      <c r="O113" s="172" t="inlineStr">
        <is>
          <t>Juan Camilo Echavarría</t>
        </is>
      </c>
      <c r="P113" s="52" t="inlineStr">
        <is>
          <t>dir.comercial@spcisas.com.co</t>
        </is>
      </c>
    </row>
    <row r="114">
      <c r="B114" s="170" t="n">
        <v>102</v>
      </c>
      <c r="C114" s="199" t="inlineStr">
        <is>
          <t>COTIZACIÓN DE LA ASESORÍA EN LA SELECCIÓN DEL INSTALADOR DE LA RCI PARA LA BODEGA KOBA COLOMBIA</t>
        </is>
      </c>
      <c r="D114" s="312" t="n"/>
      <c r="E114" s="312" t="n"/>
      <c r="F114" s="312" t="n"/>
      <c r="G114" s="312" t="n"/>
      <c r="H114" s="312" t="n"/>
      <c r="I114" s="313" t="n"/>
      <c r="J114" s="199" t="inlineStr">
        <is>
          <t>FONDO INMOBILIARIO COLOMBIA</t>
        </is>
      </c>
      <c r="K114" s="314" t="n">
        <v>1990000</v>
      </c>
      <c r="L114" s="2" t="n">
        <v>44270</v>
      </c>
      <c r="M114" s="170" t="n"/>
      <c r="N114" s="170" t="inlineStr">
        <is>
          <t>311 6277293</t>
        </is>
      </c>
      <c r="O114" s="172" t="inlineStr">
        <is>
          <t>Federico Vélez Giraldo</t>
        </is>
      </c>
      <c r="P114" s="52" t="inlineStr">
        <is>
          <t>fevgiral@bancolombia.com.co</t>
        </is>
      </c>
    </row>
    <row r="115">
      <c r="B115" s="170" t="n">
        <v>103</v>
      </c>
      <c r="C115" s="199" t="inlineStr">
        <is>
          <t>COTIZACIÓN DE LA ASESORÍA EN LA INSTALACIÓN DEL SISTEMA DE EXTINCIÓN DE INCENIDOS PARA LA BODEGA KOBA COLOMBIA</t>
        </is>
      </c>
      <c r="D115" s="312" t="n"/>
      <c r="E115" s="312" t="n"/>
      <c r="F115" s="312" t="n"/>
      <c r="G115" s="312" t="n"/>
      <c r="H115" s="312" t="n"/>
      <c r="I115" s="313" t="n"/>
      <c r="J115" s="199" t="inlineStr">
        <is>
          <t>FONDO INMOBILIARIO COLOMBIA</t>
        </is>
      </c>
      <c r="K115" s="314" t="n">
        <v>1100000</v>
      </c>
      <c r="L115" s="2" t="n">
        <v>44270</v>
      </c>
      <c r="M115" s="170" t="n"/>
      <c r="N115" s="170" t="inlineStr">
        <is>
          <t>311 6277293</t>
        </is>
      </c>
      <c r="O115" s="172" t="inlineStr">
        <is>
          <t>Federico Vélez Giraldo</t>
        </is>
      </c>
      <c r="P115" s="52" t="inlineStr">
        <is>
          <t>fevgiral@bancolombia.com.co</t>
        </is>
      </c>
    </row>
    <row r="116">
      <c r="B116" s="170" t="n">
        <v>104</v>
      </c>
      <c r="C116" s="199" t="inlineStr">
        <is>
          <t>COTIZACION DE LOS DISEÑOS DE PROTECCIÓN CONTRA INCENDIOS Y SEGURIDAD HUMANA PARA EL PROYECTO 4 BODEGAS GIRARDOTA</t>
        </is>
      </c>
      <c r="D116" s="312" t="n"/>
      <c r="E116" s="312" t="n"/>
      <c r="F116" s="312" t="n"/>
      <c r="G116" s="312" t="n"/>
      <c r="H116" s="312" t="n"/>
      <c r="I116" s="313" t="n"/>
      <c r="J116" s="199" t="inlineStr">
        <is>
          <t>GINO</t>
        </is>
      </c>
      <c r="K116" s="314" t="n">
        <v>22580000</v>
      </c>
      <c r="L116" s="2" t="n">
        <v>44270</v>
      </c>
      <c r="M116" s="170" t="n"/>
      <c r="N116" s="170" t="n">
        <v>3113396273</v>
      </c>
      <c r="O116" s="172" t="inlineStr">
        <is>
          <t>Gino Montoya</t>
        </is>
      </c>
      <c r="P116" s="52" t="inlineStr">
        <is>
          <t>gino1037@hotmail.com</t>
        </is>
      </c>
    </row>
    <row r="117">
      <c r="B117" s="170" t="n">
        <v>105</v>
      </c>
      <c r="C117" s="199" t="inlineStr">
        <is>
          <t>COTIZACION DEL DISEÑO DE DETECCIÓN DE INCENDIOS - VENAVER</t>
        </is>
      </c>
      <c r="D117" s="312" t="n"/>
      <c r="E117" s="312" t="n"/>
      <c r="F117" s="312" t="n"/>
      <c r="G117" s="312" t="n"/>
      <c r="H117" s="312" t="n"/>
      <c r="I117" s="313" t="n"/>
      <c r="J117" s="199" t="inlineStr">
        <is>
          <t>SECURETEC</t>
        </is>
      </c>
      <c r="K117" s="314" t="n">
        <v>5000000</v>
      </c>
      <c r="L117" s="2" t="n">
        <v>44270</v>
      </c>
      <c r="M117" s="170" t="inlineStr">
        <is>
          <t>X</t>
        </is>
      </c>
      <c r="N117" s="170" t="inlineStr">
        <is>
          <t>312 405 4584</t>
        </is>
      </c>
      <c r="O117" s="172" t="inlineStr">
        <is>
          <t>Maribel Osorio</t>
        </is>
      </c>
      <c r="P117" s="52" t="inlineStr">
        <is>
          <t>ascomercial@securetec.com.co</t>
        </is>
      </c>
    </row>
    <row r="118">
      <c r="B118" s="170" t="n">
        <v>106</v>
      </c>
      <c r="C118" s="199" t="inlineStr">
        <is>
          <t>COTIZACION DEL DISEÑO DE EXTINCIÓN DE INCENDIOS PARA LAS ÁREAS DEL PISO 1 Y EL ÁREA DEL PISO 3 VIVA ENVIGADO</t>
        </is>
      </c>
      <c r="D118" s="312" t="n"/>
      <c r="E118" s="312" t="n"/>
      <c r="F118" s="312" t="n"/>
      <c r="G118" s="312" t="n"/>
      <c r="H118" s="312" t="n"/>
      <c r="I118" s="313" t="n"/>
      <c r="J118" s="199" t="inlineStr">
        <is>
          <t>SPCI</t>
        </is>
      </c>
      <c r="K118" s="314" t="n">
        <v>16870000</v>
      </c>
      <c r="L118" s="2" t="n">
        <v>44270</v>
      </c>
      <c r="M118" s="170" t="n"/>
      <c r="N118" s="170" t="n">
        <v>3137546144</v>
      </c>
      <c r="O118" s="172" t="inlineStr">
        <is>
          <t>Juan Camilo Quintero</t>
        </is>
      </c>
      <c r="P118" s="52" t="inlineStr">
        <is>
          <t>proyectos1spci@gmail.com</t>
        </is>
      </c>
    </row>
    <row r="119">
      <c r="B119" s="170" t="n">
        <v>107</v>
      </c>
      <c r="C119" s="199" t="inlineStr">
        <is>
          <t>COTIZACION DE LOS DISEÑOS DE PROTECCIÓN CONTRA  INCENDIOS - REFORMA FARMACIA CLINICA DEL PRADO</t>
        </is>
      </c>
      <c r="D119" s="312" t="n"/>
      <c r="E119" s="312" t="n"/>
      <c r="F119" s="312" t="n"/>
      <c r="G119" s="312" t="n"/>
      <c r="H119" s="312" t="n"/>
      <c r="I119" s="313" t="n"/>
      <c r="J119" s="199" t="inlineStr">
        <is>
          <t>CNV</t>
        </is>
      </c>
      <c r="K119" s="314" t="n">
        <v>1660000</v>
      </c>
      <c r="L119" s="2" t="n">
        <v>44271</v>
      </c>
      <c r="M119" s="170" t="inlineStr">
        <is>
          <t>X</t>
        </is>
      </c>
      <c r="N119" s="170" t="n"/>
      <c r="O119" s="172" t="inlineStr">
        <is>
          <t>Elizabeth Barrientos</t>
        </is>
      </c>
      <c r="P119" s="52" t="inlineStr">
        <is>
          <t>elizabeth.barrientos@cnv.com.co</t>
        </is>
      </c>
    </row>
    <row r="120">
      <c r="B120" s="170" t="n">
        <v>108</v>
      </c>
      <c r="C120" s="199" t="inlineStr">
        <is>
          <t>COTIZACION DEL ANÁLISIS DE SEGURIDAD HUMANA PARA EL PROYECTO CENTRO DE REFLEXIÓN LOS GÓMEZ</t>
        </is>
      </c>
      <c r="D120" s="312" t="n"/>
      <c r="E120" s="312" t="n"/>
      <c r="F120" s="312" t="n"/>
      <c r="G120" s="312" t="n"/>
      <c r="H120" s="312" t="n"/>
      <c r="I120" s="313" t="n"/>
      <c r="J120" s="199" t="inlineStr">
        <is>
          <t>ROW TECNOLOGÍA</t>
        </is>
      </c>
      <c r="K120" s="314" t="n">
        <v>4390000</v>
      </c>
      <c r="L120" s="2" t="n">
        <v>44272</v>
      </c>
      <c r="M120" s="170" t="n"/>
      <c r="N120" s="170" t="inlineStr">
        <is>
          <t>310 4017512</t>
        </is>
      </c>
      <c r="O120" s="172" t="inlineStr">
        <is>
          <t>Camilo López Giraldo</t>
        </is>
      </c>
      <c r="P120" s="52" t="inlineStr">
        <is>
          <t xml:space="preserve">clopez@rowtecnologia.com </t>
        </is>
      </c>
    </row>
    <row r="121">
      <c r="B121" s="170" t="n">
        <v>109</v>
      </c>
      <c r="C121" s="199" t="inlineStr">
        <is>
          <t>COTIZACION DEL ANÁLISIS DE SEGURIDAD HUMANA PARA EL PROYECTO COLEGIO ITAGUÍ</t>
        </is>
      </c>
      <c r="D121" s="312" t="n"/>
      <c r="E121" s="312" t="n"/>
      <c r="F121" s="312" t="n"/>
      <c r="G121" s="312" t="n"/>
      <c r="H121" s="312" t="n"/>
      <c r="I121" s="313" t="n"/>
      <c r="J121" s="199" t="inlineStr">
        <is>
          <t>ROW TECNOLOGÍA</t>
        </is>
      </c>
      <c r="K121" s="314" t="n">
        <v>2880000</v>
      </c>
      <c r="L121" s="2" t="n">
        <v>44272</v>
      </c>
      <c r="M121" s="170" t="n"/>
      <c r="N121" s="170" t="inlineStr">
        <is>
          <t>310 4017512</t>
        </is>
      </c>
      <c r="O121" s="172" t="inlineStr">
        <is>
          <t>Camilo López Giraldo</t>
        </is>
      </c>
      <c r="P121" s="52" t="inlineStr">
        <is>
          <t xml:space="preserve">clopez@rowtecnologia.com </t>
        </is>
      </c>
    </row>
    <row r="122">
      <c r="B122" s="170" t="n">
        <v>110</v>
      </c>
      <c r="C122" s="199" t="inlineStr">
        <is>
          <t>COTIZACION DE LOS DISEÑOS DE PROTECCIÓN CONTRA INCENDIOS Y SEGURIDAD HUMANA PARA EL PROYECTO RESTAURANTE 200 M IBAGUÉ</t>
        </is>
      </c>
      <c r="D122" s="312" t="n"/>
      <c r="E122" s="312" t="n"/>
      <c r="F122" s="312" t="n"/>
      <c r="G122" s="312" t="n"/>
      <c r="H122" s="312" t="n"/>
      <c r="I122" s="313" t="n"/>
      <c r="J122" s="199" t="inlineStr">
        <is>
          <t>CONDISEÑO</t>
        </is>
      </c>
      <c r="K122" s="314" t="n">
        <v>3390000</v>
      </c>
      <c r="L122" s="2" t="n">
        <v>44273</v>
      </c>
      <c r="M122" s="2" t="n"/>
      <c r="N122" s="170" t="n">
        <v>3175594091</v>
      </c>
      <c r="O122" s="172" t="inlineStr">
        <is>
          <t>Nakary García Romero</t>
        </is>
      </c>
      <c r="P122" s="52" t="inlineStr">
        <is>
          <t>n.garcia@condiseno.co</t>
        </is>
      </c>
    </row>
    <row r="123">
      <c r="B123" s="170" t="n">
        <v>111</v>
      </c>
      <c r="C123" s="199" t="inlineStr">
        <is>
          <t>COTIZACION DEL DISEÑO DE EXTINCIÓN DE INCENDIOS - PROTECCIÓN ARCHIVOS FM200</t>
        </is>
      </c>
      <c r="D123" s="312" t="n"/>
      <c r="E123" s="312" t="n"/>
      <c r="F123" s="312" t="n"/>
      <c r="G123" s="312" t="n"/>
      <c r="H123" s="312" t="n"/>
      <c r="I123" s="313" t="n"/>
      <c r="J123" s="199" t="inlineStr">
        <is>
          <t>FPSG</t>
        </is>
      </c>
      <c r="K123" s="314" t="n">
        <v>1500</v>
      </c>
      <c r="L123" s="2" t="n">
        <v>44273</v>
      </c>
      <c r="M123" s="170" t="n"/>
      <c r="N123" s="170" t="n">
        <v>3108227462</v>
      </c>
      <c r="O123" s="172" t="inlineStr">
        <is>
          <t>Álvaro Manosalva</t>
        </is>
      </c>
      <c r="P123" s="52" t="inlineStr">
        <is>
          <t xml:space="preserve">alvaromanosalva@sfiregroup.com </t>
        </is>
      </c>
    </row>
    <row r="124">
      <c r="B124" s="170" t="n">
        <v>112</v>
      </c>
      <c r="C124" s="199" t="inlineStr">
        <is>
          <t>COTIZACIÓN DE LA AUDITORÍA DE OBRA PARA LAS ETAPAS 2 Y 3 DEL PROYECTO PRIMEIRO</t>
        </is>
      </c>
      <c r="D124" s="312" t="n"/>
      <c r="E124" s="312" t="n"/>
      <c r="F124" s="312" t="n"/>
      <c r="G124" s="312" t="n"/>
      <c r="H124" s="312" t="n"/>
      <c r="I124" s="313" t="n"/>
      <c r="J124" s="199" t="inlineStr">
        <is>
          <t>PRIMEIRO</t>
        </is>
      </c>
      <c r="K124" s="314" t="inlineStr">
        <is>
          <t>Variable</t>
        </is>
      </c>
      <c r="L124" s="2" t="n">
        <v>44285</v>
      </c>
      <c r="M124" s="170" t="n"/>
      <c r="N124" s="170" t="inlineStr">
        <is>
          <t>300 2218400</t>
        </is>
      </c>
      <c r="O124" s="172" t="inlineStr">
        <is>
          <t>Dairon Andrés Obando</t>
        </is>
      </c>
      <c r="P124" s="52" t="inlineStr">
        <is>
          <t>daironobando@estructurar.co</t>
        </is>
      </c>
    </row>
    <row r="125">
      <c r="B125" s="170" t="n">
        <v>113</v>
      </c>
      <c r="C125" s="199" t="inlineStr">
        <is>
          <t>COTIZACION DE LOS DISEÑOS DE SEGURIDAD HUMANA Y PROTECCIÓN CONTRA  INCENDIOS - BODEGA DISLICORES</t>
        </is>
      </c>
      <c r="D125" s="312" t="n"/>
      <c r="E125" s="312" t="n"/>
      <c r="F125" s="312" t="n"/>
      <c r="G125" s="312" t="n"/>
      <c r="H125" s="312" t="n"/>
      <c r="I125" s="313" t="n"/>
      <c r="J125" s="199" t="inlineStr">
        <is>
          <t>I+CONSTRUCTORA</t>
        </is>
      </c>
      <c r="K125" s="314" t="n">
        <v>39950000</v>
      </c>
      <c r="L125" s="2" t="n">
        <v>44274</v>
      </c>
      <c r="M125" s="2" t="n"/>
      <c r="N125" s="170" t="inlineStr">
        <is>
          <t>(+574) 4443091</t>
        </is>
      </c>
      <c r="O125" s="172" t="inlineStr">
        <is>
          <t>Lina Montoya</t>
        </is>
      </c>
      <c r="P125" s="52" t="inlineStr">
        <is>
          <t xml:space="preserve"> lmontoya@iconstructora.com.co</t>
        </is>
      </c>
    </row>
    <row r="126">
      <c r="B126" s="170" t="n">
        <v>114</v>
      </c>
      <c r="C126" s="199" t="inlineStr">
        <is>
          <t>COTIZACION DE LOS DISEÑOS DE SEGURIDAD HUMANA Y PROTECCIÓN CONTRA  INCENDIOS - DOVLE</t>
        </is>
      </c>
      <c r="D126" s="312" t="n"/>
      <c r="E126" s="312" t="n"/>
      <c r="F126" s="312" t="n"/>
      <c r="G126" s="312" t="n"/>
      <c r="H126" s="312" t="n"/>
      <c r="I126" s="313" t="n"/>
      <c r="J126" s="199" t="inlineStr">
        <is>
          <t>IA&amp;C</t>
        </is>
      </c>
      <c r="K126" s="314" t="n">
        <v>29950000</v>
      </c>
      <c r="L126" s="2" t="n">
        <v>44279</v>
      </c>
      <c r="M126" s="2" t="n"/>
      <c r="N126" s="170" t="inlineStr">
        <is>
          <t>321 753 86 61</t>
        </is>
      </c>
      <c r="O126" s="172" t="inlineStr">
        <is>
          <t>Rafael Cabrera</t>
        </is>
      </c>
      <c r="P126" s="52" t="inlineStr">
        <is>
          <t>rafaelcabrera@iayc.co</t>
        </is>
      </c>
    </row>
    <row r="127">
      <c r="B127" s="170" t="n">
        <v>115</v>
      </c>
      <c r="C127" s="199" t="inlineStr">
        <is>
          <t>COTIZACION DE LOS DISEÑOS DE SEGURIDAD HUMANA Y PROTECCIÓN CONTRA  INCENDIOS - MASAYA</t>
        </is>
      </c>
      <c r="D127" s="312" t="n"/>
      <c r="E127" s="312" t="n"/>
      <c r="F127" s="312" t="n"/>
      <c r="G127" s="312" t="n"/>
      <c r="H127" s="312" t="n"/>
      <c r="I127" s="313" t="n"/>
      <c r="J127" s="199" t="inlineStr">
        <is>
          <t>CNV</t>
        </is>
      </c>
      <c r="K127" s="314" t="n">
        <v>3750000</v>
      </c>
      <c r="L127" s="2" t="n">
        <v>44279</v>
      </c>
      <c r="M127" s="2" t="n"/>
      <c r="N127" s="170" t="n">
        <v>4447410</v>
      </c>
      <c r="O127" s="172" t="inlineStr">
        <is>
          <t>Camila de Bedout</t>
        </is>
      </c>
      <c r="P127" s="52" t="inlineStr">
        <is>
          <t>camila.debedout@cnv.com.co</t>
        </is>
      </c>
    </row>
    <row r="128">
      <c r="B128" s="170" t="n">
        <v>116</v>
      </c>
      <c r="C128" s="199" t="inlineStr">
        <is>
          <t>COTIZACION DEL DISEÑO DEL SISTEMA DE BOMBEO DE EXTINCIÓN DE INCENDIOS PARA LA PLANTA CARBOQUÍMICA</t>
        </is>
      </c>
      <c r="D128" s="312" t="n"/>
      <c r="E128" s="312" t="n"/>
      <c r="F128" s="312" t="n"/>
      <c r="G128" s="312" t="n"/>
      <c r="H128" s="312" t="n"/>
      <c r="I128" s="313" t="n"/>
      <c r="J128" s="199" t="inlineStr">
        <is>
          <t>SPCI</t>
        </is>
      </c>
      <c r="K128" s="314" t="n">
        <v>1650000</v>
      </c>
      <c r="L128" s="2" t="n">
        <v>44280</v>
      </c>
      <c r="M128" s="2" t="n"/>
      <c r="N128" s="170" t="n">
        <v>3104203649</v>
      </c>
      <c r="O128" s="172" t="inlineStr">
        <is>
          <t>Mauricio Guzman</t>
        </is>
      </c>
      <c r="P128" s="52" t="inlineStr">
        <is>
          <t>mauroguzmanspci@gmail.com</t>
        </is>
      </c>
    </row>
    <row r="129">
      <c r="B129" s="170" t="n">
        <v>117</v>
      </c>
      <c r="C129" s="199" t="inlineStr">
        <is>
          <t>COTIZACION DEL DISEÑO DE EXTINCIÓN DE INCENDIOS - CENTRO COMRCIAL IDEO</t>
        </is>
      </c>
      <c r="D129" s="312" t="n"/>
      <c r="E129" s="312" t="n"/>
      <c r="F129" s="312" t="n"/>
      <c r="G129" s="312" t="n"/>
      <c r="H129" s="312" t="n"/>
      <c r="I129" s="313" t="n"/>
      <c r="J129" s="199" t="inlineStr">
        <is>
          <t>SPCI</t>
        </is>
      </c>
      <c r="K129" s="317" t="n">
        <v>19980000</v>
      </c>
      <c r="L129" s="2" t="n">
        <v>44280</v>
      </c>
      <c r="M129" s="170" t="n"/>
      <c r="N129" s="170" t="n">
        <v>3017213541</v>
      </c>
      <c r="O129" s="172" t="inlineStr">
        <is>
          <t>Juan Camilo Echavarría</t>
        </is>
      </c>
      <c r="P129" s="52" t="inlineStr">
        <is>
          <t>dir.comercial@spcisas.com.co</t>
        </is>
      </c>
    </row>
    <row r="130">
      <c r="B130" s="170" t="n">
        <v>118</v>
      </c>
      <c r="C130" s="199" t="inlineStr">
        <is>
          <t>COTIZACION DEL DISEÑO DE DETECCIÓN DE INCENDIOS - CEDI FALABELLA</t>
        </is>
      </c>
      <c r="D130" s="312" t="n"/>
      <c r="E130" s="312" t="n"/>
      <c r="F130" s="312" t="n"/>
      <c r="G130" s="312" t="n"/>
      <c r="H130" s="312" t="n"/>
      <c r="I130" s="313" t="n"/>
      <c r="J130" s="199" t="inlineStr">
        <is>
          <t>FIRE MARSHALL</t>
        </is>
      </c>
      <c r="K130" s="317" t="n">
        <v>17500000</v>
      </c>
      <c r="L130" s="2" t="n">
        <v>44280</v>
      </c>
      <c r="M130" s="170" t="n"/>
      <c r="N130" s="170" t="n">
        <v>4447597</v>
      </c>
      <c r="O130" s="172" t="inlineStr">
        <is>
          <t>José Manuel Maya</t>
        </is>
      </c>
      <c r="P130" s="52" t="inlineStr">
        <is>
          <t>josemaya@firemarshal.com.co</t>
        </is>
      </c>
    </row>
    <row r="131">
      <c r="B131" s="170" t="n">
        <v>119</v>
      </c>
      <c r="C131" s="199" t="inlineStr">
        <is>
          <t>COTIZACION DEL ANÁLISIS DE SEGURIDAD HUMANA - PARQUE DEL SOL</t>
        </is>
      </c>
      <c r="D131" s="312" t="n"/>
      <c r="E131" s="312" t="n"/>
      <c r="F131" s="312" t="n"/>
      <c r="G131" s="312" t="n"/>
      <c r="H131" s="312" t="n"/>
      <c r="I131" s="313" t="n"/>
      <c r="J131" s="199" t="inlineStr">
        <is>
          <t>ALEJANDRO VELASQUEZ</t>
        </is>
      </c>
      <c r="K131" s="314" t="n">
        <v>1500000</v>
      </c>
      <c r="L131" s="2" t="n">
        <v>44281</v>
      </c>
      <c r="M131" s="2" t="n"/>
      <c r="N131" s="170" t="n">
        <v>3128222923</v>
      </c>
      <c r="O131" s="172" t="inlineStr">
        <is>
          <t>Alejandro Velásquez</t>
        </is>
      </c>
      <c r="P131" s="52" t="inlineStr">
        <is>
          <t>ing.luisalejandrov@gmail.com</t>
        </is>
      </c>
    </row>
    <row r="132">
      <c r="B132" s="170" t="n">
        <v>120</v>
      </c>
      <c r="C132" s="199" t="inlineStr">
        <is>
          <t>COTIZACION DE LOS DISEÑOS DE SEGURIDAD HUMANA Y PROTECCIÓN CONTRA  INCENDIOS - COLSÁNITA BOGOTÁ</t>
        </is>
      </c>
      <c r="D132" s="312" t="n"/>
      <c r="E132" s="312" t="n"/>
      <c r="F132" s="312" t="n"/>
      <c r="G132" s="312" t="n"/>
      <c r="H132" s="312" t="n"/>
      <c r="I132" s="313" t="n"/>
      <c r="J132" s="199" t="inlineStr">
        <is>
          <t>CONDISEÑO</t>
        </is>
      </c>
      <c r="K132" s="314" t="n">
        <v>36370000</v>
      </c>
      <c r="L132" s="2" t="n">
        <v>44284</v>
      </c>
      <c r="M132" s="2" t="n"/>
      <c r="N132" s="170" t="n">
        <v>3175594091</v>
      </c>
      <c r="O132" s="172" t="inlineStr">
        <is>
          <t>Nakary García Romero</t>
        </is>
      </c>
      <c r="P132" s="52" t="inlineStr">
        <is>
          <t>n.garcia@condiseno.co</t>
        </is>
      </c>
    </row>
    <row r="133">
      <c r="B133" s="170" t="n">
        <v>121</v>
      </c>
      <c r="C133" s="199" t="inlineStr">
        <is>
          <t>COTIZACION DEL ANÁLISIS DE SEGURIDAD HUMANA - COLEGIO REGGIO EMILIA</t>
        </is>
      </c>
      <c r="D133" s="312" t="n"/>
      <c r="E133" s="312" t="n"/>
      <c r="F133" s="312" t="n"/>
      <c r="G133" s="312" t="n"/>
      <c r="H133" s="312" t="n"/>
      <c r="I133" s="313" t="n"/>
      <c r="J133" s="199" t="inlineStr">
        <is>
          <t>REGGIO EMILIA</t>
        </is>
      </c>
      <c r="K133" s="314" t="n">
        <v>2570000</v>
      </c>
      <c r="L133" s="2" t="n">
        <v>44284</v>
      </c>
      <c r="M133" s="170" t="n"/>
      <c r="N133" s="170" t="inlineStr">
        <is>
          <t>317 4405204</t>
        </is>
      </c>
      <c r="O133" s="172" t="inlineStr">
        <is>
          <t>Fredy Flórez</t>
        </is>
      </c>
      <c r="P133" s="52" t="n"/>
    </row>
    <row r="134">
      <c r="B134" s="170" t="n">
        <v>122</v>
      </c>
      <c r="C134" s="199" t="inlineStr">
        <is>
          <t>COTIZACION DEL DISEÑO DE EXTINCIÓN DE INCENDIOS VORTEX - CASA BICENTENARIO PERÚ</t>
        </is>
      </c>
      <c r="D134" s="312" t="n"/>
      <c r="E134" s="312" t="n"/>
      <c r="F134" s="312" t="n"/>
      <c r="G134" s="312" t="n"/>
      <c r="H134" s="312" t="n"/>
      <c r="I134" s="313" t="n"/>
      <c r="J134" s="199" t="inlineStr">
        <is>
          <t>FPSG</t>
        </is>
      </c>
      <c r="K134" s="314" t="n">
        <v>5650</v>
      </c>
      <c r="L134" s="2" t="n">
        <v>44285</v>
      </c>
      <c r="M134" s="170" t="n"/>
      <c r="N134" s="170" t="n">
        <v>3108227462</v>
      </c>
      <c r="O134" s="172" t="inlineStr">
        <is>
          <t>Álvaro Manosalva</t>
        </is>
      </c>
      <c r="P134" s="52" t="inlineStr">
        <is>
          <t xml:space="preserve">alvaromanosalva@sfiregroup.com </t>
        </is>
      </c>
    </row>
    <row r="135">
      <c r="B135" s="170" t="n">
        <v>123</v>
      </c>
      <c r="C135" s="199" t="inlineStr">
        <is>
          <t>COTIZACION DE LOS DISEÑOS DE PROTECCIÓN CONTRA INCENDIOS PARA EL PROYECTO LOCAL 18A41 FIC 48</t>
        </is>
      </c>
      <c r="D135" s="312" t="n"/>
      <c r="E135" s="312" t="n"/>
      <c r="F135" s="312" t="n"/>
      <c r="G135" s="312" t="n"/>
      <c r="H135" s="312" t="n"/>
      <c r="I135" s="313" t="n"/>
      <c r="J135" s="199" t="inlineStr">
        <is>
          <t>SOCOMES</t>
        </is>
      </c>
      <c r="K135" s="314" t="n">
        <v>1000000</v>
      </c>
      <c r="L135" s="2" t="n">
        <v>44285</v>
      </c>
      <c r="M135" s="170" t="n"/>
      <c r="N135" s="170" t="n">
        <v>3137851941</v>
      </c>
      <c r="O135" s="172" t="inlineStr">
        <is>
          <t>David Lopera</t>
        </is>
      </c>
      <c r="P135" s="52" t="inlineStr">
        <is>
          <t>david.lopera@socomes.com</t>
        </is>
      </c>
    </row>
    <row r="136">
      <c r="B136" s="170" t="n">
        <v>124</v>
      </c>
      <c r="C136" s="199" t="inlineStr">
        <is>
          <t>COTIZACION DEL DISEÑO DE EXTINCIÓN DE INCENDIOS PARA EL PROYECTO ALKOMPRAR PLAZA JARDÍN</t>
        </is>
      </c>
      <c r="D136" s="312" t="n"/>
      <c r="E136" s="312" t="n"/>
      <c r="F136" s="312" t="n"/>
      <c r="G136" s="312" t="n"/>
      <c r="H136" s="312" t="n"/>
      <c r="I136" s="313" t="n"/>
      <c r="J136" s="199" t="inlineStr">
        <is>
          <t>SOCOMES</t>
        </is>
      </c>
      <c r="K136" s="314" t="n">
        <v>3100000</v>
      </c>
      <c r="L136" s="2" t="n">
        <v>44285</v>
      </c>
      <c r="M136" s="2" t="inlineStr">
        <is>
          <t>X</t>
        </is>
      </c>
      <c r="N136" s="170" t="n">
        <v>3137851941</v>
      </c>
      <c r="O136" s="172" t="inlineStr">
        <is>
          <t>David Lopera</t>
        </is>
      </c>
      <c r="P136" s="52" t="inlineStr">
        <is>
          <t>david.lopera@socomes.com</t>
        </is>
      </c>
    </row>
    <row r="137">
      <c r="B137" s="170" t="n">
        <v>125</v>
      </c>
      <c r="C137" s="199" t="inlineStr">
        <is>
          <t>COTIZACION DE LOS DISEÑOS DE PROTECCIÓN CONTRA INCENDIOS PARA EL PROYECTO BODEGA LOGISTRAL</t>
        </is>
      </c>
      <c r="D137" s="312" t="n"/>
      <c r="E137" s="312" t="n"/>
      <c r="F137" s="312" t="n"/>
      <c r="G137" s="312" t="n"/>
      <c r="H137" s="312" t="n"/>
      <c r="I137" s="313" t="n"/>
      <c r="J137" s="199" t="inlineStr">
        <is>
          <t>SECURETEC</t>
        </is>
      </c>
      <c r="K137" s="314" t="n">
        <v>10000000</v>
      </c>
      <c r="L137" s="2" t="n">
        <v>44291</v>
      </c>
      <c r="M137" s="170" t="n"/>
      <c r="N137" s="170" t="inlineStr">
        <is>
          <t>312 405 4584</t>
        </is>
      </c>
      <c r="O137" s="172" t="inlineStr">
        <is>
          <t>Maribel Osorio</t>
        </is>
      </c>
      <c r="P137" s="52" t="inlineStr">
        <is>
          <t>ascomercial@securetec.com.co</t>
        </is>
      </c>
    </row>
    <row r="138">
      <c r="B138" s="170" t="n">
        <v>126</v>
      </c>
      <c r="C138" s="199" t="inlineStr">
        <is>
          <t>COTIZACION DE LOS DISEÑOS DE SEGURIDAD HUMANA Y PROTECCIÓN CONTRA INCENDIOS - SACUDETE BARRANQUILLA</t>
        </is>
      </c>
      <c r="D138" s="312" t="n"/>
      <c r="E138" s="312" t="n"/>
      <c r="F138" s="312" t="n"/>
      <c r="G138" s="312" t="n"/>
      <c r="H138" s="312" t="n"/>
      <c r="I138" s="313" t="n"/>
      <c r="J138" s="199" t="inlineStr">
        <is>
          <t>ALEJANDRO RESTREPO</t>
        </is>
      </c>
      <c r="K138" s="314" t="n">
        <v>15150000</v>
      </c>
      <c r="L138" s="2" t="n">
        <v>44292</v>
      </c>
      <c r="M138" s="170" t="n"/>
      <c r="N138" s="170" t="n">
        <v>3148933909</v>
      </c>
      <c r="O138" s="172" t="inlineStr">
        <is>
          <t>Alejandro Restrepo</t>
        </is>
      </c>
      <c r="P138" s="52" t="inlineStr">
        <is>
          <t>alejandrorestrepom@gmail.com</t>
        </is>
      </c>
    </row>
    <row r="139">
      <c r="B139" s="170" t="n">
        <v>127</v>
      </c>
      <c r="C139" s="199" t="inlineStr">
        <is>
          <t>COTIZACION DEL DISEÑO DE EXTINCIÓN DE INCENDIOS - BODEGA 600 LATAM</t>
        </is>
      </c>
      <c r="D139" s="312" t="n"/>
      <c r="E139" s="312" t="n"/>
      <c r="F139" s="312" t="n"/>
      <c r="G139" s="312" t="n"/>
      <c r="H139" s="312" t="n"/>
      <c r="I139" s="313" t="n"/>
      <c r="J139" s="199" t="inlineStr">
        <is>
          <t>FPSG</t>
        </is>
      </c>
      <c r="K139" s="314" t="n">
        <v>19950</v>
      </c>
      <c r="L139" s="2" t="n">
        <v>44292</v>
      </c>
      <c r="M139" s="2" t="n"/>
      <c r="N139" s="170" t="n">
        <v>3108227462</v>
      </c>
      <c r="O139" s="172" t="inlineStr">
        <is>
          <t>Álvaro Manosalva</t>
        </is>
      </c>
      <c r="P139" s="52" t="inlineStr">
        <is>
          <t xml:space="preserve">alvaromanosalva@sfiregroup.com </t>
        </is>
      </c>
    </row>
    <row r="140">
      <c r="B140" s="170" t="n">
        <v>128</v>
      </c>
      <c r="C140" s="199" t="inlineStr">
        <is>
          <t>COTIZACION DEL DISEÑO DE EXTINCIÓN DE INCENDIOS - BODEGA 6 NORTIKO PARQUE EMPRESARIAL</t>
        </is>
      </c>
      <c r="D140" s="312" t="n"/>
      <c r="E140" s="312" t="n"/>
      <c r="F140" s="312" t="n"/>
      <c r="G140" s="312" t="n"/>
      <c r="H140" s="312" t="n"/>
      <c r="I140" s="313" t="n"/>
      <c r="J140" s="199" t="inlineStr">
        <is>
          <t>SPCI</t>
        </is>
      </c>
      <c r="K140" s="314" t="n">
        <v>8000000</v>
      </c>
      <c r="L140" s="2" t="n">
        <v>44292</v>
      </c>
      <c r="M140" s="170" t="n"/>
      <c r="N140" s="170" t="n">
        <v>3017213541</v>
      </c>
      <c r="O140" s="172" t="inlineStr">
        <is>
          <t>Juan Camilo Echavarría</t>
        </is>
      </c>
      <c r="P140" s="52" t="inlineStr">
        <is>
          <t>dir.comercial@spcisas.com.co</t>
        </is>
      </c>
    </row>
    <row r="141">
      <c r="B141" s="170" t="n">
        <v>129</v>
      </c>
      <c r="C141" s="199" t="inlineStr">
        <is>
          <t>COTIZACION DE LOS DISEÑOS DE SEGURIDAD HUMANA Y PROTECCIÓN CONTRA  INCENDIOS - PLAZA DE MARINILLA</t>
        </is>
      </c>
      <c r="D141" s="312" t="n"/>
      <c r="E141" s="312" t="n"/>
      <c r="F141" s="312" t="n"/>
      <c r="G141" s="312" t="n"/>
      <c r="H141" s="312" t="n"/>
      <c r="I141" s="313" t="n"/>
      <c r="J141" s="199" t="inlineStr">
        <is>
          <t>ESTEVAN CASTAÑO</t>
        </is>
      </c>
      <c r="K141" s="314" t="n">
        <v>14930000</v>
      </c>
      <c r="L141" s="2" t="n">
        <v>44292</v>
      </c>
      <c r="M141" s="2" t="n"/>
      <c r="N141" s="170" t="inlineStr">
        <is>
          <t>300 5766369</t>
        </is>
      </c>
      <c r="O141" s="172" t="inlineStr">
        <is>
          <t>Estevan Castaño</t>
        </is>
      </c>
      <c r="P141" s="52" t="inlineStr">
        <is>
          <t xml:space="preserve">estevancastano@gmail.com </t>
        </is>
      </c>
    </row>
    <row r="142">
      <c r="B142" s="170" t="n">
        <v>130</v>
      </c>
      <c r="C142" s="199" t="inlineStr">
        <is>
          <t>COTIZACION DEL DISEÑO DE EXTINCIÓN DE INCENDIOS - ENERGIZAR EOH</t>
        </is>
      </c>
      <c r="D142" s="312" t="n"/>
      <c r="E142" s="312" t="n"/>
      <c r="F142" s="312" t="n"/>
      <c r="G142" s="312" t="n"/>
      <c r="H142" s="312" t="n"/>
      <c r="I142" s="313" t="n"/>
      <c r="J142" s="199" t="inlineStr">
        <is>
          <t>HECTOR MOLINA</t>
        </is>
      </c>
      <c r="K142" s="314" t="n">
        <v>7500000</v>
      </c>
      <c r="L142" s="2" t="n">
        <v>44292</v>
      </c>
      <c r="M142" s="170" t="n"/>
      <c r="N142" s="170" t="n">
        <v>3174893570</v>
      </c>
      <c r="O142" s="172" t="inlineStr">
        <is>
          <t>Hector Molina</t>
        </is>
      </c>
      <c r="P142" s="52" t="inlineStr">
        <is>
          <t>hemolinaconstrucciones@gmail.com</t>
        </is>
      </c>
    </row>
    <row r="143">
      <c r="B143" s="170" t="n">
        <v>131</v>
      </c>
      <c r="C143" s="199" t="inlineStr">
        <is>
          <t>COTIZACION DE LOS DISEÑOS DE PROTECCIÓN CONTRA INCENDIOS Y SEGURIDAD HUMANA PARA EL PROYECTO COLEGIO REGGIO EMILIA</t>
        </is>
      </c>
      <c r="D143" s="312" t="n"/>
      <c r="E143" s="312" t="n"/>
      <c r="F143" s="312" t="n"/>
      <c r="G143" s="312" t="n"/>
      <c r="H143" s="312" t="n"/>
      <c r="I143" s="313" t="n"/>
      <c r="J143" s="199" t="inlineStr">
        <is>
          <t>REGGIO EMILIA</t>
        </is>
      </c>
      <c r="K143" s="314" t="n">
        <v>3000000</v>
      </c>
      <c r="L143" s="2" t="n">
        <v>44294</v>
      </c>
      <c r="M143" s="170" t="n"/>
      <c r="N143" s="170" t="inlineStr">
        <is>
          <t>317 4405204</t>
        </is>
      </c>
      <c r="O143" s="172" t="inlineStr">
        <is>
          <t>Fredy Flórez</t>
        </is>
      </c>
      <c r="P143" s="52" t="n"/>
    </row>
    <row r="144">
      <c r="B144" s="170" t="n">
        <v>132</v>
      </c>
      <c r="C144" s="199" t="inlineStr">
        <is>
          <t>COTIZACION DEL DISEÑO DE DETECCIÓN DE INCENDIOS - HALL CAJEROS CAMINO REAL</t>
        </is>
      </c>
      <c r="D144" s="312" t="n"/>
      <c r="E144" s="312" t="n"/>
      <c r="F144" s="312" t="n"/>
      <c r="G144" s="312" t="n"/>
      <c r="H144" s="312" t="n"/>
      <c r="I144" s="313" t="n"/>
      <c r="J144" s="199" t="inlineStr">
        <is>
          <t>SANTIAGO ROJAS</t>
        </is>
      </c>
      <c r="K144" s="314" t="n">
        <v>750000</v>
      </c>
      <c r="L144" s="2" t="n">
        <v>44294</v>
      </c>
      <c r="M144" s="2" t="inlineStr">
        <is>
          <t>X</t>
        </is>
      </c>
      <c r="N144" s="170" t="inlineStr">
        <is>
          <t>302 2806727</t>
        </is>
      </c>
      <c r="O144" s="172" t="inlineStr">
        <is>
          <t>Vnessa Ramirez</t>
        </is>
      </c>
      <c r="P144" s="52" t="inlineStr">
        <is>
          <t>proyectos@santiagorojas.com.co</t>
        </is>
      </c>
    </row>
    <row r="145">
      <c r="B145" s="170" t="n">
        <v>133</v>
      </c>
      <c r="C145" s="199" t="inlineStr">
        <is>
          <t>COTIZACION EVALUACIÓN TÉCNICA SISTEMA DE DETECCIÓN ALMACAFE BUGA</t>
        </is>
      </c>
      <c r="D145" s="312" t="n"/>
      <c r="E145" s="312" t="n"/>
      <c r="F145" s="312" t="n"/>
      <c r="G145" s="312" t="n"/>
      <c r="H145" s="312" t="n"/>
      <c r="I145" s="313" t="n"/>
      <c r="J145" s="199" t="inlineStr">
        <is>
          <t>SURA</t>
        </is>
      </c>
      <c r="K145" s="314" t="n">
        <v>1950000</v>
      </c>
      <c r="L145" s="2" t="n">
        <v>44295</v>
      </c>
      <c r="M145" s="170" t="inlineStr">
        <is>
          <t>X</t>
        </is>
      </c>
      <c r="N145" s="170" t="inlineStr">
        <is>
          <t>(+57) (1) 6463060 Ext: 15134</t>
        </is>
      </c>
      <c r="O145" s="172" t="inlineStr">
        <is>
          <t>Luis Fernando Jaramillo García</t>
        </is>
      </c>
      <c r="P145" s="52" t="inlineStr">
        <is>
          <t>ljaramillog@sura.com.co</t>
        </is>
      </c>
    </row>
    <row r="146">
      <c r="B146" s="170" t="n">
        <v>134</v>
      </c>
      <c r="C146" s="199" t="inlineStr">
        <is>
          <t>COTIZACION DE LOS DISEÑOS DE SEGURIDAD HUMANA Y PROTECCIÓN CONTRA  INCENDIOS - SHOPPING BOULEVARD</t>
        </is>
      </c>
      <c r="D146" s="312" t="n"/>
      <c r="E146" s="312" t="n"/>
      <c r="F146" s="312" t="n"/>
      <c r="G146" s="312" t="n"/>
      <c r="H146" s="312" t="n"/>
      <c r="I146" s="313" t="n"/>
      <c r="J146" s="199" t="inlineStr">
        <is>
          <t>ARQUITECTURA AVANZADA</t>
        </is>
      </c>
      <c r="K146" s="314" t="n">
        <v>5980000</v>
      </c>
      <c r="L146" s="2" t="n">
        <v>44298</v>
      </c>
      <c r="M146" s="170" t="n"/>
      <c r="N146" s="170" t="inlineStr">
        <is>
          <t>300 4142021</t>
        </is>
      </c>
      <c r="O146" s="172" t="inlineStr">
        <is>
          <t>Luis Salgado</t>
        </is>
      </c>
      <c r="P146" s="52" t="n"/>
    </row>
    <row r="147">
      <c r="B147" s="170" t="n">
        <v>135</v>
      </c>
      <c r="C147" s="199" t="inlineStr">
        <is>
          <t>COTIZACION DE LOS DISEÑOS DE SEGURIDAD HUMANA Y PROTECCIÓN CONTRA  INCENDIOS - SAN ANTONIO MALL</t>
        </is>
      </c>
      <c r="D147" s="312" t="n"/>
      <c r="E147" s="312" t="n"/>
      <c r="F147" s="312" t="n"/>
      <c r="G147" s="312" t="n"/>
      <c r="H147" s="312" t="n"/>
      <c r="I147" s="313" t="n"/>
      <c r="J147" s="199" t="inlineStr">
        <is>
          <t>ARQUITECTURA AVANZADA</t>
        </is>
      </c>
      <c r="K147" s="314" t="n">
        <v>5980000</v>
      </c>
      <c r="L147" s="2" t="n">
        <v>44298</v>
      </c>
      <c r="M147" s="170" t="n"/>
      <c r="N147" s="170" t="inlineStr">
        <is>
          <t>300 4142021</t>
        </is>
      </c>
      <c r="O147" s="172" t="inlineStr">
        <is>
          <t>Luis Salgado</t>
        </is>
      </c>
      <c r="P147" s="52" t="n"/>
    </row>
    <row r="148">
      <c r="B148" s="170" t="n">
        <v>136</v>
      </c>
      <c r="C148" s="199" t="inlineStr">
        <is>
          <t>COTIZACION DE LOS DISEÑOS DE PROTECCIÓN CONTRA  INCENDIOS - COOFINEP POBLADO</t>
        </is>
      </c>
      <c r="D148" s="312" t="n"/>
      <c r="E148" s="312" t="n"/>
      <c r="F148" s="312" t="n"/>
      <c r="G148" s="312" t="n"/>
      <c r="H148" s="312" t="n"/>
      <c r="I148" s="313" t="n"/>
      <c r="J148" s="199" t="inlineStr">
        <is>
          <t>SECURETEC</t>
        </is>
      </c>
      <c r="K148" s="314" t="n">
        <v>3330000</v>
      </c>
      <c r="L148" s="2" t="n">
        <v>44298</v>
      </c>
      <c r="M148" s="170" t="n"/>
      <c r="N148" s="170" t="inlineStr">
        <is>
          <t>312 405 4584</t>
        </is>
      </c>
      <c r="O148" s="172" t="inlineStr">
        <is>
          <t>Maribel Osorio</t>
        </is>
      </c>
      <c r="P148" s="52" t="inlineStr">
        <is>
          <t>ascomercial@securetec.com.co</t>
        </is>
      </c>
    </row>
    <row r="149">
      <c r="B149" s="170" t="n">
        <v>137</v>
      </c>
      <c r="C149" s="199" t="inlineStr">
        <is>
          <t>COTIZACION DE LOS DISEÑOS DE PROTECCIÓN CONTRA INCENDIOS Y SEGURIDAD HUMANA PARA EL PROYECTO HOTEL LA 30</t>
        </is>
      </c>
      <c r="D149" s="312" t="n"/>
      <c r="E149" s="312" t="n"/>
      <c r="F149" s="312" t="n"/>
      <c r="G149" s="312" t="n"/>
      <c r="H149" s="312" t="n"/>
      <c r="I149" s="313" t="n"/>
      <c r="J149" s="199" t="inlineStr">
        <is>
          <t>RRP ARQUITECTOS</t>
        </is>
      </c>
      <c r="K149" s="314" t="n">
        <v>8970000</v>
      </c>
      <c r="L149" s="2" t="n">
        <v>44299</v>
      </c>
      <c r="M149" s="170" t="inlineStr">
        <is>
          <t>X</t>
        </is>
      </c>
      <c r="N149" s="170" t="n">
        <v>3218570223</v>
      </c>
      <c r="O149" s="172" t="inlineStr">
        <is>
          <t>Gustavo Canchila Montalvo</t>
        </is>
      </c>
      <c r="P149" s="52" t="inlineStr">
        <is>
          <t>gustavo.canchila@udea.edu.co</t>
        </is>
      </c>
    </row>
    <row r="150">
      <c r="B150" s="170" t="n">
        <v>138</v>
      </c>
      <c r="C150" s="199" t="inlineStr">
        <is>
          <t>COTIZACION DEL ANÁLISIS DE SEGURIDAD HUMANA PARA EL PROYECTO BENEDICTINE PARK</t>
        </is>
      </c>
      <c r="D150" s="312" t="n"/>
      <c r="E150" s="312" t="n"/>
      <c r="F150" s="312" t="n"/>
      <c r="G150" s="312" t="n"/>
      <c r="H150" s="312" t="n"/>
      <c r="I150" s="313" t="n"/>
      <c r="J150" s="199" t="inlineStr">
        <is>
          <t>ADMIRIS</t>
        </is>
      </c>
      <c r="K150" s="314" t="n">
        <v>2980000</v>
      </c>
      <c r="L150" s="2" t="n">
        <v>44299</v>
      </c>
      <c r="M150" s="2" t="inlineStr">
        <is>
          <t>X</t>
        </is>
      </c>
      <c r="N150" s="170" t="n">
        <v>3014188503</v>
      </c>
      <c r="O150" s="172" t="inlineStr">
        <is>
          <t>Andrés Velázquez</t>
        </is>
      </c>
      <c r="P150" s="52" t="inlineStr">
        <is>
          <t>avelasquez@admirisltda.com</t>
        </is>
      </c>
    </row>
    <row r="151">
      <c r="B151" s="170" t="n">
        <v>139</v>
      </c>
      <c r="C151" s="199" t="inlineStr">
        <is>
          <t>COTIZACION DE LOS DISEÑOS DE SEGURIDAD HUMANA Y PROTECCIÓN CONTRA  INCENDIOS - ELEMENTARY MEDELLÍN</t>
        </is>
      </c>
      <c r="D151" s="312" t="n"/>
      <c r="E151" s="312" t="n"/>
      <c r="F151" s="312" t="n"/>
      <c r="G151" s="312" t="n"/>
      <c r="H151" s="312" t="n"/>
      <c r="I151" s="313" t="n"/>
      <c r="J151" s="199" t="inlineStr">
        <is>
          <t>CONSTRUCTIVAMENTE</t>
        </is>
      </c>
      <c r="K151" s="314" t="n">
        <v>4390000</v>
      </c>
      <c r="L151" s="2" t="n">
        <v>44299</v>
      </c>
      <c r="M151" s="170" t="n"/>
      <c r="N151" s="170" t="n">
        <v>3217987241</v>
      </c>
      <c r="O151" s="172" t="inlineStr">
        <is>
          <t>Luis Migule Atehortua</t>
        </is>
      </c>
      <c r="P151" s="52" t="inlineStr">
        <is>
          <t xml:space="preserve">	luismiguel.atehortua@constructivamente.com</t>
        </is>
      </c>
    </row>
    <row r="152">
      <c r="B152" s="170" t="n">
        <v>140</v>
      </c>
      <c r="C152" s="199" t="inlineStr">
        <is>
          <t>COTIZACION DEL DISEÑO DE EXTINCIÓN DE INCENDIOS PARA EL PROYECTO BODEGA DE PRODUCTO TERMINADO DE FRITOS</t>
        </is>
      </c>
      <c r="D152" s="312" t="n"/>
      <c r="E152" s="312" t="n"/>
      <c r="F152" s="312" t="n"/>
      <c r="G152" s="312" t="n"/>
      <c r="H152" s="312" t="n"/>
      <c r="I152" s="313" t="n"/>
      <c r="J152" s="199" t="inlineStr">
        <is>
          <t>INGESED</t>
        </is>
      </c>
      <c r="K152" s="314" t="n">
        <v>11290000</v>
      </c>
      <c r="L152" s="2" t="n">
        <v>44299</v>
      </c>
      <c r="M152" s="170" t="n"/>
      <c r="N152" s="170" t="inlineStr">
        <is>
          <t>313 5401714</t>
        </is>
      </c>
      <c r="O152" s="172" t="inlineStr">
        <is>
          <t>Eliana Isabel Cardona</t>
        </is>
      </c>
      <c r="P152" s="52" t="inlineStr">
        <is>
          <t>comercial@ingesed.com</t>
        </is>
      </c>
    </row>
    <row r="153">
      <c r="B153" s="170" t="n">
        <v>141</v>
      </c>
      <c r="C153" s="199" t="inlineStr">
        <is>
          <t>COTIZACION DEL RE-DISEÑO DE EXTINCIÓN DE INCENDIOS - PARQUEADERO ARAGUA PRIMAVERA</t>
        </is>
      </c>
      <c r="D153" s="312" t="n"/>
      <c r="E153" s="312" t="n"/>
      <c r="F153" s="312" t="n"/>
      <c r="G153" s="312" t="n"/>
      <c r="H153" s="312" t="n"/>
      <c r="I153" s="313" t="n"/>
      <c r="J153" s="199" t="inlineStr">
        <is>
          <t>SPCI</t>
        </is>
      </c>
      <c r="K153" s="314" t="n">
        <v>2500000</v>
      </c>
      <c r="L153" s="2" t="n">
        <v>44299</v>
      </c>
      <c r="M153" s="2" t="inlineStr">
        <is>
          <t>X</t>
        </is>
      </c>
      <c r="N153" s="170" t="n">
        <v>3104165783</v>
      </c>
      <c r="O153" s="172" t="inlineStr">
        <is>
          <t>Cristiam Mondragón</t>
        </is>
      </c>
      <c r="P153" s="52" t="inlineStr">
        <is>
          <t>cristiamondragon.spci@gmail.com</t>
        </is>
      </c>
    </row>
    <row r="154">
      <c r="B154" s="170" t="n">
        <v>142</v>
      </c>
      <c r="C154" s="199" t="inlineStr">
        <is>
          <t>COTIZACION DEL DISEÑO DE EXTINCIÓN DE INCENDIOS - REDISTRIBUCIÓN DE ROCIADORES CENTRO DE INVESTIGACIÓN ISA</t>
        </is>
      </c>
      <c r="D154" s="312" t="n"/>
      <c r="E154" s="312" t="n"/>
      <c r="F154" s="312" t="n"/>
      <c r="G154" s="312" t="n"/>
      <c r="H154" s="312" t="n"/>
      <c r="I154" s="313" t="n"/>
      <c r="J154" s="199" t="inlineStr">
        <is>
          <t>ESPIRAL</t>
        </is>
      </c>
      <c r="K154" s="314" t="n">
        <v>2500000</v>
      </c>
      <c r="L154" s="2" t="n">
        <v>44301</v>
      </c>
      <c r="M154" s="170" t="n"/>
      <c r="N154" s="170" t="inlineStr">
        <is>
          <t>312 7577141</t>
        </is>
      </c>
      <c r="O154" s="172" t="inlineStr">
        <is>
          <t>Nestor García</t>
        </is>
      </c>
      <c r="P154" s="52" t="inlineStr">
        <is>
          <t>nestor.garcia@espiral.com.co</t>
        </is>
      </c>
    </row>
    <row r="155">
      <c r="B155" s="170" t="n">
        <v>143</v>
      </c>
      <c r="C155" s="199" t="inlineStr">
        <is>
          <t>COTIZACION DEL DISEÑO DE DETECCIÓN DE INCENDIOS - CASETA SOC ISA</t>
        </is>
      </c>
      <c r="D155" s="312" t="n"/>
      <c r="E155" s="312" t="n"/>
      <c r="F155" s="312" t="n"/>
      <c r="G155" s="312" t="n"/>
      <c r="H155" s="312" t="n"/>
      <c r="I155" s="313" t="n"/>
      <c r="J155" s="199" t="inlineStr">
        <is>
          <t>ESPIRAL</t>
        </is>
      </c>
      <c r="K155" s="314" t="n">
        <v>1350000</v>
      </c>
      <c r="L155" s="2" t="n">
        <v>44301</v>
      </c>
      <c r="M155" s="170" t="n"/>
      <c r="N155" s="170" t="inlineStr">
        <is>
          <t>312 7577141</t>
        </is>
      </c>
      <c r="O155" s="172" t="inlineStr">
        <is>
          <t>Nestor García</t>
        </is>
      </c>
      <c r="P155" s="52" t="inlineStr">
        <is>
          <t>nestor.garcia@espiral.com.co</t>
        </is>
      </c>
    </row>
    <row r="156">
      <c r="B156" s="170" t="n">
        <v>144</v>
      </c>
      <c r="C156" s="199" t="inlineStr">
        <is>
          <t>COTIZACION DEL ANÁLISIS DE SEGURIDAD HUMANA - PROYECTO GENOMA PISO 8 CES</t>
        </is>
      </c>
      <c r="D156" s="312" t="n"/>
      <c r="E156" s="312" t="n"/>
      <c r="F156" s="312" t="n"/>
      <c r="G156" s="312" t="n"/>
      <c r="H156" s="312" t="n"/>
      <c r="I156" s="313" t="n"/>
      <c r="J156" s="199" t="inlineStr">
        <is>
          <t>CES</t>
        </is>
      </c>
      <c r="K156" s="314" t="n">
        <v>2500000</v>
      </c>
      <c r="L156" s="2" t="n">
        <v>44302</v>
      </c>
      <c r="M156" s="170" t="n"/>
      <c r="N156" s="170" t="inlineStr">
        <is>
          <t>(57) (4) 444 0555</t>
        </is>
      </c>
      <c r="O156" s="172" t="inlineStr">
        <is>
          <t>Carlos Saldarriaga</t>
        </is>
      </c>
      <c r="P156" s="52" t="inlineStr">
        <is>
          <t>casaldarriaga@ces.edu.co</t>
        </is>
      </c>
    </row>
    <row r="157">
      <c r="B157" s="170" t="n">
        <v>145</v>
      </c>
      <c r="C157" s="199" t="inlineStr">
        <is>
          <t>COTIZACION DEL DISEÑO DE DETECCIÓN DE INCENDIOS - HALL CAJEROS VILLANUEVA</t>
        </is>
      </c>
      <c r="D157" s="312" t="n"/>
      <c r="E157" s="312" t="n"/>
      <c r="F157" s="312" t="n"/>
      <c r="G157" s="312" t="n"/>
      <c r="H157" s="312" t="n"/>
      <c r="I157" s="313" t="n"/>
      <c r="J157" s="199" t="inlineStr">
        <is>
          <t>SANTIAGO ROJAS</t>
        </is>
      </c>
      <c r="K157" s="314" t="n">
        <v>650000</v>
      </c>
      <c r="L157" s="2" t="n">
        <v>44305</v>
      </c>
      <c r="M157" s="2" t="inlineStr">
        <is>
          <t>X</t>
        </is>
      </c>
      <c r="N157" s="170" t="n">
        <v>3022295772</v>
      </c>
      <c r="O157" s="172" t="inlineStr">
        <is>
          <t>Aurora Rios</t>
        </is>
      </c>
      <c r="P157" s="52" t="inlineStr">
        <is>
          <t>proyectos@santiagorojas.com.co</t>
        </is>
      </c>
    </row>
    <row r="158">
      <c r="B158" s="170" t="n">
        <v>146</v>
      </c>
      <c r="C158" s="199" t="inlineStr">
        <is>
          <t>COTIZACION DEL DISEÑO DE EXTINCIÓN DE INCENDIOS - REDISTRIBUCIÓN DE ROCIADORES LABORATORIOS GENOMA PISO 8 CES</t>
        </is>
      </c>
      <c r="D158" s="312" t="n"/>
      <c r="E158" s="312" t="n"/>
      <c r="F158" s="312" t="n"/>
      <c r="G158" s="312" t="n"/>
      <c r="H158" s="312" t="n"/>
      <c r="I158" s="313" t="n"/>
      <c r="J158" s="199" t="inlineStr">
        <is>
          <t>CIVILSA</t>
        </is>
      </c>
      <c r="K158" s="314" t="n">
        <v>2980000</v>
      </c>
      <c r="L158" s="2" t="n">
        <v>44305</v>
      </c>
      <c r="M158" s="170" t="n"/>
      <c r="N158" s="170" t="inlineStr">
        <is>
          <t>310 4659572</t>
        </is>
      </c>
      <c r="O158" s="172" t="inlineStr">
        <is>
          <t>Julio Alzate</t>
        </is>
      </c>
      <c r="P158" s="52" t="inlineStr">
        <is>
          <t xml:space="preserve">julialzate@une.net.co </t>
        </is>
      </c>
    </row>
    <row r="159">
      <c r="B159" s="170" t="n">
        <v>147</v>
      </c>
      <c r="C159" s="199" t="inlineStr">
        <is>
          <t>COTIZACION DE LOS DISEÑOS DE PROTECCIÓN CONTRA INCENDIOS Y SEGURIDAD HUMANA PARA EL PROYECTO PLAZA DE FLORES</t>
        </is>
      </c>
      <c r="D159" s="312" t="n"/>
      <c r="E159" s="312" t="n"/>
      <c r="F159" s="312" t="n"/>
      <c r="G159" s="312" t="n"/>
      <c r="H159" s="312" t="n"/>
      <c r="I159" s="313" t="n"/>
      <c r="J159" s="199" t="inlineStr">
        <is>
          <t>SPCI</t>
        </is>
      </c>
      <c r="K159" s="314" t="n">
        <v>23830000</v>
      </c>
      <c r="L159" s="2" t="n">
        <v>44305</v>
      </c>
      <c r="M159" s="170" t="n"/>
      <c r="N159" s="170" t="n">
        <v>3017213541</v>
      </c>
      <c r="O159" s="172" t="inlineStr">
        <is>
          <t>Juan Camilo Echavarría</t>
        </is>
      </c>
      <c r="P159" s="52" t="inlineStr">
        <is>
          <t>dir.comercial@spcisas.com.co</t>
        </is>
      </c>
    </row>
    <row r="160">
      <c r="B160" s="170" t="n">
        <v>148</v>
      </c>
      <c r="C160" s="199" t="inlineStr">
        <is>
          <t>COTIZACION DEL DISEÑO DE DETECCIÓN DE INCENDIOS - ANDIRENT</t>
        </is>
      </c>
      <c r="D160" s="312" t="n"/>
      <c r="E160" s="312" t="n"/>
      <c r="F160" s="312" t="n"/>
      <c r="G160" s="312" t="n"/>
      <c r="H160" s="312" t="n"/>
      <c r="I160" s="313" t="n"/>
      <c r="J160" s="199" t="inlineStr">
        <is>
          <t>ANDIRENT</t>
        </is>
      </c>
      <c r="K160" s="314" t="n">
        <v>1300000</v>
      </c>
      <c r="L160" s="2" t="n">
        <v>44305</v>
      </c>
      <c r="M160" s="170" t="n"/>
      <c r="N160" s="170" t="inlineStr">
        <is>
          <t>312 2803148</t>
        </is>
      </c>
      <c r="O160" s="172" t="inlineStr">
        <is>
          <t>Mari Cruz Arango</t>
        </is>
      </c>
      <c r="P160" s="52" t="inlineStr">
        <is>
          <t>auxiliarmedellin@andirent.co</t>
        </is>
      </c>
    </row>
    <row r="161">
      <c r="B161" s="170" t="n">
        <v>149</v>
      </c>
      <c r="C161" s="199" t="inlineStr">
        <is>
          <t>COTIZACION DE VISITAS DE ACOMPAÑAMIENTO A LA INSTALACIÓN DE LOS SISTEMAS DE PROTECCIÓN CONTRA INCENDIOS DEL PROYECTO PRIMEIRO</t>
        </is>
      </c>
      <c r="D161" s="312" t="n"/>
      <c r="E161" s="312" t="n"/>
      <c r="F161" s="312" t="n"/>
      <c r="G161" s="312" t="n"/>
      <c r="H161" s="312" t="n"/>
      <c r="I161" s="313" t="n"/>
      <c r="J161" s="199" t="inlineStr">
        <is>
          <t>RRP ARQUITECTOS</t>
        </is>
      </c>
      <c r="K161" s="314" t="n">
        <v>1150000</v>
      </c>
      <c r="L161" s="2" t="n">
        <v>44305</v>
      </c>
      <c r="M161" s="170" t="n"/>
      <c r="N161" s="170" t="inlineStr">
        <is>
          <t>310 4300137</t>
        </is>
      </c>
      <c r="O161" s="172" t="inlineStr">
        <is>
          <t>Roberto Pineda</t>
        </is>
      </c>
      <c r="P161" s="52" t="inlineStr">
        <is>
          <t>roberto.pineda@rrp.com.co</t>
        </is>
      </c>
    </row>
    <row r="162">
      <c r="B162" s="170" t="n">
        <v>150</v>
      </c>
      <c r="C162" s="199" t="inlineStr">
        <is>
          <t>COTIZACION DEL ANÁLISIS DE SEGURIDAD HUMANA - LABORATORIOS ICMT</t>
        </is>
      </c>
      <c r="D162" s="312" t="n"/>
      <c r="E162" s="312" t="n"/>
      <c r="F162" s="312" t="n"/>
      <c r="G162" s="312" t="n"/>
      <c r="H162" s="312" t="n"/>
      <c r="I162" s="313" t="n"/>
      <c r="J162" s="199" t="inlineStr">
        <is>
          <t>GLOBAL ARQUITECTURA</t>
        </is>
      </c>
      <c r="K162" s="314" t="n">
        <v>2500000</v>
      </c>
      <c r="L162" s="2" t="n">
        <v>44306</v>
      </c>
      <c r="M162" s="170" t="inlineStr">
        <is>
          <t>X</t>
        </is>
      </c>
      <c r="N162" s="170" t="n">
        <v>3126397625</v>
      </c>
      <c r="O162" s="172" t="inlineStr">
        <is>
          <t>Nadia Arango Muñoz</t>
        </is>
      </c>
      <c r="P162" s="52" t="inlineStr">
        <is>
          <t>presupuestosglobalayc@gmail.com</t>
        </is>
      </c>
    </row>
    <row r="163">
      <c r="B163" s="170" t="n">
        <v>151</v>
      </c>
      <c r="C163" s="199" t="inlineStr">
        <is>
          <t>COTIZACION DE LOS DISEÑOS DE SEGURIDAD HUMANA Y PROTECCIÓN CONTRA  INCENDIOS - HOSPICE PILARICA</t>
        </is>
      </c>
      <c r="D163" s="312" t="n"/>
      <c r="E163" s="312" t="n"/>
      <c r="F163" s="312" t="n"/>
      <c r="G163" s="312" t="n"/>
      <c r="H163" s="312" t="n"/>
      <c r="I163" s="313" t="n"/>
      <c r="J163" s="199" t="inlineStr">
        <is>
          <t>EUGENIO LARA</t>
        </is>
      </c>
      <c r="K163" s="314" t="n">
        <v>11970000</v>
      </c>
      <c r="L163" s="2" t="n">
        <v>44306</v>
      </c>
      <c r="M163" s="170" t="n"/>
      <c r="N163" s="170" t="n">
        <v>3005669997</v>
      </c>
      <c r="O163" s="172" t="inlineStr">
        <is>
          <t>Eugenio Lara</t>
        </is>
      </c>
      <c r="P163" s="52" t="inlineStr">
        <is>
          <t>genios23@hotmail.com</t>
        </is>
      </c>
    </row>
    <row r="164">
      <c r="B164" s="170" t="n">
        <v>152</v>
      </c>
      <c r="C164" s="199" t="inlineStr">
        <is>
          <t>DISEÑO DEL SISTEMA DE EXTINCIÓN DE INCENDIOS PARA LOS TANQUE DE GLP PARA MSC COMPANY</t>
        </is>
      </c>
      <c r="D164" s="312" t="n"/>
      <c r="E164" s="312" t="n"/>
      <c r="F164" s="312" t="n"/>
      <c r="G164" s="312" t="n"/>
      <c r="H164" s="312" t="n"/>
      <c r="I164" s="313" t="n"/>
      <c r="J164" s="199" t="inlineStr">
        <is>
          <t>PROSOMA</t>
        </is>
      </c>
      <c r="K164" s="314" t="n">
        <v>12900000</v>
      </c>
      <c r="L164" s="2" t="n">
        <v>44307</v>
      </c>
      <c r="M164" s="2" t="n"/>
      <c r="N164" s="170" t="inlineStr">
        <is>
          <t>314 7537411</t>
        </is>
      </c>
      <c r="O164" s="172" t="inlineStr">
        <is>
          <t>Adolfo Flórez</t>
        </is>
      </c>
      <c r="P164" s="52" t="inlineStr">
        <is>
          <t xml:space="preserve">proyectos@prosoma.com.co </t>
        </is>
      </c>
    </row>
    <row r="165">
      <c r="B165" s="170" t="n">
        <v>153</v>
      </c>
      <c r="C165" s="199" t="inlineStr">
        <is>
          <t>COTIZACION DE LOS PLANOS Y CANTIDADES DEL SISTEMA DE EXTINCIÓN DE INCENDIOS PARA EL PROYECTO LUIS AMIGÓ</t>
        </is>
      </c>
      <c r="D165" s="312" t="n"/>
      <c r="E165" s="312" t="n"/>
      <c r="F165" s="312" t="n"/>
      <c r="G165" s="312" t="n"/>
      <c r="H165" s="312" t="n"/>
      <c r="I165" s="313" t="n"/>
      <c r="J165" s="199" t="inlineStr">
        <is>
          <t>PSCI</t>
        </is>
      </c>
      <c r="K165" s="314" t="n">
        <v>8500000</v>
      </c>
      <c r="L165" s="2" t="n">
        <v>44307</v>
      </c>
      <c r="M165" s="2" t="n"/>
      <c r="N165" s="170" t="n">
        <v>3104165783</v>
      </c>
      <c r="O165" s="172" t="inlineStr">
        <is>
          <t>Cristiam Mondragón</t>
        </is>
      </c>
      <c r="P165" s="52" t="inlineStr">
        <is>
          <t>cristiamondragon.spci@gmail.com</t>
        </is>
      </c>
    </row>
    <row r="166">
      <c r="B166" s="170" t="n">
        <v>154</v>
      </c>
      <c r="C166" s="235" t="inlineStr">
        <is>
          <t>COTIZACION DEL DISEÑO DE EXTINCIÓN DE INCENDIOS - SMART FIT PLAZA FABRICATO</t>
        </is>
      </c>
      <c r="D166" s="312" t="n"/>
      <c r="E166" s="312" t="n"/>
      <c r="F166" s="312" t="n"/>
      <c r="G166" s="312" t="n"/>
      <c r="H166" s="312" t="n"/>
      <c r="I166" s="313" t="n"/>
      <c r="J166" s="235" t="inlineStr">
        <is>
          <t>SMARTFIT</t>
        </is>
      </c>
      <c r="K166" s="314" t="n">
        <v>3260000</v>
      </c>
      <c r="L166" s="2" t="n">
        <v>44307</v>
      </c>
      <c r="M166" s="170" t="n"/>
      <c r="N166" s="170" t="n">
        <v>3024662452</v>
      </c>
      <c r="O166" s="172" t="inlineStr">
        <is>
          <t>Maria Camila Amaya</t>
        </is>
      </c>
      <c r="P166" s="52" t="inlineStr">
        <is>
          <t>amayamariac09@gmail.com</t>
        </is>
      </c>
    </row>
    <row r="167">
      <c r="B167" s="170" t="n">
        <v>155</v>
      </c>
      <c r="C167" s="199" t="inlineStr">
        <is>
          <t>COTIZACION DEL DISEÑO DE DETECCIÓN DE INCENDIOS - CDI EL DORADO</t>
        </is>
      </c>
      <c r="D167" s="312" t="n"/>
      <c r="E167" s="312" t="n"/>
      <c r="F167" s="312" t="n"/>
      <c r="G167" s="312" t="n"/>
      <c r="H167" s="312" t="n"/>
      <c r="I167" s="313" t="n"/>
      <c r="J167" s="199" t="inlineStr">
        <is>
          <t>MARIO GALLEGO</t>
        </is>
      </c>
      <c r="K167" s="314" t="n">
        <v>3950000</v>
      </c>
      <c r="L167" s="2" t="n">
        <v>44307</v>
      </c>
      <c r="M167" s="2" t="n"/>
      <c r="N167" s="170" t="n">
        <v>3137294173</v>
      </c>
      <c r="O167" s="172" t="inlineStr">
        <is>
          <t>Mario Gallego</t>
        </is>
      </c>
      <c r="P167" s="52" t="n"/>
    </row>
    <row r="168">
      <c r="B168" s="170" t="n">
        <v>156</v>
      </c>
      <c r="C168" s="199" t="inlineStr">
        <is>
          <t>COTIZACION DEL DISEÑO DE DETECCIÓN DE INCENDIOS - CDI EL LIBANO</t>
        </is>
      </c>
      <c r="D168" s="312" t="n"/>
      <c r="E168" s="312" t="n"/>
      <c r="F168" s="312" t="n"/>
      <c r="G168" s="312" t="n"/>
      <c r="H168" s="312" t="n"/>
      <c r="I168" s="313" t="n"/>
      <c r="J168" s="199" t="inlineStr">
        <is>
          <t>MARIO GALLEGO</t>
        </is>
      </c>
      <c r="K168" s="314" t="n">
        <v>3550000</v>
      </c>
      <c r="L168" s="2" t="n">
        <v>44307</v>
      </c>
      <c r="M168" s="2" t="n"/>
      <c r="N168" s="170" t="n">
        <v>3137294173</v>
      </c>
      <c r="O168" s="172" t="inlineStr">
        <is>
          <t>Mario Gallego</t>
        </is>
      </c>
      <c r="P168" s="52" t="n"/>
    </row>
    <row r="169">
      <c r="B169" s="170" t="n">
        <v>157</v>
      </c>
      <c r="C169" s="199" t="inlineStr">
        <is>
          <t>COTIZACION DE LOS DISEÑOS DE PROTECCIÓN CONTRA INCENDIOS PARA EL PROYECTO COLOMBINA PLANTA HELADOS</t>
        </is>
      </c>
      <c r="D169" s="312" t="n"/>
      <c r="E169" s="312" t="n"/>
      <c r="F169" s="312" t="n"/>
      <c r="G169" s="312" t="n"/>
      <c r="H169" s="312" t="n"/>
      <c r="I169" s="313" t="n"/>
      <c r="J169" s="199" t="inlineStr">
        <is>
          <t>COLOMBINA</t>
        </is>
      </c>
      <c r="K169" s="314" t="n">
        <v>19980000</v>
      </c>
      <c r="L169" s="2" t="n">
        <v>44308</v>
      </c>
      <c r="M169" s="170" t="inlineStr">
        <is>
          <t>X</t>
        </is>
      </c>
      <c r="N169" s="170" t="inlineStr">
        <is>
          <t>314 8051569</t>
        </is>
      </c>
      <c r="O169" s="172" t="inlineStr">
        <is>
          <t>Lina Alejandra Duque</t>
        </is>
      </c>
      <c r="P169" s="52" t="inlineStr">
        <is>
          <t>laduque@colombina.com</t>
        </is>
      </c>
    </row>
    <row r="170">
      <c r="B170" s="170" t="n">
        <v>158</v>
      </c>
      <c r="C170" s="199" t="inlineStr">
        <is>
          <t>COTIZACION DE LOS DISEÑOS DE SEGURIDAD HUMANA Y PROTECCIÓN CONTRA  INCENDIOS - LA BRIZUELA</t>
        </is>
      </c>
      <c r="D170" s="312" t="n"/>
      <c r="E170" s="312" t="n"/>
      <c r="F170" s="312" t="n"/>
      <c r="G170" s="312" t="n"/>
      <c r="H170" s="312" t="n"/>
      <c r="I170" s="313" t="n"/>
      <c r="J170" s="199" t="inlineStr">
        <is>
          <t>MENSULA</t>
        </is>
      </c>
      <c r="K170" s="314" t="n">
        <v>7950000</v>
      </c>
      <c r="L170" s="2" t="n">
        <v>44308</v>
      </c>
      <c r="M170" s="2" t="inlineStr">
        <is>
          <t>X</t>
        </is>
      </c>
      <c r="N170" s="170" t="n">
        <v>3207091752</v>
      </c>
      <c r="O170" s="172" t="inlineStr">
        <is>
          <t>Cristian Londoño Montoya</t>
        </is>
      </c>
      <c r="P170" s="52" t="inlineStr">
        <is>
          <t>cristianlondono@mensulaingenieros.com</t>
        </is>
      </c>
    </row>
    <row r="171">
      <c r="B171" s="170" t="n">
        <v>159</v>
      </c>
      <c r="C171" s="199" t="inlineStr">
        <is>
          <t>COTIZACION DE LOS DISEÑOS DE SEGURIDAD HUMANA Y DETECCIÓN DE INCENDIOS - COCINAS OCULTAS</t>
        </is>
      </c>
      <c r="D171" s="312" t="n"/>
      <c r="E171" s="312" t="n"/>
      <c r="F171" s="312" t="n"/>
      <c r="G171" s="312" t="n"/>
      <c r="H171" s="312" t="n"/>
      <c r="I171" s="313" t="n"/>
      <c r="J171" s="235" t="inlineStr">
        <is>
          <t>SPCI</t>
        </is>
      </c>
      <c r="K171" s="314" t="n">
        <v>2500000</v>
      </c>
      <c r="L171" s="2" t="n">
        <v>44309</v>
      </c>
      <c r="M171" s="170" t="inlineStr">
        <is>
          <t>X</t>
        </is>
      </c>
      <c r="N171" s="170" t="n">
        <v>3137546144</v>
      </c>
      <c r="O171" s="172" t="inlineStr">
        <is>
          <t>Juan Camilo Quintero</t>
        </is>
      </c>
      <c r="P171" s="52" t="inlineStr">
        <is>
          <t>proyectos1spci@gmail.com</t>
        </is>
      </c>
    </row>
    <row r="172">
      <c r="B172" s="170" t="n">
        <v>160</v>
      </c>
      <c r="C172" s="199" t="inlineStr">
        <is>
          <t>COTIZACION DEL DISEÑO DE EXTINCIÓN DE INCENDIOS - ALMACÉN PARQUEADERO DMODA</t>
        </is>
      </c>
      <c r="D172" s="312" t="n"/>
      <c r="E172" s="312" t="n"/>
      <c r="F172" s="312" t="n"/>
      <c r="G172" s="312" t="n"/>
      <c r="H172" s="312" t="n"/>
      <c r="I172" s="313" t="n"/>
      <c r="J172" s="235" t="inlineStr">
        <is>
          <t>SPCI</t>
        </is>
      </c>
      <c r="K172" s="314" t="n">
        <v>1950000</v>
      </c>
      <c r="L172" s="2" t="n">
        <v>44309</v>
      </c>
      <c r="M172" s="170" t="n"/>
      <c r="N172" s="170" t="n">
        <v>3137546144</v>
      </c>
      <c r="O172" s="172" t="inlineStr">
        <is>
          <t>Juan Camilo Quintero</t>
        </is>
      </c>
      <c r="P172" s="52" t="inlineStr">
        <is>
          <t>proyectos1spci@gmail.com</t>
        </is>
      </c>
    </row>
    <row r="173">
      <c r="B173" s="170" t="n">
        <v>161</v>
      </c>
      <c r="C173" s="199" t="inlineStr">
        <is>
          <t>COTIZACION DE LOS DISEÑOS DE PROTECCIÓN CONTRA  INCENDIOS - SUBESTACIÓN GUADALUPE IV</t>
        </is>
      </c>
      <c r="D173" s="312" t="n"/>
      <c r="E173" s="312" t="n"/>
      <c r="F173" s="312" t="n"/>
      <c r="G173" s="312" t="n"/>
      <c r="H173" s="312" t="n"/>
      <c r="I173" s="313" t="n"/>
      <c r="J173" s="199" t="inlineStr">
        <is>
          <t>SPCI</t>
        </is>
      </c>
      <c r="K173" s="314" t="n">
        <v>5260000</v>
      </c>
      <c r="L173" s="2" t="n">
        <v>44309</v>
      </c>
      <c r="M173" s="170" t="n"/>
      <c r="N173" s="170" t="n">
        <v>3017213541</v>
      </c>
      <c r="O173" s="172" t="inlineStr">
        <is>
          <t>Juan Camilo Echavarría</t>
        </is>
      </c>
      <c r="P173" s="52" t="inlineStr">
        <is>
          <t>dir.comercial@spcisas.com.co</t>
        </is>
      </c>
    </row>
    <row r="174">
      <c r="B174" s="170" t="n">
        <v>162</v>
      </c>
      <c r="C174" s="199" t="inlineStr">
        <is>
          <t>COTIZACION DEL ANÁLISIS DE SEGURIDAD HUMANA - SAN NICOLAS</t>
        </is>
      </c>
      <c r="D174" s="312" t="n"/>
      <c r="E174" s="312" t="n"/>
      <c r="F174" s="312" t="n"/>
      <c r="G174" s="312" t="n"/>
      <c r="H174" s="312" t="n"/>
      <c r="I174" s="313" t="n"/>
      <c r="J174" s="199" t="inlineStr">
        <is>
          <t>HIDRO F SALINAS</t>
        </is>
      </c>
      <c r="K174" s="314" t="n">
        <v>5980000</v>
      </c>
      <c r="L174" s="2" t="n">
        <v>44309</v>
      </c>
      <c r="M174" s="2" t="inlineStr">
        <is>
          <t>X</t>
        </is>
      </c>
      <c r="N174" s="170" t="n">
        <v>3104139821</v>
      </c>
      <c r="O174" s="172" t="inlineStr">
        <is>
          <t>Carolina Volkmar</t>
        </is>
      </c>
      <c r="P174" s="52" t="inlineStr">
        <is>
          <t>carolina@hidrofsalinas.com</t>
        </is>
      </c>
    </row>
    <row r="175">
      <c r="B175" s="170" t="n">
        <v>163</v>
      </c>
      <c r="C175" s="199" t="inlineStr">
        <is>
          <t>COTIZACION DE LOS DISEÑOS DE SEGURIDAD HUMANA Y PROTECCIÓN CONTRA  INCENDIOS - CUARTO DE CONTROL XM ISA</t>
        </is>
      </c>
      <c r="D175" s="312" t="n"/>
      <c r="E175" s="312" t="n"/>
      <c r="F175" s="312" t="n"/>
      <c r="G175" s="312" t="n"/>
      <c r="H175" s="312" t="n"/>
      <c r="I175" s="313" t="n"/>
      <c r="J175" s="235" t="inlineStr">
        <is>
          <t>ENSAMBLE</t>
        </is>
      </c>
      <c r="K175" s="314" t="n">
        <v>8350000</v>
      </c>
      <c r="L175" s="2" t="n">
        <v>44309</v>
      </c>
      <c r="M175" s="2" t="n"/>
      <c r="N175" s="170" t="n">
        <v>3117477239</v>
      </c>
      <c r="O175" s="172" t="inlineStr">
        <is>
          <t>Paola López Cadavid</t>
        </is>
      </c>
      <c r="P175" s="52" t="inlineStr">
        <is>
          <t>paolopez@ensambleespaciosvivos.com</t>
        </is>
      </c>
    </row>
    <row r="176">
      <c r="B176" s="170" t="n">
        <v>164</v>
      </c>
      <c r="C176" s="233" t="inlineStr">
        <is>
          <t>COTIZACION DEL DISEÑO DE EXTINCIÓN DE INCENDIOS PARA EL PROYECTO SUMMIT MEDELLÍN</t>
        </is>
      </c>
      <c r="D176" s="312" t="n"/>
      <c r="E176" s="312" t="n"/>
      <c r="F176" s="312" t="n"/>
      <c r="G176" s="312" t="n"/>
      <c r="H176" s="312" t="n"/>
      <c r="I176" s="313" t="n"/>
      <c r="J176" s="199" t="inlineStr">
        <is>
          <t>SOCOMES</t>
        </is>
      </c>
      <c r="K176" s="314" t="n">
        <v>6200000</v>
      </c>
      <c r="L176" s="2" t="n">
        <v>44313</v>
      </c>
      <c r="M176" s="170" t="n"/>
      <c r="N176" s="170" t="n">
        <v>3137851941</v>
      </c>
      <c r="O176" s="172" t="inlineStr">
        <is>
          <t>David Lopera</t>
        </is>
      </c>
      <c r="P176" s="52" t="inlineStr">
        <is>
          <t>david.lopera@socomes.com</t>
        </is>
      </c>
    </row>
    <row r="177">
      <c r="B177" s="170" t="n">
        <v>165</v>
      </c>
      <c r="C177" s="199" t="inlineStr">
        <is>
          <t>COTIZACION DE LOS DISEÑOS DE SEGURIDAD HUMANA Y PROTECCIÓN CONTRA  INCENDIOS - PLAZA DE MERCADO SANTUARIO</t>
        </is>
      </c>
      <c r="D177" s="312" t="n"/>
      <c r="E177" s="312" t="n"/>
      <c r="F177" s="312" t="n"/>
      <c r="G177" s="312" t="n"/>
      <c r="H177" s="312" t="n"/>
      <c r="I177" s="313" t="n"/>
      <c r="J177" s="235" t="inlineStr">
        <is>
          <t>SHARU</t>
        </is>
      </c>
      <c r="K177" s="314" t="n">
        <v>19440000</v>
      </c>
      <c r="L177" s="2" t="n">
        <v>44313</v>
      </c>
      <c r="M177" s="2" t="n"/>
      <c r="N177" s="170" t="n">
        <v>3122914735</v>
      </c>
      <c r="O177" s="172" t="inlineStr">
        <is>
          <t>Juan Fernando Aguirre</t>
        </is>
      </c>
      <c r="P177" s="52" t="inlineStr">
        <is>
          <t>administrativo@sharu.com.co</t>
        </is>
      </c>
    </row>
    <row r="178">
      <c r="B178" s="170" t="n">
        <v>166</v>
      </c>
      <c r="C178" s="199" t="inlineStr">
        <is>
          <t>COTIZACION DEL DISEÑO DE EXTINCIÓN DE INCENDIOS - PARQUE EMPRESARIAL TABLAZA</t>
        </is>
      </c>
      <c r="D178" s="312" t="n"/>
      <c r="E178" s="312" t="n"/>
      <c r="F178" s="312" t="n"/>
      <c r="G178" s="312" t="n"/>
      <c r="H178" s="312" t="n"/>
      <c r="I178" s="313" t="n"/>
      <c r="J178" s="235" t="inlineStr">
        <is>
          <t>LA TABLAZA</t>
        </is>
      </c>
      <c r="K178" s="314" t="n">
        <v>6990000</v>
      </c>
      <c r="L178" s="2" t="n">
        <v>44313</v>
      </c>
      <c r="M178" s="170" t="n"/>
      <c r="N178" s="170" t="inlineStr">
        <is>
          <t>300 2922609</t>
        </is>
      </c>
      <c r="O178" s="172" t="inlineStr">
        <is>
          <t>Gustavo Jaramillo</t>
        </is>
      </c>
      <c r="P178" s="52" t="inlineStr">
        <is>
          <t>tavojaramillo@gmail.com</t>
        </is>
      </c>
    </row>
    <row r="179">
      <c r="B179" s="170" t="n">
        <v>167</v>
      </c>
      <c r="C179" s="199" t="inlineStr">
        <is>
          <t>COTIZACION DE LOS DISEÑOS DE PROTECCIÓN CONTRA  INCENDIOS - PLANTA RESIDUOS SÓLIDOS Y COGENERACIÓN DE ENERGÍA</t>
        </is>
      </c>
      <c r="D179" s="312" t="n"/>
      <c r="E179" s="312" t="n"/>
      <c r="F179" s="312" t="n"/>
      <c r="G179" s="312" t="n"/>
      <c r="H179" s="312" t="n"/>
      <c r="I179" s="313" t="n"/>
      <c r="J179" s="199" t="inlineStr">
        <is>
          <t>GINO</t>
        </is>
      </c>
      <c r="K179" s="314" t="n">
        <v>49550000</v>
      </c>
      <c r="L179" s="2" t="n">
        <v>44315</v>
      </c>
      <c r="M179" s="170" t="n"/>
      <c r="N179" s="170" t="n"/>
      <c r="O179" s="172" t="inlineStr">
        <is>
          <t>Juan Pérez</t>
        </is>
      </c>
      <c r="P179" s="52" t="n"/>
    </row>
    <row r="180">
      <c r="B180" s="170" t="n">
        <v>168</v>
      </c>
      <c r="C180" s="199" t="inlineStr">
        <is>
          <t>COTIZACION DEL DISEÑO DE EXTINCIÓN DE INCENDIOS - REDISTRIBUCIÓN DE ROCIADORES COSD</t>
        </is>
      </c>
      <c r="D180" s="312" t="n"/>
      <c r="E180" s="312" t="n"/>
      <c r="F180" s="312" t="n"/>
      <c r="G180" s="312" t="n"/>
      <c r="H180" s="312" t="n"/>
      <c r="I180" s="313" t="n"/>
      <c r="J180" s="199" t="inlineStr">
        <is>
          <t>SPCI</t>
        </is>
      </c>
      <c r="K180" s="314" t="n"/>
      <c r="L180" s="2" t="n">
        <v>44315</v>
      </c>
      <c r="M180" s="170" t="n"/>
      <c r="N180" s="170" t="n">
        <v>3137546144</v>
      </c>
      <c r="O180" s="172" t="inlineStr">
        <is>
          <t>Juan Camilo Quintero</t>
        </is>
      </c>
      <c r="P180" s="52" t="inlineStr">
        <is>
          <t>proyectos1spci@gmail.com</t>
        </is>
      </c>
    </row>
    <row r="181">
      <c r="B181" s="170" t="n">
        <v>169</v>
      </c>
      <c r="C181" s="199" t="inlineStr">
        <is>
          <t>COTIZACION DE LOS DISEÑOS DE PROTECCIÓN CONTRA  INCENDIOS - INCODOL MAYORCA</t>
        </is>
      </c>
      <c r="D181" s="312" t="n"/>
      <c r="E181" s="312" t="n"/>
      <c r="F181" s="312" t="n"/>
      <c r="G181" s="312" t="n"/>
      <c r="H181" s="312" t="n"/>
      <c r="I181" s="313" t="n"/>
      <c r="J181" s="199" t="inlineStr">
        <is>
          <t>SOCOMES</t>
        </is>
      </c>
      <c r="K181" s="314" t="n">
        <v>4640000</v>
      </c>
      <c r="L181" s="2" t="n">
        <v>44315</v>
      </c>
      <c r="M181" s="170" t="inlineStr">
        <is>
          <t>X</t>
        </is>
      </c>
      <c r="N181" s="170" t="n">
        <v>3137851941</v>
      </c>
      <c r="O181" s="172" t="inlineStr">
        <is>
          <t>David Lopera</t>
        </is>
      </c>
      <c r="P181" s="52" t="inlineStr">
        <is>
          <t>david.lopera@socomes.com</t>
        </is>
      </c>
    </row>
    <row r="182">
      <c r="B182" s="170" t="n">
        <v>170</v>
      </c>
      <c r="C182" s="199" t="inlineStr">
        <is>
          <t>COTIZACION DE LOS DISEÑOS DE PROTECCIÓN CONTRA  INCENDIOS - GUARNETEX</t>
        </is>
      </c>
      <c r="D182" s="312" t="n"/>
      <c r="E182" s="312" t="n"/>
      <c r="F182" s="312" t="n"/>
      <c r="G182" s="312" t="n"/>
      <c r="H182" s="312" t="n"/>
      <c r="I182" s="313" t="n"/>
      <c r="J182" s="199" t="inlineStr">
        <is>
          <t>GUARNETEX</t>
        </is>
      </c>
      <c r="K182" s="314" t="n">
        <v>21700000</v>
      </c>
      <c r="L182" s="2" t="n">
        <v>44319</v>
      </c>
      <c r="M182" s="170" t="n"/>
      <c r="N182" s="170" t="n">
        <v>3015421412</v>
      </c>
      <c r="O182" s="172" t="inlineStr">
        <is>
          <t>Juan Londoño</t>
        </is>
      </c>
      <c r="P182" s="52" t="inlineStr">
        <is>
          <t>juan.londono@serviciosipm.com</t>
        </is>
      </c>
    </row>
    <row r="183">
      <c r="B183" s="170" t="n">
        <v>171</v>
      </c>
      <c r="C183" s="199" t="inlineStr">
        <is>
          <t>COTIZACION CONCEPTO RED CONTRA INCENDIOS COLSUBSIDIO BOGOTÁ</t>
        </is>
      </c>
      <c r="D183" s="312" t="n"/>
      <c r="E183" s="312" t="n"/>
      <c r="F183" s="312" t="n"/>
      <c r="G183" s="312" t="n"/>
      <c r="H183" s="312" t="n"/>
      <c r="I183" s="313" t="n"/>
      <c r="J183" s="199" t="inlineStr">
        <is>
          <t xml:space="preserve">AVANTE </t>
        </is>
      </c>
      <c r="K183" s="314" t="n">
        <v>750000</v>
      </c>
      <c r="L183" s="2" t="n">
        <v>44320</v>
      </c>
      <c r="M183" s="2" t="n"/>
      <c r="N183" s="170" t="n">
        <v>3053156721</v>
      </c>
      <c r="O183" s="172" t="inlineStr">
        <is>
          <t>Jose Daniel Echeverri</t>
        </is>
      </c>
      <c r="P183" s="52" t="inlineStr">
        <is>
          <t>daniel.echeverri@avanteing.com</t>
        </is>
      </c>
    </row>
    <row r="184">
      <c r="B184" s="170" t="n">
        <v>172</v>
      </c>
      <c r="C184" s="199" t="inlineStr">
        <is>
          <t>COTIZACION DE LOS DISEÑOS DE SEGURIDAD HUMANA Y PROTECCIÓN CONTRA INCENDIOS - RIO</t>
        </is>
      </c>
      <c r="D184" s="312" t="n"/>
      <c r="E184" s="312" t="n"/>
      <c r="F184" s="312" t="n"/>
      <c r="G184" s="312" t="n"/>
      <c r="H184" s="312" t="n"/>
      <c r="I184" s="313" t="n"/>
      <c r="J184" s="235" t="inlineStr">
        <is>
          <t>URCO</t>
        </is>
      </c>
      <c r="K184" s="314" t="n">
        <v>15930000</v>
      </c>
      <c r="L184" s="2" t="n">
        <v>44320</v>
      </c>
      <c r="M184" s="2" t="n"/>
      <c r="N184" s="170" t="n">
        <v>3113396273</v>
      </c>
      <c r="O184" s="172" t="inlineStr">
        <is>
          <t>Gino Montoya</t>
        </is>
      </c>
      <c r="P184" s="52" t="inlineStr">
        <is>
          <t>gino1037@hotmail.com</t>
        </is>
      </c>
    </row>
    <row r="185">
      <c r="B185" s="170" t="n">
        <v>173</v>
      </c>
      <c r="C185" s="199" t="inlineStr">
        <is>
          <t>COTIZACION DEL DISEÑO DE DETECCIÓN DE INCENDIOS - HALL CAEROS LA PLAZUELA CARTAGENA</t>
        </is>
      </c>
      <c r="D185" s="312" t="n"/>
      <c r="E185" s="312" t="n"/>
      <c r="F185" s="312" t="n"/>
      <c r="G185" s="312" t="n"/>
      <c r="H185" s="312" t="n"/>
      <c r="I185" s="313" t="n"/>
      <c r="J185" s="199" t="inlineStr">
        <is>
          <t>SANTIAGO ROJAS</t>
        </is>
      </c>
      <c r="K185" s="314" t="n">
        <v>650000</v>
      </c>
      <c r="L185" s="2" t="n">
        <v>44321</v>
      </c>
      <c r="M185" s="2" t="n"/>
      <c r="N185" s="170" t="inlineStr">
        <is>
          <t>302 2806727</t>
        </is>
      </c>
      <c r="O185" s="172" t="inlineStr">
        <is>
          <t>Vnessa Ramirez</t>
        </is>
      </c>
      <c r="P185" s="52" t="inlineStr">
        <is>
          <t>proyectos@santiagorojas.com.co</t>
        </is>
      </c>
    </row>
    <row r="186">
      <c r="B186" s="170" t="n">
        <v>174</v>
      </c>
      <c r="C186" s="199" t="inlineStr">
        <is>
          <t>COTIZACION DE LOS DISEÑOS DE PROTECCIÓN CONTRA  INCENDIOS - SILOS DE CARBÓN BRINSA</t>
        </is>
      </c>
      <c r="D186" s="312" t="n"/>
      <c r="E186" s="312" t="n"/>
      <c r="F186" s="312" t="n"/>
      <c r="G186" s="312" t="n"/>
      <c r="H186" s="312" t="n"/>
      <c r="I186" s="313" t="n"/>
      <c r="J186" s="199" t="inlineStr">
        <is>
          <t>SPCI</t>
        </is>
      </c>
      <c r="K186" s="314" t="n">
        <v>19940000</v>
      </c>
      <c r="L186" s="2" t="n">
        <v>44321</v>
      </c>
      <c r="M186" s="170" t="n"/>
      <c r="N186" s="170" t="n">
        <v>3017213541</v>
      </c>
      <c r="O186" s="172" t="inlineStr">
        <is>
          <t>Juan Camilo Echavarría</t>
        </is>
      </c>
      <c r="P186" s="52" t="inlineStr">
        <is>
          <t>dir.comercial@spcisas.com.co</t>
        </is>
      </c>
    </row>
    <row r="187">
      <c r="B187" s="170" t="n">
        <v>175</v>
      </c>
      <c r="C187" s="199" t="inlineStr">
        <is>
          <t>COTIZACION DEL DISEÑO DE EXTINCIÓN DE INCENDIOS - SOTANO ASTORGA</t>
        </is>
      </c>
      <c r="D187" s="312" t="n"/>
      <c r="E187" s="312" t="n"/>
      <c r="F187" s="312" t="n"/>
      <c r="G187" s="312" t="n"/>
      <c r="H187" s="312" t="n"/>
      <c r="I187" s="313" t="n"/>
      <c r="J187" s="199" t="inlineStr">
        <is>
          <t>INTERVÉ</t>
        </is>
      </c>
      <c r="K187" s="314" t="n">
        <v>1500000</v>
      </c>
      <c r="L187" s="2" t="n">
        <v>44322</v>
      </c>
      <c r="M187" s="170" t="n"/>
      <c r="N187" s="170" t="n">
        <v>3006080561</v>
      </c>
      <c r="O187" s="172" t="inlineStr">
        <is>
          <t>Juan Esteban Bernal</t>
        </is>
      </c>
      <c r="P187" s="52" t="inlineStr">
        <is>
          <t>jbernal@interve.co</t>
        </is>
      </c>
    </row>
    <row r="188">
      <c r="B188" s="170" t="n">
        <v>176</v>
      </c>
      <c r="C188" s="199" t="inlineStr">
        <is>
          <t>COTIZACION DE LOS DISEÑOS DE SEGURIDAD HUMANA Y PROTECCIÓN CONTRA  INCENDIOS - EDIFICIO BELÉN</t>
        </is>
      </c>
      <c r="D188" s="312" t="n"/>
      <c r="E188" s="312" t="n"/>
      <c r="F188" s="312" t="n"/>
      <c r="G188" s="312" t="n"/>
      <c r="H188" s="312" t="n"/>
      <c r="I188" s="313" t="n"/>
      <c r="J188" s="199" t="inlineStr">
        <is>
          <t>HECTOR MIRANDA</t>
        </is>
      </c>
      <c r="K188" s="314" t="n">
        <v>7950000</v>
      </c>
      <c r="L188" s="2" t="n">
        <v>44322</v>
      </c>
      <c r="M188" s="170" t="n"/>
      <c r="N188" s="170" t="n">
        <v>3017640354</v>
      </c>
      <c r="O188" s="172" t="inlineStr">
        <is>
          <t>Hector Miranda</t>
        </is>
      </c>
      <c r="P188" s="52" t="inlineStr">
        <is>
          <t>hmiranda528@gmail.com</t>
        </is>
      </c>
    </row>
    <row r="189">
      <c r="B189" s="170" t="n">
        <v>177</v>
      </c>
      <c r="C189" s="199" t="inlineStr">
        <is>
          <t>COTIZACION DEL DISEÑO DE EXTINCIÓN DE INCENDIOS - CONSULTORIO 1848-1849 EL TESORO</t>
        </is>
      </c>
      <c r="D189" s="312" t="n"/>
      <c r="E189" s="312" t="n"/>
      <c r="F189" s="312" t="n"/>
      <c r="G189" s="312" t="n"/>
      <c r="H189" s="312" t="n"/>
      <c r="I189" s="313" t="n"/>
      <c r="J189" s="199" t="inlineStr">
        <is>
          <t>SPCI</t>
        </is>
      </c>
      <c r="K189" s="314" t="n">
        <v>1000000</v>
      </c>
      <c r="L189" s="2" t="n">
        <v>44323</v>
      </c>
      <c r="M189" s="170" t="n"/>
      <c r="N189" s="170" t="n">
        <v>3142272530</v>
      </c>
      <c r="O189" s="172" t="inlineStr">
        <is>
          <t>Mauricio Palencia</t>
        </is>
      </c>
      <c r="P189" s="52" t="n"/>
    </row>
    <row r="190">
      <c r="B190" s="170" t="n">
        <v>178</v>
      </c>
      <c r="C190" s="199" t="inlineStr">
        <is>
          <t>COTIZACION DEL DISEÑO DE DETECCIÓN DE INCENDIOS - LABORATORIO GENOMA PISO 8 CES</t>
        </is>
      </c>
      <c r="D190" s="312" t="n"/>
      <c r="E190" s="312" t="n"/>
      <c r="F190" s="312" t="n"/>
      <c r="G190" s="312" t="n"/>
      <c r="H190" s="312" t="n"/>
      <c r="I190" s="313" t="n"/>
      <c r="J190" s="199" t="inlineStr">
        <is>
          <t>INTERVÉ</t>
        </is>
      </c>
      <c r="K190" s="314" t="n">
        <v>2950000</v>
      </c>
      <c r="L190" s="2" t="n">
        <v>44327</v>
      </c>
      <c r="M190" s="170" t="n"/>
      <c r="N190" s="170" t="n">
        <v>3004659012</v>
      </c>
      <c r="O190" s="172" t="inlineStr">
        <is>
          <t>Martha Ferrer</t>
        </is>
      </c>
      <c r="P190" s="52" t="inlineStr">
        <is>
          <t>mferrer@interve.co</t>
        </is>
      </c>
    </row>
    <row r="191">
      <c r="B191" s="170" t="n">
        <v>179</v>
      </c>
      <c r="C191" s="199" t="inlineStr">
        <is>
          <t>COTIZACION DEL DISEÑO DE DETECCIÓN DE INCENDIOS - AMONTE TORRE 4</t>
        </is>
      </c>
      <c r="D191" s="312" t="n"/>
      <c r="E191" s="312" t="n"/>
      <c r="F191" s="312" t="n"/>
      <c r="G191" s="312" t="n"/>
      <c r="H191" s="312" t="n"/>
      <c r="I191" s="313" t="n"/>
      <c r="J191" s="199" t="inlineStr">
        <is>
          <t>I+CONSTRUCTORA</t>
        </is>
      </c>
      <c r="K191" s="314" t="n">
        <v>1500000</v>
      </c>
      <c r="L191" s="2" t="n">
        <v>44327</v>
      </c>
      <c r="M191" s="170" t="inlineStr">
        <is>
          <t>X</t>
        </is>
      </c>
      <c r="N191" s="170" t="inlineStr">
        <is>
          <t>(+574) 4443091</t>
        </is>
      </c>
      <c r="O191" s="172" t="inlineStr">
        <is>
          <t>Lina Montoya</t>
        </is>
      </c>
      <c r="P191" s="52" t="inlineStr">
        <is>
          <t xml:space="preserve"> lmontoya@iconstructora.com.co</t>
        </is>
      </c>
    </row>
    <row r="192">
      <c r="B192" s="170" t="n">
        <v>180</v>
      </c>
      <c r="C192" s="199" t="inlineStr">
        <is>
          <t>COTIZACION DE LA REVISIÓN VISUAL DEL SISTEMA DE EXTINCIÓN DE INCENIDOS PARA BODENORTE</t>
        </is>
      </c>
      <c r="D192" s="312" t="n"/>
      <c r="E192" s="312" t="n"/>
      <c r="F192" s="312" t="n"/>
      <c r="G192" s="312" t="n"/>
      <c r="H192" s="312" t="n"/>
      <c r="I192" s="313" t="n"/>
      <c r="J192" s="199" t="inlineStr">
        <is>
          <t>JOMARK</t>
        </is>
      </c>
      <c r="K192" s="314" t="n">
        <v>750000</v>
      </c>
      <c r="L192" s="2" t="n">
        <v>44327</v>
      </c>
      <c r="M192" s="2" t="n"/>
      <c r="N192" s="170" t="inlineStr">
        <is>
          <t>319 5981312</t>
        </is>
      </c>
      <c r="O192" s="172" t="inlineStr">
        <is>
          <t>Laura Duque</t>
        </is>
      </c>
      <c r="P192" s="52" t="inlineStr">
        <is>
          <t>Proyectos2@jomarkseguridad.com</t>
        </is>
      </c>
    </row>
    <row r="193">
      <c r="B193" s="170" t="n">
        <v>181</v>
      </c>
      <c r="C193" s="199" t="inlineStr">
        <is>
          <t>COTIZACION DEL DISEÑO DE EXTINCIÓN DE INCENDIOS - REDISEÑO VITHA</t>
        </is>
      </c>
      <c r="D193" s="312" t="n"/>
      <c r="E193" s="312" t="n"/>
      <c r="F193" s="312" t="n"/>
      <c r="G193" s="312" t="n"/>
      <c r="H193" s="312" t="n"/>
      <c r="I193" s="313" t="n"/>
      <c r="J193" s="199" t="inlineStr">
        <is>
          <t>HIDRO F SALINAS</t>
        </is>
      </c>
      <c r="K193" s="314" t="n">
        <v>9950000</v>
      </c>
      <c r="L193" s="2" t="n">
        <v>44328</v>
      </c>
      <c r="M193" s="170" t="inlineStr">
        <is>
          <t>X</t>
        </is>
      </c>
      <c r="N193" s="170" t="n">
        <v>3104139821</v>
      </c>
      <c r="O193" s="172" t="inlineStr">
        <is>
          <t>Carolina Volkmar</t>
        </is>
      </c>
      <c r="P193" s="52" t="inlineStr">
        <is>
          <t>carolina@hidrofsalinas.com</t>
        </is>
      </c>
    </row>
    <row r="194">
      <c r="B194" s="170" t="n">
        <v>182</v>
      </c>
      <c r="C194" s="199" t="inlineStr">
        <is>
          <t>COTIZACION DEL ANÁLISIS DE SEGURIDAD HUMANA - PATIO PERDOMO</t>
        </is>
      </c>
      <c r="D194" s="312" t="n"/>
      <c r="E194" s="312" t="n"/>
      <c r="F194" s="312" t="n"/>
      <c r="G194" s="312" t="n"/>
      <c r="H194" s="312" t="n"/>
      <c r="I194" s="313" t="n"/>
      <c r="J194" s="199" t="inlineStr">
        <is>
          <t>CONCONCRETO</t>
        </is>
      </c>
      <c r="K194" s="314" t="n">
        <v>4950000</v>
      </c>
      <c r="L194" s="2" t="n">
        <v>44328</v>
      </c>
      <c r="M194" s="2" t="inlineStr">
        <is>
          <t>X</t>
        </is>
      </c>
      <c r="N194" s="170" t="inlineStr">
        <is>
          <t>300 367 50 22</t>
        </is>
      </c>
      <c r="O194" s="172" t="inlineStr">
        <is>
          <t>Andrés Restrepo</t>
        </is>
      </c>
      <c r="P194" s="52" t="inlineStr">
        <is>
          <t>arestrepoe@conconcreto.com</t>
        </is>
      </c>
    </row>
    <row r="195">
      <c r="B195" s="170" t="n">
        <v>183</v>
      </c>
      <c r="C195" s="199" t="inlineStr">
        <is>
          <t>COTIZACION DEL ANÁLISIS DE SEGURIDAD HUMANA - MEDERI</t>
        </is>
      </c>
      <c r="D195" s="312" t="n"/>
      <c r="E195" s="312" t="n"/>
      <c r="F195" s="312" t="n"/>
      <c r="G195" s="312" t="n"/>
      <c r="H195" s="312" t="n"/>
      <c r="I195" s="313" t="n"/>
      <c r="J195" s="199" t="inlineStr">
        <is>
          <t>STUDIO SUR</t>
        </is>
      </c>
      <c r="K195" s="314" t="n"/>
      <c r="L195" s="2" t="n"/>
      <c r="M195" s="170" t="n"/>
      <c r="N195" s="170" t="n"/>
      <c r="O195" s="172" t="n"/>
      <c r="P195" s="52" t="n"/>
    </row>
    <row r="196">
      <c r="B196" s="170" t="n">
        <v>184</v>
      </c>
      <c r="C196" s="199" t="inlineStr">
        <is>
          <t>COTIZACION DE LOS DISEÑOS DE SEGURIDAD HUMANA Y PROTECCIÓN CONTRA  INCENDIOS - VILLA VERDE TORRE 2</t>
        </is>
      </c>
      <c r="D196" s="312" t="n"/>
      <c r="E196" s="312" t="n"/>
      <c r="F196" s="312" t="n"/>
      <c r="G196" s="312" t="n"/>
      <c r="H196" s="312" t="n"/>
      <c r="I196" s="313" t="n"/>
      <c r="J196" s="199" t="inlineStr">
        <is>
          <t>SPCI</t>
        </is>
      </c>
      <c r="K196" s="314" t="n">
        <v>7710000</v>
      </c>
      <c r="L196" s="2" t="n">
        <v>44328</v>
      </c>
      <c r="M196" s="170" t="inlineStr">
        <is>
          <t>X</t>
        </is>
      </c>
      <c r="N196" s="170" t="inlineStr">
        <is>
          <t>310 3939739</t>
        </is>
      </c>
      <c r="O196" s="172" t="inlineStr">
        <is>
          <t>Victor Saldarriaga</t>
        </is>
      </c>
      <c r="P196" s="52" t="inlineStr">
        <is>
          <t>victorsadarriaga.spci@gmail.com</t>
        </is>
      </c>
    </row>
    <row r="197">
      <c r="B197" s="170" t="n">
        <v>185</v>
      </c>
      <c r="C197" s="199" t="inlineStr">
        <is>
          <t>COTIZACION DE LOS DISEÑOS DE PROTECCIÓN CONTRA  INCENDIOS - CDI LOS ARAUJOS</t>
        </is>
      </c>
      <c r="D197" s="312" t="n"/>
      <c r="E197" s="312" t="n"/>
      <c r="F197" s="312" t="n"/>
      <c r="G197" s="312" t="n"/>
      <c r="H197" s="312" t="n"/>
      <c r="I197" s="313" t="n"/>
      <c r="J197" s="199" t="inlineStr">
        <is>
          <t>GRUPO M INGENIERÍA</t>
        </is>
      </c>
      <c r="K197" s="314" t="n">
        <v>3760000</v>
      </c>
      <c r="L197" s="2" t="n">
        <v>44329</v>
      </c>
      <c r="M197" s="170" t="n"/>
      <c r="N197" s="170" t="inlineStr">
        <is>
          <t>317 6655401</t>
        </is>
      </c>
      <c r="O197" s="172" t="inlineStr">
        <is>
          <t>Juan Pablo Martínez</t>
        </is>
      </c>
      <c r="P197" s="52" t="inlineStr">
        <is>
          <t>Juan.martinez@grupomingenieria.com.co</t>
        </is>
      </c>
    </row>
    <row r="198">
      <c r="B198" s="170" t="n">
        <v>186</v>
      </c>
      <c r="C198" s="199" t="inlineStr">
        <is>
          <t>COTIZACION DE LOS DISEÑOS DE PROTECCIÓN CONTRA  INCENDIOS - HOSPITAL LA CEJA PISO 2</t>
        </is>
      </c>
      <c r="D198" s="312" t="n"/>
      <c r="E198" s="312" t="n"/>
      <c r="F198" s="312" t="n"/>
      <c r="G198" s="312" t="n"/>
      <c r="H198" s="312" t="n"/>
      <c r="I198" s="313" t="n"/>
      <c r="J198" s="199" t="inlineStr">
        <is>
          <t>ALVARO MAYA</t>
        </is>
      </c>
      <c r="K198" s="314" t="n">
        <v>1550000</v>
      </c>
      <c r="L198" s="2" t="n">
        <v>44330</v>
      </c>
      <c r="M198" s="170" t="n"/>
      <c r="N198" s="170" t="inlineStr">
        <is>
          <t xml:space="preserve">312 297 78 10   </t>
        </is>
      </c>
      <c r="O198" s="172" t="inlineStr">
        <is>
          <t>Alvaro Maya</t>
        </is>
      </c>
      <c r="P198" s="52" t="inlineStr">
        <is>
          <t>ahmayac@hotmail.com</t>
        </is>
      </c>
    </row>
    <row r="199">
      <c r="B199" s="170" t="n">
        <v>187</v>
      </c>
      <c r="C199" s="199" t="inlineStr">
        <is>
          <t>COTIZACION DEL DISEÑO DE DETECCIÓN DE INCENDIOS - BANCOLOMBIA SAN NICOLAS</t>
        </is>
      </c>
      <c r="D199" s="312" t="n"/>
      <c r="E199" s="312" t="n"/>
      <c r="F199" s="312" t="n"/>
      <c r="G199" s="312" t="n"/>
      <c r="H199" s="312" t="n"/>
      <c r="I199" s="313" t="n"/>
      <c r="J199" s="199" t="inlineStr">
        <is>
          <t>CONDISEÑO</t>
        </is>
      </c>
      <c r="K199" s="314" t="n">
        <v>1904539</v>
      </c>
      <c r="L199" s="2" t="n"/>
      <c r="M199" s="2" t="inlineStr">
        <is>
          <t>X</t>
        </is>
      </c>
      <c r="N199" s="170" t="n">
        <v>3175594091</v>
      </c>
      <c r="O199" s="172" t="inlineStr">
        <is>
          <t>Nakary García Romero</t>
        </is>
      </c>
      <c r="P199" s="52" t="inlineStr">
        <is>
          <t>n.garcia@condiseno.co</t>
        </is>
      </c>
    </row>
    <row r="200">
      <c r="B200" s="170" t="n">
        <v>188</v>
      </c>
      <c r="C200" s="199" t="inlineStr">
        <is>
          <t>COTIZACION DE LOS DISEÑOS DE PROTECCIÓN CONTRA  INCENDIOS - KFC PLAZA FABRICATO</t>
        </is>
      </c>
      <c r="D200" s="312" t="n"/>
      <c r="E200" s="312" t="n"/>
      <c r="F200" s="312" t="n"/>
      <c r="G200" s="312" t="n"/>
      <c r="H200" s="312" t="n"/>
      <c r="I200" s="313" t="n"/>
      <c r="J200" s="199" t="inlineStr">
        <is>
          <t>SPCI</t>
        </is>
      </c>
      <c r="K200" s="314" t="n">
        <v>1500000</v>
      </c>
      <c r="L200" s="2" t="n">
        <v>44335</v>
      </c>
      <c r="M200" s="170" t="n"/>
      <c r="N200" s="170" t="n">
        <v>3104680508</v>
      </c>
      <c r="O200" s="172" t="inlineStr">
        <is>
          <t>Juan Pablo Grajales</t>
        </is>
      </c>
      <c r="P200" s="52" t="inlineStr">
        <is>
          <t>juan.grajales@spci.com.co</t>
        </is>
      </c>
    </row>
    <row r="201">
      <c r="B201" s="170" t="n">
        <v>189</v>
      </c>
      <c r="C201" s="199" t="inlineStr">
        <is>
          <t>COTIZACION DEL DISEÑO DE DETECCIÓN DE INCENDIOS - PROYECTO CHINCHINÁ CALDAS</t>
        </is>
      </c>
      <c r="D201" s="312" t="n"/>
      <c r="E201" s="312" t="n"/>
      <c r="F201" s="312" t="n"/>
      <c r="G201" s="312" t="n"/>
      <c r="H201" s="312" t="n"/>
      <c r="I201" s="313" t="n"/>
      <c r="J201" s="199" t="inlineStr">
        <is>
          <t>ENSAMBLE</t>
        </is>
      </c>
      <c r="K201" s="314" t="n">
        <v>1000000</v>
      </c>
      <c r="L201" s="2" t="n">
        <v>44336</v>
      </c>
      <c r="M201" s="2" t="n"/>
      <c r="N201" s="170" t="n">
        <v>3117477239</v>
      </c>
      <c r="O201" s="172" t="inlineStr">
        <is>
          <t>Paola López Cadavid</t>
        </is>
      </c>
      <c r="P201" s="52" t="inlineStr">
        <is>
          <t>paolopez@ensambleespaciosvivos.com</t>
        </is>
      </c>
    </row>
    <row r="202">
      <c r="B202" s="170" t="n">
        <v>190</v>
      </c>
      <c r="C202" s="199" t="inlineStr">
        <is>
          <t>COTIZACION DEL ANÁLISIS DE SEGURIDAD HUMANA - COPROCENVA</t>
        </is>
      </c>
      <c r="D202" s="312" t="n"/>
      <c r="E202" s="312" t="n"/>
      <c r="F202" s="312" t="n"/>
      <c r="G202" s="312" t="n"/>
      <c r="H202" s="312" t="n"/>
      <c r="I202" s="313" t="n"/>
      <c r="J202" s="199" t="inlineStr">
        <is>
          <t>COPROCENVA</t>
        </is>
      </c>
      <c r="K202" s="314" t="n">
        <v>3500000</v>
      </c>
      <c r="L202" s="2" t="n">
        <v>44336</v>
      </c>
      <c r="M202" s="170" t="n"/>
      <c r="N202" s="170" t="n">
        <v>3173492345</v>
      </c>
      <c r="O202" s="172" t="inlineStr">
        <is>
          <t>Henry Rodríguez</t>
        </is>
      </c>
      <c r="P202" s="52" t="inlineStr">
        <is>
          <t>analistap1.aprovisionamiento@coprocenva.coop</t>
        </is>
      </c>
    </row>
    <row r="203">
      <c r="B203" s="170" t="n">
        <v>191</v>
      </c>
      <c r="C203" s="199" t="inlineStr">
        <is>
          <t>COTIZACION DEL DISEÑO DE EXTINCIÓN DE INCENDIOS - COPROCENVA</t>
        </is>
      </c>
      <c r="D203" s="312" t="n"/>
      <c r="E203" s="312" t="n"/>
      <c r="F203" s="312" t="n"/>
      <c r="G203" s="312" t="n"/>
      <c r="H203" s="312" t="n"/>
      <c r="I203" s="313" t="n"/>
      <c r="J203" s="199" t="inlineStr">
        <is>
          <t>COPROCENVA</t>
        </is>
      </c>
      <c r="K203" s="314" t="n">
        <v>4750000</v>
      </c>
      <c r="L203" s="2" t="n">
        <v>44336</v>
      </c>
      <c r="M203" s="170" t="n"/>
      <c r="N203" s="170" t="n">
        <v>3173492345</v>
      </c>
      <c r="O203" s="172" t="inlineStr">
        <is>
          <t>Henry Rodríguez</t>
        </is>
      </c>
      <c r="P203" s="52" t="inlineStr">
        <is>
          <t>analistap1.aprovisionamiento@coprocenva.coop</t>
        </is>
      </c>
    </row>
    <row r="204">
      <c r="B204" s="170" t="n">
        <v>192</v>
      </c>
      <c r="C204" s="199" t="inlineStr">
        <is>
          <t>COTIZACION DEL DISEÑO DE EXTINCIÓN DE INCENDIOS - EDIFICIO 45 PISOS</t>
        </is>
      </c>
      <c r="D204" s="312" t="n"/>
      <c r="E204" s="312" t="n"/>
      <c r="F204" s="312" t="n"/>
      <c r="G204" s="312" t="n"/>
      <c r="H204" s="312" t="n"/>
      <c r="I204" s="313" t="n"/>
      <c r="J204" s="199" t="inlineStr">
        <is>
          <t>ASHES FIRE</t>
        </is>
      </c>
      <c r="K204" s="314" t="n">
        <v>7500000</v>
      </c>
      <c r="L204" s="2" t="n">
        <v>44335</v>
      </c>
      <c r="M204" s="170" t="n"/>
      <c r="N204" s="170" t="n">
        <v>3103156058</v>
      </c>
      <c r="O204" s="172" t="inlineStr">
        <is>
          <t>Alexander Carvajal Murcia</t>
        </is>
      </c>
      <c r="P204" s="52" t="inlineStr">
        <is>
          <t>direccionregional@ashesfire.co</t>
        </is>
      </c>
    </row>
    <row r="205">
      <c r="B205" s="170" t="n">
        <v>193</v>
      </c>
      <c r="C205" s="199" t="inlineStr">
        <is>
          <t>COTIZACION DEL RE-DISEÑOS DE SEGURIDAD HUMANA Y DETECCIÓN DE INCENDIOS - TRES CANTOS TORRE 2 APTOS</t>
        </is>
      </c>
      <c r="D205" s="312" t="n"/>
      <c r="E205" s="312" t="n"/>
      <c r="F205" s="312" t="n"/>
      <c r="G205" s="312" t="n"/>
      <c r="H205" s="312" t="n"/>
      <c r="I205" s="313" t="n"/>
      <c r="J205" s="199" t="inlineStr">
        <is>
          <t>CONSTRUIR OBRAS CIVILES</t>
        </is>
      </c>
      <c r="K205" s="314" t="n">
        <v>2000000</v>
      </c>
      <c r="L205" s="2" t="n">
        <v>44335</v>
      </c>
      <c r="M205" s="170" t="n"/>
      <c r="N205" s="170" t="inlineStr">
        <is>
          <t>300 8113522</t>
        </is>
      </c>
      <c r="O205" s="172" t="inlineStr">
        <is>
          <t>Katty Milena Castro</t>
        </is>
      </c>
      <c r="P205" s="52" t="inlineStr">
        <is>
          <t>trescantosk@gmail.com</t>
        </is>
      </c>
    </row>
    <row r="206">
      <c r="B206" s="170" t="n">
        <v>194</v>
      </c>
      <c r="C206" s="199" t="inlineStr">
        <is>
          <t>COTIZACION DEL DISEÑO DE EXTINCIÓN DE INCENDIOS - CEDI SOCODA GUARNE</t>
        </is>
      </c>
      <c r="D206" s="312" t="n"/>
      <c r="E206" s="312" t="n"/>
      <c r="F206" s="312" t="n"/>
      <c r="G206" s="312" t="n"/>
      <c r="H206" s="312" t="n"/>
      <c r="I206" s="313" t="n"/>
      <c r="J206" s="199" t="inlineStr">
        <is>
          <t>SOCODA</t>
        </is>
      </c>
      <c r="K206" s="314" t="n">
        <v>8500000</v>
      </c>
      <c r="L206" s="2" t="n">
        <v>44336</v>
      </c>
      <c r="M206" s="170" t="n"/>
      <c r="N206" s="170" t="n">
        <v>3206825924</v>
      </c>
      <c r="O206" s="172" t="inlineStr">
        <is>
          <t>Jorge Velez</t>
        </is>
      </c>
      <c r="P206" s="52" t="inlineStr">
        <is>
          <t>jorge.velez@socoda.com.co</t>
        </is>
      </c>
    </row>
    <row r="207">
      <c r="B207" s="170" t="n">
        <v>195</v>
      </c>
      <c r="C207" s="199" t="inlineStr">
        <is>
          <t>COTIZACION DE LOS DISEÑOS DE SEGURIDAD HUMANA Y DETECCIÓN DE INCENDIOS - PARQ SUBTERRANEO PLAZA 26</t>
        </is>
      </c>
      <c r="D207" s="312" t="n"/>
      <c r="E207" s="312" t="n"/>
      <c r="F207" s="312" t="n"/>
      <c r="G207" s="312" t="n"/>
      <c r="H207" s="312" t="n"/>
      <c r="I207" s="313" t="n"/>
      <c r="J207" s="199" t="inlineStr">
        <is>
          <t>Alca Ingeniería S.A.S.</t>
        </is>
      </c>
      <c r="K207" s="314" t="n">
        <v>7600000</v>
      </c>
      <c r="L207" s="2" t="n">
        <v>44337</v>
      </c>
      <c r="M207" s="170" t="n"/>
      <c r="N207" s="170" t="n">
        <v>3153329297</v>
      </c>
      <c r="O207" s="172" t="inlineStr">
        <is>
          <t>Arturo Castro</t>
        </is>
      </c>
      <c r="P207" s="52" t="inlineStr">
        <is>
          <t>arturoalcaingenieria@gmail.com</t>
        </is>
      </c>
    </row>
    <row r="208">
      <c r="B208" s="170" t="n">
        <v>196</v>
      </c>
      <c r="C208" s="199" t="inlineStr">
        <is>
          <t>COTIZACION DE LOS DISEÑOS DE SEGURIDAD HUMANA Y PROTECCIÓN CONTRA  INCENDIOS - LOTE SAN ANTONIO</t>
        </is>
      </c>
      <c r="D208" s="312" t="n"/>
      <c r="E208" s="312" t="n"/>
      <c r="F208" s="312" t="n"/>
      <c r="G208" s="312" t="n"/>
      <c r="H208" s="312" t="n"/>
      <c r="I208" s="313" t="n"/>
      <c r="J208" s="199" t="inlineStr">
        <is>
          <t>PERSPECTIVAS CIVILES</t>
        </is>
      </c>
      <c r="K208" s="314" t="n">
        <v>13950000</v>
      </c>
      <c r="L208" s="2" t="n">
        <v>44337</v>
      </c>
      <c r="M208" s="170" t="n"/>
      <c r="N208" s="170" t="n">
        <v>3016324475</v>
      </c>
      <c r="O208" s="172" t="inlineStr">
        <is>
          <t>Teresita Hernandez</t>
        </is>
      </c>
      <c r="P208" s="52" t="inlineStr">
        <is>
          <t>perspectivasciviles@gmail.com</t>
        </is>
      </c>
    </row>
    <row r="209">
      <c r="B209" s="170" t="n">
        <v>197</v>
      </c>
      <c r="C209" s="199" t="inlineStr">
        <is>
          <t>COTIZACION DE LOS DISEÑOS DE SEGURIDAD HUMANA Y PROTECCIÓN CONTRA  INCENDIOS - TORRE VELONA</t>
        </is>
      </c>
      <c r="D209" s="312" t="n"/>
      <c r="E209" s="312" t="n"/>
      <c r="F209" s="312" t="n"/>
      <c r="G209" s="312" t="n"/>
      <c r="H209" s="312" t="n"/>
      <c r="I209" s="313" t="n"/>
      <c r="J209" s="199" t="inlineStr">
        <is>
          <t>SPCI</t>
        </is>
      </c>
      <c r="K209" s="314" t="n">
        <v>7520000</v>
      </c>
      <c r="L209" s="2" t="n">
        <v>44337</v>
      </c>
      <c r="M209" s="170" t="n"/>
      <c r="N209" s="170" t="n">
        <v>3104680508</v>
      </c>
      <c r="O209" s="172" t="inlineStr">
        <is>
          <t>Juan Pablo Grajales</t>
        </is>
      </c>
      <c r="P209" s="52" t="inlineStr">
        <is>
          <t>juan.grajales@spci.com.co</t>
        </is>
      </c>
    </row>
    <row r="210">
      <c r="B210" s="170" t="n">
        <v>198</v>
      </c>
      <c r="C210" s="199" t="inlineStr">
        <is>
          <t>COTIZACION DEL ANÁLISIS DE SEGURIDAD HUMANA - ARUS SEDE ITAGUÍ</t>
        </is>
      </c>
      <c r="D210" s="312" t="n"/>
      <c r="E210" s="312" t="n"/>
      <c r="F210" s="312" t="n"/>
      <c r="G210" s="312" t="n"/>
      <c r="H210" s="312" t="n"/>
      <c r="I210" s="313" t="n"/>
      <c r="J210" s="199" t="inlineStr">
        <is>
          <t>ALEJANDRO VELASQUEZ</t>
        </is>
      </c>
      <c r="K210" s="314" t="n">
        <v>1630000</v>
      </c>
      <c r="L210" s="2" t="n">
        <v>44337</v>
      </c>
      <c r="M210" s="2" t="n"/>
      <c r="N210" s="170" t="n">
        <v>3128222923</v>
      </c>
      <c r="O210" s="172" t="inlineStr">
        <is>
          <t>Alejandro Velásquez</t>
        </is>
      </c>
      <c r="P210" s="52" t="inlineStr">
        <is>
          <t>ing.luisalejandrov@gmail.com</t>
        </is>
      </c>
    </row>
    <row r="211">
      <c r="B211" s="170" t="n">
        <v>199</v>
      </c>
      <c r="C211" s="199" t="inlineStr">
        <is>
          <t>COTIZACION DEL ANÁLISIS DE SEGURIDAD HUMANA PARA EL PROYECTO AMÓNIKO</t>
        </is>
      </c>
      <c r="D211" s="312" t="n"/>
      <c r="E211" s="312" t="n"/>
      <c r="F211" s="312" t="n"/>
      <c r="G211" s="312" t="n"/>
      <c r="H211" s="312" t="n"/>
      <c r="I211" s="313" t="n"/>
      <c r="J211" s="199" t="inlineStr">
        <is>
          <t>JUAN CAMILO CARDONA</t>
        </is>
      </c>
      <c r="K211" s="314" t="n">
        <v>1990000</v>
      </c>
      <c r="L211" s="2" t="n">
        <v>44340</v>
      </c>
      <c r="M211" s="170" t="n"/>
      <c r="N211" s="170" t="inlineStr">
        <is>
          <t>311 3693748</t>
        </is>
      </c>
      <c r="O211" s="172" t="inlineStr">
        <is>
          <t>Juan Camilo Cardona</t>
        </is>
      </c>
      <c r="P211" s="52" t="inlineStr">
        <is>
          <t>jcardonm@gmail.com</t>
        </is>
      </c>
    </row>
    <row r="212">
      <c r="B212" s="170" t="n">
        <v>200</v>
      </c>
      <c r="C212" s="199" t="inlineStr">
        <is>
          <t>COTIZACION DE LOS DISEÑOS DE SEGURIDAD HUMANA Y PROTECCIÓN CONTRA  INCENDIOS - LOTE CASA CECILIA</t>
        </is>
      </c>
      <c r="D212" s="312" t="n"/>
      <c r="E212" s="312" t="n"/>
      <c r="F212" s="312" t="n"/>
      <c r="G212" s="312" t="n"/>
      <c r="H212" s="312" t="n"/>
      <c r="I212" s="313" t="n"/>
      <c r="J212" s="199" t="inlineStr">
        <is>
          <t>SOLUCIONES CIVILES</t>
        </is>
      </c>
      <c r="K212" s="314" t="n">
        <v>16950000</v>
      </c>
      <c r="L212" s="2" t="n">
        <v>44341</v>
      </c>
      <c r="M212" s="170" t="n"/>
      <c r="N212" s="170" t="n">
        <v>4483960</v>
      </c>
      <c r="O212" s="172" t="inlineStr">
        <is>
          <t>Gustavo Aguirre</t>
        </is>
      </c>
      <c r="P212" s="52" t="inlineStr">
        <is>
          <t>gaguirre@solciviles.com</t>
        </is>
      </c>
    </row>
    <row r="213">
      <c r="B213" s="170" t="n">
        <v>201</v>
      </c>
      <c r="C213" s="233" t="inlineStr">
        <is>
          <t>COTIZACION DE LOS DISEÑOS DE SEGURIDAD HUMANA Y PROTECCIÓN CONTRA  INCENDIOS - CLÍNICA REINA VICTORIA POPAYÁN</t>
        </is>
      </c>
      <c r="D213" s="312" t="n"/>
      <c r="E213" s="312" t="n"/>
      <c r="F213" s="312" t="n"/>
      <c r="G213" s="312" t="n"/>
      <c r="H213" s="312" t="n"/>
      <c r="I213" s="313" t="n"/>
      <c r="J213" s="199" t="inlineStr">
        <is>
          <t>CONDISEÑO</t>
        </is>
      </c>
      <c r="K213" s="314" t="n">
        <v>17860000</v>
      </c>
      <c r="L213" s="2" t="n">
        <v>44341</v>
      </c>
      <c r="M213" s="170" t="n"/>
      <c r="N213" s="170" t="n">
        <v>3175594091</v>
      </c>
      <c r="O213" s="172" t="inlineStr">
        <is>
          <t>Nakary García Romero</t>
        </is>
      </c>
      <c r="P213" s="52" t="inlineStr">
        <is>
          <t>n.garcia@condiseno.co</t>
        </is>
      </c>
    </row>
    <row r="214">
      <c r="B214" s="170" t="n">
        <v>202</v>
      </c>
      <c r="C214" s="199" t="inlineStr">
        <is>
          <t>COTIZACION DEL DISEÑO DE DETECCIÓN DE INCENDIOS - BODEGAS ZOFIVA</t>
        </is>
      </c>
      <c r="D214" s="312" t="n"/>
      <c r="E214" s="312" t="n"/>
      <c r="F214" s="312" t="n"/>
      <c r="G214" s="312" t="n"/>
      <c r="H214" s="312" t="n"/>
      <c r="I214" s="313" t="n"/>
      <c r="J214" s="199" t="inlineStr">
        <is>
          <t>ESPIRAL</t>
        </is>
      </c>
      <c r="K214" s="314" t="n">
        <v>6300000</v>
      </c>
      <c r="L214" s="2" t="n">
        <v>44341</v>
      </c>
      <c r="M214" s="2" t="n"/>
      <c r="N214" s="170" t="inlineStr">
        <is>
          <t>301 2154484</t>
        </is>
      </c>
      <c r="O214" s="172" t="inlineStr">
        <is>
          <t>Luisa Montoya</t>
        </is>
      </c>
      <c r="P214" s="52" t="inlineStr">
        <is>
          <t>luisa.montoya@espiral.com.co</t>
        </is>
      </c>
    </row>
    <row r="215">
      <c r="B215" s="170" t="n">
        <v>203</v>
      </c>
      <c r="C215" s="199" t="inlineStr">
        <is>
          <t>COTIZACION DEL ANÁLISIS DE SEGURIDAD HUMANA - COLTEJER</t>
        </is>
      </c>
      <c r="D215" s="312" t="n"/>
      <c r="E215" s="312" t="n"/>
      <c r="F215" s="312" t="n"/>
      <c r="G215" s="312" t="n"/>
      <c r="H215" s="312" t="n"/>
      <c r="I215" s="313" t="n"/>
      <c r="J215" s="199" t="inlineStr">
        <is>
          <t>ADMIRIS</t>
        </is>
      </c>
      <c r="K215" s="314" t="n">
        <v>3135000</v>
      </c>
      <c r="L215" s="2" t="n">
        <v>44341</v>
      </c>
      <c r="M215" s="170" t="n"/>
      <c r="N215" s="170" t="n">
        <v>3014188503</v>
      </c>
      <c r="O215" s="172" t="inlineStr">
        <is>
          <t>Andrés Velázquez</t>
        </is>
      </c>
      <c r="P215" s="52" t="inlineStr">
        <is>
          <t>avelasquez@admirisltda.com</t>
        </is>
      </c>
    </row>
    <row r="216">
      <c r="B216" s="170" t="n">
        <v>204</v>
      </c>
      <c r="C216" s="199" t="inlineStr">
        <is>
          <t>COTIZACION DE LOS DISEÑOS DE SEGURIDAD HUMANA Y PROTECCIÓN CONTRA  INCENDIOS - CLINICA COMEDAL</t>
        </is>
      </c>
      <c r="D216" s="312" t="n"/>
      <c r="E216" s="312" t="n"/>
      <c r="F216" s="312" t="n"/>
      <c r="G216" s="312" t="n"/>
      <c r="H216" s="312" t="n"/>
      <c r="I216" s="313" t="n"/>
      <c r="J216" s="199" t="inlineStr">
        <is>
          <t>CONINSA RAMON H</t>
        </is>
      </c>
      <c r="K216" s="314" t="inlineStr">
        <is>
          <t>Variable</t>
        </is>
      </c>
      <c r="L216" s="2" t="n">
        <v>44342</v>
      </c>
      <c r="M216" s="170" t="n"/>
      <c r="N216" s="170" t="n">
        <v>3174405049</v>
      </c>
      <c r="O216" s="172" t="inlineStr">
        <is>
          <t>Mario León Hincapié Quiceno</t>
        </is>
      </c>
      <c r="P216" s="52" t="inlineStr">
        <is>
          <t>mhincapie@coninsa.co</t>
        </is>
      </c>
    </row>
    <row r="217">
      <c r="B217" s="170" t="n">
        <v>205</v>
      </c>
      <c r="C217" s="199" t="inlineStr">
        <is>
          <t>COTIZACION DEL RE-DISEÑO DE EXTINCIÓN DE INCENDIOS - PARQUEADEROS FIORENZA</t>
        </is>
      </c>
      <c r="D217" s="312" t="n"/>
      <c r="E217" s="312" t="n"/>
      <c r="F217" s="312" t="n"/>
      <c r="G217" s="312" t="n"/>
      <c r="H217" s="312" t="n"/>
      <c r="I217" s="313" t="n"/>
      <c r="J217" s="199" t="inlineStr">
        <is>
          <t>SPCI</t>
        </is>
      </c>
      <c r="K217" s="314" t="n">
        <v>900000</v>
      </c>
      <c r="L217" s="2" t="n">
        <v>44343</v>
      </c>
      <c r="M217" s="2" t="n"/>
      <c r="N217" s="170" t="n">
        <v>3104165783</v>
      </c>
      <c r="O217" s="172" t="inlineStr">
        <is>
          <t>Cristiam Mondragón</t>
        </is>
      </c>
      <c r="P217" s="52" t="inlineStr">
        <is>
          <t>cristiamondragon.spci@gmail.com</t>
        </is>
      </c>
    </row>
    <row r="218">
      <c r="B218" s="170" t="n">
        <v>206</v>
      </c>
      <c r="C218" s="199" t="inlineStr">
        <is>
          <t>COTIZACION DEL DISEÑO DE EXTINCIÓN DE INCENDIOS - UNIVERSIDAD DEL SUR</t>
        </is>
      </c>
      <c r="D218" s="312" t="n"/>
      <c r="E218" s="312" t="n"/>
      <c r="F218" s="312" t="n"/>
      <c r="G218" s="312" t="n"/>
      <c r="H218" s="312" t="n"/>
      <c r="I218" s="313" t="n"/>
      <c r="J218" s="199" t="inlineStr">
        <is>
          <t>GRUPO M INGENIERÍA</t>
        </is>
      </c>
      <c r="K218" s="314" t="n">
        <v>13800000</v>
      </c>
      <c r="L218" s="2" t="n">
        <v>44343</v>
      </c>
      <c r="M218" s="170" t="n"/>
      <c r="N218" s="170" t="inlineStr">
        <is>
          <t>317 6655401</t>
        </is>
      </c>
      <c r="O218" s="172" t="inlineStr">
        <is>
          <t>Juan Pablo Martínez</t>
        </is>
      </c>
      <c r="P218" s="52" t="inlineStr">
        <is>
          <t>Juan.martinez@grupomingenieria.com.co</t>
        </is>
      </c>
    </row>
    <row r="219">
      <c r="B219" s="170" t="n">
        <v>207</v>
      </c>
      <c r="C219" s="199" t="inlineStr">
        <is>
          <t>COTIZACION DE LOS DISEÑOS DE PROTECCIÓN CONTRA  INCENDIOS - BANCOLOMBIA SAN PEDRO</t>
        </is>
      </c>
      <c r="D219" s="312" t="n"/>
      <c r="E219" s="312" t="n"/>
      <c r="F219" s="312" t="n"/>
      <c r="G219" s="312" t="n"/>
      <c r="H219" s="312" t="n"/>
      <c r="I219" s="313" t="n"/>
      <c r="J219" s="199" t="inlineStr">
        <is>
          <t>SANTIAGO ROJAS</t>
        </is>
      </c>
      <c r="K219" s="314" t="n">
        <v>2500000</v>
      </c>
      <c r="L219" s="2" t="n">
        <v>44344</v>
      </c>
      <c r="M219" s="170" t="inlineStr">
        <is>
          <t>X</t>
        </is>
      </c>
      <c r="N219" s="170" t="n">
        <v>3022295772</v>
      </c>
      <c r="O219" s="172" t="inlineStr">
        <is>
          <t>Aurora Rios</t>
        </is>
      </c>
      <c r="P219" s="52" t="inlineStr">
        <is>
          <t>proyectos@santiagorojas.com.co</t>
        </is>
      </c>
    </row>
    <row r="220">
      <c r="B220" s="170" t="n">
        <v>208</v>
      </c>
      <c r="C220" s="199" t="inlineStr">
        <is>
          <t>COTIZACION DEL DISEÑO DE DETECCIÓN DE INCENDIOS - HALL DE CAJEROS CARRERA 15 CALI</t>
        </is>
      </c>
      <c r="D220" s="312" t="n"/>
      <c r="E220" s="312" t="n"/>
      <c r="F220" s="312" t="n"/>
      <c r="G220" s="312" t="n"/>
      <c r="H220" s="312" t="n"/>
      <c r="I220" s="313" t="n"/>
      <c r="J220" s="199" t="inlineStr">
        <is>
          <t>SANTIAGO ROJAS</t>
        </is>
      </c>
      <c r="K220" s="314" t="n">
        <v>750000</v>
      </c>
      <c r="L220" s="2" t="n">
        <v>44344</v>
      </c>
      <c r="M220" s="2" t="inlineStr">
        <is>
          <t>X</t>
        </is>
      </c>
      <c r="N220" s="170" t="n">
        <v>3022295773</v>
      </c>
      <c r="O220" s="172" t="inlineStr">
        <is>
          <t xml:space="preserve">Vanessa Ramirez </t>
        </is>
      </c>
      <c r="P220" s="52" t="inlineStr">
        <is>
          <t>proyectos@santiagorojas.com.co</t>
        </is>
      </c>
    </row>
    <row r="221">
      <c r="B221" s="170" t="n">
        <v>209</v>
      </c>
      <c r="C221" s="199" t="inlineStr">
        <is>
          <t>COTIZACION DEL ANÁLISIS DE SEGURIDAD HUMANA - PATIO USME</t>
        </is>
      </c>
      <c r="D221" s="312" t="n"/>
      <c r="E221" s="312" t="n"/>
      <c r="F221" s="312" t="n"/>
      <c r="G221" s="312" t="n"/>
      <c r="H221" s="312" t="n"/>
      <c r="I221" s="313" t="n"/>
      <c r="J221" s="199" t="inlineStr">
        <is>
          <t>CONCONCRETO</t>
        </is>
      </c>
      <c r="K221" s="328" t="n">
        <v>4200000</v>
      </c>
      <c r="L221" s="2" t="n">
        <v>44347</v>
      </c>
      <c r="M221" s="170" t="inlineStr">
        <is>
          <t>X</t>
        </is>
      </c>
      <c r="N221" s="170" t="inlineStr">
        <is>
          <t>300 367 50 22</t>
        </is>
      </c>
      <c r="O221" s="172" t="inlineStr">
        <is>
          <t>Andrés Restrepo</t>
        </is>
      </c>
      <c r="P221" s="52" t="inlineStr">
        <is>
          <t>arestrepoe@conconcreto.com</t>
        </is>
      </c>
    </row>
    <row r="222">
      <c r="B222" s="170" t="n">
        <v>210</v>
      </c>
      <c r="C222" s="199" t="inlineStr">
        <is>
          <t>COTIZACION DE LOS DISEÑOS DE SEGURIDAD HUMANA Y PROTECCIÓN CONTRA  INCENDIOS - OFICINAS IGT</t>
        </is>
      </c>
      <c r="D222" s="312" t="n"/>
      <c r="E222" s="312" t="n"/>
      <c r="F222" s="312" t="n"/>
      <c r="G222" s="312" t="n"/>
      <c r="H222" s="312" t="n"/>
      <c r="I222" s="313" t="n"/>
      <c r="J222" s="199" t="inlineStr">
        <is>
          <t>ESPIRAL</t>
        </is>
      </c>
      <c r="K222" s="314" t="inlineStr">
        <is>
          <t>Variable</t>
        </is>
      </c>
      <c r="L222" s="2" t="n">
        <v>44347</v>
      </c>
      <c r="M222" s="170" t="n"/>
      <c r="N222" s="170" t="inlineStr">
        <is>
          <t>317 6461961</t>
        </is>
      </c>
      <c r="O222" s="172" t="inlineStr">
        <is>
          <t>Jorge Escobar</t>
        </is>
      </c>
      <c r="P222" s="52" t="inlineStr">
        <is>
          <t>jorge.escobar@espiralstudio.co</t>
        </is>
      </c>
    </row>
    <row r="223">
      <c r="B223" s="170" t="n">
        <v>211</v>
      </c>
      <c r="C223" s="199" t="inlineStr">
        <is>
          <t>COTIZACION DEL DISEÑO DE EXTINCIÓN DE INCENDIOS - LOCAL 2 DISTRITO 90</t>
        </is>
      </c>
      <c r="D223" s="312" t="n"/>
      <c r="E223" s="312" t="n"/>
      <c r="F223" s="312" t="n"/>
      <c r="G223" s="312" t="n"/>
      <c r="H223" s="312" t="n"/>
      <c r="I223" s="313" t="n"/>
      <c r="J223" s="199" t="inlineStr">
        <is>
          <t>SPCI</t>
        </is>
      </c>
      <c r="K223" s="314" t="n">
        <v>950000</v>
      </c>
      <c r="L223" s="2" t="n">
        <v>44348</v>
      </c>
      <c r="M223" s="170" t="inlineStr">
        <is>
          <t>X</t>
        </is>
      </c>
      <c r="N223" s="170" t="n">
        <v>3104203649</v>
      </c>
      <c r="O223" s="172" t="inlineStr">
        <is>
          <t>Mauricio Guzman</t>
        </is>
      </c>
      <c r="P223" s="52" t="inlineStr">
        <is>
          <t>mauroguzmanspci@gmail.com</t>
        </is>
      </c>
    </row>
    <row r="224">
      <c r="B224" s="170" t="n">
        <v>212</v>
      </c>
      <c r="C224" s="199" t="inlineStr">
        <is>
          <t>COTIZACION DE LOS DISEÑOS DE SEGURIDAD HUMANA Y PROTECCIÓN CONTRA  INCENDIOS - LOCAL COMERCIAL LA VAQUITA</t>
        </is>
      </c>
      <c r="D224" s="312" t="n"/>
      <c r="E224" s="312" t="n"/>
      <c r="F224" s="312" t="n"/>
      <c r="G224" s="312" t="n"/>
      <c r="H224" s="312" t="n"/>
      <c r="I224" s="313" t="n"/>
      <c r="J224" s="199" t="inlineStr">
        <is>
          <t>NUART</t>
        </is>
      </c>
      <c r="K224" s="314" t="n"/>
      <c r="L224" s="2" t="n">
        <v>44348</v>
      </c>
      <c r="M224" s="170" t="n"/>
      <c r="N224" s="170" t="inlineStr">
        <is>
          <t>(301) 504-58-57</t>
        </is>
      </c>
      <c r="O224" s="172" t="inlineStr">
        <is>
          <t>Santiago Mora</t>
        </is>
      </c>
      <c r="P224" s="52" t="inlineStr">
        <is>
          <t>direccionuart@gmail.co</t>
        </is>
      </c>
    </row>
    <row r="225">
      <c r="B225" s="170" t="n">
        <v>213</v>
      </c>
      <c r="C225" s="199" t="inlineStr">
        <is>
          <t>COTIZACION DE LOS DISEÑOS DE PROTECCIÓN CONTRA INCENDIOS - CENTRO DE ENCUENTRO CIUDADANO</t>
        </is>
      </c>
      <c r="D225" s="312" t="n"/>
      <c r="E225" s="312" t="n"/>
      <c r="F225" s="312" t="n"/>
      <c r="G225" s="312" t="n"/>
      <c r="H225" s="312" t="n"/>
      <c r="I225" s="313" t="n"/>
      <c r="J225" s="199" t="inlineStr">
        <is>
          <t>TIP INTERVENTORÍA</t>
        </is>
      </c>
      <c r="K225" s="314" t="n">
        <v>4890000</v>
      </c>
      <c r="L225" s="2" t="n">
        <v>44348</v>
      </c>
      <c r="M225" s="170" t="n"/>
      <c r="N225" s="176" t="inlineStr">
        <is>
          <t>320 6647758</t>
        </is>
      </c>
      <c r="O225" s="170" t="inlineStr">
        <is>
          <t>Alejandra Barrientos</t>
        </is>
      </c>
      <c r="P225" s="52" t="inlineStr">
        <is>
          <t>interventoriacecv@tipinterventoria.com</t>
        </is>
      </c>
    </row>
    <row r="226">
      <c r="B226" s="170" t="n">
        <v>214</v>
      </c>
      <c r="C226" s="199" t="inlineStr">
        <is>
          <t>COTIZACION DE LA VALIDACIÓN HIDRÁULICA PARA LA RED GENERAL - PINTUCO</t>
        </is>
      </c>
      <c r="D226" s="312" t="n"/>
      <c r="E226" s="312" t="n"/>
      <c r="F226" s="312" t="n"/>
      <c r="G226" s="312" t="n"/>
      <c r="H226" s="312" t="n"/>
      <c r="I226" s="313" t="n"/>
      <c r="J226" s="199" t="inlineStr">
        <is>
          <t>SPCI</t>
        </is>
      </c>
      <c r="K226" s="314" t="n">
        <v>1950000</v>
      </c>
      <c r="L226" s="2" t="n">
        <v>44348</v>
      </c>
      <c r="M226" s="170" t="n"/>
      <c r="N226" s="170" t="n">
        <v>3104680508</v>
      </c>
      <c r="O226" s="172" t="inlineStr">
        <is>
          <t>Juan Pablo Grajales</t>
        </is>
      </c>
      <c r="P226" s="52" t="inlineStr">
        <is>
          <t>juan.grajales@spci.com.co</t>
        </is>
      </c>
    </row>
    <row r="227">
      <c r="B227" s="170" t="n">
        <v>215</v>
      </c>
      <c r="C227" s="199" t="inlineStr">
        <is>
          <t>COTIZACION DE LOS DISEÑOS DE SEGURIDAD HUMANA Y PROTECCIÓN CONTRA  INCENDIOS - EQUIPOS Y LABORATORIOS</t>
        </is>
      </c>
      <c r="D227" s="312" t="n"/>
      <c r="E227" s="312" t="n"/>
      <c r="F227" s="312" t="n"/>
      <c r="G227" s="312" t="n"/>
      <c r="H227" s="312" t="n"/>
      <c r="I227" s="313" t="n"/>
      <c r="J227" s="199" t="inlineStr">
        <is>
          <t>ESTRUCTURAR</t>
        </is>
      </c>
      <c r="K227" s="314" t="n">
        <v>12990000</v>
      </c>
      <c r="L227" s="2" t="n">
        <v>44348</v>
      </c>
      <c r="M227" s="170" t="n"/>
      <c r="N227" s="170" t="n">
        <v>3134587240</v>
      </c>
      <c r="O227" s="172" t="inlineStr">
        <is>
          <t>Hector Camelo</t>
        </is>
      </c>
      <c r="P227" s="52" t="inlineStr">
        <is>
          <t>hectorcamelo@estructurar.co</t>
        </is>
      </c>
    </row>
    <row r="228">
      <c r="B228" s="170" t="n">
        <v>216</v>
      </c>
      <c r="C228" s="199" t="inlineStr">
        <is>
          <t>COTIZACION DE LOS DISEÑOS DE PROTECCIÓN CONTRA  INCENDIOS - INCODOL ETAPA 4</t>
        </is>
      </c>
      <c r="D228" s="312" t="n"/>
      <c r="E228" s="312" t="n"/>
      <c r="F228" s="312" t="n"/>
      <c r="G228" s="312" t="n"/>
      <c r="H228" s="312" t="n"/>
      <c r="I228" s="313" t="n"/>
      <c r="J228" s="199" t="inlineStr">
        <is>
          <t>SOCOMES</t>
        </is>
      </c>
      <c r="K228" s="314" t="inlineStr">
        <is>
          <t>Variable</t>
        </is>
      </c>
      <c r="L228" s="2" t="n">
        <v>44348</v>
      </c>
      <c r="M228" s="170" t="n"/>
      <c r="N228" s="170" t="n">
        <v>3137851941</v>
      </c>
      <c r="O228" s="172" t="inlineStr">
        <is>
          <t>David Lopera</t>
        </is>
      </c>
      <c r="P228" s="52" t="inlineStr">
        <is>
          <t>david.lopera@socomes.com</t>
        </is>
      </c>
      <c r="S228" s="329" t="n"/>
    </row>
    <row r="229">
      <c r="B229" s="170" t="n">
        <v>217</v>
      </c>
      <c r="C229" s="199" t="inlineStr">
        <is>
          <t>COTIZACION DE LOS DISEÑOS DE PROTECCIÓN CONTRA  INCENDIOS - INCODOL ETAPA 4</t>
        </is>
      </c>
      <c r="D229" s="312" t="n"/>
      <c r="E229" s="312" t="n"/>
      <c r="F229" s="312" t="n"/>
      <c r="G229" s="312" t="n"/>
      <c r="H229" s="312" t="n"/>
      <c r="I229" s="313" t="n"/>
      <c r="J229" s="199" t="inlineStr">
        <is>
          <t>SPCI</t>
        </is>
      </c>
      <c r="K229" s="314" t="inlineStr">
        <is>
          <t>Variable</t>
        </is>
      </c>
      <c r="L229" s="2" t="n">
        <v>44348</v>
      </c>
      <c r="M229" s="170" t="inlineStr">
        <is>
          <t>X</t>
        </is>
      </c>
      <c r="N229" s="170" t="n">
        <v>3103898043</v>
      </c>
      <c r="O229" s="172" t="inlineStr">
        <is>
          <t>Mauricio Gutierrez</t>
        </is>
      </c>
      <c r="P229" s="52" t="inlineStr">
        <is>
          <t>mauricio.gutierrez@spci.com.co</t>
        </is>
      </c>
      <c r="S229" s="329" t="n"/>
    </row>
    <row r="230">
      <c r="B230" s="170" t="n">
        <v>218</v>
      </c>
      <c r="C230" s="199" t="inlineStr">
        <is>
          <t>COTIZACION DE LOS DISEÑOS DE SEGURIDAD HUMANA Y PROTECCIÓN CONTRA  INCENDIOS - BODEGA TECNAS</t>
        </is>
      </c>
      <c r="D230" s="312" t="n"/>
      <c r="E230" s="312" t="n"/>
      <c r="F230" s="312" t="n"/>
      <c r="G230" s="312" t="n"/>
      <c r="H230" s="312" t="n"/>
      <c r="I230" s="313" t="n"/>
      <c r="J230" s="199" t="inlineStr">
        <is>
          <t>ESTRUCTURAR</t>
        </is>
      </c>
      <c r="K230" s="314" t="n">
        <v>16620000</v>
      </c>
      <c r="L230" s="2" t="n">
        <v>44348</v>
      </c>
      <c r="M230" s="170" t="n"/>
      <c r="N230" s="170" t="inlineStr">
        <is>
          <t>300 2218400</t>
        </is>
      </c>
      <c r="O230" s="172" t="inlineStr">
        <is>
          <t>Dairon Andrés Obando</t>
        </is>
      </c>
      <c r="P230" s="52" t="inlineStr">
        <is>
          <t xml:space="preserve"> daironobando@estructurar.co</t>
        </is>
      </c>
    </row>
    <row r="231">
      <c r="B231" s="170" t="n">
        <v>219</v>
      </c>
      <c r="C231" s="199" t="inlineStr">
        <is>
          <t>COTIZACION DE LOS DISEÑOS DE SEGURIDAD HUMANA Y PROTECCIÓN CONTRA  INCENDIOS - METROFRENOS</t>
        </is>
      </c>
      <c r="D231" s="312" t="n"/>
      <c r="E231" s="312" t="n"/>
      <c r="F231" s="312" t="n"/>
      <c r="G231" s="312" t="n"/>
      <c r="H231" s="312" t="n"/>
      <c r="I231" s="313" t="n"/>
      <c r="J231" s="199" t="inlineStr">
        <is>
          <t>LUIS GERMAN LONDOÑO</t>
        </is>
      </c>
      <c r="K231" s="314" t="n">
        <v>12700000</v>
      </c>
      <c r="L231" s="2" t="n">
        <v>44350</v>
      </c>
      <c r="M231" s="170" t="n"/>
      <c r="N231" s="170" t="inlineStr">
        <is>
          <t>310 407 75 61.</t>
        </is>
      </c>
      <c r="O231" s="172" t="inlineStr">
        <is>
          <t>Luis Germán Londoño</t>
        </is>
      </c>
      <c r="P231" s="52" t="inlineStr">
        <is>
          <t>LGLONDON@gmail.com</t>
        </is>
      </c>
    </row>
    <row r="232">
      <c r="B232" s="170" t="n">
        <v>220</v>
      </c>
      <c r="C232" s="199" t="inlineStr">
        <is>
          <t>COTIZACION DE LOS DISEÑOS DE SEGURIDAD HUMANA Y PROTECCIÓN CONTRA  INCENDIOS - PEAJES CONCESIÓN VIA 40 BOGOTA</t>
        </is>
      </c>
      <c r="D232" s="312" t="n"/>
      <c r="E232" s="312" t="n"/>
      <c r="F232" s="312" t="n"/>
      <c r="G232" s="312" t="n"/>
      <c r="H232" s="312" t="n"/>
      <c r="I232" s="313" t="n"/>
      <c r="J232" s="199" t="inlineStr">
        <is>
          <t>CNV</t>
        </is>
      </c>
      <c r="K232" s="314" t="n">
        <v>12550000</v>
      </c>
      <c r="L232" s="2" t="n">
        <v>44350</v>
      </c>
      <c r="M232" s="170" t="inlineStr">
        <is>
          <t>X</t>
        </is>
      </c>
      <c r="N232" s="170" t="n">
        <v>4447410</v>
      </c>
      <c r="O232" s="172" t="inlineStr">
        <is>
          <t>Cristian Alvarez</t>
        </is>
      </c>
      <c r="P232" s="52" t="inlineStr">
        <is>
          <t>cristian.alvarez@cnv.com.co</t>
        </is>
      </c>
    </row>
    <row r="233">
      <c r="B233" s="170" t="n">
        <v>221</v>
      </c>
      <c r="C233" s="199" t="inlineStr">
        <is>
          <t>COTIZACION DE LOS DISEÑOS DE SEGURIDAD HUMANA Y PROTECCIÓN CONTRA  INCENDIOS - FLATS GRAND</t>
        </is>
      </c>
      <c r="D233" s="312" t="n"/>
      <c r="E233" s="312" t="n"/>
      <c r="F233" s="312" t="n"/>
      <c r="G233" s="312" t="n"/>
      <c r="H233" s="312" t="n"/>
      <c r="I233" s="313" t="n"/>
      <c r="J233" s="199" t="inlineStr">
        <is>
          <t>MÉNSULA</t>
        </is>
      </c>
      <c r="K233" s="314" t="n">
        <v>20960000</v>
      </c>
      <c r="L233" s="2" t="n">
        <v>44350</v>
      </c>
      <c r="M233" s="170" t="inlineStr">
        <is>
          <t>X</t>
        </is>
      </c>
      <c r="N233" s="170" t="n">
        <v>3008643710</v>
      </c>
      <c r="O233" s="172" t="inlineStr">
        <is>
          <t>Cristina Palacio</t>
        </is>
      </c>
      <c r="P233" s="52" t="inlineStr">
        <is>
          <t>cristinapalacio@mensulaingenieros.com</t>
        </is>
      </c>
    </row>
    <row r="234">
      <c r="B234" s="170" t="n">
        <v>222</v>
      </c>
      <c r="C234" s="199" t="inlineStr">
        <is>
          <t>COTIZACION DEL ANÁLISIS DE SEGURIDAD HUMANA - OFICINAS ALQUERIA</t>
        </is>
      </c>
      <c r="D234" s="312" t="n"/>
      <c r="E234" s="312" t="n"/>
      <c r="F234" s="312" t="n"/>
      <c r="G234" s="312" t="n"/>
      <c r="H234" s="312" t="n"/>
      <c r="I234" s="313" t="n"/>
      <c r="J234" s="199" t="inlineStr">
        <is>
          <t>STUDIO SUR</t>
        </is>
      </c>
      <c r="K234" s="314" t="n">
        <v>2250000</v>
      </c>
      <c r="L234" s="2" t="n">
        <v>44350</v>
      </c>
      <c r="M234" s="2" t="n"/>
      <c r="N234" s="57" t="n">
        <v>5712357612</v>
      </c>
      <c r="O234" s="172" t="inlineStr">
        <is>
          <t>Laura Arias</t>
        </is>
      </c>
      <c r="P234" s="52" t="inlineStr">
        <is>
          <t>laura.arias@studiosur.net</t>
        </is>
      </c>
    </row>
    <row r="235">
      <c r="B235" s="170" t="n">
        <v>223</v>
      </c>
      <c r="C235" s="199" t="inlineStr">
        <is>
          <t>COTIZACION DEL DISEÑO DE EXTINCIÓN DE INCENDIOS - REMINGTON TORRE 2</t>
        </is>
      </c>
      <c r="D235" s="312" t="n"/>
      <c r="E235" s="312" t="n"/>
      <c r="F235" s="312" t="n"/>
      <c r="G235" s="312" t="n"/>
      <c r="H235" s="312" t="n"/>
      <c r="I235" s="313" t="n"/>
      <c r="J235" s="199" t="inlineStr">
        <is>
          <t>AUTOMATIZACION Y BOMBEO</t>
        </is>
      </c>
      <c r="K235" s="314" t="n">
        <v>14990000</v>
      </c>
      <c r="L235" s="2" t="n">
        <v>44350</v>
      </c>
      <c r="M235" s="170" t="n"/>
      <c r="N235" s="170" t="n">
        <v>3003434913</v>
      </c>
      <c r="O235" s="172" t="inlineStr">
        <is>
          <t>Sebastian Toro</t>
        </is>
      </c>
      <c r="P235" s="52" t="inlineStr">
        <is>
          <t>serviciotecnicoayb@hotmail.com</t>
        </is>
      </c>
    </row>
    <row r="236">
      <c r="B236" s="170" t="n">
        <v>224</v>
      </c>
      <c r="C236" s="199" t="inlineStr">
        <is>
          <t>COTIZACIÓN DEL DISEÑO DE SEGURIDAD HUMANA PRADO BOSA</t>
        </is>
      </c>
      <c r="D236" s="312" t="n"/>
      <c r="E236" s="312" t="n"/>
      <c r="F236" s="312" t="n"/>
      <c r="G236" s="312" t="n"/>
      <c r="H236" s="312" t="n"/>
      <c r="I236" s="313" t="n"/>
      <c r="J236" s="199" t="inlineStr">
        <is>
          <t>OSPINAS</t>
        </is>
      </c>
      <c r="K236" s="314" t="n">
        <v>5600000</v>
      </c>
      <c r="L236" s="2" t="n">
        <v>44351</v>
      </c>
      <c r="M236" s="170" t="n"/>
      <c r="N236" s="170" t="inlineStr">
        <is>
          <t xml:space="preserve">57 1 3267060 Ext 126 </t>
        </is>
      </c>
      <c r="O236" s="172" t="inlineStr">
        <is>
          <t>Andrea Poveda</t>
        </is>
      </c>
      <c r="P236" s="52" t="inlineStr">
        <is>
          <t>andrea.poveda@ospinas.com.co</t>
        </is>
      </c>
    </row>
    <row r="237">
      <c r="B237" s="170" t="n">
        <v>225</v>
      </c>
      <c r="C237" s="199" t="inlineStr">
        <is>
          <t>COTIZACIÓN DEL DISEÑO DE DETECCIÓN DE INCENDIOS PRADO BOSA</t>
        </is>
      </c>
      <c r="D237" s="312" t="n"/>
      <c r="E237" s="312" t="n"/>
      <c r="F237" s="312" t="n"/>
      <c r="G237" s="312" t="n"/>
      <c r="H237" s="312" t="n"/>
      <c r="I237" s="313" t="n"/>
      <c r="J237" s="199" t="inlineStr">
        <is>
          <t>OSPINAS</t>
        </is>
      </c>
      <c r="K237" s="314" t="n">
        <v>6950000</v>
      </c>
      <c r="L237" s="2" t="n">
        <v>44351</v>
      </c>
      <c r="M237" s="170" t="n"/>
      <c r="N237" s="170" t="inlineStr">
        <is>
          <t xml:space="preserve">57 1 3267060 Ext 126 </t>
        </is>
      </c>
      <c r="O237" s="172" t="inlineStr">
        <is>
          <t>Andrea Poveda</t>
        </is>
      </c>
      <c r="P237" s="52" t="inlineStr">
        <is>
          <t>andrea.poveda@ospinas.com.co</t>
        </is>
      </c>
    </row>
    <row r="238">
      <c r="B238" s="170" t="n">
        <v>226</v>
      </c>
      <c r="C238" s="199" t="inlineStr">
        <is>
          <t>COTIZACION DE LA REVISIÓN VISUAL DEL SISTEMA DE EXTINCIÓN DE INCENIDOS PARA AGROSAVIA TIBATÁ</t>
        </is>
      </c>
      <c r="D238" s="312" t="n"/>
      <c r="E238" s="312" t="n"/>
      <c r="F238" s="312" t="n"/>
      <c r="G238" s="312" t="n"/>
      <c r="H238" s="312" t="n"/>
      <c r="I238" s="313" t="n"/>
      <c r="J238" s="199" t="inlineStr">
        <is>
          <t>AGROSAVIA</t>
        </is>
      </c>
      <c r="K238" s="314" t="n">
        <v>4390000</v>
      </c>
      <c r="L238" s="2" t="n">
        <v>44355</v>
      </c>
      <c r="M238" s="170" t="n"/>
      <c r="N238" s="82" t="n"/>
      <c r="O238" s="172" t="inlineStr">
        <is>
          <t>Jenny Zoraida Cotame Torres</t>
        </is>
      </c>
      <c r="P238" s="52" t="inlineStr">
        <is>
          <t>jcotame@agrosavia.co</t>
        </is>
      </c>
    </row>
    <row r="239">
      <c r="B239" s="170" t="n">
        <v>227</v>
      </c>
      <c r="C239" s="199" t="inlineStr">
        <is>
          <t>COTIZACION DE LOS DISEÑOS DE SEGURIDAD HUMANA Y PROTECCIÓN CONTRA  INCENDIOS - CORPORACIÓN HOGAR</t>
        </is>
      </c>
      <c r="D239" s="312" t="n"/>
      <c r="E239" s="312" t="n"/>
      <c r="F239" s="312" t="n"/>
      <c r="G239" s="312" t="n"/>
      <c r="H239" s="312" t="n"/>
      <c r="I239" s="313" t="n"/>
      <c r="J239" s="199" t="inlineStr">
        <is>
          <t>LONDOÑO GOMEZ</t>
        </is>
      </c>
      <c r="K239" s="314" t="n">
        <v>1000000</v>
      </c>
      <c r="L239" s="2" t="n">
        <v>44355</v>
      </c>
      <c r="M239" s="170" t="inlineStr">
        <is>
          <t>X</t>
        </is>
      </c>
      <c r="N239" s="170" t="inlineStr">
        <is>
          <t>300 6159091</t>
        </is>
      </c>
      <c r="O239" s="172" t="inlineStr">
        <is>
          <t>Lina Saldarriaga</t>
        </is>
      </c>
      <c r="P239" s="52" t="inlineStr">
        <is>
          <t>lsaldarriaga@londonogomez.com</t>
        </is>
      </c>
    </row>
    <row r="240">
      <c r="B240" s="170" t="n">
        <v>228</v>
      </c>
      <c r="C240" s="199" t="inlineStr">
        <is>
          <t>MODELACIÓN Y CÁLCULOS DEL SISTEMA DE DETECCIÓN DE INCENDIOS PARA PLANTA INDUSTRIAL</t>
        </is>
      </c>
      <c r="D240" s="312" t="n"/>
      <c r="E240" s="312" t="n"/>
      <c r="F240" s="312" t="n"/>
      <c r="G240" s="312" t="n"/>
      <c r="H240" s="312" t="n"/>
      <c r="I240" s="313" t="n"/>
      <c r="J240" s="199" t="inlineStr">
        <is>
          <t>SERIINCO</t>
        </is>
      </c>
      <c r="K240" s="314" t="n">
        <v>1500000</v>
      </c>
      <c r="L240" s="2" t="n">
        <v>44356</v>
      </c>
      <c r="M240" s="170" t="n"/>
      <c r="N240" s="170" t="n">
        <v>4442074</v>
      </c>
      <c r="O240" s="172" t="inlineStr">
        <is>
          <t>Francisco Unda</t>
        </is>
      </c>
      <c r="P240" s="52" t="inlineStr">
        <is>
          <t>francisco.unda@seriinco.com</t>
        </is>
      </c>
    </row>
    <row r="241">
      <c r="B241" s="170" t="n">
        <v>229</v>
      </c>
      <c r="C241" s="199" t="inlineStr">
        <is>
          <t>COTIZACION DEL DISEÑO DE EXTINCIÓN DE INCENDIOS - CENTRO LOGÍSTICO</t>
        </is>
      </c>
      <c r="D241" s="312" t="n"/>
      <c r="E241" s="312" t="n"/>
      <c r="F241" s="312" t="n"/>
      <c r="G241" s="312" t="n"/>
      <c r="H241" s="312" t="n"/>
      <c r="I241" s="313" t="n"/>
      <c r="J241" s="199" t="inlineStr">
        <is>
          <t>SPCI</t>
        </is>
      </c>
      <c r="K241" s="314" t="n">
        <v>13550000</v>
      </c>
      <c r="L241" s="2" t="n">
        <v>44356</v>
      </c>
      <c r="M241" s="170" t="n"/>
      <c r="N241" s="170" t="n">
        <v>3137546144</v>
      </c>
      <c r="O241" s="172" t="inlineStr">
        <is>
          <t>Juan Camilo Quintero</t>
        </is>
      </c>
      <c r="P241" s="52" t="inlineStr">
        <is>
          <t>proyectos1spci@gmail.com</t>
        </is>
      </c>
    </row>
    <row r="242">
      <c r="B242" s="170" t="n">
        <v>230</v>
      </c>
      <c r="C242" s="199" t="inlineStr">
        <is>
          <t>COTIZACION DE LOS DISEÑOS DE PROTECCIÓN CONTRA  INCENDIOS - PLASPEL TOCANCIPA</t>
        </is>
      </c>
      <c r="D242" s="312" t="n"/>
      <c r="E242" s="312" t="n"/>
      <c r="F242" s="312" t="n"/>
      <c r="G242" s="312" t="n"/>
      <c r="H242" s="312" t="n"/>
      <c r="I242" s="313" t="n"/>
      <c r="J242" s="199" t="inlineStr">
        <is>
          <t>SPCI</t>
        </is>
      </c>
      <c r="K242" s="314" t="n">
        <v>17560000</v>
      </c>
      <c r="L242" s="2" t="n">
        <v>44356</v>
      </c>
      <c r="M242" s="170" t="n"/>
      <c r="N242" s="170" t="n">
        <v>3137546144</v>
      </c>
      <c r="O242" s="172" t="inlineStr">
        <is>
          <t>Juan Camilo Quintero</t>
        </is>
      </c>
      <c r="P242" s="52" t="inlineStr">
        <is>
          <t>proyectos1spci@gmail.com</t>
        </is>
      </c>
    </row>
    <row r="243">
      <c r="B243" s="170" t="n">
        <v>231</v>
      </c>
      <c r="C243" s="199" t="inlineStr">
        <is>
          <t>COTIZACION DE LOS DISEÑOS DE PROTECCIÓN CONTRA  INCENDIOS - LOCAL LECOLLEZIONI CC SANTAFE</t>
        </is>
      </c>
      <c r="D243" s="312" t="n"/>
      <c r="E243" s="312" t="n"/>
      <c r="F243" s="312" t="n"/>
      <c r="G243" s="312" t="n"/>
      <c r="H243" s="312" t="n"/>
      <c r="I243" s="313" t="n"/>
      <c r="J243" s="199" t="inlineStr">
        <is>
          <t>SPCI</t>
        </is>
      </c>
      <c r="K243" s="314" t="n">
        <v>1500000</v>
      </c>
      <c r="L243" s="2" t="n">
        <v>44356</v>
      </c>
      <c r="M243" s="2" t="n"/>
      <c r="N243" s="170" t="n">
        <v>3104680508</v>
      </c>
      <c r="O243" s="172" t="inlineStr">
        <is>
          <t>Juan Pablo Grajales</t>
        </is>
      </c>
      <c r="P243" s="52" t="inlineStr">
        <is>
          <t>juan.grajales@spci.com.co</t>
        </is>
      </c>
    </row>
    <row r="244">
      <c r="B244" s="170" t="n">
        <v>232</v>
      </c>
      <c r="C244" s="199" t="inlineStr">
        <is>
          <t>COTIZACION DE LA VALIDACIÓN HIDRÁULICA DE LA RED GENERAL Y SISTEMAS DE ROCIADORES DE PBA EXISTENTES Y LA PARA LA PLANTA PINTUCO RIONEGRO</t>
        </is>
      </c>
      <c r="D244" s="312" t="n"/>
      <c r="E244" s="312" t="n"/>
      <c r="F244" s="312" t="n"/>
      <c r="G244" s="312" t="n"/>
      <c r="H244" s="312" t="n"/>
      <c r="I244" s="313" t="n"/>
      <c r="J244" s="199" t="inlineStr">
        <is>
          <t>SPCI</t>
        </is>
      </c>
      <c r="K244" s="314" t="n">
        <v>3950000</v>
      </c>
      <c r="L244" s="2" t="n">
        <v>44358</v>
      </c>
      <c r="M244" s="170" t="n"/>
      <c r="N244" s="170" t="n">
        <v>3104680508</v>
      </c>
      <c r="O244" s="172" t="inlineStr">
        <is>
          <t>Juan Pablo Grajales</t>
        </is>
      </c>
      <c r="P244" s="52" t="inlineStr">
        <is>
          <t>juan.grajales@spci.com.co</t>
        </is>
      </c>
    </row>
    <row r="245">
      <c r="B245" s="170" t="n">
        <v>233</v>
      </c>
      <c r="C245" s="199" t="inlineStr">
        <is>
          <t>COTIZACION AUDOTIRÍA TÉCNICA SISTEMA DE DETECCIÓN PLANTA IFF BOGOTÁ</t>
        </is>
      </c>
      <c r="D245" s="312" t="n"/>
      <c r="E245" s="312" t="n"/>
      <c r="F245" s="312" t="n"/>
      <c r="G245" s="312" t="n"/>
      <c r="H245" s="312" t="n"/>
      <c r="I245" s="313" t="n"/>
      <c r="J245" s="199" t="inlineStr">
        <is>
          <t>IFF</t>
        </is>
      </c>
      <c r="K245" s="314" t="n">
        <v>4950000</v>
      </c>
      <c r="L245" s="2" t="n">
        <v>44362</v>
      </c>
      <c r="M245" s="170" t="n"/>
      <c r="N245" s="170" t="inlineStr">
        <is>
          <t xml:space="preserve">317 437 4917 </t>
        </is>
      </c>
      <c r="O245" s="172" t="inlineStr">
        <is>
          <t>Juan Velandia</t>
        </is>
      </c>
      <c r="P245" s="52" t="inlineStr">
        <is>
          <t>Juan.Velandia@iff.com</t>
        </is>
      </c>
    </row>
    <row r="246">
      <c r="B246" s="170" t="n">
        <v>234</v>
      </c>
      <c r="C246" s="199" t="inlineStr">
        <is>
          <t>COTIZACION DE LOS DISEÑOS DE PROTECCIÓN CONTRA  INCENDIOS - CONSULTORIO CG EL TESORO</t>
        </is>
      </c>
      <c r="D246" s="312" t="n"/>
      <c r="E246" s="312" t="n"/>
      <c r="F246" s="312" t="n"/>
      <c r="G246" s="312" t="n"/>
      <c r="H246" s="312" t="n"/>
      <c r="I246" s="313" t="n"/>
      <c r="J246" s="199" t="inlineStr">
        <is>
          <t>SPCI</t>
        </is>
      </c>
      <c r="K246" s="314" t="n">
        <v>1380000</v>
      </c>
      <c r="L246" s="2" t="n">
        <v>44362</v>
      </c>
      <c r="M246" s="170" t="n"/>
      <c r="N246" s="170" t="n">
        <v>3104680508</v>
      </c>
      <c r="O246" s="172" t="inlineStr">
        <is>
          <t>Juan Pablo Grajales</t>
        </is>
      </c>
      <c r="P246" s="52" t="inlineStr">
        <is>
          <t>juan.grajales@spci.com.co</t>
        </is>
      </c>
    </row>
    <row r="247">
      <c r="B247" s="170" t="n">
        <v>235</v>
      </c>
      <c r="C247" s="199" t="inlineStr">
        <is>
          <t>COTIZACION DE LOS DISEÑOS DE PROTECCIÓN CONTRA  INCENDIOS - CONSULTORIO AT EL TESORO</t>
        </is>
      </c>
      <c r="D247" s="312" t="n"/>
      <c r="E247" s="312" t="n"/>
      <c r="F247" s="312" t="n"/>
      <c r="G247" s="312" t="n"/>
      <c r="H247" s="312" t="n"/>
      <c r="I247" s="313" t="n"/>
      <c r="J247" s="199" t="inlineStr">
        <is>
          <t>SPCI</t>
        </is>
      </c>
      <c r="K247" s="314" t="n">
        <v>1880000</v>
      </c>
      <c r="L247" s="2" t="n">
        <v>44362</v>
      </c>
      <c r="M247" s="170" t="n"/>
      <c r="N247" s="170" t="n">
        <v>3104680508</v>
      </c>
      <c r="O247" s="172" t="inlineStr">
        <is>
          <t>Juan Pablo Grajales</t>
        </is>
      </c>
      <c r="P247" s="52" t="inlineStr">
        <is>
          <t>juan.grajales@spci.com.co</t>
        </is>
      </c>
    </row>
    <row r="248">
      <c r="B248" s="170" t="n">
        <v>236</v>
      </c>
      <c r="C248" s="199" t="inlineStr">
        <is>
          <t>COTIZACION DE LOS DISEÑOS DE SEGURIDAD HUMANA Y PROTECCIÓN CONTRA  INCENDIOS - OBRA DEL AIRE</t>
        </is>
      </c>
      <c r="D248" s="312" t="n"/>
      <c r="E248" s="312" t="n"/>
      <c r="F248" s="312" t="n"/>
      <c r="G248" s="312" t="n"/>
      <c r="H248" s="312" t="n"/>
      <c r="I248" s="313" t="n"/>
      <c r="J248" s="199" t="inlineStr">
        <is>
          <t>SPCI</t>
        </is>
      </c>
      <c r="K248" s="314" t="n">
        <v>22270000</v>
      </c>
      <c r="L248" s="2" t="n">
        <v>44362</v>
      </c>
      <c r="M248" s="170" t="n"/>
      <c r="N248" s="170" t="n">
        <v>3104165783</v>
      </c>
      <c r="O248" s="172" t="inlineStr">
        <is>
          <t>Cristiam Mondragón</t>
        </is>
      </c>
      <c r="P248" s="52" t="inlineStr">
        <is>
          <t>cristiamondragon.spci@gmail.com</t>
        </is>
      </c>
    </row>
    <row r="249">
      <c r="B249" s="170" t="n">
        <v>237</v>
      </c>
      <c r="C249" s="199" t="inlineStr">
        <is>
          <t>COTIZACION DEL ANÁLISIS DE SEGURIDAD HUMANA - EDIFICIO ADMINISTRATIVO</t>
        </is>
      </c>
      <c r="D249" s="312" t="n"/>
      <c r="E249" s="312" t="n"/>
      <c r="F249" s="312" t="n"/>
      <c r="G249" s="312" t="n"/>
      <c r="H249" s="312" t="n"/>
      <c r="I249" s="313" t="n"/>
      <c r="J249" s="199" t="inlineStr">
        <is>
          <t>DESur</t>
        </is>
      </c>
      <c r="K249" s="314" t="n">
        <v>2990000</v>
      </c>
      <c r="L249" s="2" t="n">
        <v>44362</v>
      </c>
      <c r="M249" s="170" t="n"/>
      <c r="N249" s="170" t="n">
        <v>3127953566</v>
      </c>
      <c r="O249" s="172" t="inlineStr">
        <is>
          <t>Natalia Mejía</t>
        </is>
      </c>
      <c r="P249" s="52" t="inlineStr">
        <is>
          <t>natalia.mejia@desur.gov.co</t>
        </is>
      </c>
    </row>
    <row r="250">
      <c r="B250" s="170" t="n">
        <v>238</v>
      </c>
      <c r="C250" s="199" t="inlineStr">
        <is>
          <t>COTIZACION DEL ANÁLISIS DE SEGURIDAD HUMANA - CANCHAS EN ALTURA</t>
        </is>
      </c>
      <c r="D250" s="312" t="n"/>
      <c r="E250" s="312" t="n"/>
      <c r="F250" s="312" t="n"/>
      <c r="G250" s="312" t="n"/>
      <c r="H250" s="312" t="n"/>
      <c r="I250" s="313" t="n"/>
      <c r="J250" s="199" t="inlineStr">
        <is>
          <t>DESur</t>
        </is>
      </c>
      <c r="K250" s="314" t="n">
        <v>2990000</v>
      </c>
      <c r="L250" s="2" t="n">
        <v>44362</v>
      </c>
      <c r="M250" s="170" t="n"/>
      <c r="N250" s="170" t="n">
        <v>3127953567</v>
      </c>
      <c r="O250" s="172" t="inlineStr">
        <is>
          <t>Natalia Mejía</t>
        </is>
      </c>
      <c r="P250" s="52" t="inlineStr">
        <is>
          <t>natalia.mejia@desur.gov.co</t>
        </is>
      </c>
    </row>
    <row r="251">
      <c r="B251" s="170" t="n">
        <v>239</v>
      </c>
      <c r="C251" s="199" t="inlineStr">
        <is>
          <t>COTIZACION DE LOS DISEÑOS DE SEGURIDAD HUMANA Y DETECCIÓN DE INCENDIOS - CASA PERÚ</t>
        </is>
      </c>
      <c r="D251" s="312" t="n"/>
      <c r="E251" s="312" t="n"/>
      <c r="F251" s="312" t="n"/>
      <c r="G251" s="312" t="n"/>
      <c r="H251" s="312" t="n"/>
      <c r="I251" s="313" t="n"/>
      <c r="J251" s="199" t="inlineStr">
        <is>
          <t>Gino</t>
        </is>
      </c>
      <c r="K251" s="314" t="n">
        <v>1800000</v>
      </c>
      <c r="L251" s="2" t="n">
        <v>44362</v>
      </c>
      <c r="M251" s="170" t="n"/>
      <c r="N251" s="170" t="n">
        <v>3113396273</v>
      </c>
      <c r="O251" s="172" t="inlineStr">
        <is>
          <t>Gino Montoya</t>
        </is>
      </c>
      <c r="P251" s="52" t="inlineStr">
        <is>
          <t>gino1037@hotmail.com</t>
        </is>
      </c>
    </row>
    <row r="252">
      <c r="B252" s="170" t="n">
        <v>240</v>
      </c>
      <c r="C252" s="199" t="inlineStr">
        <is>
          <t>COTIZACION DE LOS DISEÑOS DE PROTECCIÓN CONTRA  INCENDIOS - CUIDARTE SIEMPRE</t>
        </is>
      </c>
      <c r="D252" s="312" t="n"/>
      <c r="E252" s="312" t="n"/>
      <c r="F252" s="312" t="n"/>
      <c r="G252" s="312" t="n"/>
      <c r="H252" s="312" t="n"/>
      <c r="I252" s="313" t="n"/>
      <c r="J252" s="199" t="inlineStr">
        <is>
          <t>SPCI</t>
        </is>
      </c>
      <c r="K252" s="314" t="n">
        <v>4640000</v>
      </c>
      <c r="L252" s="2" t="n">
        <v>44363</v>
      </c>
      <c r="M252" s="170" t="n"/>
      <c r="N252" s="170" t="n">
        <v>3104680508</v>
      </c>
      <c r="O252" s="172" t="inlineStr">
        <is>
          <t>Juan Pablo Grajales</t>
        </is>
      </c>
      <c r="P252" s="52" t="inlineStr">
        <is>
          <t>juan.grajales@spci.com.co</t>
        </is>
      </c>
    </row>
    <row r="253">
      <c r="B253" s="170" t="n">
        <v>241</v>
      </c>
      <c r="C253" s="199" t="inlineStr">
        <is>
          <t>COTIZACION DE LOS DISEÑOS DE PROTECCIÓN CONTRA  INCENDIOS - PLASPEL TOCANCIPA</t>
        </is>
      </c>
      <c r="D253" s="312" t="n"/>
      <c r="E253" s="312" t="n"/>
      <c r="F253" s="312" t="n"/>
      <c r="G253" s="312" t="n"/>
      <c r="H253" s="312" t="n"/>
      <c r="I253" s="313" t="n"/>
      <c r="J253" s="199" t="inlineStr">
        <is>
          <t>PROJECT &amp; SOLUTION</t>
        </is>
      </c>
      <c r="K253" s="314" t="n">
        <v>17560000</v>
      </c>
      <c r="L253" s="2" t="n">
        <v>44356</v>
      </c>
      <c r="M253" s="170" t="n"/>
      <c r="N253" s="170" t="inlineStr">
        <is>
          <t>311 3079477</t>
        </is>
      </c>
      <c r="O253" s="172" t="inlineStr">
        <is>
          <t>Sebastián Lopez</t>
        </is>
      </c>
      <c r="P253" s="52" t="inlineStr">
        <is>
          <t>gerencia@projectsolutions.com.co</t>
        </is>
      </c>
    </row>
    <row r="254">
      <c r="B254" s="170" t="n">
        <v>242</v>
      </c>
      <c r="C254" s="199" t="inlineStr">
        <is>
          <t>COTIZACION DEL DISEÑO DE NOTIFICACIÓN Y ALARMA DE INCENDIOS - COLEGIO ALCÁZARES</t>
        </is>
      </c>
      <c r="D254" s="312" t="n"/>
      <c r="E254" s="312" t="n"/>
      <c r="F254" s="312" t="n"/>
      <c r="G254" s="312" t="n"/>
      <c r="H254" s="312" t="n"/>
      <c r="I254" s="313" t="n"/>
      <c r="J254" s="199" t="inlineStr">
        <is>
          <t>SPCI</t>
        </is>
      </c>
      <c r="K254" s="314" t="inlineStr">
        <is>
          <t>Variable</t>
        </is>
      </c>
      <c r="L254" s="2" t="n">
        <v>44366</v>
      </c>
      <c r="M254" s="2" t="inlineStr">
        <is>
          <t>X</t>
        </is>
      </c>
      <c r="N254" s="170" t="inlineStr">
        <is>
          <t>314 8299536</t>
        </is>
      </c>
      <c r="O254" s="172" t="inlineStr">
        <is>
          <t>Lady lopez</t>
        </is>
      </c>
      <c r="P254" s="52" t="inlineStr">
        <is>
          <t>lady.lopez@spci.com.co</t>
        </is>
      </c>
    </row>
    <row r="255">
      <c r="B255" s="170" t="n">
        <v>243</v>
      </c>
      <c r="C255" s="199" t="inlineStr">
        <is>
          <t>COTIZACION DE LOS DISEÑOS DE PROTECCIÓN CONTRA  INCENDIOS - INSTITUTO PASTORAL DEL CLERO</t>
        </is>
      </c>
      <c r="D255" s="312" t="n"/>
      <c r="E255" s="312" t="n"/>
      <c r="F255" s="312" t="n"/>
      <c r="G255" s="312" t="n"/>
      <c r="H255" s="312" t="n"/>
      <c r="I255" s="313" t="n"/>
      <c r="J255" s="199" t="inlineStr">
        <is>
          <t>HUGO DONADO</t>
        </is>
      </c>
      <c r="K255" s="314" t="n">
        <v>3750000</v>
      </c>
      <c r="L255" s="2" t="n">
        <v>44366</v>
      </c>
      <c r="M255" s="170" t="inlineStr">
        <is>
          <t>X</t>
        </is>
      </c>
      <c r="N255" s="170" t="inlineStr">
        <is>
          <t>316 5393372</t>
        </is>
      </c>
      <c r="O255" s="172" t="inlineStr">
        <is>
          <t>Hugo Donado</t>
        </is>
      </c>
      <c r="P255" s="52" t="inlineStr">
        <is>
          <t>hudinco@gmail.com</t>
        </is>
      </c>
    </row>
    <row r="256">
      <c r="B256" s="170" t="n">
        <v>244</v>
      </c>
      <c r="C256" s="199" t="inlineStr">
        <is>
          <t>COTIZACION DE LOS DISEÑOS DE SEGURIDAD HUMANA Y PROTECCIÓN CONTRA  INCENDIOS - CAM BELLO</t>
        </is>
      </c>
      <c r="D256" s="312" t="n"/>
      <c r="E256" s="312" t="n"/>
      <c r="F256" s="312" t="n"/>
      <c r="G256" s="312" t="n"/>
      <c r="H256" s="312" t="n"/>
      <c r="I256" s="313" t="n"/>
      <c r="J256" s="199" t="inlineStr">
        <is>
          <t>DCS</t>
        </is>
      </c>
      <c r="K256" s="314" t="n">
        <v>11920000</v>
      </c>
      <c r="L256" s="2" t="n">
        <v>44368</v>
      </c>
      <c r="M256" s="2" t="n"/>
      <c r="N256" s="170" t="n">
        <v>3146157466</v>
      </c>
      <c r="O256" s="172" t="inlineStr">
        <is>
          <t>José David Zuleta</t>
        </is>
      </c>
      <c r="P256" s="52" t="inlineStr">
        <is>
          <t>comercial@dcs.com.co</t>
        </is>
      </c>
    </row>
    <row r="257">
      <c r="B257" s="170" t="n">
        <v>245</v>
      </c>
      <c r="C257" s="199" t="inlineStr">
        <is>
          <t>COTIZACION DE LOS DISEÑOS DE SEGURIDAD HUMANA Y PROTECCIÓN CONTRA  INCENDIOS - PAO Bello</t>
        </is>
      </c>
      <c r="D257" s="312" t="n"/>
      <c r="E257" s="312" t="n"/>
      <c r="F257" s="312" t="n"/>
      <c r="G257" s="312" t="n"/>
      <c r="H257" s="312" t="n"/>
      <c r="I257" s="313" t="n"/>
      <c r="J257" s="199" t="inlineStr">
        <is>
          <t>DCS</t>
        </is>
      </c>
      <c r="K257" s="314" t="n">
        <v>39800000</v>
      </c>
      <c r="L257" s="2" t="n">
        <v>44368</v>
      </c>
      <c r="M257" s="170" t="n"/>
      <c r="N257" s="170" t="n">
        <v>3146157466</v>
      </c>
      <c r="O257" s="172" t="inlineStr">
        <is>
          <t>José David Zuleta</t>
        </is>
      </c>
      <c r="P257" s="52" t="inlineStr">
        <is>
          <t>comercial@dcs.com.co</t>
        </is>
      </c>
    </row>
    <row r="258">
      <c r="B258" s="170" t="n">
        <v>246</v>
      </c>
      <c r="C258" s="199" t="inlineStr">
        <is>
          <t>COTIZACION DEL DISEÑO DE DETECCIÓN DE INCENDIOS - HALL DE CAJEROS DIBULLA</t>
        </is>
      </c>
      <c r="D258" s="312" t="n"/>
      <c r="E258" s="312" t="n"/>
      <c r="F258" s="312" t="n"/>
      <c r="G258" s="312" t="n"/>
      <c r="H258" s="312" t="n"/>
      <c r="I258" s="313" t="n"/>
      <c r="J258" s="199" t="inlineStr">
        <is>
          <t>SANTIAGO ROJAS</t>
        </is>
      </c>
      <c r="K258" s="314" t="n">
        <v>950000</v>
      </c>
      <c r="L258" s="2" t="n">
        <v>44369</v>
      </c>
      <c r="M258" s="170" t="inlineStr">
        <is>
          <t>X</t>
        </is>
      </c>
      <c r="N258" s="170" t="inlineStr">
        <is>
          <t>302 2295772</t>
        </is>
      </c>
      <c r="O258" s="172" t="inlineStr">
        <is>
          <t>Isabel Tamayo</t>
        </is>
      </c>
      <c r="P258" s="52" t="inlineStr">
        <is>
          <t>proyectos@santiagorojas.com.co</t>
        </is>
      </c>
    </row>
    <row r="259">
      <c r="B259" s="170" t="n">
        <v>247</v>
      </c>
      <c r="C259" s="199" t="inlineStr">
        <is>
          <t>COTIZACION DEL DISEÑO DE DETECCIÓN DE INCENDIOS Y SEGURIDAD HUMANA - BANCOLOMBIA GALAPA</t>
        </is>
      </c>
      <c r="D259" s="312" t="n"/>
      <c r="E259" s="312" t="n"/>
      <c r="F259" s="312" t="n"/>
      <c r="G259" s="312" t="n"/>
      <c r="H259" s="312" t="n"/>
      <c r="I259" s="313" t="n"/>
      <c r="J259" s="199" t="inlineStr">
        <is>
          <t>SANTIAGO ROJAS</t>
        </is>
      </c>
      <c r="K259" s="314" t="n">
        <v>1900000</v>
      </c>
      <c r="L259" s="2" t="n">
        <v>44369</v>
      </c>
      <c r="M259" s="170" t="inlineStr">
        <is>
          <t>X</t>
        </is>
      </c>
      <c r="N259" s="170" t="inlineStr">
        <is>
          <t>302 2295772</t>
        </is>
      </c>
      <c r="O259" s="172" t="inlineStr">
        <is>
          <t>Isabel Tamayo</t>
        </is>
      </c>
      <c r="P259" s="52" t="inlineStr">
        <is>
          <t>proyectos@santiagorojas.com.co</t>
        </is>
      </c>
    </row>
    <row r="260">
      <c r="B260" s="170" t="n">
        <v>248</v>
      </c>
      <c r="C260" s="199" t="inlineStr">
        <is>
          <t>COTIZACION DE LOS DISEÑOS DE PROTECCIÓN CONTRA  INCENDIOS - KFC CALLE 10</t>
        </is>
      </c>
      <c r="D260" s="312" t="n"/>
      <c r="E260" s="312" t="n"/>
      <c r="F260" s="312" t="n"/>
      <c r="G260" s="312" t="n"/>
      <c r="H260" s="312" t="n"/>
      <c r="I260" s="313" t="n"/>
      <c r="J260" s="199" t="inlineStr">
        <is>
          <t>SPCI</t>
        </is>
      </c>
      <c r="K260" s="314" t="n">
        <v>3760000</v>
      </c>
      <c r="L260" s="2" t="n">
        <v>44369</v>
      </c>
      <c r="M260" s="170" t="n"/>
      <c r="N260" s="170" t="n">
        <v>3104165783</v>
      </c>
      <c r="O260" s="172" t="inlineStr">
        <is>
          <t>Cristiam Mondragón</t>
        </is>
      </c>
      <c r="P260" s="52" t="inlineStr">
        <is>
          <t>cristiamondragon.spci@gmail.com</t>
        </is>
      </c>
    </row>
    <row r="261">
      <c r="B261" s="170" t="n">
        <v>249</v>
      </c>
      <c r="C261" s="199" t="inlineStr">
        <is>
          <t>COTIZACION DEL DISEÑO DE EXTINCIÓN DE INCENDIOS - FARMACIA COLSUBSIDIO INDUSTRIALES</t>
        </is>
      </c>
      <c r="D261" s="312" t="n"/>
      <c r="E261" s="312" t="n"/>
      <c r="F261" s="312" t="n"/>
      <c r="G261" s="312" t="n"/>
      <c r="H261" s="312" t="n"/>
      <c r="I261" s="313" t="n"/>
      <c r="J261" s="199" t="inlineStr">
        <is>
          <t>COLSUBSIDIO</t>
        </is>
      </c>
      <c r="K261" s="314" t="n">
        <v>1630000</v>
      </c>
      <c r="L261" s="2" t="n">
        <v>44369</v>
      </c>
      <c r="M261" s="170" t="n"/>
      <c r="N261" s="170" t="inlineStr">
        <is>
          <t>312 3655246</t>
        </is>
      </c>
      <c r="O261" s="172" t="inlineStr">
        <is>
          <t>Santiago Tobón</t>
        </is>
      </c>
      <c r="P261" s="52" t="inlineStr">
        <is>
          <t>santtoce@colsubsidio.com</t>
        </is>
      </c>
    </row>
    <row r="262">
      <c r="B262" s="170" t="n">
        <v>250</v>
      </c>
      <c r="C262" s="199" t="inlineStr">
        <is>
          <t>COTIZACION DEL DISEÑO DE EXTINCIÓN DE INCENDIOS - SUPERBOWLING ENVIGADO</t>
        </is>
      </c>
      <c r="D262" s="312" t="n"/>
      <c r="E262" s="312" t="n"/>
      <c r="F262" s="312" t="n"/>
      <c r="G262" s="312" t="n"/>
      <c r="H262" s="312" t="n"/>
      <c r="I262" s="313" t="n"/>
      <c r="J262" s="199" t="inlineStr">
        <is>
          <t>SUPERBOWLING ENVIGADO</t>
        </is>
      </c>
      <c r="K262" s="314" t="n">
        <v>5550000</v>
      </c>
      <c r="L262" s="2" t="n">
        <v>44370</v>
      </c>
      <c r="M262" s="170" t="inlineStr">
        <is>
          <t>X</t>
        </is>
      </c>
      <c r="N262" s="170" t="inlineStr">
        <is>
          <t>300 6603063</t>
        </is>
      </c>
      <c r="O262" s="172" t="inlineStr">
        <is>
          <t>Juan Manuel Moreno</t>
        </is>
      </c>
      <c r="P262" s="52" t="inlineStr">
        <is>
          <t>Buena_mesa@hotmail.com</t>
        </is>
      </c>
    </row>
    <row r="263">
      <c r="B263" s="170" t="n">
        <v>251</v>
      </c>
      <c r="C263" s="199" t="inlineStr">
        <is>
          <t>COTIZACION DE LOS DISEÑOS DE PROTECCIÓN CONTRA  INCENDIOS - DELLA NONA</t>
        </is>
      </c>
      <c r="D263" s="312" t="n"/>
      <c r="E263" s="312" t="n"/>
      <c r="F263" s="312" t="n"/>
      <c r="G263" s="312" t="n"/>
      <c r="H263" s="312" t="n"/>
      <c r="I263" s="313" t="n"/>
      <c r="J263" s="199" t="inlineStr">
        <is>
          <t>ENSAMBLE</t>
        </is>
      </c>
      <c r="K263" s="314" t="n">
        <v>1950000</v>
      </c>
      <c r="L263" s="2" t="n">
        <v>44371</v>
      </c>
      <c r="M263" s="170" t="inlineStr">
        <is>
          <t>X</t>
        </is>
      </c>
      <c r="N263" s="170" t="inlineStr">
        <is>
          <t>316 440 3625</t>
        </is>
      </c>
      <c r="O263" s="172" t="inlineStr">
        <is>
          <t>John González</t>
        </is>
      </c>
      <c r="P263" s="52" t="inlineStr">
        <is>
          <t>johngonzalez@ensambleespaciosvivos.com</t>
        </is>
      </c>
    </row>
    <row r="264">
      <c r="B264" s="170" t="n">
        <v>252</v>
      </c>
      <c r="C264" s="199" t="inlineStr">
        <is>
          <t>COTIZACION DEL DISEÑO DE EXTINCIÓN DE INCENDIOS - AMPLIACION HLM</t>
        </is>
      </c>
      <c r="D264" s="312" t="n"/>
      <c r="E264" s="312" t="n"/>
      <c r="F264" s="312" t="n"/>
      <c r="G264" s="312" t="n"/>
      <c r="H264" s="312" t="n"/>
      <c r="I264" s="313" t="n"/>
      <c r="J264" s="199" t="inlineStr">
        <is>
          <t>O3 INGENIERÍA</t>
        </is>
      </c>
      <c r="K264" s="314" t="n">
        <v>1350000</v>
      </c>
      <c r="L264" s="2" t="n">
        <v>44371</v>
      </c>
      <c r="M264" s="170" t="n"/>
      <c r="N264" s="170" t="n">
        <v>3108324371</v>
      </c>
      <c r="O264" s="172" t="inlineStr">
        <is>
          <t>Marcela Orozco</t>
        </is>
      </c>
      <c r="P264" s="52" t="inlineStr">
        <is>
          <t>marcela.orozco@o3ingenieria.com</t>
        </is>
      </c>
    </row>
    <row r="265">
      <c r="B265" s="170" t="n">
        <v>253</v>
      </c>
      <c r="C265" s="199" t="inlineStr">
        <is>
          <t>COTIZACION DE LOS DISEÑOS DE SEGURIDAD HUMANA Y PROTECCIÓN CONTRA  INCENDIOS - OBRA ITAGUI</t>
        </is>
      </c>
      <c r="D265" s="312" t="n"/>
      <c r="E265" s="312" t="n"/>
      <c r="F265" s="312" t="n"/>
      <c r="G265" s="312" t="n"/>
      <c r="H265" s="312" t="n"/>
      <c r="I265" s="313" t="n"/>
      <c r="J265" s="199" t="inlineStr">
        <is>
          <t>KEAR</t>
        </is>
      </c>
      <c r="K265" s="314" t="inlineStr">
        <is>
          <t>Variable</t>
        </is>
      </c>
      <c r="L265" s="2" t="n">
        <v>44372</v>
      </c>
      <c r="M265" s="170" t="n"/>
      <c r="N265" s="170" t="n">
        <v>3232912713</v>
      </c>
      <c r="O265" s="172" t="inlineStr">
        <is>
          <t>Viviana Sanchéz</t>
        </is>
      </c>
      <c r="P265" s="52" t="inlineStr">
        <is>
          <t>coordinacion@krearingenieria.com</t>
        </is>
      </c>
    </row>
    <row r="266">
      <c r="B266" s="170" t="n">
        <v>254</v>
      </c>
      <c r="C266" s="199" t="inlineStr">
        <is>
          <t>COTIZACION DEL DISEÑO DE DETECCIÓN Y ALARMA DE INCENDIOS - ANDERCOL BARBOSA</t>
        </is>
      </c>
      <c r="D266" s="312" t="n"/>
      <c r="E266" s="312" t="n"/>
      <c r="F266" s="312" t="n"/>
      <c r="G266" s="312" t="n"/>
      <c r="H266" s="312" t="n"/>
      <c r="I266" s="313" t="n"/>
      <c r="J266" s="199" t="inlineStr">
        <is>
          <t>ANDERCOL</t>
        </is>
      </c>
      <c r="K266" s="314" t="n">
        <v>13800000</v>
      </c>
      <c r="L266" s="2" t="n">
        <v>44375</v>
      </c>
      <c r="M266" s="170" t="n"/>
      <c r="N266" s="170" t="n">
        <v>3004919500</v>
      </c>
      <c r="O266" s="172" t="inlineStr">
        <is>
          <t>David Mauricio</t>
        </is>
      </c>
      <c r="P266" s="52" t="inlineStr">
        <is>
          <t>david.zuluaga@andercol.com.co</t>
        </is>
      </c>
    </row>
    <row r="267">
      <c r="B267" s="170" t="n">
        <v>255</v>
      </c>
      <c r="C267" s="231" t="inlineStr">
        <is>
          <t>COTIZACION DE LOS DISEÑOS DE SEGURIDAD HUMANA Y PROTECCIÓN CONTRA  INCENDIOS - OLIVEIRA CAMPESTRE</t>
        </is>
      </c>
      <c r="D267" s="312" t="n"/>
      <c r="E267" s="312" t="n"/>
      <c r="F267" s="312" t="n"/>
      <c r="G267" s="312" t="n"/>
      <c r="H267" s="312" t="n"/>
      <c r="I267" s="313" t="n"/>
      <c r="J267" s="231" t="inlineStr">
        <is>
          <t>MENSULA</t>
        </is>
      </c>
      <c r="K267" s="314" t="n">
        <v>17850000</v>
      </c>
      <c r="L267" s="2" t="n">
        <v>44376</v>
      </c>
      <c r="M267" s="2" t="inlineStr">
        <is>
          <t>X</t>
        </is>
      </c>
      <c r="N267" s="170" t="n">
        <v>3207091752</v>
      </c>
      <c r="O267" s="172" t="inlineStr">
        <is>
          <t>Cristian Londoño Montoya</t>
        </is>
      </c>
      <c r="P267" s="52" t="inlineStr">
        <is>
          <t>cristianlondono@mensulaingenieros.com</t>
        </is>
      </c>
    </row>
    <row r="268">
      <c r="B268" s="170" t="n">
        <v>256</v>
      </c>
      <c r="C268" s="231" t="inlineStr">
        <is>
          <t>COTIZACION DE LA ELABORACIÓN DEL PLAN MAESTRO CONTRA INCENDIOS - BODEGA REDICOL</t>
        </is>
      </c>
      <c r="D268" s="312" t="n"/>
      <c r="E268" s="312" t="n"/>
      <c r="F268" s="312" t="n"/>
      <c r="G268" s="312" t="n"/>
      <c r="H268" s="312" t="n"/>
      <c r="I268" s="313" t="n"/>
      <c r="J268" s="231" t="inlineStr">
        <is>
          <t>REDICOL</t>
        </is>
      </c>
      <c r="K268" s="314" t="n">
        <v>6770000</v>
      </c>
      <c r="L268" s="2" t="n">
        <v>44377</v>
      </c>
      <c r="M268" s="170" t="n"/>
      <c r="N268" s="170" t="inlineStr">
        <is>
          <t>304 611 82 48</t>
        </is>
      </c>
      <c r="O268" s="172" t="inlineStr">
        <is>
          <t>JENIFER FARFÁN CASALLAS</t>
        </is>
      </c>
      <c r="P268" s="52" t="n"/>
    </row>
    <row r="269">
      <c r="B269" s="170" t="n">
        <v>257</v>
      </c>
      <c r="C269" s="199" t="inlineStr">
        <is>
          <t>COTIZACION DE LOS DISEÑOS DE SEGURIDAD HUMANA Y PROTECCIÓN CONTRA  INCENDIOS - HOTEL DON IVAN LA 10</t>
        </is>
      </c>
      <c r="D269" s="312" t="n"/>
      <c r="E269" s="312" t="n"/>
      <c r="F269" s="312" t="n"/>
      <c r="G269" s="312" t="n"/>
      <c r="H269" s="312" t="n"/>
      <c r="I269" s="313" t="n"/>
      <c r="J269" s="199" t="inlineStr">
        <is>
          <t>GINO</t>
        </is>
      </c>
      <c r="K269" s="314" t="n">
        <v>9910000</v>
      </c>
      <c r="L269" s="2" t="n">
        <v>44377</v>
      </c>
      <c r="M269" s="170" t="n"/>
      <c r="N269" s="170" t="n">
        <v>3113396273</v>
      </c>
      <c r="O269" s="172" t="inlineStr">
        <is>
          <t>Gino Montoya</t>
        </is>
      </c>
      <c r="P269" s="52" t="inlineStr">
        <is>
          <t>gino1037@hotmail.com</t>
        </is>
      </c>
    </row>
    <row r="270">
      <c r="B270" s="170" t="n">
        <v>258</v>
      </c>
      <c r="C270" s="231" t="inlineStr">
        <is>
          <t>COTIZACION DE LOS DISEÑOS DE PROTECCIÓN CONTRA  INCENDIOS - OFICINA LEMONT</t>
        </is>
      </c>
      <c r="D270" s="312" t="n"/>
      <c r="E270" s="312" t="n"/>
      <c r="F270" s="312" t="n"/>
      <c r="G270" s="312" t="n"/>
      <c r="H270" s="312" t="n"/>
      <c r="I270" s="313" t="n"/>
      <c r="J270" s="199" t="inlineStr">
        <is>
          <t>PROJECT &amp; SOLUTION</t>
        </is>
      </c>
      <c r="K270" s="314" t="n">
        <v>1990000</v>
      </c>
      <c r="L270" s="2" t="n">
        <v>44377</v>
      </c>
      <c r="M270" s="170" t="n"/>
      <c r="N270" s="170" t="inlineStr">
        <is>
          <t>311 3079477</t>
        </is>
      </c>
      <c r="O270" s="172" t="inlineStr">
        <is>
          <t>Sebastián Lopez</t>
        </is>
      </c>
      <c r="P270" s="52" t="inlineStr">
        <is>
          <t>gerencia@projectsolutions.com.co</t>
        </is>
      </c>
    </row>
    <row r="271">
      <c r="B271" s="170" t="n">
        <v>259</v>
      </c>
      <c r="C271" s="199" t="inlineStr">
        <is>
          <t>COTIZACION DE LOS DISEÑOS DE SEGURIDAD HUMANA Y PROTECCIÓN CONTRA  INCENDIOS - HOTEL CÚCUTA 450 M2</t>
        </is>
      </c>
      <c r="D271" s="312" t="n"/>
      <c r="E271" s="312" t="n"/>
      <c r="F271" s="312" t="n"/>
      <c r="G271" s="312" t="n"/>
      <c r="H271" s="312" t="n"/>
      <c r="I271" s="313" t="n"/>
      <c r="J271" s="199" t="inlineStr">
        <is>
          <t>CONDISEÑO</t>
        </is>
      </c>
      <c r="K271" s="314" t="n">
        <v>5330000</v>
      </c>
      <c r="L271" s="2" t="n">
        <v>44377</v>
      </c>
      <c r="M271" s="170" t="n"/>
      <c r="N271" s="170" t="n">
        <v>3175594091</v>
      </c>
      <c r="O271" s="172" t="inlineStr">
        <is>
          <t>Nakary García Romero</t>
        </is>
      </c>
      <c r="P271" s="52" t="inlineStr">
        <is>
          <t>n.garcia@condiseno.co</t>
        </is>
      </c>
    </row>
    <row r="272">
      <c r="B272" s="170" t="n">
        <v>260</v>
      </c>
      <c r="C272" s="199" t="inlineStr">
        <is>
          <t>COTIZACION DE LOS DISEÑOS DE SEGURIDAD HUMANA Y EXTINCIÓN DE INCENDIOS - SAN NICOLAS ETAPA 3</t>
        </is>
      </c>
      <c r="D272" s="312" t="n"/>
      <c r="E272" s="312" t="n"/>
      <c r="F272" s="312" t="n"/>
      <c r="G272" s="312" t="n"/>
      <c r="H272" s="312" t="n"/>
      <c r="I272" s="313" t="n"/>
      <c r="J272" s="199" t="inlineStr">
        <is>
          <t>LONDOÑO GOMEZ</t>
        </is>
      </c>
      <c r="K272" s="314" t="n">
        <v>31480000</v>
      </c>
      <c r="L272" s="2" t="n">
        <v>44378</v>
      </c>
      <c r="M272" s="170" t="inlineStr">
        <is>
          <t>X</t>
        </is>
      </c>
      <c r="N272" s="170" t="inlineStr">
        <is>
          <t>300 6159091</t>
        </is>
      </c>
      <c r="O272" s="172" t="inlineStr">
        <is>
          <t>Lina Saldarriaga</t>
        </is>
      </c>
      <c r="P272" s="52" t="inlineStr">
        <is>
          <t>lsaldarriaga@londonogomez.com</t>
        </is>
      </c>
    </row>
    <row r="273">
      <c r="B273" s="170" t="n">
        <v>261</v>
      </c>
      <c r="C273" s="199" t="inlineStr">
        <is>
          <t>COTIZACION DE LOS DISEÑOS DE SEGURIDAD HUMANA Y PROTECCIÓN CONTRA  INCENDIOS - AKI ETAPA 1</t>
        </is>
      </c>
      <c r="D273" s="312" t="n"/>
      <c r="E273" s="312" t="n"/>
      <c r="F273" s="312" t="n"/>
      <c r="G273" s="312" t="n"/>
      <c r="H273" s="312" t="n"/>
      <c r="I273" s="313" t="n"/>
      <c r="J273" s="199" t="inlineStr">
        <is>
          <t>MENSULA</t>
        </is>
      </c>
      <c r="K273" s="314" t="n">
        <v>15400000</v>
      </c>
      <c r="L273" s="2" t="n">
        <v>44378</v>
      </c>
      <c r="M273" s="2" t="n"/>
      <c r="N273" s="170" t="inlineStr">
        <is>
          <t>300 864 37 10</t>
        </is>
      </c>
      <c r="O273" s="172" t="inlineStr">
        <is>
          <t>Cristina Palacio Pérez</t>
        </is>
      </c>
      <c r="P273" s="52" t="inlineStr">
        <is>
          <t>cristinapalacio@mensulaingenieros.com</t>
        </is>
      </c>
    </row>
    <row r="274">
      <c r="B274" s="170" t="n">
        <v>262</v>
      </c>
      <c r="C274" s="199" t="inlineStr">
        <is>
          <t>COTIZACION DE LOS DISEÑOS DE SEGURIDAD HUMANA Y PROTECCIÓN CONTRA  INCENDIOS - UCO30</t>
        </is>
      </c>
      <c r="D274" s="312" t="n"/>
      <c r="E274" s="312" t="n"/>
      <c r="F274" s="312" t="n"/>
      <c r="G274" s="312" t="n"/>
      <c r="H274" s="312" t="n"/>
      <c r="I274" s="313" t="n"/>
      <c r="J274" s="199" t="inlineStr">
        <is>
          <t>KEAR</t>
        </is>
      </c>
      <c r="K274" s="314" t="n">
        <v>12950000</v>
      </c>
      <c r="L274" s="2" t="n">
        <v>44378</v>
      </c>
      <c r="M274" s="170" t="n"/>
      <c r="N274" s="170" t="n">
        <v>3232912713</v>
      </c>
      <c r="O274" s="172" t="inlineStr">
        <is>
          <t>Viviana Sanchéz</t>
        </is>
      </c>
      <c r="P274" s="52" t="inlineStr">
        <is>
          <t>coordinacion@krearingenieria.com</t>
        </is>
      </c>
    </row>
    <row r="275">
      <c r="B275" s="170" t="n">
        <v>263</v>
      </c>
      <c r="C275" s="199" t="inlineStr">
        <is>
          <t>COTIZACION DE LOS PLANOS DE SEÑALIZACIÓN DE EMERGENCIA Y EXTINTORES PORTÁTILES PARA EL COLEGIO JOSÉ MARÍA BERRIO</t>
        </is>
      </c>
      <c r="D275" s="312" t="n"/>
      <c r="E275" s="312" t="n"/>
      <c r="F275" s="312" t="n"/>
      <c r="G275" s="312" t="n"/>
      <c r="H275" s="312" t="n"/>
      <c r="I275" s="313" t="n"/>
      <c r="J275" s="199" t="inlineStr">
        <is>
          <t>JOSÉ MARIA BERRIO</t>
        </is>
      </c>
      <c r="K275" s="314" t="n">
        <v>2700000</v>
      </c>
      <c r="L275" s="2" t="n">
        <v>44379</v>
      </c>
      <c r="M275" s="170" t="n"/>
      <c r="N275" s="170" t="inlineStr">
        <is>
          <t>320 6325420</t>
        </is>
      </c>
      <c r="O275" s="172" t="inlineStr">
        <is>
          <t>Lina Cortés</t>
        </is>
      </c>
      <c r="P275" s="52" t="inlineStr">
        <is>
          <t>dircalidadytalentohumano@josema.edu.co</t>
        </is>
      </c>
    </row>
    <row r="276">
      <c r="B276" s="170" t="n">
        <v>264</v>
      </c>
      <c r="C276" s="199" t="inlineStr">
        <is>
          <t>COTIZACION DEL ANÁLISIS DE LOS SISTEMAS DE EXTINCIÓN DE INCENDIOS - CERÁMICA ITALIA</t>
        </is>
      </c>
      <c r="D276" s="312" t="n"/>
      <c r="E276" s="312" t="n"/>
      <c r="F276" s="312" t="n"/>
      <c r="G276" s="312" t="n"/>
      <c r="H276" s="312" t="n"/>
      <c r="I276" s="313" t="n"/>
      <c r="J276" s="199" t="inlineStr">
        <is>
          <t>CONCONCRETO</t>
        </is>
      </c>
      <c r="K276" s="314" t="n">
        <v>2700000</v>
      </c>
      <c r="L276" s="2" t="n">
        <v>44379</v>
      </c>
      <c r="M276" s="170" t="n"/>
      <c r="N276" s="170" t="inlineStr">
        <is>
          <t>317 7085077</t>
        </is>
      </c>
      <c r="O276" s="172" t="inlineStr">
        <is>
          <t>Jhonatan Acosta</t>
        </is>
      </c>
      <c r="P276" s="52" t="inlineStr">
        <is>
          <t>jacosta@conconcreto.com</t>
        </is>
      </c>
    </row>
    <row r="277">
      <c r="B277" s="170" t="n">
        <v>265</v>
      </c>
      <c r="C277" s="199" t="inlineStr">
        <is>
          <t>COTIZACION DEL DISEÑO DE EXTINCIÓN DE INCENDIOS - LOCAL 3097 PLAZA FABRICATO</t>
        </is>
      </c>
      <c r="D277" s="312" t="n"/>
      <c r="E277" s="312" t="n"/>
      <c r="F277" s="312" t="n"/>
      <c r="G277" s="312" t="n"/>
      <c r="H277" s="312" t="n"/>
      <c r="I277" s="313" t="n"/>
      <c r="J277" s="199" t="inlineStr">
        <is>
          <t>SPCI</t>
        </is>
      </c>
      <c r="K277" s="314" t="n">
        <v>1250000</v>
      </c>
      <c r="L277" s="2" t="n">
        <v>44379</v>
      </c>
      <c r="M277" s="170" t="inlineStr">
        <is>
          <t>X</t>
        </is>
      </c>
      <c r="N277" s="170" t="n">
        <v>3104165783</v>
      </c>
      <c r="O277" s="172" t="inlineStr">
        <is>
          <t>Cristiam Mondragón</t>
        </is>
      </c>
      <c r="P277" s="52" t="inlineStr">
        <is>
          <t>cristiamondragon.spci@gmail.com</t>
        </is>
      </c>
    </row>
    <row r="278">
      <c r="B278" s="170" t="n">
        <v>266</v>
      </c>
      <c r="C278" s="199" t="inlineStr">
        <is>
          <t>COTIZACION DEL DISEÑO DE EXTINCIÓN DE INCENDIOS - LOCAL 225 VIVA ENVIGADO</t>
        </is>
      </c>
      <c r="D278" s="312" t="n"/>
      <c r="E278" s="312" t="n"/>
      <c r="F278" s="312" t="n"/>
      <c r="G278" s="312" t="n"/>
      <c r="H278" s="312" t="n"/>
      <c r="I278" s="313" t="n"/>
      <c r="J278" s="199" t="inlineStr">
        <is>
          <t>SPCI</t>
        </is>
      </c>
      <c r="K278" s="314" t="n">
        <v>1630000</v>
      </c>
      <c r="L278" s="2" t="n">
        <v>44380</v>
      </c>
      <c r="M278" s="170" t="inlineStr">
        <is>
          <t>X</t>
        </is>
      </c>
      <c r="N278" s="170" t="n">
        <v>3137546144</v>
      </c>
      <c r="O278" s="172" t="inlineStr">
        <is>
          <t>Juan Camilo Quintero</t>
        </is>
      </c>
      <c r="P278" s="52" t="inlineStr">
        <is>
          <t>proyectos1spci@gmail.com</t>
        </is>
      </c>
    </row>
    <row r="279">
      <c r="B279" s="170" t="n">
        <v>267</v>
      </c>
      <c r="C279" s="199" t="inlineStr">
        <is>
          <t>COTIZACION DEL DISEÑO DE EXTINCIÓN DE INCENDIOS - BANCOLOMBIA C3</t>
        </is>
      </c>
      <c r="D279" s="312" t="n"/>
      <c r="E279" s="312" t="n"/>
      <c r="F279" s="312" t="n"/>
      <c r="G279" s="312" t="n"/>
      <c r="H279" s="312" t="n"/>
      <c r="I279" s="313" t="n"/>
      <c r="J279" s="199" t="inlineStr">
        <is>
          <t>SPCI</t>
        </is>
      </c>
      <c r="K279" s="314" t="n">
        <v>5420000</v>
      </c>
      <c r="L279" s="2" t="n">
        <v>44380</v>
      </c>
      <c r="M279" s="170" t="n"/>
      <c r="N279" s="170" t="n">
        <v>3137546144</v>
      </c>
      <c r="O279" s="172" t="inlineStr">
        <is>
          <t>Juan Camilo Quintero</t>
        </is>
      </c>
      <c r="P279" s="52" t="inlineStr">
        <is>
          <t>proyectos1spci@gmail.com</t>
        </is>
      </c>
    </row>
    <row r="280">
      <c r="B280" s="170" t="n">
        <v>268</v>
      </c>
      <c r="C280" s="199" t="inlineStr">
        <is>
          <t>COTIZACION DE LOS DISEÑOS DE PROTECCIÓN CONTRA  INCENDIOS - FISCALÍA CALI</t>
        </is>
      </c>
      <c r="D280" s="312" t="n"/>
      <c r="E280" s="312" t="n"/>
      <c r="F280" s="312" t="n"/>
      <c r="G280" s="312" t="n"/>
      <c r="H280" s="312" t="n"/>
      <c r="I280" s="313" t="n"/>
      <c r="J280" s="199" t="inlineStr">
        <is>
          <t>SP INMOBILIARIA</t>
        </is>
      </c>
      <c r="K280" s="314" t="n"/>
      <c r="L280" s="2" t="n">
        <v>44383</v>
      </c>
      <c r="M280" s="170" t="n"/>
      <c r="N280" s="170" t="n">
        <v>3007383243</v>
      </c>
      <c r="O280" s="172" t="inlineStr">
        <is>
          <t>Alejandra Ochoa Ospina</t>
        </is>
      </c>
      <c r="P280" s="52" t="inlineStr">
        <is>
          <t>alejandra.ochoa@sp-ing.com.co</t>
        </is>
      </c>
    </row>
    <row r="281">
      <c r="B281" s="170" t="n">
        <v>269</v>
      </c>
      <c r="C281" s="199" t="inlineStr">
        <is>
          <t>COTIZACION DEL DISEÑO DE DETECCIÓN DE INCENDIOS - LUZMA I Y II</t>
        </is>
      </c>
      <c r="D281" s="312" t="n"/>
      <c r="E281" s="312" t="n"/>
      <c r="F281" s="312" t="n"/>
      <c r="G281" s="312" t="n"/>
      <c r="H281" s="312" t="n"/>
      <c r="I281" s="313" t="n"/>
      <c r="J281" s="199" t="inlineStr">
        <is>
          <t>SPCI</t>
        </is>
      </c>
      <c r="K281" s="314" t="n">
        <v>8780000</v>
      </c>
      <c r="L281" s="2" t="n">
        <v>44383</v>
      </c>
      <c r="M281" s="170" t="n"/>
      <c r="N281" s="170" t="n">
        <v>3104278593</v>
      </c>
      <c r="O281" s="172" t="inlineStr">
        <is>
          <t>Daniel Uribe</t>
        </is>
      </c>
      <c r="P281" s="52" t="inlineStr">
        <is>
          <t>dir.tecnico@spcisas.com.co</t>
        </is>
      </c>
    </row>
    <row r="282">
      <c r="B282" s="170" t="n">
        <v>270</v>
      </c>
      <c r="C282" s="199" t="inlineStr">
        <is>
          <t>COTIZACION ACOMPAÑAMIENTO COTIZACIÓN DETECCIÓN DE INCENDIOS - LUZMA I Y II</t>
        </is>
      </c>
      <c r="D282" s="312" t="n"/>
      <c r="E282" s="312" t="n"/>
      <c r="F282" s="312" t="n"/>
      <c r="G282" s="312" t="n"/>
      <c r="H282" s="312" t="n"/>
      <c r="I282" s="313" t="n"/>
      <c r="J282" s="199" t="inlineStr">
        <is>
          <t>SPCI</t>
        </is>
      </c>
      <c r="K282" s="314" t="n">
        <v>1500000</v>
      </c>
      <c r="L282" s="2" t="n">
        <v>44383</v>
      </c>
      <c r="M282" s="170" t="n"/>
      <c r="N282" s="170" t="n">
        <v>3104278593</v>
      </c>
      <c r="O282" s="172" t="inlineStr">
        <is>
          <t>Daniel Uribe</t>
        </is>
      </c>
      <c r="P282" s="52" t="inlineStr">
        <is>
          <t>dir.tecnico@spcisas.com.co</t>
        </is>
      </c>
    </row>
    <row r="283">
      <c r="B283" s="170" t="n">
        <v>271</v>
      </c>
      <c r="C283" s="199" t="inlineStr">
        <is>
          <t>COTIZACION DEL DISEÑO DE DETECCIÓN DE INCENDIOS PARA EL PROYECTO BAÑOS VIVA SINCELEJO</t>
        </is>
      </c>
      <c r="D283" s="312" t="n"/>
      <c r="E283" s="312" t="n"/>
      <c r="F283" s="312" t="n"/>
      <c r="G283" s="312" t="n"/>
      <c r="H283" s="312" t="n"/>
      <c r="I283" s="313" t="n"/>
      <c r="J283" s="199" t="inlineStr">
        <is>
          <t>SPCI</t>
        </is>
      </c>
      <c r="K283" s="314" t="n">
        <v>1000000</v>
      </c>
      <c r="L283" s="2" t="n">
        <v>44383</v>
      </c>
      <c r="M283" s="170" t="inlineStr">
        <is>
          <t>X</t>
        </is>
      </c>
      <c r="N283" s="170" t="n">
        <v>3137546144</v>
      </c>
      <c r="O283" s="172" t="inlineStr">
        <is>
          <t>Juan Camilo Quintero</t>
        </is>
      </c>
      <c r="P283" s="52" t="inlineStr">
        <is>
          <t>proyectos1spci@gmail.com</t>
        </is>
      </c>
    </row>
    <row r="284">
      <c r="B284" s="170" t="n">
        <v>272</v>
      </c>
      <c r="C284" s="199" t="inlineStr">
        <is>
          <t>COTIZACION DE LOS DISEÑOS DE PROTECCIÓN CONTRA  INCENDIOS - POLO CLUB PLAZA FABRICATO</t>
        </is>
      </c>
      <c r="D284" s="312" t="n"/>
      <c r="E284" s="312" t="n"/>
      <c r="F284" s="312" t="n"/>
      <c r="G284" s="312" t="n"/>
      <c r="H284" s="312" t="n"/>
      <c r="I284" s="313" t="n"/>
      <c r="J284" s="199" t="inlineStr">
        <is>
          <t>PROSOMA</t>
        </is>
      </c>
      <c r="K284" s="314" t="n">
        <v>1500000</v>
      </c>
      <c r="L284" s="2" t="n">
        <v>44383</v>
      </c>
      <c r="M284" s="170" t="n"/>
      <c r="N284" s="170" t="inlineStr">
        <is>
          <t>314 7537411</t>
        </is>
      </c>
      <c r="O284" s="172" t="inlineStr">
        <is>
          <t>Adolfo Flórez</t>
        </is>
      </c>
      <c r="P284" s="52" t="inlineStr">
        <is>
          <t xml:space="preserve">proyectos@prosoma.com.co </t>
        </is>
      </c>
    </row>
    <row r="285">
      <c r="B285" s="170" t="n">
        <v>273</v>
      </c>
      <c r="C285" s="199" t="inlineStr">
        <is>
          <t>COTIZACION DE LA REVISIÓN DE SEGURIDAD HUMANA Y LOS SISTEMAS DE PROTECCIÓN CONTRA INCENDIOS PARA CLÍNICAS CALI</t>
        </is>
      </c>
      <c r="D285" s="312" t="n"/>
      <c r="E285" s="312" t="n"/>
      <c r="F285" s="312" t="n"/>
      <c r="G285" s="312" t="n"/>
      <c r="H285" s="312" t="n"/>
      <c r="I285" s="313" t="n"/>
      <c r="J285" s="199" t="inlineStr">
        <is>
          <t>CONDISEÑO</t>
        </is>
      </c>
      <c r="K285" s="314" t="n">
        <v>3600000</v>
      </c>
      <c r="L285" s="2" t="n">
        <v>44383</v>
      </c>
      <c r="M285" s="170" t="n"/>
      <c r="N285" s="170" t="n">
        <v>3175594091</v>
      </c>
      <c r="O285" s="172" t="inlineStr">
        <is>
          <t>Nakary García Romero</t>
        </is>
      </c>
      <c r="P285" s="52" t="inlineStr">
        <is>
          <t>n.garcia@condiseno.co</t>
        </is>
      </c>
    </row>
    <row r="286">
      <c r="B286" s="170" t="n">
        <v>274</v>
      </c>
      <c r="C286" s="199" t="inlineStr">
        <is>
          <t>COTIZACION DE LOS DISEÑOS DE PROTECCIÓN CONTRA  INCENDIOS - FORESTA 3</t>
        </is>
      </c>
      <c r="D286" s="312" t="n"/>
      <c r="E286" s="312" t="n"/>
      <c r="F286" s="312" t="n"/>
      <c r="G286" s="312" t="n"/>
      <c r="H286" s="312" t="n"/>
      <c r="I286" s="313" t="n"/>
      <c r="J286" s="199" t="inlineStr">
        <is>
          <t>SPCI</t>
        </is>
      </c>
      <c r="K286" s="314" t="n">
        <v>9400000</v>
      </c>
      <c r="L286" s="2" t="n">
        <v>44384</v>
      </c>
      <c r="M286" s="170" t="n"/>
      <c r="N286" s="170" t="inlineStr">
        <is>
          <t>321 4826168</t>
        </is>
      </c>
      <c r="O286" s="172" t="inlineStr">
        <is>
          <t>Ana María Restrepo</t>
        </is>
      </c>
      <c r="P286" s="52" t="inlineStr">
        <is>
          <t xml:space="preserve"> costosypresupuestos1@spcisas.com.co</t>
        </is>
      </c>
    </row>
    <row r="287">
      <c r="B287" s="170" t="n">
        <v>275</v>
      </c>
      <c r="C287" s="199" t="inlineStr">
        <is>
          <t>COTIZACION DE LOS DISEÑOS DE PROTECCIÓN CONTRA  INCENDIOS - BODEGA 172 ZONA FRANCA RIONEGRO</t>
        </is>
      </c>
      <c r="D287" s="312" t="n"/>
      <c r="E287" s="312" t="n"/>
      <c r="F287" s="312" t="n"/>
      <c r="G287" s="312" t="n"/>
      <c r="H287" s="312" t="n"/>
      <c r="I287" s="313" t="n"/>
      <c r="J287" s="199" t="inlineStr">
        <is>
          <t>SPCI</t>
        </is>
      </c>
      <c r="K287" s="314" t="n">
        <v>16930000</v>
      </c>
      <c r="L287" s="2" t="n">
        <v>44384</v>
      </c>
      <c r="M287" s="170" t="n"/>
      <c r="N287" s="170" t="inlineStr">
        <is>
          <t>320 7187533</t>
        </is>
      </c>
      <c r="O287" s="172" t="inlineStr">
        <is>
          <t>Santiago Cardona</t>
        </is>
      </c>
      <c r="P287" s="52" t="inlineStr">
        <is>
          <t>dir.proyectos5@spcisas.com.co</t>
        </is>
      </c>
    </row>
    <row r="288">
      <c r="B288" s="170" t="n">
        <v>276</v>
      </c>
      <c r="C288" s="199" t="inlineStr">
        <is>
          <t>COTIZACION DE LOS DISEÑOS DE SEGURIDAD HUMANA Y PROTECCIÓN CONTRA  INCENDIOS - ESPUMAS PLÁSTICAS MEDELLÍN</t>
        </is>
      </c>
      <c r="D288" s="312" t="n"/>
      <c r="E288" s="312" t="n"/>
      <c r="F288" s="312" t="n"/>
      <c r="G288" s="312" t="n"/>
      <c r="H288" s="312" t="n"/>
      <c r="I288" s="313" t="n"/>
      <c r="J288" s="199" t="inlineStr">
        <is>
          <t>IA&amp;C</t>
        </is>
      </c>
      <c r="K288" s="314" t="n">
        <v>21950000</v>
      </c>
      <c r="L288" s="2" t="n">
        <v>44384</v>
      </c>
      <c r="M288" s="170" t="n"/>
      <c r="N288" s="170" t="inlineStr">
        <is>
          <t>321 753 86 61</t>
        </is>
      </c>
      <c r="O288" s="172" t="inlineStr">
        <is>
          <t>Rafael Cabrera</t>
        </is>
      </c>
      <c r="P288" s="52" t="inlineStr">
        <is>
          <t>rafaelcabrera@iayc.co</t>
        </is>
      </c>
    </row>
    <row r="289">
      <c r="B289" s="170" t="n">
        <v>277</v>
      </c>
      <c r="C289" s="199" t="inlineStr">
        <is>
          <t>COTIZACION DE LOS DISEÑOS DE SEGURIDAD HUMANA Y PROTECCIÓN CONTRA  INCENDIOS - MIRASUR</t>
        </is>
      </c>
      <c r="D289" s="312" t="n"/>
      <c r="E289" s="312" t="n"/>
      <c r="F289" s="312" t="n"/>
      <c r="G289" s="312" t="n"/>
      <c r="H289" s="312" t="n"/>
      <c r="I289" s="313" t="n"/>
      <c r="J289" s="199" t="inlineStr">
        <is>
          <t>CONSTRUCCIONES ALCALÁ</t>
        </is>
      </c>
      <c r="K289" s="314" t="n">
        <v>11910000</v>
      </c>
      <c r="L289" s="2" t="n">
        <v>44384</v>
      </c>
      <c r="M289" s="170" t="n"/>
      <c r="N289" s="170" t="inlineStr">
        <is>
          <t>301 6356046</t>
        </is>
      </c>
      <c r="O289" s="172" t="inlineStr">
        <is>
          <t>Orlando Gallo</t>
        </is>
      </c>
      <c r="P289" s="52" t="inlineStr">
        <is>
          <t>bravo259@hotmail.com</t>
        </is>
      </c>
    </row>
    <row r="290">
      <c r="B290" s="170" t="n">
        <v>278</v>
      </c>
      <c r="C290" s="199" t="inlineStr">
        <is>
          <t>COTIZACION DEL DISEÑO DE EXTINCIÓN DE INCENDIOS - LOCAL QBANO PLAZA FABRICATO</t>
        </is>
      </c>
      <c r="D290" s="312" t="n"/>
      <c r="E290" s="312" t="n"/>
      <c r="F290" s="312" t="n"/>
      <c r="G290" s="312" t="n"/>
      <c r="H290" s="312" t="n"/>
      <c r="I290" s="313" t="n"/>
      <c r="J290" s="199" t="inlineStr">
        <is>
          <t>SPCI</t>
        </is>
      </c>
      <c r="K290" s="314" t="n">
        <v>900000</v>
      </c>
      <c r="L290" s="2" t="n">
        <v>44385</v>
      </c>
      <c r="M290" s="2" t="inlineStr">
        <is>
          <t>X</t>
        </is>
      </c>
      <c r="N290" s="170" t="n">
        <v>3104680508</v>
      </c>
      <c r="O290" s="172" t="inlineStr">
        <is>
          <t>Juan Pablo Grajales</t>
        </is>
      </c>
      <c r="P290" s="52" t="inlineStr">
        <is>
          <t>juan.grajales@spci.com.co</t>
        </is>
      </c>
    </row>
    <row r="291">
      <c r="B291" s="170" t="n">
        <v>279</v>
      </c>
      <c r="C291" s="199" t="inlineStr">
        <is>
          <t>COTIZACION DE LOS DISEÑOS DE PROTECCIÓN CONTRA  INCENDIOS - DISLICORES LEMONT</t>
        </is>
      </c>
      <c r="D291" s="312" t="n"/>
      <c r="E291" s="312" t="n"/>
      <c r="F291" s="312" t="n"/>
      <c r="G291" s="312" t="n"/>
      <c r="H291" s="312" t="n"/>
      <c r="I291" s="313" t="n"/>
      <c r="J291" s="199" t="inlineStr">
        <is>
          <t>PROJECT &amp; SOLUTION</t>
        </is>
      </c>
      <c r="K291" s="314" t="n">
        <v>1990000</v>
      </c>
      <c r="L291" s="2" t="n">
        <v>44385</v>
      </c>
      <c r="M291" s="170" t="n"/>
      <c r="N291" s="170" t="inlineStr">
        <is>
          <t>311 3079477</t>
        </is>
      </c>
      <c r="O291" s="172" t="inlineStr">
        <is>
          <t>Sebastián Lopez</t>
        </is>
      </c>
      <c r="P291" s="52" t="inlineStr">
        <is>
          <t>gerencia@projectsolutions.com.co</t>
        </is>
      </c>
    </row>
    <row r="292">
      <c r="B292" s="170" t="n">
        <v>280</v>
      </c>
      <c r="C292" s="199" t="inlineStr">
        <is>
          <t>COTIZACION DE LOS DISEÑOS DE PROTECCIÓN CONTRA  INCENDIOS - DISLICORES LEMONT</t>
        </is>
      </c>
      <c r="D292" s="312" t="n"/>
      <c r="E292" s="312" t="n"/>
      <c r="F292" s="312" t="n"/>
      <c r="G292" s="312" t="n"/>
      <c r="H292" s="312" t="n"/>
      <c r="I292" s="313" t="n"/>
      <c r="J292" s="199" t="inlineStr">
        <is>
          <t>SPCI</t>
        </is>
      </c>
      <c r="K292" s="314" t="n">
        <v>1990000</v>
      </c>
      <c r="L292" s="2" t="n">
        <v>44385</v>
      </c>
      <c r="M292" s="170" t="inlineStr">
        <is>
          <t>X</t>
        </is>
      </c>
      <c r="N292" s="170" t="n">
        <v>3104680508</v>
      </c>
      <c r="O292" s="172" t="inlineStr">
        <is>
          <t>Juan Pablo Grajales</t>
        </is>
      </c>
      <c r="P292" s="52" t="inlineStr">
        <is>
          <t>juan.grajales@spci.com.co</t>
        </is>
      </c>
    </row>
    <row r="293" ht="15" customHeight="1">
      <c r="B293" s="170" t="n">
        <v>281</v>
      </c>
      <c r="C293" s="199" t="inlineStr">
        <is>
          <t>COTIZACION DE LOS DISEÑOS DE PROTECCIÓN CONTRA  INCENDIOS - POLO CLUB PLAZA FABRICATO</t>
        </is>
      </c>
      <c r="D293" s="312" t="n"/>
      <c r="E293" s="312" t="n"/>
      <c r="F293" s="312" t="n"/>
      <c r="G293" s="312" t="n"/>
      <c r="H293" s="312" t="n"/>
      <c r="I293" s="313" t="n"/>
      <c r="J293" s="199" t="inlineStr">
        <is>
          <t>SPCI</t>
        </is>
      </c>
      <c r="K293" s="314" t="n">
        <v>1500000</v>
      </c>
      <c r="L293" s="2" t="n">
        <v>44385</v>
      </c>
      <c r="M293" s="170" t="n"/>
      <c r="N293" s="170" t="n">
        <v>3104165783</v>
      </c>
      <c r="O293" s="172" t="inlineStr">
        <is>
          <t>Cristiam Mondragón</t>
        </is>
      </c>
      <c r="P293" s="52" t="inlineStr">
        <is>
          <t>cristiamondragon.spci@gmail.com</t>
        </is>
      </c>
    </row>
    <row r="294">
      <c r="B294" s="170" t="n">
        <v>282</v>
      </c>
      <c r="C294" s="199" t="inlineStr">
        <is>
          <t>COTIZACION DE LOS DISEÑOS DE PROTECCIÓN CONTRA  INCENDIOS - LOCAL 1028 PLAZA FABRICATO</t>
        </is>
      </c>
      <c r="D294" s="312" t="n"/>
      <c r="E294" s="312" t="n"/>
      <c r="F294" s="312" t="n"/>
      <c r="G294" s="312" t="n"/>
      <c r="H294" s="312" t="n"/>
      <c r="I294" s="313" t="n"/>
      <c r="J294" s="199" t="inlineStr">
        <is>
          <t>SPCI</t>
        </is>
      </c>
      <c r="K294" s="314" t="n">
        <v>1500001</v>
      </c>
      <c r="L294" s="2" t="n">
        <v>44385</v>
      </c>
      <c r="M294" s="170" t="n"/>
      <c r="N294" s="170" t="n">
        <v>3104165783</v>
      </c>
      <c r="O294" s="172" t="inlineStr">
        <is>
          <t>Cristiam Mondragón</t>
        </is>
      </c>
      <c r="P294" s="52" t="inlineStr">
        <is>
          <t>cristiamondragon.spci@gmail.com</t>
        </is>
      </c>
    </row>
    <row r="295">
      <c r="B295" s="170" t="n">
        <v>283</v>
      </c>
      <c r="C295" s="199" t="inlineStr">
        <is>
          <t>COTIZACION DEL DISEÑO DE DETECCIÓN DE INCENDIOS - CARVAJAL</t>
        </is>
      </c>
      <c r="D295" s="312" t="n"/>
      <c r="E295" s="312" t="n"/>
      <c r="F295" s="312" t="n"/>
      <c r="G295" s="312" t="n"/>
      <c r="H295" s="312" t="n"/>
      <c r="I295" s="313" t="n"/>
      <c r="J295" s="199" t="inlineStr">
        <is>
          <t>SOCOMES</t>
        </is>
      </c>
      <c r="K295" s="314" t="n">
        <v>2990000</v>
      </c>
      <c r="L295" s="2" t="n">
        <v>44385</v>
      </c>
      <c r="M295" s="170" t="n"/>
      <c r="N295" s="170" t="n">
        <v>3137851941</v>
      </c>
      <c r="O295" s="172" t="inlineStr">
        <is>
          <t>David Lopera</t>
        </is>
      </c>
      <c r="P295" s="52" t="inlineStr">
        <is>
          <t>david.lopera@socomes.com</t>
        </is>
      </c>
    </row>
    <row r="296">
      <c r="B296" s="170" t="n">
        <v>284</v>
      </c>
      <c r="C296" s="199" t="inlineStr">
        <is>
          <t>COTIZACION DEL ANÁLISIS DE SEGURIDAD HUMANA PARA EL PROYECTO CENTRO DE NEGOCIOS AGROPECUARIOS</t>
        </is>
      </c>
      <c r="D296" s="312" t="n"/>
      <c r="E296" s="312" t="n"/>
      <c r="F296" s="312" t="n"/>
      <c r="G296" s="312" t="n"/>
      <c r="H296" s="312" t="n"/>
      <c r="I296" s="313" t="n"/>
      <c r="J296" s="199" t="inlineStr">
        <is>
          <t>INGENIOBIM</t>
        </is>
      </c>
      <c r="K296" s="314" t="n">
        <v>5420000</v>
      </c>
      <c r="L296" s="2" t="n">
        <v>44386</v>
      </c>
      <c r="M296" s="170" t="n"/>
      <c r="N296" s="170" t="inlineStr">
        <is>
          <t>301 4331389</t>
        </is>
      </c>
      <c r="O296" s="172" t="inlineStr">
        <is>
          <t>Juan Camilo Builes</t>
        </is>
      </c>
      <c r="P296" s="52" t="inlineStr">
        <is>
          <t>jcamilo.builes@ingeniobim.co</t>
        </is>
      </c>
    </row>
    <row r="297">
      <c r="B297" s="170" t="n">
        <v>285</v>
      </c>
      <c r="C297" s="199" t="inlineStr">
        <is>
          <t>COTIZACION DE LOS DISEÑOS DE SEGURIDAD HUMANA Y PROTECCIÓN CONTRA  INCENDIOS - OBRA DEL AIRE</t>
        </is>
      </c>
      <c r="D297" s="312" t="n"/>
      <c r="E297" s="312" t="n"/>
      <c r="F297" s="312" t="n"/>
      <c r="G297" s="312" t="n"/>
      <c r="H297" s="312" t="n"/>
      <c r="I297" s="313" t="n"/>
      <c r="J297" s="199" t="inlineStr">
        <is>
          <t>OBRASDE</t>
        </is>
      </c>
      <c r="K297" s="314" t="n">
        <v>24550000</v>
      </c>
      <c r="L297" s="2" t="n">
        <v>44387</v>
      </c>
      <c r="M297" s="170" t="n"/>
      <c r="N297" s="170" t="inlineStr">
        <is>
          <t>(+574) 444 54 53</t>
        </is>
      </c>
      <c r="O297" s="172" t="inlineStr">
        <is>
          <t>Jhon Fernando Gómez</t>
        </is>
      </c>
      <c r="P297" s="52" t="inlineStr">
        <is>
          <t>john.gomez@obrasde.com</t>
        </is>
      </c>
    </row>
    <row r="298">
      <c r="B298" s="170" t="n">
        <v>286</v>
      </c>
      <c r="C298" s="199" t="inlineStr">
        <is>
          <t>COTIZACION DEL DISEÑO DE EXTINCIÓN DE INCENDIOS - PARQUE DE LAS AGUAS</t>
        </is>
      </c>
      <c r="D298" s="312" t="n"/>
      <c r="E298" s="312" t="n"/>
      <c r="F298" s="312" t="n"/>
      <c r="G298" s="312" t="n"/>
      <c r="H298" s="312" t="n"/>
      <c r="I298" s="313" t="n"/>
      <c r="J298" s="199" t="inlineStr">
        <is>
          <t>WELD</t>
        </is>
      </c>
      <c r="K298" s="314" t="n">
        <v>9400000</v>
      </c>
      <c r="L298" s="2" t="n">
        <v>44387</v>
      </c>
      <c r="M298" s="170" t="n"/>
      <c r="N298" s="170" t="inlineStr">
        <is>
          <t>301 6819545</t>
        </is>
      </c>
      <c r="O298" s="172" t="inlineStr">
        <is>
          <t>Alejandro Lopera</t>
        </is>
      </c>
      <c r="P298" s="52" t="n"/>
    </row>
    <row r="299">
      <c r="B299" s="170" t="n">
        <v>287</v>
      </c>
      <c r="C299" s="199" t="inlineStr">
        <is>
          <t>COTIZACION DEL DISEÑO DE EXTINCIÓN DE INCENDIOS - LOCAL 3040 PLAZA FABRICATO</t>
        </is>
      </c>
      <c r="D299" s="312" t="n"/>
      <c r="E299" s="312" t="n"/>
      <c r="F299" s="312" t="n"/>
      <c r="G299" s="312" t="n"/>
      <c r="H299" s="312" t="n"/>
      <c r="I299" s="313" t="n"/>
      <c r="J299" s="199" t="inlineStr">
        <is>
          <t>SPCI</t>
        </is>
      </c>
      <c r="K299" s="314" t="n">
        <v>1250000</v>
      </c>
      <c r="L299" s="2" t="n">
        <v>44389</v>
      </c>
      <c r="M299" s="2" t="inlineStr">
        <is>
          <t>X</t>
        </is>
      </c>
      <c r="N299" s="170" t="n">
        <v>3104680508</v>
      </c>
      <c r="O299" s="172" t="inlineStr">
        <is>
          <t>Juan Pablo Grajales</t>
        </is>
      </c>
      <c r="P299" s="52" t="inlineStr">
        <is>
          <t>juan.grajales@spci.com.co</t>
        </is>
      </c>
    </row>
    <row r="300">
      <c r="B300" s="170" t="n">
        <v>288</v>
      </c>
      <c r="C300" s="199" t="inlineStr">
        <is>
          <t>COTIZACION DEL DISEÑO DE DETECCIÓN DE INCENDIOS - ALMACAFÉ BUGA</t>
        </is>
      </c>
      <c r="D300" s="312" t="n"/>
      <c r="E300" s="312" t="n"/>
      <c r="F300" s="312" t="n"/>
      <c r="G300" s="312" t="n"/>
      <c r="H300" s="312" t="n"/>
      <c r="I300" s="313" t="n"/>
      <c r="J300" s="199" t="inlineStr">
        <is>
          <t>SURA</t>
        </is>
      </c>
      <c r="K300" s="314" t="n">
        <v>2850000</v>
      </c>
      <c r="L300" s="2" t="n">
        <v>44390</v>
      </c>
      <c r="M300" s="170" t="inlineStr">
        <is>
          <t>X</t>
        </is>
      </c>
      <c r="N300" s="170" t="inlineStr">
        <is>
          <t>(+57) (1) 6463060 Ext: 15134</t>
        </is>
      </c>
      <c r="O300" s="172" t="inlineStr">
        <is>
          <t>Luis Fernando Jaramillo García</t>
        </is>
      </c>
      <c r="P300" s="52" t="inlineStr">
        <is>
          <t>ljaramillog@sura.com.co</t>
        </is>
      </c>
    </row>
    <row r="301">
      <c r="B301" s="170" t="n">
        <v>289</v>
      </c>
      <c r="C301" s="199" t="inlineStr">
        <is>
          <t>COTIZACION DEL DISEÑO DE EXTINCIÓN DE INCENDIOS - LOCAL 3082 PLAZA FABRICATO</t>
        </is>
      </c>
      <c r="D301" s="312" t="n"/>
      <c r="E301" s="312" t="n"/>
      <c r="F301" s="312" t="n"/>
      <c r="G301" s="312" t="n"/>
      <c r="H301" s="312" t="n"/>
      <c r="I301" s="313" t="n"/>
      <c r="J301" s="199" t="inlineStr">
        <is>
          <t>SPCI</t>
        </is>
      </c>
      <c r="K301" s="314" t="n">
        <v>1250000</v>
      </c>
      <c r="L301" s="2" t="n">
        <v>44391</v>
      </c>
      <c r="M301" s="2" t="inlineStr">
        <is>
          <t>X</t>
        </is>
      </c>
      <c r="N301" s="170" t="n">
        <v>3104680508</v>
      </c>
      <c r="O301" s="172" t="inlineStr">
        <is>
          <t>Juan Pablo Grajales</t>
        </is>
      </c>
      <c r="P301" s="52" t="inlineStr">
        <is>
          <t>juan.grajales@spci.com.co</t>
        </is>
      </c>
    </row>
    <row r="302">
      <c r="B302" s="170" t="n">
        <v>290</v>
      </c>
      <c r="C302" s="199" t="inlineStr">
        <is>
          <t>COTIZACION DEL DISEÑO DE DETECCIÓN DE INCENDIOS PARA EL PROYECTO PASILLO PISO 2 VIVA SINCELEJO</t>
        </is>
      </c>
      <c r="D302" s="312" t="n"/>
      <c r="E302" s="312" t="n"/>
      <c r="F302" s="312" t="n"/>
      <c r="G302" s="312" t="n"/>
      <c r="H302" s="312" t="n"/>
      <c r="I302" s="313" t="n"/>
      <c r="J302" s="199" t="inlineStr">
        <is>
          <t>SPCI</t>
        </is>
      </c>
      <c r="K302" s="314" t="n">
        <v>500000</v>
      </c>
      <c r="L302" s="2" t="n">
        <v>44391</v>
      </c>
      <c r="M302" s="170" t="inlineStr">
        <is>
          <t>X</t>
        </is>
      </c>
      <c r="N302" s="170" t="n">
        <v>3137546144</v>
      </c>
      <c r="O302" s="172" t="inlineStr">
        <is>
          <t>Juan Camilo Quintero</t>
        </is>
      </c>
      <c r="P302" s="52" t="inlineStr">
        <is>
          <t>proyectos1spci@gmail.com</t>
        </is>
      </c>
    </row>
    <row r="303">
      <c r="B303" s="170" t="n">
        <v>291</v>
      </c>
      <c r="C303" s="199" t="inlineStr">
        <is>
          <t>COTIZACION DEL DISEÑO DE EXTINCIÓN DE INCENDIOS - LOCAL 2009 PLAZA FABRICATO</t>
        </is>
      </c>
      <c r="D303" s="312" t="n"/>
      <c r="E303" s="312" t="n"/>
      <c r="F303" s="312" t="n"/>
      <c r="G303" s="312" t="n"/>
      <c r="H303" s="312" t="n"/>
      <c r="I303" s="313" t="n"/>
      <c r="J303" s="199" t="inlineStr">
        <is>
          <t>SPCI</t>
        </is>
      </c>
      <c r="K303" s="314" t="n">
        <v>1500000</v>
      </c>
      <c r="L303" s="2" t="n">
        <v>44392</v>
      </c>
      <c r="M303" s="170" t="n"/>
      <c r="N303" s="170" t="inlineStr">
        <is>
          <t>321 4826168</t>
        </is>
      </c>
      <c r="O303" s="172" t="inlineStr">
        <is>
          <t>Ana María Restrepo</t>
        </is>
      </c>
      <c r="P303" s="52" t="inlineStr">
        <is>
          <t xml:space="preserve"> costosypresupuestos1@spcisas.com.co</t>
        </is>
      </c>
    </row>
    <row r="304">
      <c r="B304" s="170" t="n">
        <v>292</v>
      </c>
      <c r="C304" s="199" t="inlineStr">
        <is>
          <t>COTIZACION DE LOS DISEÑOS DE PROTECCIÓN CONTRA  INCENDIOS - INCODOL</t>
        </is>
      </c>
      <c r="D304" s="312" t="n"/>
      <c r="E304" s="312" t="n"/>
      <c r="F304" s="312" t="n"/>
      <c r="G304" s="312" t="n"/>
      <c r="H304" s="312" t="n"/>
      <c r="I304" s="313" t="n"/>
      <c r="J304" s="199" t="inlineStr">
        <is>
          <t>INMA</t>
        </is>
      </c>
      <c r="K304" s="314" t="n">
        <v>18790000</v>
      </c>
      <c r="L304" s="2" t="n">
        <v>44394</v>
      </c>
      <c r="M304" s="170" t="n"/>
      <c r="N304" s="170" t="n">
        <v>3104962713</v>
      </c>
      <c r="O304" s="172" t="inlineStr">
        <is>
          <t>Johan Alexis Moreno Valencia</t>
        </is>
      </c>
      <c r="P304" s="52" t="inlineStr">
        <is>
          <t>jmoreno@inma.com.co</t>
        </is>
      </c>
    </row>
    <row r="305">
      <c r="B305" s="170" t="n">
        <v>293</v>
      </c>
      <c r="C305" s="199" t="inlineStr">
        <is>
          <t>COTIZACION DEL DISEÑO DE EXTINCIÓN DE INCENDIOS - LOCAL FRUTA FRESCA PLAZA FABRICATO</t>
        </is>
      </c>
      <c r="D305" s="312" t="n"/>
      <c r="E305" s="312" t="n"/>
      <c r="F305" s="312" t="n"/>
      <c r="G305" s="312" t="n"/>
      <c r="H305" s="312" t="n"/>
      <c r="I305" s="313" t="n"/>
      <c r="J305" s="199" t="inlineStr">
        <is>
          <t>SPCI</t>
        </is>
      </c>
      <c r="K305" s="314" t="n">
        <v>1630000</v>
      </c>
      <c r="L305" s="2" t="n">
        <v>44394</v>
      </c>
      <c r="M305" s="170" t="inlineStr">
        <is>
          <t>X</t>
        </is>
      </c>
      <c r="N305" s="170" t="n">
        <v>3103898043</v>
      </c>
      <c r="O305" s="172" t="inlineStr">
        <is>
          <t>Mauricio Gutierrez</t>
        </is>
      </c>
      <c r="P305" s="52" t="inlineStr">
        <is>
          <t>mauricio.gutierrez@spci.com.co</t>
        </is>
      </c>
    </row>
    <row r="306">
      <c r="B306" s="170" t="n">
        <v>294</v>
      </c>
      <c r="C306" s="199" t="inlineStr">
        <is>
          <t>COTIZACION DEL DISEÑO DEL CUARTO DE BOMBAS DE EXTINCIÓN DE INCENDIOS - MIRASUR RIONEGRO</t>
        </is>
      </c>
      <c r="D306" s="312" t="n"/>
      <c r="E306" s="312" t="n"/>
      <c r="F306" s="312" t="n"/>
      <c r="G306" s="312" t="n"/>
      <c r="H306" s="312" t="n"/>
      <c r="I306" s="313" t="n"/>
      <c r="J306" s="199" t="inlineStr">
        <is>
          <t>SOCOMES</t>
        </is>
      </c>
      <c r="K306" s="314" t="n">
        <v>3500000</v>
      </c>
      <c r="L306" s="2" t="n">
        <v>44394</v>
      </c>
      <c r="M306" s="170" t="n"/>
      <c r="N306" s="170" t="n">
        <v>3137851941</v>
      </c>
      <c r="O306" s="172" t="inlineStr">
        <is>
          <t>David Lopera</t>
        </is>
      </c>
      <c r="P306" s="52" t="inlineStr">
        <is>
          <t>david.lopera@socomes.com</t>
        </is>
      </c>
    </row>
    <row r="307">
      <c r="B307" s="170" t="n">
        <v>295</v>
      </c>
      <c r="C307" s="199" t="inlineStr">
        <is>
          <t>COTIZACION DEL DISEÑO DE DETECCIÓN DE INCENDIOS - ZONA COMÚN ETAPA 3 VIVA SINCELEJO</t>
        </is>
      </c>
      <c r="D307" s="312" t="n"/>
      <c r="E307" s="312" t="n"/>
      <c r="F307" s="312" t="n"/>
      <c r="G307" s="312" t="n"/>
      <c r="H307" s="312" t="n"/>
      <c r="I307" s="313" t="n"/>
      <c r="J307" s="199" t="inlineStr">
        <is>
          <t>SPCI</t>
        </is>
      </c>
      <c r="K307" s="314" t="n">
        <v>1000000</v>
      </c>
      <c r="L307" s="2" t="n">
        <v>44394</v>
      </c>
      <c r="M307" s="170" t="n"/>
      <c r="N307" s="170" t="n">
        <v>3137546144</v>
      </c>
      <c r="O307" s="172" t="inlineStr">
        <is>
          <t>Juan Camilo Quintero</t>
        </is>
      </c>
      <c r="P307" s="52" t="inlineStr">
        <is>
          <t>proyectos1spci@gmail.com</t>
        </is>
      </c>
    </row>
    <row r="308">
      <c r="B308" s="170" t="n">
        <v>296</v>
      </c>
      <c r="C308" s="233" t="inlineStr">
        <is>
          <t>COTIZACION DEL DISEÑO DE EXTINCIÓN DE INCENDIOS - LOCAL LA CENTRAL 120 M2</t>
        </is>
      </c>
      <c r="D308" s="312" t="n"/>
      <c r="E308" s="312" t="n"/>
      <c r="F308" s="312" t="n"/>
      <c r="G308" s="312" t="n"/>
      <c r="H308" s="312" t="n"/>
      <c r="I308" s="313" t="n"/>
      <c r="J308" s="199" t="inlineStr">
        <is>
          <t>SPCI</t>
        </is>
      </c>
      <c r="K308" s="314" t="n">
        <v>1500000</v>
      </c>
      <c r="L308" s="2" t="n">
        <v>44394</v>
      </c>
      <c r="M308" s="170" t="n"/>
      <c r="N308" s="170" t="n">
        <v>3137546144</v>
      </c>
      <c r="O308" s="172" t="inlineStr">
        <is>
          <t>Juan Camilo Quintero</t>
        </is>
      </c>
      <c r="P308" s="52" t="inlineStr">
        <is>
          <t>proyectos1spci@gmail.com</t>
        </is>
      </c>
    </row>
    <row r="309">
      <c r="B309" s="170" t="n">
        <v>297</v>
      </c>
      <c r="C309" s="199" t="inlineStr">
        <is>
          <t>COTIZACION DEL DISEÑO DE DETECCIÓN DE INCENDIOS PARA EL PROYECTO TANQUES GLP PLEXA</t>
        </is>
      </c>
      <c r="D309" s="312" t="n"/>
      <c r="E309" s="312" t="n"/>
      <c r="F309" s="312" t="n"/>
      <c r="G309" s="312" t="n"/>
      <c r="H309" s="312" t="n"/>
      <c r="I309" s="313" t="n"/>
      <c r="J309" s="199" t="inlineStr">
        <is>
          <t>SPCI</t>
        </is>
      </c>
      <c r="K309" s="314" t="n">
        <v>4990000</v>
      </c>
      <c r="L309" s="2" t="n">
        <v>44394</v>
      </c>
      <c r="M309" s="170" t="n"/>
      <c r="N309" s="170" t="n">
        <v>3104203649</v>
      </c>
      <c r="O309" s="172" t="inlineStr">
        <is>
          <t>Mauricio Guzman</t>
        </is>
      </c>
      <c r="P309" s="52" t="inlineStr">
        <is>
          <t>mauroguzmanspci@gmail.com</t>
        </is>
      </c>
    </row>
    <row r="310">
      <c r="B310" s="170" t="n">
        <v>298</v>
      </c>
      <c r="C310" s="199" t="inlineStr">
        <is>
          <t>COTIZACION DE LOS DISEÑOS DE PROTECCIÓN CONTRA  INCENDIOS - PLANTA CORONA CALDAS</t>
        </is>
      </c>
      <c r="D310" s="312" t="n"/>
      <c r="E310" s="312" t="n"/>
      <c r="F310" s="312" t="n"/>
      <c r="G310" s="312" t="n"/>
      <c r="H310" s="312" t="n"/>
      <c r="I310" s="313" t="n"/>
      <c r="J310" s="199" t="inlineStr">
        <is>
          <t>INMA</t>
        </is>
      </c>
      <c r="K310" s="314" t="n">
        <v>65000000</v>
      </c>
      <c r="L310" s="2" t="n">
        <v>44396</v>
      </c>
      <c r="M310" s="170" t="n"/>
      <c r="N310" s="170" t="n">
        <v>3104962713</v>
      </c>
      <c r="O310" s="172" t="inlineStr">
        <is>
          <t>Johan Alexis Moreno Valencia</t>
        </is>
      </c>
      <c r="P310" s="52" t="inlineStr">
        <is>
          <t>jmoreno@inma.com.co</t>
        </is>
      </c>
    </row>
    <row r="311" ht="15" customHeight="1" thickBot="1">
      <c r="B311" s="68" t="n">
        <v>299</v>
      </c>
      <c r="C311" s="233" t="inlineStr">
        <is>
          <t>COTIZACION DEL DISEÑO DE EXTINCIÓN DE INCENDIOS - LOCAL 0107 LEMONT</t>
        </is>
      </c>
      <c r="D311" s="312" t="n"/>
      <c r="E311" s="312" t="n"/>
      <c r="F311" s="312" t="n"/>
      <c r="G311" s="312" t="n"/>
      <c r="H311" s="312" t="n"/>
      <c r="I311" s="313" t="n"/>
      <c r="J311" s="199" t="inlineStr">
        <is>
          <t>SPCI</t>
        </is>
      </c>
      <c r="K311" s="314" t="n">
        <v>1200000</v>
      </c>
      <c r="L311" s="2" t="n">
        <v>44392</v>
      </c>
      <c r="M311" s="170" t="n"/>
      <c r="N311" s="170" t="inlineStr">
        <is>
          <t>321 4826168</t>
        </is>
      </c>
      <c r="O311" s="172" t="inlineStr">
        <is>
          <t>Ana María Restrepo</t>
        </is>
      </c>
      <c r="P311" s="52" t="inlineStr">
        <is>
          <t xml:space="preserve"> costosypresupuestos1@spcisas.com.co</t>
        </is>
      </c>
    </row>
    <row r="312">
      <c r="B312" s="67" t="n">
        <v>300</v>
      </c>
      <c r="C312" s="199" t="inlineStr">
        <is>
          <t>COTIZACION DE LOS DISEÑOS DE PROTECCIÓN CONTRA  INCENDIOS - LA JAGGUA</t>
        </is>
      </c>
      <c r="D312" s="312" t="n"/>
      <c r="E312" s="312" t="n"/>
      <c r="F312" s="312" t="n"/>
      <c r="G312" s="312" t="n"/>
      <c r="H312" s="312" t="n"/>
      <c r="I312" s="313" t="n"/>
      <c r="J312" s="199" t="inlineStr">
        <is>
          <t>CONTEX</t>
        </is>
      </c>
      <c r="K312" s="314" t="n">
        <v>20950000</v>
      </c>
      <c r="L312" s="2" t="n">
        <v>44399</v>
      </c>
      <c r="M312" s="170" t="inlineStr">
        <is>
          <t>X</t>
        </is>
      </c>
      <c r="N312" s="170" t="n">
        <v>3104145629</v>
      </c>
      <c r="O312" s="172" t="inlineStr">
        <is>
          <t>Maria Camila Velasquez</t>
        </is>
      </c>
      <c r="P312" s="52" t="inlineStr">
        <is>
          <t>mcvelasquez@contex.com.co</t>
        </is>
      </c>
    </row>
    <row r="313">
      <c r="B313" s="170" t="n">
        <v>301</v>
      </c>
      <c r="C313" s="199" t="inlineStr">
        <is>
          <t>COTIZACION DE LOS DISEÑOS DE PROTECCIÓN CONTRA  INCENDIOS - Local 3029 Plaza Fabricato</t>
        </is>
      </c>
      <c r="D313" s="312" t="n"/>
      <c r="E313" s="312" t="n"/>
      <c r="F313" s="312" t="n"/>
      <c r="G313" s="312" t="n"/>
      <c r="H313" s="312" t="n"/>
      <c r="I313" s="313" t="n"/>
      <c r="J313" s="235" t="inlineStr">
        <is>
          <t>GIOVANNY CORREA</t>
        </is>
      </c>
      <c r="K313" s="314" t="n">
        <v>1880000</v>
      </c>
      <c r="L313" s="2" t="n">
        <v>44399</v>
      </c>
      <c r="M313" s="170" t="n"/>
      <c r="N313" s="49" t="n"/>
      <c r="O313" s="172" t="inlineStr">
        <is>
          <t>Giovanny Correa</t>
        </is>
      </c>
      <c r="P313" s="172" t="n"/>
    </row>
    <row r="314">
      <c r="B314" s="170" t="n">
        <v>302</v>
      </c>
      <c r="C314" s="199" t="inlineStr">
        <is>
          <t>COTIZACION DE LOS DISEÑOS DE PROTECCIÓN CONTRA  INCENDIOS - FONTIBÓN</t>
        </is>
      </c>
      <c r="D314" s="312" t="n"/>
      <c r="E314" s="312" t="n"/>
      <c r="F314" s="312" t="n"/>
      <c r="G314" s="312" t="n"/>
      <c r="H314" s="312" t="n"/>
      <c r="I314" s="313" t="n"/>
      <c r="J314" s="199" t="inlineStr">
        <is>
          <t>CONTEX</t>
        </is>
      </c>
      <c r="K314" s="314" t="n">
        <v>26950000</v>
      </c>
      <c r="L314" s="2" t="n">
        <v>44399</v>
      </c>
      <c r="M314" s="170" t="n"/>
      <c r="N314" s="170" t="n">
        <v>3014841003</v>
      </c>
      <c r="O314" s="172" t="inlineStr">
        <is>
          <t>Anderson Zapata</t>
        </is>
      </c>
      <c r="P314" s="52" t="inlineStr">
        <is>
          <t>jzapata@contex.com.co</t>
        </is>
      </c>
    </row>
    <row r="315">
      <c r="B315" s="170" t="n">
        <v>303</v>
      </c>
      <c r="C315" s="199" t="inlineStr">
        <is>
          <t>COTIZACION DE LOS DISEÑOS DE SEGURIDAD HUMANA Y PROTECCIÓN CONTRA  INCENDIOS - LAGOS ETAPA 1</t>
        </is>
      </c>
      <c r="D315" s="312" t="n"/>
      <c r="E315" s="312" t="n"/>
      <c r="F315" s="312" t="n"/>
      <c r="G315" s="312" t="n"/>
      <c r="H315" s="312" t="n"/>
      <c r="I315" s="313" t="n"/>
      <c r="J315" s="199" t="inlineStr">
        <is>
          <t>MENSULA</t>
        </is>
      </c>
      <c r="K315" s="314" t="n">
        <v>16940000</v>
      </c>
      <c r="L315" s="2" t="n">
        <v>44400</v>
      </c>
      <c r="M315" s="170" t="inlineStr">
        <is>
          <t>X</t>
        </is>
      </c>
      <c r="N315" s="170" t="inlineStr">
        <is>
          <t>3207091752- 44795490</t>
        </is>
      </c>
      <c r="O315" s="172" t="inlineStr">
        <is>
          <t>Cristian Londoño Montoya</t>
        </is>
      </c>
      <c r="P315" s="52" t="inlineStr">
        <is>
          <t>cristianlondono@mensulaingenieros.com</t>
        </is>
      </c>
    </row>
    <row r="316">
      <c r="B316" s="170" t="n">
        <v>304</v>
      </c>
      <c r="C316" s="199" t="inlineStr">
        <is>
          <t>COTIZACION DE LOS DISEÑOS DE PROTECCIÓN CONTRA  INCENDIOS - LOCAL 2023 PLAZA FABRICATO</t>
        </is>
      </c>
      <c r="D316" s="312" t="n"/>
      <c r="E316" s="312" t="n"/>
      <c r="F316" s="312" t="n"/>
      <c r="G316" s="312" t="n"/>
      <c r="H316" s="312" t="n"/>
      <c r="I316" s="313" t="n"/>
      <c r="J316" s="199" t="inlineStr">
        <is>
          <t>SPCI</t>
        </is>
      </c>
      <c r="K316" s="314" t="n">
        <v>1250000</v>
      </c>
      <c r="L316" s="2" t="n">
        <v>44400</v>
      </c>
      <c r="M316" s="170" t="n"/>
      <c r="N316" s="170" t="n">
        <v>3104680508</v>
      </c>
      <c r="O316" s="172" t="inlineStr">
        <is>
          <t>Juan Pablo Grajales</t>
        </is>
      </c>
      <c r="P316" s="52" t="inlineStr">
        <is>
          <t>juan.grajales@spci.com.co</t>
        </is>
      </c>
    </row>
    <row r="317" ht="15" customHeight="1">
      <c r="B317" s="170" t="n">
        <v>305</v>
      </c>
      <c r="C317" s="199" t="inlineStr">
        <is>
          <t xml:space="preserve">COTIZACION DEL DISEÑO DE DETECCIÓN DE INCENDIOS PARA EL PROYECTO IE LICEO ANTIOQUEÑO
</t>
        </is>
      </c>
      <c r="D317" s="312" t="n"/>
      <c r="E317" s="312" t="n"/>
      <c r="F317" s="312" t="n"/>
      <c r="G317" s="312" t="n"/>
      <c r="H317" s="312" t="n"/>
      <c r="I317" s="313" t="n"/>
      <c r="J317" s="199" t="inlineStr">
        <is>
          <t>CONTEIN SAS</t>
        </is>
      </c>
      <c r="K317" s="314" t="n">
        <v>2500000</v>
      </c>
      <c r="L317" s="2" t="n">
        <v>44400</v>
      </c>
      <c r="M317" s="170" t="n"/>
      <c r="N317" s="49" t="n"/>
      <c r="O317" s="172" t="inlineStr">
        <is>
          <t>Edgar</t>
        </is>
      </c>
      <c r="P317" s="52" t="inlineStr">
        <is>
          <t>e.rodriguez@constelec.com</t>
        </is>
      </c>
    </row>
    <row r="318">
      <c r="B318" s="170" t="n">
        <v>306</v>
      </c>
      <c r="C318" s="199" t="inlineStr">
        <is>
          <t>COTIZACION DEL DISEÑO DE DETECCIÓN DE INCENDIOS - HALL DE CAJEROS CC RONDA REAL</t>
        </is>
      </c>
      <c r="D318" s="312" t="n"/>
      <c r="E318" s="312" t="n"/>
      <c r="F318" s="312" t="n"/>
      <c r="G318" s="312" t="n"/>
      <c r="H318" s="312" t="n"/>
      <c r="I318" s="313" t="n"/>
      <c r="J318" s="199" t="inlineStr">
        <is>
          <t>SANTIAGO ROJAS</t>
        </is>
      </c>
      <c r="K318" s="314" t="n">
        <v>750000</v>
      </c>
      <c r="L318" s="2" t="n">
        <v>44340</v>
      </c>
      <c r="M318" s="2" t="inlineStr">
        <is>
          <t>X</t>
        </is>
      </c>
      <c r="N318" s="170" t="n">
        <v>3022295773</v>
      </c>
      <c r="O318" s="172" t="inlineStr">
        <is>
          <t xml:space="preserve">Vanessa Ramirez </t>
        </is>
      </c>
      <c r="P318" s="52" t="inlineStr">
        <is>
          <t>proyectos@santiagorojas.com.co</t>
        </is>
      </c>
    </row>
    <row r="319">
      <c r="B319" s="170" t="n">
        <v>307</v>
      </c>
      <c r="C319" s="199" t="inlineStr">
        <is>
          <t>COTIZACION DEL DISEÑO DE EXTINCIÓN DE INCENDIOS - LOCAL 0101 LEMONT</t>
        </is>
      </c>
      <c r="D319" s="312" t="n"/>
      <c r="E319" s="312" t="n"/>
      <c r="F319" s="312" t="n"/>
      <c r="G319" s="312" t="n"/>
      <c r="H319" s="312" t="n"/>
      <c r="I319" s="313" t="n"/>
      <c r="J319" s="199" t="inlineStr">
        <is>
          <t>SPCI</t>
        </is>
      </c>
      <c r="K319" s="314" t="n">
        <v>1800000</v>
      </c>
      <c r="L319" s="2" t="n">
        <v>44403</v>
      </c>
      <c r="M319" s="170" t="inlineStr">
        <is>
          <t>X</t>
        </is>
      </c>
      <c r="N319" s="170" t="n">
        <v>3104680508</v>
      </c>
      <c r="O319" s="172" t="inlineStr">
        <is>
          <t>Juan Pablo Grajales</t>
        </is>
      </c>
      <c r="P319" s="52" t="inlineStr">
        <is>
          <t>juan.grajales@spci.com.co</t>
        </is>
      </c>
    </row>
    <row r="320">
      <c r="B320" s="170" t="n">
        <v>308</v>
      </c>
      <c r="C320" s="199" t="inlineStr">
        <is>
          <t>COTIZACION DE LOS DISEÑOS DE SEGURIDAD HUMANA Y PROTECCIÓN CONTRA INCENDIOS- RUTA 39 ETAPA 4</t>
        </is>
      </c>
      <c r="D320" s="312" t="n"/>
      <c r="E320" s="312" t="n"/>
      <c r="F320" s="312" t="n"/>
      <c r="G320" s="312" t="n"/>
      <c r="H320" s="312" t="n"/>
      <c r="I320" s="313" t="n"/>
      <c r="J320" s="199" t="inlineStr">
        <is>
          <t>SPCI</t>
        </is>
      </c>
      <c r="K320" s="314" t="n">
        <v>17940000</v>
      </c>
      <c r="L320" s="2" t="n">
        <v>44403</v>
      </c>
      <c r="M320" s="170" t="n"/>
      <c r="N320" s="170" t="inlineStr">
        <is>
          <t>321 482 61 68</t>
        </is>
      </c>
      <c r="O320" s="172" t="inlineStr">
        <is>
          <t>Ana Maria Restrepo</t>
        </is>
      </c>
      <c r="P320" s="52" t="inlineStr">
        <is>
          <t>costosypresupuestos1@spcisas.com.co</t>
        </is>
      </c>
    </row>
    <row r="321">
      <c r="B321" s="170" t="n">
        <v>309</v>
      </c>
      <c r="C321" s="199" t="inlineStr">
        <is>
          <t>COTIZACION DE LOS DISEÑOS DE PROTECCIÓN CONTRA  INCENDIOS - PARQUE INDUSTRIAL ELITE 2</t>
        </is>
      </c>
      <c r="D321" s="312" t="n"/>
      <c r="E321" s="312" t="n"/>
      <c r="F321" s="312" t="n"/>
      <c r="G321" s="312" t="n"/>
      <c r="H321" s="312" t="n"/>
      <c r="I321" s="313" t="n"/>
      <c r="J321" s="199" t="inlineStr">
        <is>
          <t>SPCI</t>
        </is>
      </c>
      <c r="K321" s="314" t="n">
        <v>13170000</v>
      </c>
      <c r="L321" s="2" t="n">
        <v>44405</v>
      </c>
      <c r="M321" s="170" t="n"/>
      <c r="N321" s="170" t="n">
        <v>3104680508</v>
      </c>
      <c r="O321" s="172" t="inlineStr">
        <is>
          <t>Juan Pablo Grajales</t>
        </is>
      </c>
      <c r="P321" s="52" t="inlineStr">
        <is>
          <t>juan.grajales@spci.com.co</t>
        </is>
      </c>
    </row>
    <row r="322">
      <c r="B322" s="170" t="n">
        <v>310</v>
      </c>
      <c r="C322" s="199" t="inlineStr">
        <is>
          <t>COTIZACION DEL DISEÑO DE DETECCIÓN DE INCENDIOS - SIDEL</t>
        </is>
      </c>
      <c r="D322" s="312" t="n"/>
      <c r="E322" s="312" t="n"/>
      <c r="F322" s="312" t="n"/>
      <c r="G322" s="312" t="n"/>
      <c r="H322" s="312" t="n"/>
      <c r="I322" s="313" t="n"/>
      <c r="J322" s="199" t="inlineStr">
        <is>
          <t>SURA</t>
        </is>
      </c>
      <c r="K322" s="314" t="n"/>
      <c r="L322" s="2" t="n">
        <v>44405</v>
      </c>
      <c r="M322" s="170" t="inlineStr">
        <is>
          <t>X</t>
        </is>
      </c>
      <c r="N322" s="170" t="inlineStr">
        <is>
          <t>(051)646 3060 Ext. 15133</t>
        </is>
      </c>
      <c r="O322" s="172" t="inlineStr">
        <is>
          <t>Cindy Lorena Robayo Benitez</t>
        </is>
      </c>
      <c r="P322" s="89" t="inlineStr">
        <is>
          <t>clrobayo@sura.com.co</t>
        </is>
      </c>
    </row>
    <row r="323">
      <c r="B323" s="170" t="n">
        <v>311</v>
      </c>
      <c r="C323" s="199" t="inlineStr">
        <is>
          <t>COTIZACION DE LOS DISEÑOS DE SEGURIDAD HUMANA Y PROTECCIÓN CONTRA  INCENDIOS - CLÍNICA DE TRAUMATOLOGÍA</t>
        </is>
      </c>
      <c r="D323" s="312" t="n"/>
      <c r="E323" s="312" t="n"/>
      <c r="F323" s="312" t="n"/>
      <c r="G323" s="312" t="n"/>
      <c r="H323" s="312" t="n"/>
      <c r="I323" s="313" t="n"/>
      <c r="J323" s="199" t="inlineStr">
        <is>
          <t>CONDISEÑO</t>
        </is>
      </c>
      <c r="K323" s="314" t="n">
        <v>11915000</v>
      </c>
      <c r="L323" s="2" t="n">
        <v>44405</v>
      </c>
      <c r="M323" s="170" t="n"/>
      <c r="N323" s="170" t="n">
        <v>3175594091</v>
      </c>
      <c r="O323" s="172" t="inlineStr">
        <is>
          <t>Nakary Garcia Romero</t>
        </is>
      </c>
      <c r="P323" s="52" t="inlineStr">
        <is>
          <t>n.garcia@condiseno.co</t>
        </is>
      </c>
    </row>
    <row r="324">
      <c r="B324" s="170" t="n">
        <v>312</v>
      </c>
      <c r="C324" s="199" t="inlineStr">
        <is>
          <t>COTIZACION DE LOS DISEÑOS DE SEGURIDAD HUMANA Y PROTECCIÓN CONTRA  INCENDIOS - LEGADO</t>
        </is>
      </c>
      <c r="D324" s="312" t="n"/>
      <c r="E324" s="312" t="n"/>
      <c r="F324" s="312" t="n"/>
      <c r="G324" s="312" t="n"/>
      <c r="H324" s="312" t="n"/>
      <c r="I324" s="313" t="n"/>
      <c r="J324" s="199" t="inlineStr">
        <is>
          <t>SPCI</t>
        </is>
      </c>
      <c r="K324" s="314" t="n">
        <v>8970000</v>
      </c>
      <c r="L324" s="2" t="n">
        <v>44405</v>
      </c>
      <c r="M324" s="170" t="inlineStr">
        <is>
          <t>X</t>
        </is>
      </c>
      <c r="N324" s="170" t="inlineStr">
        <is>
          <t>321 482 61 68</t>
        </is>
      </c>
      <c r="O324" s="172" t="inlineStr">
        <is>
          <t>Ana Maria Restrepo</t>
        </is>
      </c>
      <c r="P324" s="52" t="inlineStr">
        <is>
          <t>costosypresupuestos1@spcisas.com.co</t>
        </is>
      </c>
    </row>
    <row r="325">
      <c r="B325" s="170" t="n">
        <v>313</v>
      </c>
      <c r="C325" s="250" t="inlineStr">
        <is>
          <t>COTIZACION DEL DISEÑO DE EXTINCIÓN DE INCENDIOS PARA EL PROYECTO LOCAL 2006 PLAZA FABRICATO</t>
        </is>
      </c>
      <c r="D325" s="312" t="n"/>
      <c r="E325" s="312" t="n"/>
      <c r="F325" s="312" t="n"/>
      <c r="G325" s="312" t="n"/>
      <c r="H325" s="312" t="n"/>
      <c r="I325" s="313" t="n"/>
      <c r="J325" s="199" t="inlineStr">
        <is>
          <t>SPCI</t>
        </is>
      </c>
      <c r="K325" s="314" t="n">
        <v>1450000</v>
      </c>
      <c r="L325" s="2" t="n">
        <v>44405</v>
      </c>
      <c r="M325" s="2" t="inlineStr">
        <is>
          <t>X</t>
        </is>
      </c>
      <c r="N325" s="170" t="n">
        <v>3103898043</v>
      </c>
      <c r="O325" s="172" t="inlineStr">
        <is>
          <t>Mauricio Gutierrez</t>
        </is>
      </c>
      <c r="P325" s="52" t="inlineStr">
        <is>
          <t>mauricio.gutierrez@spci.com.co</t>
        </is>
      </c>
    </row>
    <row r="326">
      <c r="B326" s="170" t="n">
        <v>314</v>
      </c>
      <c r="C326" s="199" t="inlineStr">
        <is>
          <t>COTIZACION DEL ANÁLISIS DE SEGURIDAD HUMANA PARA EL PROYECTO LOGIKA SIBERIA BODEGA 12</t>
        </is>
      </c>
      <c r="D326" s="312" t="n"/>
      <c r="E326" s="312" t="n"/>
      <c r="F326" s="312" t="n"/>
      <c r="G326" s="312" t="n"/>
      <c r="H326" s="312" t="n"/>
      <c r="I326" s="313" t="n"/>
      <c r="J326" s="199" t="inlineStr">
        <is>
          <t>CONCONCRETO</t>
        </is>
      </c>
      <c r="K326" s="314" t="n">
        <v>3250000</v>
      </c>
      <c r="L326" s="2" t="n">
        <v>44405</v>
      </c>
      <c r="M326" s="170" t="inlineStr">
        <is>
          <t>X</t>
        </is>
      </c>
      <c r="N326" s="170" t="n">
        <v>3003404902</v>
      </c>
      <c r="O326" s="172" t="inlineStr">
        <is>
          <t>Pilar Arango Restrepo</t>
        </is>
      </c>
      <c r="P326" s="52" t="inlineStr">
        <is>
          <t>Emailparangor@conconcreto.com</t>
        </is>
      </c>
    </row>
    <row r="327">
      <c r="B327" s="170" t="n">
        <v>315</v>
      </c>
      <c r="C327" s="199" t="inlineStr">
        <is>
          <t>COTIZACION DEL MODELO EN AUTOSPRINK Y CÁLCULOS HIDRÁULICOS PARA EL PROYECTO ÉXITO CEDI SIBERIA</t>
        </is>
      </c>
      <c r="D327" s="312" t="n"/>
      <c r="E327" s="312" t="n"/>
      <c r="F327" s="312" t="n"/>
      <c r="G327" s="312" t="n"/>
      <c r="H327" s="312" t="n"/>
      <c r="I327" s="313" t="n"/>
      <c r="J327" s="199" t="inlineStr">
        <is>
          <t>SPCI</t>
        </is>
      </c>
      <c r="K327" s="314" t="n">
        <v>9400000</v>
      </c>
      <c r="L327" s="2" t="n">
        <v>44405</v>
      </c>
      <c r="M327" s="170" t="n"/>
      <c r="N327" s="170" t="inlineStr">
        <is>
          <t>314 6082856</t>
        </is>
      </c>
      <c r="O327" s="172" t="inlineStr">
        <is>
          <t>Bayron Eliecer Puerta</t>
        </is>
      </c>
      <c r="P327" s="52" t="inlineStr">
        <is>
          <t>produccion@spcisas.com.co</t>
        </is>
      </c>
    </row>
    <row r="328">
      <c r="B328" s="170" t="n">
        <v>316</v>
      </c>
      <c r="C328" s="199" t="inlineStr">
        <is>
          <t>COTIZACION DEL DISEÑO DE EXTINCIÓN DE INCENDIOS - ALKOMPRAR PLAZA FABRICATO</t>
        </is>
      </c>
      <c r="D328" s="312" t="n"/>
      <c r="E328" s="312" t="n"/>
      <c r="F328" s="312" t="n"/>
      <c r="G328" s="312" t="n"/>
      <c r="H328" s="312" t="n"/>
      <c r="I328" s="313" t="n"/>
      <c r="J328" s="199" t="inlineStr">
        <is>
          <t>SOCOMES</t>
        </is>
      </c>
      <c r="K328" s="314" t="n">
        <v>3100000</v>
      </c>
      <c r="L328" s="2" t="n">
        <v>44405</v>
      </c>
      <c r="M328" s="2" t="inlineStr">
        <is>
          <t>X</t>
        </is>
      </c>
      <c r="N328" s="170" t="n">
        <v>3137851941</v>
      </c>
      <c r="O328" s="172" t="inlineStr">
        <is>
          <t>David Lopera Medina</t>
        </is>
      </c>
      <c r="P328" s="52" t="inlineStr">
        <is>
          <t>david.lopera@socomes.com</t>
        </is>
      </c>
    </row>
    <row r="329">
      <c r="B329" s="170" t="n">
        <v>317</v>
      </c>
      <c r="C329" s="199" t="inlineStr">
        <is>
          <t>COTIZACION DEL DISEÑO DE EXTINCIÓN DE INCENDIOS -  LOCAL 1011B YOM YOM PLAZA FABRICATO</t>
        </is>
      </c>
      <c r="D329" s="312" t="n"/>
      <c r="E329" s="312" t="n"/>
      <c r="F329" s="312" t="n"/>
      <c r="G329" s="312" t="n"/>
      <c r="H329" s="312" t="n"/>
      <c r="I329" s="313" t="n"/>
      <c r="J329" s="199" t="inlineStr">
        <is>
          <t>SPCI</t>
        </is>
      </c>
      <c r="K329" s="314" t="n">
        <v>700000</v>
      </c>
      <c r="L329" s="2" t="n">
        <v>44406</v>
      </c>
      <c r="M329" s="170" t="n"/>
      <c r="N329" s="170" t="inlineStr">
        <is>
          <t>321 482 61 68</t>
        </is>
      </c>
      <c r="O329" s="172" t="inlineStr">
        <is>
          <t>Ana Maria Restrepo</t>
        </is>
      </c>
      <c r="P329" s="52" t="inlineStr">
        <is>
          <t>costosypresupuestos1@spcisas.com.co</t>
        </is>
      </c>
    </row>
    <row r="330">
      <c r="B330" s="170" t="n">
        <v>318</v>
      </c>
      <c r="C330" s="199" t="inlineStr">
        <is>
          <t>COTIZACION DE LOS DISEÑOS DE PROTECCIÓN CONTRA INCENDIOS Y SEGURIDAD HUMANA PARA EL PROYECTO CEDRO AZUL</t>
        </is>
      </c>
      <c r="D330" s="312" t="n"/>
      <c r="E330" s="312" t="n"/>
      <c r="F330" s="312" t="n"/>
      <c r="G330" s="312" t="n"/>
      <c r="H330" s="312" t="n"/>
      <c r="I330" s="313" t="n"/>
      <c r="J330" s="199" t="inlineStr">
        <is>
          <t>LINK INMOBILIARIA</t>
        </is>
      </c>
      <c r="K330" s="314" t="inlineStr">
        <is>
          <t>Variable</t>
        </is>
      </c>
      <c r="L330" s="2" t="n">
        <v>44407</v>
      </c>
      <c r="M330" s="170" t="n"/>
      <c r="N330" s="170" t="inlineStr">
        <is>
          <t>316-2454557-(4) 4441787</t>
        </is>
      </c>
      <c r="O330" s="172" t="inlineStr">
        <is>
          <t>JUAN CARLOS OLMOS T.</t>
        </is>
      </c>
      <c r="P330" s="52" t="inlineStr">
        <is>
          <t>j.olmos@link-inmobiliario.com</t>
        </is>
      </c>
    </row>
    <row r="331">
      <c r="B331" s="170" t="n">
        <v>319</v>
      </c>
      <c r="C331" s="199" t="inlineStr">
        <is>
          <t>COTIZACION DE LOS DISEÑOS DE SEGURIDAD HUMANA Y PROTECCIÓN CONTRA  INCENDIOS - LIVING 27</t>
        </is>
      </c>
      <c r="D331" s="312" t="n"/>
      <c r="E331" s="312" t="n"/>
      <c r="F331" s="312" t="n"/>
      <c r="G331" s="312" t="n"/>
      <c r="H331" s="312" t="n"/>
      <c r="I331" s="313" t="n"/>
      <c r="J331" s="199" t="inlineStr">
        <is>
          <t>LINK INMOBILIARIA</t>
        </is>
      </c>
      <c r="K331" s="314" t="inlineStr">
        <is>
          <t>Variable</t>
        </is>
      </c>
      <c r="L331" s="2" t="n">
        <v>44407</v>
      </c>
      <c r="M331" s="170" t="n"/>
      <c r="N331" s="170" t="inlineStr">
        <is>
          <t>316-2454557-(4) 4441787</t>
        </is>
      </c>
      <c r="O331" s="172" t="inlineStr">
        <is>
          <t>JUAN CARLOS OLMOS T.</t>
        </is>
      </c>
      <c r="P331" s="52" t="inlineStr">
        <is>
          <t>j.olmos@link-inmobiliario.com</t>
        </is>
      </c>
    </row>
    <row r="332">
      <c r="B332" s="170" t="n">
        <v>320</v>
      </c>
      <c r="C332" s="199" t="inlineStr">
        <is>
          <t>COTIZACION DE LOS DISEÑOS DE SEGURIDAD HUMANA Y PROTECCIÓN CONTRA  INCENDIOS - VEGAS 48</t>
        </is>
      </c>
      <c r="D332" s="312" t="n"/>
      <c r="E332" s="312" t="n"/>
      <c r="F332" s="312" t="n"/>
      <c r="G332" s="312" t="n"/>
      <c r="H332" s="312" t="n"/>
      <c r="I332" s="313" t="n"/>
      <c r="J332" s="199" t="inlineStr">
        <is>
          <t>LINK INMOBILIARIA</t>
        </is>
      </c>
      <c r="K332" s="314" t="inlineStr">
        <is>
          <t>Variable</t>
        </is>
      </c>
      <c r="L332" s="2" t="n">
        <v>44407</v>
      </c>
      <c r="M332" s="170" t="n"/>
      <c r="N332" s="170" t="inlineStr">
        <is>
          <t>316-2454557-(4) 4441787</t>
        </is>
      </c>
      <c r="O332" s="172" t="inlineStr">
        <is>
          <t>JUAN CARLOS OLMOS T.</t>
        </is>
      </c>
      <c r="P332" s="52" t="inlineStr">
        <is>
          <t>j.olmos@link-inmobiliario.com</t>
        </is>
      </c>
    </row>
    <row r="333">
      <c r="B333" s="170" t="n">
        <v>321</v>
      </c>
      <c r="C333" s="199" t="inlineStr">
        <is>
          <t>COTIZACION DEL DISEÑO DE EXTINCIÓN DE INCENDIOS PARA EL PROYECTO LOCAL D’GRACIA PLAZA FABRICATO</t>
        </is>
      </c>
      <c r="D333" s="312" t="n"/>
      <c r="E333" s="312" t="n"/>
      <c r="F333" s="312" t="n"/>
      <c r="G333" s="312" t="n"/>
      <c r="H333" s="312" t="n"/>
      <c r="I333" s="313" t="n"/>
      <c r="J333" s="199" t="inlineStr">
        <is>
          <t>SPCI</t>
        </is>
      </c>
      <c r="K333" s="314" t="n">
        <v>1250000</v>
      </c>
      <c r="L333" s="2" t="n">
        <v>44407</v>
      </c>
      <c r="M333" s="170" t="n"/>
      <c r="N333" s="170" t="n">
        <v>3104680508</v>
      </c>
      <c r="O333" s="172" t="inlineStr">
        <is>
          <t>Juan Pablo Grajales</t>
        </is>
      </c>
      <c r="P333" s="52" t="inlineStr">
        <is>
          <t>juan.grajales@spci.com.co</t>
        </is>
      </c>
    </row>
    <row r="334">
      <c r="B334" s="170" t="n">
        <v>322</v>
      </c>
      <c r="C334" s="199" t="inlineStr">
        <is>
          <t>COTIZACION DE LOS DISEÑOS DE PROTECCIÓN CONTRA INCENDIOS Y SEGURIDAD HUMANA PARA EL PROYECTO PLANTA CABARRIA IQA</t>
        </is>
      </c>
      <c r="D334" s="312" t="n"/>
      <c r="E334" s="312" t="n"/>
      <c r="F334" s="312" t="n"/>
      <c r="G334" s="312" t="n"/>
      <c r="H334" s="312" t="n"/>
      <c r="I334" s="313" t="n"/>
      <c r="J334" s="199" t="inlineStr">
        <is>
          <t>CABARRIA IQA SAS</t>
        </is>
      </c>
      <c r="K334" s="314" t="n">
        <v>47680000</v>
      </c>
      <c r="L334" s="2" t="n">
        <v>44411</v>
      </c>
      <c r="M334" s="170" t="n"/>
      <c r="N334" s="170" t="inlineStr">
        <is>
          <t>(+57-1)3190100  Ext. 710</t>
        </is>
      </c>
      <c r="O334" s="172" t="inlineStr">
        <is>
          <t>Juan Carlos Blanco Bermudez</t>
        </is>
      </c>
      <c r="P334" s="52" t="inlineStr">
        <is>
          <t>jefe.mantenimiento@cabarria.com</t>
        </is>
      </c>
    </row>
    <row r="335">
      <c r="B335" s="170" t="n">
        <v>323</v>
      </c>
      <c r="C335" s="199" t="inlineStr">
        <is>
          <t>COTIZACION DE LOS DISEÑOS DE PROTECCIÓN CONTRA INCENDIOS Y SEGURIDAD HUMANA PARA EL PROYECTO PLANTA DE BENFICIO</t>
        </is>
      </c>
      <c r="D335" s="312" t="n"/>
      <c r="E335" s="312" t="n"/>
      <c r="F335" s="312" t="n"/>
      <c r="G335" s="312" t="n"/>
      <c r="H335" s="312" t="n"/>
      <c r="I335" s="313" t="n"/>
      <c r="J335" s="199" t="inlineStr">
        <is>
          <t>SPCI</t>
        </is>
      </c>
      <c r="K335" s="314" t="n">
        <v>31990000</v>
      </c>
      <c r="L335" s="2" t="n">
        <v>44408</v>
      </c>
      <c r="M335" s="170" t="n"/>
      <c r="N335" s="170" t="inlineStr">
        <is>
          <t>321 482 61 68</t>
        </is>
      </c>
      <c r="O335" s="172" t="inlineStr">
        <is>
          <t>Ana Maria Restrepo</t>
        </is>
      </c>
      <c r="P335" s="52" t="inlineStr">
        <is>
          <t>costosypresupuestos1@spcisas.com.co</t>
        </is>
      </c>
    </row>
    <row r="336">
      <c r="B336" s="170" t="n">
        <v>324</v>
      </c>
      <c r="C336" s="199" t="inlineStr">
        <is>
          <t>COTIZACION DE LOS DISEÑOS DE PROTECCIÓN CONTRA  INCENDIOS - SUBESTACIÓN FUNDACIÓN</t>
        </is>
      </c>
      <c r="D336" s="312" t="n"/>
      <c r="E336" s="312" t="n"/>
      <c r="F336" s="312" t="n"/>
      <c r="G336" s="312" t="n"/>
      <c r="H336" s="312" t="n"/>
      <c r="I336" s="313" t="n"/>
      <c r="J336" s="199" t="inlineStr">
        <is>
          <t>HIDRAULICA Y MONTAJES</t>
        </is>
      </c>
      <c r="K336" s="314" t="n">
        <v>2760000</v>
      </c>
      <c r="L336" s="2" t="n">
        <v>44407</v>
      </c>
      <c r="M336" s="170" t="n"/>
      <c r="N336" s="170" t="n"/>
      <c r="O336" s="172" t="inlineStr">
        <is>
          <t>Evelyn Rojas</t>
        </is>
      </c>
      <c r="P336" s="52" t="inlineStr">
        <is>
          <t>hidraulicaymontajes@gmail.com</t>
        </is>
      </c>
    </row>
    <row r="337">
      <c r="B337" s="170" t="n">
        <v>325</v>
      </c>
      <c r="C337" s="246" t="inlineStr">
        <is>
          <t xml:space="preserve">COTIZACION DE LOS DISEÑOS DE PROTECCIÓN CONTRA INCENDIOS PARA EL PROYECTO EDIFICIO AMERICANA LA PLAYA
</t>
        </is>
      </c>
      <c r="D337" s="312" t="n"/>
      <c r="E337" s="312" t="n"/>
      <c r="F337" s="312" t="n"/>
      <c r="G337" s="312" t="n"/>
      <c r="H337" s="312" t="n"/>
      <c r="I337" s="313" t="n"/>
      <c r="J337" s="23" t="inlineStr">
        <is>
          <t>PROJECT &amp; SOLUCTIONS</t>
        </is>
      </c>
      <c r="K337" s="314" t="n">
        <v>9828000</v>
      </c>
      <c r="L337" s="2" t="n">
        <v>44408</v>
      </c>
      <c r="M337" s="170" t="n"/>
      <c r="N337" s="170" t="n"/>
      <c r="O337" s="172" t="inlineStr">
        <is>
          <t>Sebastian Lopez Duque</t>
        </is>
      </c>
      <c r="P337" s="52" t="inlineStr">
        <is>
          <t>gerencia@projectsolutions.com.co</t>
        </is>
      </c>
    </row>
    <row r="338">
      <c r="B338" s="170" t="n">
        <v>326</v>
      </c>
      <c r="C338" s="199" t="inlineStr">
        <is>
          <t>COTIZACION DE LOS DISEÑOS DE PROTECCIÓN CONTRA INCENDIOS Y SEGURIDAD HUMANA PARA EL PROYECTO MONTECARLO</t>
        </is>
      </c>
      <c r="D338" s="312" t="n"/>
      <c r="E338" s="312" t="n"/>
      <c r="F338" s="312" t="n"/>
      <c r="G338" s="312" t="n"/>
      <c r="H338" s="312" t="n"/>
      <c r="I338" s="313" t="n"/>
      <c r="J338" s="199" t="inlineStr">
        <is>
          <t>EDYFICA</t>
        </is>
      </c>
      <c r="K338" s="314" t="n">
        <v>1500000</v>
      </c>
      <c r="L338" s="2" t="n">
        <v>44411</v>
      </c>
      <c r="M338" s="170" t="n"/>
      <c r="N338" s="170" t="inlineStr">
        <is>
          <t>4488372-3104057513</t>
        </is>
      </c>
      <c r="O338" s="172" t="inlineStr">
        <is>
          <t>Claudia Marcela Ramirez</t>
        </is>
      </c>
      <c r="P338" s="91" t="inlineStr">
        <is>
          <t>claudia.ramirez@edyfica.co</t>
        </is>
      </c>
    </row>
    <row r="339">
      <c r="B339" s="170" t="n">
        <v>327</v>
      </c>
      <c r="C339" s="248" t="inlineStr">
        <is>
          <t xml:space="preserve">COTIZACION DEL DISEÑO DE EXTINCIÓN DE INCENDIOS PARA EL PROYECTO ORAL LASER SALUD VEGAS
</t>
        </is>
      </c>
      <c r="D339" s="312" t="n"/>
      <c r="E339" s="312" t="n"/>
      <c r="F339" s="312" t="n"/>
      <c r="G339" s="312" t="n"/>
      <c r="H339" s="312" t="n"/>
      <c r="I339" s="313" t="n"/>
      <c r="J339" s="199" t="inlineStr">
        <is>
          <t>CAD</t>
        </is>
      </c>
      <c r="K339" s="314" t="n">
        <v>1950000</v>
      </c>
      <c r="L339" s="2" t="n">
        <v>44410</v>
      </c>
      <c r="M339" s="170" t="inlineStr">
        <is>
          <t>X</t>
        </is>
      </c>
      <c r="N339" s="170" t="n"/>
      <c r="O339" s="172" t="inlineStr">
        <is>
          <t>Alejandra Sanchez</t>
        </is>
      </c>
      <c r="P339" s="52" t="inlineStr">
        <is>
          <t>arquitecta.alejandrasanchez@gmail.com</t>
        </is>
      </c>
    </row>
    <row r="340">
      <c r="B340" s="170" t="n">
        <v>328</v>
      </c>
      <c r="C340" s="199" t="inlineStr">
        <is>
          <t>COTIZACION DEL DISEÑO DE DETECCIÓN DE INCENDIOS PARA EL LOCAL 3040 PLAZA FABRICATO</t>
        </is>
      </c>
      <c r="D340" s="312" t="n"/>
      <c r="E340" s="312" t="n"/>
      <c r="F340" s="312" t="n"/>
      <c r="G340" s="312" t="n"/>
      <c r="H340" s="312" t="n"/>
      <c r="I340" s="313" t="n"/>
      <c r="J340" s="199" t="inlineStr">
        <is>
          <t>SPCI</t>
        </is>
      </c>
      <c r="K340" s="314" t="n">
        <v>600000</v>
      </c>
      <c r="L340" s="2" t="n">
        <v>44411</v>
      </c>
      <c r="M340" s="170" t="inlineStr">
        <is>
          <t>X</t>
        </is>
      </c>
      <c r="N340" s="170" t="n">
        <v>3104680508</v>
      </c>
      <c r="O340" s="172" t="inlineStr">
        <is>
          <t>Juan Pablo Grajales</t>
        </is>
      </c>
      <c r="P340" s="52" t="inlineStr">
        <is>
          <t>juan.grajales@spci.com.co</t>
        </is>
      </c>
    </row>
    <row r="341">
      <c r="B341" s="170" t="n">
        <v>329</v>
      </c>
      <c r="C341" s="246" t="inlineStr">
        <is>
          <t xml:space="preserve">COTIZACION DEL DISEÑO DE DETECCIÓN DE INCENDIOS PARA EL PROYECTO GREEN PARK BARRANQUILLA
</t>
        </is>
      </c>
      <c r="D341" s="312" t="n"/>
      <c r="E341" s="312" t="n"/>
      <c r="F341" s="312" t="n"/>
      <c r="G341" s="312" t="n"/>
      <c r="H341" s="312" t="n"/>
      <c r="I341" s="313" t="n"/>
      <c r="J341" s="199" t="inlineStr">
        <is>
          <t>SPCI</t>
        </is>
      </c>
      <c r="K341" s="314" t="n">
        <v>750000</v>
      </c>
      <c r="L341" s="2" t="n">
        <v>44412</v>
      </c>
      <c r="M341" s="170" t="inlineStr">
        <is>
          <t>X</t>
        </is>
      </c>
      <c r="N341" s="170" t="n">
        <v>3104203649</v>
      </c>
      <c r="O341" s="172" t="inlineStr">
        <is>
          <t>Mauricio Guzman</t>
        </is>
      </c>
      <c r="P341" s="52" t="inlineStr">
        <is>
          <t>dir.proyectos3@spcisas.com.co</t>
        </is>
      </c>
    </row>
    <row r="342">
      <c r="B342" s="170" t="n">
        <v>330</v>
      </c>
      <c r="C342" s="199" t="inlineStr">
        <is>
          <t>COTIZACION DE LOS DISEÑOS DE PROTECCIÓN CONTRA INCENDIOS PARA EL PROYECTO THE MUSAS PLAZA FABRICATO</t>
        </is>
      </c>
      <c r="D342" s="312" t="n"/>
      <c r="E342" s="312" t="n"/>
      <c r="F342" s="312" t="n"/>
      <c r="G342" s="312" t="n"/>
      <c r="H342" s="312" t="n"/>
      <c r="I342" s="313" t="n"/>
      <c r="J342" s="199" t="inlineStr">
        <is>
          <t>SOCOMES</t>
        </is>
      </c>
      <c r="K342" s="314" t="n">
        <v>800000</v>
      </c>
      <c r="L342" s="2" t="n">
        <v>44412</v>
      </c>
      <c r="M342" s="170" t="inlineStr">
        <is>
          <t>X</t>
        </is>
      </c>
      <c r="N342" s="170" t="n">
        <v>4441858</v>
      </c>
      <c r="O342" s="172" t="inlineStr">
        <is>
          <t>Guillermo León Mejía</t>
        </is>
      </c>
      <c r="P342" s="52" t="n"/>
    </row>
    <row r="343">
      <c r="B343" s="170" t="n">
        <v>331</v>
      </c>
      <c r="C343" s="199" t="inlineStr">
        <is>
          <t>COTIZACION DE LOS DISEÑOS DE PROTECCIÓN CONTRA INCENDIOS PARA EL PROYECTO MACA REPOSTERIA LOCAL 4138</t>
        </is>
      </c>
      <c r="D343" s="312" t="n"/>
      <c r="E343" s="312" t="n"/>
      <c r="F343" s="312" t="n"/>
      <c r="G343" s="312" t="n"/>
      <c r="H343" s="312" t="n"/>
      <c r="I343" s="313" t="n"/>
      <c r="J343" s="199" t="inlineStr">
        <is>
          <t>SECURETEC</t>
        </is>
      </c>
      <c r="K343" s="314" t="n"/>
      <c r="L343" s="2" t="n">
        <v>44413</v>
      </c>
      <c r="M343" s="170" t="n"/>
      <c r="N343" s="170" t="inlineStr">
        <is>
          <t>3206678830-3222886 ext 106</t>
        </is>
      </c>
      <c r="O343" s="172" t="inlineStr">
        <is>
          <t>Jhonny Castro</t>
        </is>
      </c>
      <c r="P343" s="52" t="inlineStr">
        <is>
          <t>dirproyectos@securetec.com.co</t>
        </is>
      </c>
    </row>
    <row r="344">
      <c r="B344" s="170" t="n">
        <v>332</v>
      </c>
      <c r="C344" s="199" t="inlineStr">
        <is>
          <t>COTIZACION DE LOS DISEÑOS DE PROTECCIÓN CONTRA INCENDIOS PARA EL PROYECTO TORRES DE AGUA</t>
        </is>
      </c>
      <c r="D344" s="312" t="n"/>
      <c r="E344" s="312" t="n"/>
      <c r="F344" s="312" t="n"/>
      <c r="G344" s="312" t="n"/>
      <c r="H344" s="312" t="n"/>
      <c r="I344" s="313" t="n"/>
      <c r="J344" s="199" t="inlineStr">
        <is>
          <t>DIANA VANEGAS</t>
        </is>
      </c>
      <c r="K344" s="314" t="n">
        <v>15930000</v>
      </c>
      <c r="L344" s="2" t="n">
        <v>44413</v>
      </c>
      <c r="M344" s="170" t="n"/>
      <c r="N344" s="170" t="n"/>
      <c r="O344" s="172" t="inlineStr">
        <is>
          <t>Diana Vanegas</t>
        </is>
      </c>
      <c r="P344" s="52" t="n"/>
    </row>
    <row r="345">
      <c r="B345" s="170" t="n">
        <v>333</v>
      </c>
      <c r="C345" s="199" t="inlineStr">
        <is>
          <t>COTIZACION DE LOS DISEÑOS DE SEGURIDAD HUMANA Y PROTECCIÓN CONTRA  INCENDIOS - MONTECARLO</t>
        </is>
      </c>
      <c r="D345" s="312" t="n"/>
      <c r="E345" s="312" t="n"/>
      <c r="F345" s="312" t="n"/>
      <c r="G345" s="312" t="n"/>
      <c r="H345" s="312" t="n"/>
      <c r="I345" s="313" t="n"/>
      <c r="J345" s="199" t="inlineStr">
        <is>
          <t>EDYFICA</t>
        </is>
      </c>
      <c r="K345" s="314" t="n">
        <v>2000000</v>
      </c>
      <c r="L345" s="2" t="n">
        <v>44413</v>
      </c>
      <c r="M345" s="170" t="n"/>
      <c r="N345" s="170" t="inlineStr">
        <is>
          <t>4488372-3104057513</t>
        </is>
      </c>
      <c r="O345" s="172" t="inlineStr">
        <is>
          <t>Claudia Marcela Ramirez</t>
        </is>
      </c>
      <c r="P345" s="91" t="inlineStr">
        <is>
          <t>claudia.ramirez@edyfica.co</t>
        </is>
      </c>
    </row>
    <row r="346">
      <c r="B346" s="170" t="n">
        <v>334</v>
      </c>
      <c r="C346" s="199" t="inlineStr">
        <is>
          <t>COTIZACION DEL DISEÑO DE EXTINCIÓN DE INCENDIOS PARA EL PROYECTO CONDOR</t>
        </is>
      </c>
      <c r="D346" s="312" t="n"/>
      <c r="E346" s="312" t="n"/>
      <c r="F346" s="312" t="n"/>
      <c r="G346" s="312" t="n"/>
      <c r="H346" s="312" t="n"/>
      <c r="I346" s="313" t="n"/>
      <c r="J346" s="199" t="inlineStr">
        <is>
          <t>H.B FULLER</t>
        </is>
      </c>
      <c r="K346" s="314" t="n">
        <v>3930000</v>
      </c>
      <c r="L346" s="2" t="n">
        <v>44417</v>
      </c>
      <c r="M346" s="170" t="n"/>
      <c r="N346" s="170" t="inlineStr">
        <is>
          <t>574 3788239</t>
        </is>
      </c>
      <c r="O346" s="172" t="inlineStr">
        <is>
          <t>Daniel Montoya Osorio</t>
        </is>
      </c>
      <c r="P346" s="52" t="inlineStr">
        <is>
          <t>daniel.montoya@hbfuller.com</t>
        </is>
      </c>
    </row>
    <row r="347">
      <c r="B347" s="170" t="n">
        <v>335</v>
      </c>
      <c r="C347" s="199" t="inlineStr">
        <is>
          <t>COTIZACION DE LOS DISEÑOS DE PROTECCIÓN CONTRA  INCENDIOS - LOCAL 331 PLAZA ARRAYANES</t>
        </is>
      </c>
      <c r="D347" s="312" t="n"/>
      <c r="E347" s="312" t="n"/>
      <c r="F347" s="312" t="n"/>
      <c r="G347" s="312" t="n"/>
      <c r="H347" s="312" t="n"/>
      <c r="I347" s="313" t="n"/>
      <c r="J347" s="199" t="inlineStr">
        <is>
          <t>F.P Services SAS</t>
        </is>
      </c>
      <c r="K347" s="314" t="n">
        <v>1340000</v>
      </c>
      <c r="L347" s="2" t="n">
        <v>44417</v>
      </c>
      <c r="M347" s="170" t="n"/>
      <c r="N347" s="170" t="n">
        <v>3122371313</v>
      </c>
      <c r="O347" s="172" t="inlineStr">
        <is>
          <t>Yhonatan Marin Ochoa</t>
        </is>
      </c>
      <c r="P347" s="52" t="inlineStr">
        <is>
          <t>proyectos@fpservices.com.co</t>
        </is>
      </c>
    </row>
    <row r="348">
      <c r="B348" s="170" t="n">
        <v>336</v>
      </c>
      <c r="C348" s="199" t="inlineStr">
        <is>
          <t>COTIZACION DEL DISEÑO DE EXTINCIÓN DE INCENDIOS PARA EL PROYECTO LOCAL 1460 EL TESORO</t>
        </is>
      </c>
      <c r="D348" s="312" t="n"/>
      <c r="E348" s="312" t="n"/>
      <c r="F348" s="312" t="n"/>
      <c r="G348" s="312" t="n"/>
      <c r="H348" s="312" t="n"/>
      <c r="I348" s="313" t="n"/>
      <c r="J348" s="199" t="inlineStr">
        <is>
          <t>SPCI</t>
        </is>
      </c>
      <c r="K348" s="314" t="n">
        <v>800000</v>
      </c>
      <c r="L348" s="2" t="n">
        <v>44418</v>
      </c>
      <c r="M348" s="170" t="n"/>
      <c r="N348" s="170" t="n">
        <v>3104680508</v>
      </c>
      <c r="O348" s="172" t="inlineStr">
        <is>
          <t>Juan Pablo Grajales</t>
        </is>
      </c>
      <c r="P348" s="52" t="inlineStr">
        <is>
          <t>juan.grajales@spci.com.co</t>
        </is>
      </c>
    </row>
    <row r="349">
      <c r="B349" s="170" t="n">
        <v>337</v>
      </c>
      <c r="C349" s="199" t="inlineStr">
        <is>
          <t>COTIZACION DE LOS DISEÑOS DE SEGURIDAD HUMANA Y PROTECCIÓN CONTRA INCENDIOS - LAVORÉ</t>
        </is>
      </c>
      <c r="D349" s="312" t="n"/>
      <c r="E349" s="312" t="n"/>
      <c r="F349" s="312" t="n"/>
      <c r="G349" s="312" t="n"/>
      <c r="H349" s="312" t="n"/>
      <c r="I349" s="313" t="n"/>
      <c r="J349" s="199" t="inlineStr">
        <is>
          <t>SPCI</t>
        </is>
      </c>
      <c r="K349" s="314" t="n">
        <v>24970000</v>
      </c>
      <c r="L349" s="2" t="n">
        <v>44419</v>
      </c>
      <c r="M349" s="170" t="n"/>
      <c r="N349" s="170" t="n">
        <v>3104165783</v>
      </c>
      <c r="O349" s="172" t="inlineStr">
        <is>
          <t>Cristiam Mondragón</t>
        </is>
      </c>
      <c r="P349" s="52" t="inlineStr">
        <is>
          <t>cristiamondragon.spci@gmail.com</t>
        </is>
      </c>
    </row>
    <row r="350">
      <c r="B350" s="170" t="n">
        <v>338</v>
      </c>
      <c r="C350" s="246" t="inlineStr">
        <is>
          <t xml:space="preserve">COTIZACION DE LOS DISEÑOS DE PROTECCIÓN CONTRA INCENDIOS PARA EL PROYECTO EDIFICIO ALCALDIA ENVIGADO
</t>
        </is>
      </c>
      <c r="D350" s="312" t="n"/>
      <c r="E350" s="312" t="n"/>
      <c r="F350" s="312" t="n"/>
      <c r="G350" s="312" t="n"/>
      <c r="H350" s="312" t="n"/>
      <c r="I350" s="313" t="n"/>
      <c r="J350" s="199" t="inlineStr">
        <is>
          <t>MUNICIPIO DE ENVIGADO</t>
        </is>
      </c>
      <c r="K350" s="314" t="n">
        <v>6900000</v>
      </c>
      <c r="L350" s="2" t="n">
        <v>44421</v>
      </c>
      <c r="M350" s="170" t="n"/>
      <c r="N350" s="170" t="inlineStr">
        <is>
          <t>3394000 EXT 4564</t>
        </is>
      </c>
      <c r="O350" s="172" t="inlineStr">
        <is>
          <t>Juan David Henao Osorio</t>
        </is>
      </c>
      <c r="P350" s="52" t="inlineStr">
        <is>
          <t>Juan.Henaoo@envigado.gov.co</t>
        </is>
      </c>
    </row>
    <row r="351">
      <c r="B351" s="170" t="n">
        <v>339</v>
      </c>
      <c r="C351" s="199" t="inlineStr">
        <is>
          <t xml:space="preserve">COTIZACION DEL ANÁLISIS DE SEGURIDAD HUMANA PARA EL PROYECTO UNIDAD DEPORTIVA DEL SUR
</t>
        </is>
      </c>
      <c r="D351" s="312" t="n"/>
      <c r="E351" s="312" t="n"/>
      <c r="F351" s="312" t="n"/>
      <c r="G351" s="312" t="n"/>
      <c r="H351" s="312" t="n"/>
      <c r="I351" s="313" t="n"/>
      <c r="J351" s="199" t="inlineStr">
        <is>
          <t>ALEJANDRO VELÁSQUEZ</t>
        </is>
      </c>
      <c r="K351" s="314" t="n">
        <v>3135000</v>
      </c>
      <c r="L351" s="2" t="n">
        <v>44421</v>
      </c>
      <c r="M351" s="170" t="inlineStr">
        <is>
          <t>X</t>
        </is>
      </c>
      <c r="N351" s="170" t="n">
        <v>3128222923</v>
      </c>
      <c r="O351" s="172" t="inlineStr">
        <is>
          <t>Luis Alejandro Velasquez</t>
        </is>
      </c>
      <c r="P351" s="52" t="inlineStr">
        <is>
          <t>ing.luisalejandrov@gmail.com</t>
        </is>
      </c>
    </row>
    <row r="352">
      <c r="B352" s="170" t="n">
        <v>340</v>
      </c>
      <c r="C352" s="199" t="inlineStr">
        <is>
          <t>COTIZACION DE LOS DISEÑOS DE PROTECCIÓN CONTRA INCENDIOS - MIRASUR</t>
        </is>
      </c>
      <c r="D352" s="312" t="n"/>
      <c r="E352" s="312" t="n"/>
      <c r="F352" s="312" t="n"/>
      <c r="G352" s="312" t="n"/>
      <c r="H352" s="312" t="n"/>
      <c r="I352" s="313" t="n"/>
      <c r="J352" s="199" t="inlineStr">
        <is>
          <t>CONSTRUCCIONES ALCALÁ</t>
        </is>
      </c>
      <c r="K352" s="314" t="n">
        <v>4390000</v>
      </c>
      <c r="L352" s="2" t="n">
        <v>44421</v>
      </c>
      <c r="M352" s="170" t="n"/>
      <c r="N352" s="170" t="inlineStr">
        <is>
          <t>301 6356046</t>
        </is>
      </c>
      <c r="O352" s="172" t="inlineStr">
        <is>
          <t>Orlando Gallo</t>
        </is>
      </c>
      <c r="P352" s="52" t="inlineStr">
        <is>
          <t>bravo259@hotmail.com</t>
        </is>
      </c>
    </row>
    <row r="353">
      <c r="B353" s="170" t="n">
        <v>341</v>
      </c>
      <c r="C353" s="199" t="inlineStr">
        <is>
          <t xml:space="preserve">COTIZACION DE LOS DISEÑOS DE PROTECCIÓN CONTRA INCENDIOS PARA EL PROYECTO PORTERÍA PARCELACIÓN
</t>
        </is>
      </c>
      <c r="D353" s="312" t="n"/>
      <c r="E353" s="312" t="n"/>
      <c r="F353" s="312" t="n"/>
      <c r="G353" s="312" t="n"/>
      <c r="H353" s="312" t="n"/>
      <c r="I353" s="313" t="n"/>
      <c r="J353" s="199" t="inlineStr">
        <is>
          <t>CONTEX</t>
        </is>
      </c>
      <c r="K353" s="314" t="n">
        <v>1250000</v>
      </c>
      <c r="L353" s="2" t="n">
        <v>44422</v>
      </c>
      <c r="M353" s="170" t="n"/>
      <c r="N353" s="170" t="n">
        <v>3188384307</v>
      </c>
      <c r="O353" s="172" t="inlineStr">
        <is>
          <t>Daniel Ceballos Sanchez</t>
        </is>
      </c>
      <c r="P353" s="52" t="inlineStr">
        <is>
          <t>eceballos@contex.com.co</t>
        </is>
      </c>
    </row>
    <row r="354">
      <c r="B354" s="170" t="n">
        <v>342</v>
      </c>
      <c r="C354" s="199" t="inlineStr">
        <is>
          <t>COTIZACION DE LOS DISEÑOS DE PROTECCIÓN CONTRA INCENDIOS Y SEGURIDAD HUMANA PARA EL PROYECTO BELÉN</t>
        </is>
      </c>
      <c r="D354" s="312" t="n"/>
      <c r="E354" s="312" t="n"/>
      <c r="F354" s="312" t="n"/>
      <c r="G354" s="312" t="n"/>
      <c r="H354" s="312" t="n"/>
      <c r="I354" s="313" t="n"/>
      <c r="J354" s="199" t="inlineStr">
        <is>
          <t>SIERRA STUDIO ARQUITECTURA</t>
        </is>
      </c>
      <c r="K354" s="314" t="n"/>
      <c r="L354" s="2" t="n">
        <v>44419</v>
      </c>
      <c r="M354" s="170" t="n"/>
      <c r="N354" s="170" t="n">
        <v>3113901187</v>
      </c>
      <c r="O354" s="172" t="inlineStr">
        <is>
          <t>Andres Felipe Sierra</t>
        </is>
      </c>
      <c r="P354" s="52" t="inlineStr">
        <is>
          <t>asierra@sierrastudio.com.co</t>
        </is>
      </c>
    </row>
    <row r="355">
      <c r="B355" s="170" t="n">
        <v>343</v>
      </c>
      <c r="C355" s="246" t="inlineStr">
        <is>
          <t xml:space="preserve">COTIZACION DE LOS DISEÑOS DE PROTECCIÓN CONTRA INCENDIOS Y SEGURIDAD HUMANA PARA EL PROYECTO ENREJARDINES
</t>
        </is>
      </c>
      <c r="D355" s="312" t="n"/>
      <c r="E355" s="312" t="n"/>
      <c r="F355" s="312" t="n"/>
      <c r="G355" s="312" t="n"/>
      <c r="H355" s="312" t="n"/>
      <c r="I355" s="313" t="n"/>
      <c r="J355" s="199" t="inlineStr">
        <is>
          <t>ARQUITECTURA Y CONCRETO</t>
        </is>
      </c>
      <c r="K355" s="314" t="n"/>
      <c r="L355" s="2" t="n">
        <v>44419</v>
      </c>
      <c r="M355" s="2" t="inlineStr">
        <is>
          <t>X</t>
        </is>
      </c>
      <c r="N355" s="170" t="inlineStr">
        <is>
          <t>3123618 ext 2111</t>
        </is>
      </c>
      <c r="O355" s="172" t="inlineStr">
        <is>
          <t>Blanca Saldarriaga Restrepo</t>
        </is>
      </c>
      <c r="P355" s="52" t="inlineStr">
        <is>
          <t>blancasaldarriaga@arquitecturayconcreto.com</t>
        </is>
      </c>
    </row>
    <row r="356" ht="15" customHeight="1">
      <c r="B356" s="170" t="n">
        <v>344</v>
      </c>
      <c r="C356" s="246" t="inlineStr">
        <is>
          <t xml:space="preserve">COTIZACION DE LOS DISEÑOS DE PROTECCIÓN CONTRA INCENDIOS Y SEGURIDAD HUMANA PARA EL PROYECTO MANANTIAL
</t>
        </is>
      </c>
      <c r="D356" s="312" t="n"/>
      <c r="E356" s="312" t="n"/>
      <c r="F356" s="312" t="n"/>
      <c r="G356" s="312" t="n"/>
      <c r="H356" s="312" t="n"/>
      <c r="I356" s="313" t="n"/>
      <c r="J356" s="199" t="inlineStr">
        <is>
          <t>SPCI</t>
        </is>
      </c>
      <c r="K356" s="314" t="inlineStr">
        <is>
          <t>Variable</t>
        </is>
      </c>
      <c r="L356" s="2" t="n">
        <v>44419</v>
      </c>
      <c r="M356" s="170" t="inlineStr">
        <is>
          <t>X</t>
        </is>
      </c>
      <c r="N356" s="170" t="inlineStr">
        <is>
          <t>3123618 ext 2111</t>
        </is>
      </c>
      <c r="O356" s="172" t="inlineStr">
        <is>
          <t>Blanca Saldarriaga Restrepo</t>
        </is>
      </c>
      <c r="P356" s="52" t="inlineStr">
        <is>
          <t>blancasaldarriaga@arquitecturayconcreto.com</t>
        </is>
      </c>
    </row>
    <row r="357">
      <c r="B357" s="170" t="n">
        <v>345</v>
      </c>
      <c r="C357" s="199" t="inlineStr">
        <is>
          <t>COTIZACION DEL DISEÑO DE EXTINCIÓN DE INCENDIOS PARA EL PROYECTO PARQUE LOGISTICO ZONA - INTERIOR BODEGAS</t>
        </is>
      </c>
      <c r="D357" s="312" t="n"/>
      <c r="E357" s="312" t="n"/>
      <c r="F357" s="312" t="n"/>
      <c r="G357" s="312" t="n"/>
      <c r="H357" s="312" t="n"/>
      <c r="I357" s="313" t="n"/>
      <c r="J357" s="199" t="inlineStr">
        <is>
          <t>SPCI</t>
        </is>
      </c>
      <c r="K357" s="314" t="inlineStr">
        <is>
          <t>Variable</t>
        </is>
      </c>
      <c r="L357" s="2" t="n">
        <v>44419</v>
      </c>
      <c r="M357" s="170" t="n"/>
      <c r="N357" s="170" t="n">
        <v>3104680508</v>
      </c>
      <c r="O357" s="172" t="inlineStr">
        <is>
          <t>Juan Pablo Grajales</t>
        </is>
      </c>
      <c r="P357" s="52" t="inlineStr">
        <is>
          <t>juan.grajales@spci.com.co</t>
        </is>
      </c>
    </row>
    <row r="358" ht="15" customHeight="1">
      <c r="B358" s="170" t="n">
        <v>346</v>
      </c>
      <c r="C358" s="199" t="inlineStr">
        <is>
          <t xml:space="preserve">
COTIZACION DEL DISEÑO DE EXTINCIÓN DE INCENDIOS PARA EL PROYECTO LOCAL SALA DE VENTAS 3058C</t>
        </is>
      </c>
      <c r="D358" s="312" t="n"/>
      <c r="E358" s="312" t="n"/>
      <c r="F358" s="312" t="n"/>
      <c r="G358" s="312" t="n"/>
      <c r="H358" s="312" t="n"/>
      <c r="I358" s="313" t="n"/>
      <c r="J358" s="199" t="inlineStr">
        <is>
          <t>SPCI</t>
        </is>
      </c>
      <c r="K358" s="314" t="n">
        <v>1250000</v>
      </c>
      <c r="L358" s="2" t="n">
        <v>44421</v>
      </c>
      <c r="M358" s="170" t="n"/>
      <c r="N358" s="170" t="n">
        <v>3104680508</v>
      </c>
      <c r="O358" s="172" t="inlineStr">
        <is>
          <t>Juan Pablo Grajales</t>
        </is>
      </c>
      <c r="P358" s="52" t="inlineStr">
        <is>
          <t>juan.grajales@spci.com.co</t>
        </is>
      </c>
    </row>
    <row r="359">
      <c r="B359" s="170" t="n">
        <v>347</v>
      </c>
      <c r="C359" s="199" t="inlineStr">
        <is>
          <t>COTIZACION DEL DISEÑO DE EXTINCIÓN DE INCENDIOS PARA EL PROYECTO LOCAL TALLER 120 EN S1</t>
        </is>
      </c>
      <c r="D359" s="312" t="n"/>
      <c r="E359" s="312" t="n"/>
      <c r="F359" s="312" t="n"/>
      <c r="G359" s="312" t="n"/>
      <c r="H359" s="312" t="n"/>
      <c r="I359" s="313" t="n"/>
      <c r="J359" s="199" t="inlineStr">
        <is>
          <t>SPCI</t>
        </is>
      </c>
      <c r="K359" s="314" t="n">
        <v>1400000</v>
      </c>
      <c r="L359" s="2" t="n">
        <v>44421</v>
      </c>
      <c r="M359" s="170" t="n"/>
      <c r="N359" s="170" t="n">
        <v>3104680508</v>
      </c>
      <c r="O359" s="172" t="inlineStr">
        <is>
          <t>Juan Pablo Grajales</t>
        </is>
      </c>
      <c r="P359" s="52" t="inlineStr">
        <is>
          <t>juan.grajales@spci.com.co</t>
        </is>
      </c>
    </row>
    <row r="360">
      <c r="B360" s="170" t="n">
        <v>348</v>
      </c>
      <c r="C360" s="199" t="inlineStr">
        <is>
          <t>COTIZACION DE LOS DISEÑOS DE PROTECCIÓN CONTRA INCENDIOS Y SEGURIDAD HUMANA PARA EL PROYECTO HOTEL HEISS</t>
        </is>
      </c>
      <c r="D360" s="312" t="n"/>
      <c r="E360" s="312" t="n"/>
      <c r="F360" s="312" t="n"/>
      <c r="G360" s="312" t="n"/>
      <c r="H360" s="312" t="n"/>
      <c r="I360" s="313" t="n"/>
      <c r="J360" s="199" t="inlineStr">
        <is>
          <t>TRAZOS URBANOS</t>
        </is>
      </c>
      <c r="K360" s="314" t="n">
        <v>24250000</v>
      </c>
      <c r="L360" s="2" t="n">
        <v>44420</v>
      </c>
      <c r="M360" s="170" t="n"/>
      <c r="N360" s="170" t="n">
        <v>3125256833</v>
      </c>
      <c r="O360" s="172" t="inlineStr">
        <is>
          <t>Harlen Trespalacios</t>
        </is>
      </c>
      <c r="P360" s="52" t="inlineStr">
        <is>
          <t>harlentrespalacios@trazosurbanos.com.co</t>
        </is>
      </c>
    </row>
    <row r="361">
      <c r="B361" s="170" t="n">
        <v>349</v>
      </c>
      <c r="C361" s="199" t="inlineStr">
        <is>
          <t>COTIZACION DE LOS DISEÑOS DE PROTECCIÓN CONTRA INCENDIOS Y SEGURIDAD HUMANA PARA EL PROYECTO AMPLIACIÓN CENTRO COMERCIAL VIVA ENVIGADO</t>
        </is>
      </c>
      <c r="D361" s="312" t="n"/>
      <c r="E361" s="312" t="n"/>
      <c r="F361" s="312" t="n"/>
      <c r="G361" s="312" t="n"/>
      <c r="H361" s="312" t="n"/>
      <c r="I361" s="313" t="n"/>
      <c r="J361" s="199" t="inlineStr">
        <is>
          <t>SPCI</t>
        </is>
      </c>
      <c r="K361" s="314" t="n">
        <v>39890000</v>
      </c>
      <c r="L361" s="2" t="n">
        <v>44425</v>
      </c>
      <c r="M361" s="170" t="n"/>
      <c r="N361" s="170" t="inlineStr">
        <is>
          <t>321 482 61 68</t>
        </is>
      </c>
      <c r="O361" s="172" t="inlineStr">
        <is>
          <t>Ana Maria Restrepo</t>
        </is>
      </c>
      <c r="P361" s="52" t="inlineStr">
        <is>
          <t>costosypresupuestos1@spcisas.com.co</t>
        </is>
      </c>
    </row>
    <row r="362">
      <c r="B362" s="170" t="n">
        <v>350</v>
      </c>
      <c r="C362" s="199" t="inlineStr">
        <is>
          <t>COTIZACION DE MODELACIÓN RCI PARA POSTERIOR EVALUACIÓN DEL SISTEMA DE BOMBA CONTRA INCENDIOS – PROYECTO NAKAR</t>
        </is>
      </c>
      <c r="D362" s="312" t="n"/>
      <c r="E362" s="312" t="n"/>
      <c r="F362" s="312" t="n"/>
      <c r="G362" s="312" t="n"/>
      <c r="H362" s="312" t="n"/>
      <c r="I362" s="313" t="n"/>
      <c r="J362" s="199" t="inlineStr">
        <is>
          <t>SPCI</t>
        </is>
      </c>
      <c r="K362" s="314" t="n">
        <v>8990000</v>
      </c>
      <c r="L362" s="2" t="n">
        <v>44425</v>
      </c>
      <c r="M362" s="170" t="n"/>
      <c r="N362" s="170" t="n">
        <v>3137546144</v>
      </c>
      <c r="O362" s="172" t="inlineStr">
        <is>
          <t>Juan Camilo Quintero</t>
        </is>
      </c>
      <c r="P362" s="52" t="inlineStr">
        <is>
          <t>proyectos1spci@gmail.com</t>
        </is>
      </c>
    </row>
    <row r="363">
      <c r="B363" s="170" t="n">
        <v>351</v>
      </c>
      <c r="C363" s="246" t="inlineStr">
        <is>
          <t xml:space="preserve">COTIZACION DE LOS DISEÑOS DE PROTECCIÓN CONTRA INCENDIOS PARA EL PROYECTO LENS 4 YOU TESORO.
</t>
        </is>
      </c>
      <c r="D363" s="312" t="n"/>
      <c r="E363" s="312" t="n"/>
      <c r="F363" s="312" t="n"/>
      <c r="G363" s="312" t="n"/>
      <c r="H363" s="312" t="n"/>
      <c r="I363" s="313" t="n"/>
      <c r="J363" s="199" t="inlineStr">
        <is>
          <t>F.P Services SAS</t>
        </is>
      </c>
      <c r="K363" s="314" t="n">
        <v>1790000</v>
      </c>
      <c r="L363" s="2" t="n">
        <v>44425</v>
      </c>
      <c r="M363" s="170" t="n"/>
      <c r="N363" s="170" t="n">
        <v>3122371313</v>
      </c>
      <c r="O363" s="172" t="inlineStr">
        <is>
          <t>Yhonatan Marin Ochoa</t>
        </is>
      </c>
      <c r="P363" s="52" t="inlineStr">
        <is>
          <t>proyectos@fpservices.com.co</t>
        </is>
      </c>
    </row>
    <row r="364">
      <c r="B364" s="170" t="n">
        <v>352</v>
      </c>
      <c r="C364" s="199" t="inlineStr">
        <is>
          <t>COTIZACION DEL DISEÑO DE EXTINCIÓN DE INCENDIOS PARA EL PROYECTO LOCAL 3016 PLAZA FABRICATO</t>
        </is>
      </c>
      <c r="D364" s="312" t="n"/>
      <c r="E364" s="312" t="n"/>
      <c r="F364" s="312" t="n"/>
      <c r="G364" s="312" t="n"/>
      <c r="H364" s="312" t="n"/>
      <c r="I364" s="313" t="n"/>
      <c r="J364" s="199" t="inlineStr">
        <is>
          <t>SPCI</t>
        </is>
      </c>
      <c r="K364" s="314" t="n">
        <v>940000</v>
      </c>
      <c r="L364" s="2" t="n">
        <v>44425</v>
      </c>
      <c r="M364" s="170" t="inlineStr">
        <is>
          <t>X</t>
        </is>
      </c>
      <c r="N364" s="170" t="inlineStr">
        <is>
          <t>321 482 61 68</t>
        </is>
      </c>
      <c r="O364" s="172" t="inlineStr">
        <is>
          <t>Ana Maria Restrepo</t>
        </is>
      </c>
      <c r="P364" s="52" t="inlineStr">
        <is>
          <t>costosypresupuestos1@spcisas.com.co</t>
        </is>
      </c>
    </row>
    <row r="365">
      <c r="B365" s="170" t="n">
        <v>353</v>
      </c>
      <c r="C365" s="199" t="inlineStr">
        <is>
          <t>COTIZACION DEL DISEÑO DE EXTINCIÓN DE INCENDIOS PARA EL PROYECTO BATA Y BUBBLER GUMMERS</t>
        </is>
      </c>
      <c r="D365" s="312" t="n"/>
      <c r="E365" s="312" t="n"/>
      <c r="F365" s="312" t="n"/>
      <c r="G365" s="312" t="n"/>
      <c r="H365" s="312" t="n"/>
      <c r="I365" s="313" t="n"/>
      <c r="J365" s="199" t="inlineStr">
        <is>
          <t>ARQUITECTURA Y CONCRETO</t>
        </is>
      </c>
      <c r="K365" s="314" t="n"/>
      <c r="L365" s="2" t="n">
        <v>44425</v>
      </c>
      <c r="M365" s="170" t="inlineStr">
        <is>
          <t>X</t>
        </is>
      </c>
      <c r="N365" s="170" t="inlineStr">
        <is>
          <t xml:space="preserve"> 3127578120</t>
        </is>
      </c>
      <c r="O365" s="172" t="inlineStr">
        <is>
          <t>Gustavo Alberto Montoya Alvarez</t>
        </is>
      </c>
      <c r="P365" s="52" t="inlineStr">
        <is>
          <t>gustavomontoya@arquitecturayconcreto.com</t>
        </is>
      </c>
    </row>
    <row r="366">
      <c r="B366" s="170" t="n">
        <v>354</v>
      </c>
      <c r="C366" s="246" t="inlineStr">
        <is>
          <t xml:space="preserve">COTIZACION DE LOS DISEÑOS DE PROTECCIÓN CONTRA INCENDIOS PARA EL PROYECTO PUNTO DE VISTA SURA PLAZA FABRICATO
</t>
        </is>
      </c>
      <c r="D366" s="312" t="n"/>
      <c r="E366" s="312" t="n"/>
      <c r="F366" s="312" t="n"/>
      <c r="G366" s="312" t="n"/>
      <c r="H366" s="312" t="n"/>
      <c r="I366" s="313" t="n"/>
      <c r="J366" s="199" t="inlineStr">
        <is>
          <t>SPCI</t>
        </is>
      </c>
      <c r="K366" s="314" t="n">
        <v>2445000</v>
      </c>
      <c r="L366" s="2" t="n">
        <v>44425</v>
      </c>
      <c r="M366" s="170" t="n"/>
      <c r="N366" s="170" t="inlineStr">
        <is>
          <t>321 482 61 68</t>
        </is>
      </c>
      <c r="O366" s="172" t="inlineStr">
        <is>
          <t>Ana Maria Restrepo</t>
        </is>
      </c>
      <c r="P366" s="52" t="inlineStr">
        <is>
          <t>costosypresupuestos1@spcisas.com.co</t>
        </is>
      </c>
    </row>
    <row r="367">
      <c r="B367" s="170" t="n">
        <v>355</v>
      </c>
      <c r="C367" s="199" t="inlineStr">
        <is>
          <t>COTIZACION EVALUACIÓN DEL SISTEMA DE BOMBA CONTRA INCENDIOS - MONTERREY</t>
        </is>
      </c>
      <c r="D367" s="312" t="n"/>
      <c r="E367" s="312" t="n"/>
      <c r="F367" s="312" t="n"/>
      <c r="G367" s="312" t="n"/>
      <c r="H367" s="312" t="n"/>
      <c r="I367" s="313" t="n"/>
      <c r="J367" s="199" t="inlineStr">
        <is>
          <t>JOMARK</t>
        </is>
      </c>
      <c r="K367" s="314" t="n">
        <v>950000</v>
      </c>
      <c r="L367" s="2" t="n">
        <v>44425</v>
      </c>
      <c r="M367" s="170" t="n"/>
      <c r="N367" s="170" t="inlineStr">
        <is>
          <t>319 5981312</t>
        </is>
      </c>
      <c r="O367" s="172" t="inlineStr">
        <is>
          <t>Laura Duque</t>
        </is>
      </c>
      <c r="P367" s="52" t="inlineStr">
        <is>
          <t>Proyectos2@jomarkseguridad.com</t>
        </is>
      </c>
    </row>
    <row r="368">
      <c r="B368" s="170" t="n">
        <v>356</v>
      </c>
      <c r="C368" s="199" t="inlineStr">
        <is>
          <t>COTIZACION DEL DISEÑO DE EXTINCIÓN DE INCENDIOS - DATACENTER</t>
        </is>
      </c>
      <c r="D368" s="312" t="n"/>
      <c r="E368" s="312" t="n"/>
      <c r="F368" s="312" t="n"/>
      <c r="G368" s="312" t="n"/>
      <c r="H368" s="312" t="n"/>
      <c r="I368" s="313" t="n"/>
      <c r="J368" s="199" t="inlineStr">
        <is>
          <t>SERVIMAT</t>
        </is>
      </c>
      <c r="K368" s="314" t="n">
        <v>2500000</v>
      </c>
      <c r="L368" s="2" t="n">
        <v>44426</v>
      </c>
      <c r="M368" s="170" t="n"/>
      <c r="N368" s="170" t="n">
        <v>3046417336</v>
      </c>
      <c r="O368" s="172" t="inlineStr">
        <is>
          <t>Mayerly Diaz</t>
        </is>
      </c>
      <c r="P368" s="52" t="inlineStr">
        <is>
          <t>proyectos@servimatcolombia.com</t>
        </is>
      </c>
    </row>
    <row r="369">
      <c r="B369" s="170" t="n">
        <v>357</v>
      </c>
      <c r="C369" s="199" t="inlineStr">
        <is>
          <t>COTIZACION DE LOS DISEÑOS DE PROTECCIÓN CONTRA INCENDIOS PARA EL PROYECTO SECTOR ALTOS DE TINAJAS-MARINILLA - ANTIOQUIA</t>
        </is>
      </c>
      <c r="D369" s="312" t="n"/>
      <c r="E369" s="312" t="n"/>
      <c r="F369" s="312" t="n"/>
      <c r="G369" s="312" t="n"/>
      <c r="H369" s="312" t="n"/>
      <c r="I369" s="313" t="n"/>
      <c r="J369" s="199" t="inlineStr">
        <is>
          <t>CON-AXION SAS</t>
        </is>
      </c>
      <c r="K369" s="314" t="n">
        <v>17800000</v>
      </c>
      <c r="L369" s="2" t="n">
        <v>44426</v>
      </c>
      <c r="M369" s="2" t="inlineStr">
        <is>
          <t>X</t>
        </is>
      </c>
      <c r="N369" s="170" t="inlineStr">
        <is>
          <t>(4) 440 9310</t>
        </is>
      </c>
      <c r="O369" s="172" t="inlineStr">
        <is>
          <t xml:space="preserve">Juan Aristizabal Guisao </t>
        </is>
      </c>
      <c r="P369" s="52" t="inlineStr">
        <is>
          <t>jaristizabal@con-axion.com</t>
        </is>
      </c>
    </row>
    <row r="370">
      <c r="B370" s="170" t="n">
        <v>358</v>
      </c>
      <c r="C370" s="199" t="inlineStr">
        <is>
          <t>COTIZACION DEL DISEÑO DE EXTINCIÓN DE INCENDIOS PARA EL PROYECTO LOCAL 3074 RAV TOYS BELLO</t>
        </is>
      </c>
      <c r="D370" s="312" t="n"/>
      <c r="E370" s="312" t="n"/>
      <c r="F370" s="312" t="n"/>
      <c r="G370" s="312" t="n"/>
      <c r="H370" s="312" t="n"/>
      <c r="I370" s="313" t="n"/>
      <c r="J370" s="199" t="inlineStr">
        <is>
          <t>CONEXO</t>
        </is>
      </c>
      <c r="K370" s="314" t="n">
        <v>1250000</v>
      </c>
      <c r="L370" s="2" t="n">
        <v>44426</v>
      </c>
      <c r="M370" s="170" t="inlineStr">
        <is>
          <t>X</t>
        </is>
      </c>
      <c r="N370" s="170" t="n">
        <v>3002041724</v>
      </c>
      <c r="O370" s="172" t="inlineStr">
        <is>
          <t>Mauricio Dávila Restrepo</t>
        </is>
      </c>
      <c r="P370" s="52" t="inlineStr">
        <is>
          <t>mdavila@conexoinmobiliario.com</t>
        </is>
      </c>
    </row>
    <row r="371">
      <c r="B371" s="170" t="n">
        <v>359</v>
      </c>
      <c r="C371" s="199" t="inlineStr">
        <is>
          <t>COTIZACION DE LOS DISEÑOS DE PROTECCIÓN CONTRA INCENDIOS Y SEGURIDAD HUMANA PARA EL PROYECTO EDIFICO FUENTE LABRADA</t>
        </is>
      </c>
      <c r="D371" s="312" t="n"/>
      <c r="E371" s="312" t="n"/>
      <c r="F371" s="312" t="n"/>
      <c r="G371" s="312" t="n"/>
      <c r="H371" s="312" t="n"/>
      <c r="I371" s="313" t="n"/>
      <c r="J371" s="199" t="inlineStr">
        <is>
          <t>INMOBILIARIA SCUADRA SAS</t>
        </is>
      </c>
      <c r="K371" s="314" t="n">
        <v>9950000</v>
      </c>
      <c r="L371" s="2" t="n">
        <v>44426</v>
      </c>
      <c r="M371" s="170" t="n"/>
      <c r="N371" s="170" t="n">
        <v>3108372505</v>
      </c>
      <c r="O371" s="172" t="inlineStr">
        <is>
          <t>Juan Camilo Jaramillo Rozo</t>
        </is>
      </c>
      <c r="P371" s="52" t="inlineStr">
        <is>
          <t>selvaticast@escuadra.com.co</t>
        </is>
      </c>
    </row>
    <row r="372">
      <c r="B372" s="170" t="n">
        <v>360</v>
      </c>
      <c r="C372" s="199" t="inlineStr">
        <is>
          <t>COTIZACION DEL DISEÑO DE DETECCIÓN DE INCENDIOS PARA EL PROYECTO BANCOLOMBIA HALL DE AUTOSERVICIO CP GUAYABAL</t>
        </is>
      </c>
      <c r="D372" s="312" t="n"/>
      <c r="E372" s="312" t="n"/>
      <c r="F372" s="312" t="n"/>
      <c r="G372" s="312" t="n"/>
      <c r="H372" s="312" t="n"/>
      <c r="I372" s="313" t="n"/>
      <c r="J372" s="199" t="inlineStr">
        <is>
          <t>SANTIAGO ROJAS</t>
        </is>
      </c>
      <c r="K372" s="314" t="n">
        <v>750000</v>
      </c>
      <c r="L372" s="2" t="n">
        <v>44426</v>
      </c>
      <c r="M372" s="170" t="n"/>
      <c r="N372" s="170" t="n">
        <v>3022295772</v>
      </c>
      <c r="O372" s="172" t="inlineStr">
        <is>
          <t>Aurora Rios</t>
        </is>
      </c>
      <c r="P372" s="52" t="inlineStr">
        <is>
          <t>proyectos@santiagorojas.com.co</t>
        </is>
      </c>
    </row>
    <row r="373">
      <c r="B373" s="170" t="n">
        <v>361</v>
      </c>
      <c r="C373" s="246" t="inlineStr">
        <is>
          <t xml:space="preserve">COTIZACION DE LOS DISEÑOS DE PROTECCIÓN CONTRA INCENDIOS PARA EL PROYECTO LOCAL LE COLLEZIONI C.C TESORO MEDELLIN
</t>
        </is>
      </c>
      <c r="D373" s="312" t="n"/>
      <c r="E373" s="312" t="n"/>
      <c r="F373" s="312" t="n"/>
      <c r="G373" s="312" t="n"/>
      <c r="H373" s="312" t="n"/>
      <c r="I373" s="313" t="n"/>
      <c r="J373" s="199" t="inlineStr">
        <is>
          <t>SPCI</t>
        </is>
      </c>
      <c r="K373" s="314" t="n">
        <v>2760000</v>
      </c>
      <c r="L373" s="2" t="n">
        <v>44427</v>
      </c>
      <c r="M373" s="170" t="n"/>
      <c r="N373" s="170" t="inlineStr">
        <is>
          <t>321 482 61 68</t>
        </is>
      </c>
      <c r="O373" s="172" t="inlineStr">
        <is>
          <t>Ana Maria Restrepo</t>
        </is>
      </c>
      <c r="P373" s="52" t="inlineStr">
        <is>
          <t>costosypresupuestos1@spcisas.com.co</t>
        </is>
      </c>
    </row>
    <row r="374">
      <c r="B374" s="170" t="n">
        <v>362</v>
      </c>
      <c r="C374" s="246" t="inlineStr">
        <is>
          <t xml:space="preserve">COTIZACION DE LOS DISEÑOS DE PROTECCIÓN CONTRA INCENDIOS PARA EL PROYECTO LOCAL CATALÁN LEMONT
</t>
        </is>
      </c>
      <c r="D374" s="312" t="n"/>
      <c r="E374" s="312" t="n"/>
      <c r="F374" s="312" t="n"/>
      <c r="G374" s="312" t="n"/>
      <c r="H374" s="312" t="n"/>
      <c r="I374" s="313" t="n"/>
      <c r="J374" s="199" t="inlineStr">
        <is>
          <t>SPCI</t>
        </is>
      </c>
      <c r="K374" s="314" t="n">
        <v>2290000</v>
      </c>
      <c r="L374" s="2" t="n">
        <v>44427</v>
      </c>
      <c r="M374" s="170" t="n"/>
      <c r="N374" s="170" t="inlineStr">
        <is>
          <t>321 482 61 68</t>
        </is>
      </c>
      <c r="O374" s="172" t="inlineStr">
        <is>
          <t>Ana Maria Restrepo</t>
        </is>
      </c>
      <c r="P374" s="52" t="inlineStr">
        <is>
          <t>costosypresupuestos1@spcisas.com.co</t>
        </is>
      </c>
    </row>
    <row r="375">
      <c r="B375" s="170" t="n">
        <v>363</v>
      </c>
      <c r="C375" s="199" t="inlineStr">
        <is>
          <t>COTIZACION DEL DISEÑO DE DETECCIÓN DE INCENDIOS PARA EL PROYECTO PARQUE ARTES Y OFICIOS Y CENTRO ADMINISTRATIVO MUNICIPAL</t>
        </is>
      </c>
      <c r="D375" s="312" t="n"/>
      <c r="E375" s="312" t="n"/>
      <c r="F375" s="312" t="n"/>
      <c r="G375" s="312" t="n"/>
      <c r="H375" s="312" t="n"/>
      <c r="I375" s="313" t="n"/>
      <c r="J375" s="199" t="inlineStr">
        <is>
          <t>FOURWAY</t>
        </is>
      </c>
      <c r="K375" s="314" t="n">
        <v>12920000</v>
      </c>
      <c r="L375" s="2" t="n">
        <v>44431</v>
      </c>
      <c r="M375" s="170" t="n"/>
      <c r="N375" s="170" t="n">
        <v>3127790756</v>
      </c>
      <c r="O375" s="172" t="inlineStr">
        <is>
          <t>Jorge A Cano García</t>
        </is>
      </c>
      <c r="P375" s="52" t="inlineStr">
        <is>
          <t>gerenciafw@hotmail.com</t>
        </is>
      </c>
    </row>
    <row r="376">
      <c r="B376" s="170" t="n">
        <v>364</v>
      </c>
      <c r="C376" s="199" t="inlineStr">
        <is>
          <t>COTIZACION DEL DISEÑO DE EXTINCIÓN DE INCENDIOS PARA EL PROYECTO PARQUE ARTES Y OFICIOS Y CENTRO ADMINISTRATIVO MUNICIPAL</t>
        </is>
      </c>
      <c r="D376" s="312" t="n"/>
      <c r="E376" s="312" t="n"/>
      <c r="F376" s="312" t="n"/>
      <c r="G376" s="312" t="n"/>
      <c r="H376" s="312" t="n"/>
      <c r="I376" s="313" t="n"/>
      <c r="J376" s="199" t="inlineStr">
        <is>
          <t>FOURWAY</t>
        </is>
      </c>
      <c r="K376" s="314" t="n">
        <v>20815000</v>
      </c>
      <c r="L376" s="2" t="n">
        <v>44431</v>
      </c>
      <c r="M376" s="170" t="n"/>
      <c r="N376" s="170" t="n">
        <v>3127790756</v>
      </c>
      <c r="O376" s="172" t="inlineStr">
        <is>
          <t>Jorge A Cano García</t>
        </is>
      </c>
      <c r="P376" s="52" t="inlineStr">
        <is>
          <t>gerenciafw@hotmail.com</t>
        </is>
      </c>
    </row>
    <row r="377">
      <c r="B377" s="170" t="n">
        <v>365</v>
      </c>
      <c r="C377" s="246" t="inlineStr">
        <is>
          <t xml:space="preserve">COTIZACION DEL DISEÑO DE EXTINCIÓN DE INCENDIOS PARA EL PROYECTO LOCAL 3081 PLAZA FABRICATO
</t>
        </is>
      </c>
      <c r="D377" s="312" t="n"/>
      <c r="E377" s="312" t="n"/>
      <c r="F377" s="312" t="n"/>
      <c r="G377" s="312" t="n"/>
      <c r="H377" s="312" t="n"/>
      <c r="I377" s="313" t="n"/>
      <c r="J377" s="199" t="inlineStr">
        <is>
          <t>SPCI</t>
        </is>
      </c>
      <c r="K377" s="314" t="n">
        <v>1250000</v>
      </c>
      <c r="L377" s="2" t="n">
        <v>44431</v>
      </c>
      <c r="M377" s="170" t="n"/>
      <c r="N377" s="170" t="n">
        <v>3104680508</v>
      </c>
      <c r="O377" s="172" t="inlineStr">
        <is>
          <t>Juan Pablo Grajales</t>
        </is>
      </c>
      <c r="P377" s="52" t="inlineStr">
        <is>
          <t>juan.grajales@spci.com.co</t>
        </is>
      </c>
    </row>
    <row r="378">
      <c r="B378" s="170" t="n">
        <v>366</v>
      </c>
      <c r="C378" s="199" t="inlineStr">
        <is>
          <t xml:space="preserve">
COTIZACION DE LOS DISEÑOS DE PROTECCIÓN CONTRA INCENDIOS PARA EL PROYECTO CATTLEYA TORRE 2</t>
        </is>
      </c>
      <c r="D378" s="312" t="n"/>
      <c r="E378" s="312" t="n"/>
      <c r="F378" s="312" t="n"/>
      <c r="G378" s="312" t="n"/>
      <c r="H378" s="312" t="n"/>
      <c r="I378" s="313" t="n"/>
      <c r="J378" s="199" t="inlineStr">
        <is>
          <t>CIVILES</t>
        </is>
      </c>
      <c r="K378" s="314" t="n">
        <v>9950000</v>
      </c>
      <c r="L378" s="2" t="n">
        <v>44431</v>
      </c>
      <c r="M378" s="170" t="inlineStr">
        <is>
          <t>X</t>
        </is>
      </c>
      <c r="N378" s="170" t="n">
        <v>3042478572</v>
      </c>
      <c r="O378" s="172" t="inlineStr">
        <is>
          <t xml:space="preserve">NELSON HORACIO VALLEJO HERNANDEZ </t>
        </is>
      </c>
      <c r="P378" s="52" t="inlineStr">
        <is>
          <t>residenteciviles1@civiles-sas.com</t>
        </is>
      </c>
    </row>
    <row r="379">
      <c r="B379" s="170" t="n">
        <v>367</v>
      </c>
      <c r="C379" s="199" t="inlineStr">
        <is>
          <t>COTIZACION DEL DISEÑO DE EXTINCIÓN DE INCENDIOS PARA EL PROYECTO AQUA TORRE 3 Y 4</t>
        </is>
      </c>
      <c r="D379" s="312" t="n"/>
      <c r="E379" s="312" t="n"/>
      <c r="F379" s="312" t="n"/>
      <c r="G379" s="312" t="n"/>
      <c r="H379" s="312" t="n"/>
      <c r="I379" s="313" t="n"/>
      <c r="J379" s="199" t="inlineStr">
        <is>
          <t>CONTEX</t>
        </is>
      </c>
      <c r="K379" s="314" t="n">
        <v>13500000</v>
      </c>
      <c r="L379" s="2" t="n">
        <v>44431</v>
      </c>
      <c r="M379" s="170" t="inlineStr">
        <is>
          <t>X</t>
        </is>
      </c>
      <c r="N379" s="170" t="n">
        <v>3183484307</v>
      </c>
      <c r="O379" s="172" t="inlineStr">
        <is>
          <t>Daniel Ceballos Sanchez</t>
        </is>
      </c>
      <c r="P379" s="52" t="inlineStr">
        <is>
          <t>eceballos@contex.com.co</t>
        </is>
      </c>
    </row>
    <row r="380">
      <c r="B380" s="170" t="n">
        <v>368</v>
      </c>
      <c r="C380" s="199" t="inlineStr">
        <is>
          <t>COTIZACION DEL DISEÑO DE EXTINCIÓN DE INCENDIOS PARA EL PROYECTO LOCAL 3077 ESPUMAS MEDELLIN PLAZA FABRICATO</t>
        </is>
      </c>
      <c r="D380" s="312" t="n"/>
      <c r="E380" s="312" t="n"/>
      <c r="F380" s="312" t="n"/>
      <c r="G380" s="312" t="n"/>
      <c r="H380" s="312" t="n"/>
      <c r="I380" s="313" t="n"/>
      <c r="J380" s="199" t="inlineStr">
        <is>
          <t>SPCI</t>
        </is>
      </c>
      <c r="K380" s="314" t="n">
        <v>1100000</v>
      </c>
      <c r="L380" s="2" t="n">
        <v>44435</v>
      </c>
      <c r="M380" s="170" t="n"/>
      <c r="N380" s="170" t="inlineStr">
        <is>
          <t>321 482 61 68</t>
        </is>
      </c>
      <c r="O380" s="172" t="inlineStr">
        <is>
          <t>Ana Maria Restrepo</t>
        </is>
      </c>
      <c r="P380" s="52" t="inlineStr">
        <is>
          <t>costosypresupuestos1@spcisas.com.co</t>
        </is>
      </c>
    </row>
    <row r="381">
      <c r="B381" s="170" t="n">
        <v>369</v>
      </c>
      <c r="C381" s="199" t="inlineStr">
        <is>
          <t>COTIZACION DE LOS DISEÑOS DE DETECCIÓN DE INCENDIOS Y SEGURIDAD HUMANA PARA EL PROYECTO DEVIMAR</t>
        </is>
      </c>
      <c r="D381" s="312" t="n"/>
      <c r="E381" s="312" t="n"/>
      <c r="F381" s="312" t="n"/>
      <c r="G381" s="312" t="n"/>
      <c r="H381" s="312" t="n"/>
      <c r="I381" s="313" t="n"/>
      <c r="J381" s="199" t="inlineStr">
        <is>
          <t>GINO</t>
        </is>
      </c>
      <c r="K381" s="314" t="n">
        <v>4060000</v>
      </c>
      <c r="L381" s="2" t="n">
        <v>44436</v>
      </c>
      <c r="M381" s="170" t="n"/>
      <c r="N381" s="170" t="n">
        <v>3113396273</v>
      </c>
      <c r="O381" s="172" t="inlineStr">
        <is>
          <t>Gino Montoya</t>
        </is>
      </c>
      <c r="P381" s="52" t="inlineStr">
        <is>
          <t>gino1037@hotmail.com</t>
        </is>
      </c>
    </row>
    <row r="382">
      <c r="B382" s="170" t="n">
        <v>370</v>
      </c>
      <c r="C382" s="199" t="inlineStr">
        <is>
          <t>COTIZACION DEL DISEÑO DE EXTINCIÓN DE INCENDIOS - SHUT DE BASURAS NOGALES</t>
        </is>
      </c>
      <c r="D382" s="312" t="n"/>
      <c r="E382" s="312" t="n"/>
      <c r="F382" s="312" t="n"/>
      <c r="G382" s="312" t="n"/>
      <c r="H382" s="312" t="n"/>
      <c r="I382" s="313" t="n"/>
      <c r="J382" s="199" t="inlineStr">
        <is>
          <t>SPCI</t>
        </is>
      </c>
      <c r="K382" s="314" t="inlineStr">
        <is>
          <t>Variable</t>
        </is>
      </c>
      <c r="L382" s="2" t="n">
        <v>44435</v>
      </c>
      <c r="M382" s="170" t="n"/>
      <c r="N382" s="170" t="n">
        <v>3128403568</v>
      </c>
      <c r="O382" s="172" t="inlineStr">
        <is>
          <t>Camilo Vález</t>
        </is>
      </c>
      <c r="P382" s="52" t="inlineStr">
        <is>
          <t>dir.proyectos4@spcisas.com.co</t>
        </is>
      </c>
    </row>
    <row r="383">
      <c r="B383" s="170" t="n">
        <v>371</v>
      </c>
      <c r="C383" s="199" t="inlineStr">
        <is>
          <t>COTIZACION DEL DISEÑO DE EXTINCIÓN DE INCENDIOS PARA EL PROYECTO LOCAL 243 VIVA ENVIGADO</t>
        </is>
      </c>
      <c r="D383" s="312" t="n"/>
      <c r="E383" s="312" t="n"/>
      <c r="F383" s="312" t="n"/>
      <c r="G383" s="312" t="n"/>
      <c r="H383" s="312" t="n"/>
      <c r="I383" s="313" t="n"/>
      <c r="J383" s="199" t="inlineStr">
        <is>
          <t>SPCI</t>
        </is>
      </c>
      <c r="K383" s="314" t="n">
        <v>1320000</v>
      </c>
      <c r="L383" s="2" t="n">
        <v>44435</v>
      </c>
      <c r="M383" s="170" t="inlineStr">
        <is>
          <t>X</t>
        </is>
      </c>
      <c r="N383" s="170" t="n">
        <v>3106300056</v>
      </c>
      <c r="O383" s="172" t="inlineStr">
        <is>
          <t>Julián Zapata</t>
        </is>
      </c>
      <c r="P383" s="52" t="inlineStr">
        <is>
          <t>ing.residente4@spcisas.com.co</t>
        </is>
      </c>
    </row>
    <row r="384">
      <c r="B384" s="170" t="n">
        <v>372</v>
      </c>
      <c r="C384" s="199" t="inlineStr">
        <is>
          <t>COTIZACION DE LOS DISEÑOS DE PROTECCIÓN CONTRA INCENDIOS Y SEGURIDAD HUMANA PARA EL PROYECTO LAVORÉ</t>
        </is>
      </c>
      <c r="D384" s="312" t="n"/>
      <c r="E384" s="312" t="n"/>
      <c r="F384" s="312" t="n"/>
      <c r="G384" s="312" t="n"/>
      <c r="H384" s="312" t="n"/>
      <c r="I384" s="313" t="n"/>
      <c r="J384" s="199" t="n"/>
      <c r="K384" s="314" t="n">
        <v>25950000</v>
      </c>
      <c r="L384" s="2" t="n">
        <v>44435</v>
      </c>
      <c r="M384" s="170" t="n"/>
      <c r="N384" s="170" t="n"/>
      <c r="O384" s="172" t="inlineStr">
        <is>
          <t>Laura Zapata Yepes</t>
        </is>
      </c>
      <c r="P384" s="52" t="inlineStr">
        <is>
          <t>residenteobra@insigniasa.com.co</t>
        </is>
      </c>
    </row>
    <row r="385">
      <c r="B385" s="170" t="n">
        <v>373</v>
      </c>
      <c r="C385" s="199" t="inlineStr">
        <is>
          <t>COTIZACION DE LOS DISEÑOS DE EXTINCIÓN DE INCENDIOS Y SEGURIDAD HUMANA PARA EL PROYECTO LA SEDE DE AGROSVIA EN TIBATÁ</t>
        </is>
      </c>
      <c r="D385" s="312" t="n"/>
      <c r="E385" s="312" t="n"/>
      <c r="F385" s="312" t="n"/>
      <c r="G385" s="312" t="n"/>
      <c r="H385" s="312" t="n"/>
      <c r="I385" s="313" t="n"/>
      <c r="J385" s="199" t="n"/>
      <c r="K385" s="314" t="n">
        <v>18800000</v>
      </c>
      <c r="L385" s="2" t="n">
        <v>44435</v>
      </c>
      <c r="M385" s="170" t="n"/>
      <c r="N385" s="170" t="n"/>
      <c r="O385" s="172" t="inlineStr">
        <is>
          <t>Jenny Zoraida Cotame Torres</t>
        </is>
      </c>
      <c r="P385" s="52" t="inlineStr">
        <is>
          <t>jcotame@agrosavia.co</t>
        </is>
      </c>
    </row>
    <row r="386">
      <c r="B386" s="170" t="n">
        <v>374</v>
      </c>
      <c r="C386" s="199" t="inlineStr">
        <is>
          <t>COTIZACION DEL DISEÑO DE EXTINCIÓN DE INCENDIOS - DATACENTER</t>
        </is>
      </c>
      <c r="D386" s="312" t="n"/>
      <c r="E386" s="312" t="n"/>
      <c r="F386" s="312" t="n"/>
      <c r="G386" s="312" t="n"/>
      <c r="H386" s="312" t="n"/>
      <c r="I386" s="313" t="n"/>
      <c r="J386" s="199" t="n"/>
      <c r="K386" s="314" t="n">
        <v>6270000</v>
      </c>
      <c r="L386" s="2" t="n">
        <v>44438</v>
      </c>
      <c r="M386" s="170" t="n"/>
      <c r="N386" s="170" t="n">
        <v>3046417336</v>
      </c>
      <c r="O386" s="172" t="inlineStr">
        <is>
          <t>Mayerly Diaz</t>
        </is>
      </c>
      <c r="P386" s="52" t="inlineStr">
        <is>
          <t>proyectos@servimatcolombia.com</t>
        </is>
      </c>
    </row>
    <row r="387">
      <c r="B387" s="170" t="n">
        <v>375</v>
      </c>
      <c r="C387" s="199" t="inlineStr">
        <is>
          <t>COTIZACION DEL DISEÑO DE EXTINCIÓN DE INCENDIOS - AUTOMATIZACIÓN DILUVIO FULLER</t>
        </is>
      </c>
      <c r="D387" s="312" t="n"/>
      <c r="E387" s="312" t="n"/>
      <c r="F387" s="312" t="n"/>
      <c r="G387" s="312" t="n"/>
      <c r="H387" s="312" t="n"/>
      <c r="I387" s="313" t="n"/>
      <c r="J387" s="199" t="inlineStr">
        <is>
          <t>H.B FULLER</t>
        </is>
      </c>
      <c r="K387" s="314" t="n">
        <v>3380000</v>
      </c>
      <c r="L387" s="2" t="n">
        <v>44438</v>
      </c>
      <c r="M387" s="170" t="inlineStr">
        <is>
          <t>X</t>
        </is>
      </c>
      <c r="N387" s="170" t="inlineStr">
        <is>
          <t>574 3788239</t>
        </is>
      </c>
      <c r="O387" s="172" t="inlineStr">
        <is>
          <t>Daniel Montoya Osorio</t>
        </is>
      </c>
      <c r="P387" s="52" t="inlineStr">
        <is>
          <t>daniel.montoya@hbfuller.com</t>
        </is>
      </c>
    </row>
    <row r="388">
      <c r="B388" s="170" t="n">
        <v>376</v>
      </c>
      <c r="C388" s="246" t="inlineStr">
        <is>
          <t xml:space="preserve">COTIZACION DE LOS DISEÑOS DE PROTECCIÓN CONTRA INCENDIOS PARA EL PROYECTO LOCAL MILAGROS PLAZA FABRICATO
</t>
        </is>
      </c>
      <c r="D388" s="312" t="n"/>
      <c r="E388" s="312" t="n"/>
      <c r="F388" s="312" t="n"/>
      <c r="G388" s="312" t="n"/>
      <c r="H388" s="312" t="n"/>
      <c r="I388" s="313" t="n"/>
      <c r="J388" s="199" t="n"/>
      <c r="K388" s="314" t="n">
        <v>2900000</v>
      </c>
      <c r="L388" s="2" t="n">
        <v>44438</v>
      </c>
      <c r="M388" s="2" t="inlineStr">
        <is>
          <t>X</t>
        </is>
      </c>
      <c r="N388" s="170" t="n">
        <v>3117628323</v>
      </c>
      <c r="O388" s="172" t="inlineStr">
        <is>
          <t>Diana Cadona</t>
        </is>
      </c>
      <c r="P388" s="52" t="inlineStr">
        <is>
          <t>dianacardona@inhauser.co</t>
        </is>
      </c>
    </row>
    <row r="389">
      <c r="B389" s="170" t="n">
        <v>377</v>
      </c>
      <c r="C389" s="199" t="inlineStr">
        <is>
          <t>COTIZACION DE LOS DISEÑOS DE PROTECCIÓN CONTRA INCENDIOS PARA EL PROYECTO LOCAL SANTA LEÑA PLAZA FABRICATO</t>
        </is>
      </c>
      <c r="D389" s="312" t="n"/>
      <c r="E389" s="312" t="n"/>
      <c r="F389" s="312" t="n"/>
      <c r="G389" s="312" t="n"/>
      <c r="H389" s="312" t="n"/>
      <c r="I389" s="313" t="n"/>
      <c r="J389" s="199" t="n"/>
      <c r="K389" s="314" t="n">
        <v>2960000</v>
      </c>
      <c r="L389" s="2" t="n">
        <v>44438</v>
      </c>
      <c r="M389" s="2" t="inlineStr">
        <is>
          <t>X</t>
        </is>
      </c>
      <c r="N389" s="170" t="n">
        <v>3117628323</v>
      </c>
      <c r="O389" s="172" t="inlineStr">
        <is>
          <t>Diana Cadona</t>
        </is>
      </c>
      <c r="P389" s="52" t="inlineStr">
        <is>
          <t>dianacardona@inhauser.co</t>
        </is>
      </c>
    </row>
    <row r="390" ht="15" customHeight="1">
      <c r="B390" s="170" t="n">
        <v>378</v>
      </c>
      <c r="C390" s="199" t="inlineStr">
        <is>
          <t xml:space="preserve">COTIZACION DEL DISEÑO DE EXTINCIÓN DE INCENDIOS PARA EL PROYECTO NEUROPACIFICO
</t>
        </is>
      </c>
      <c r="D390" s="312" t="n"/>
      <c r="E390" s="312" t="n"/>
      <c r="F390" s="312" t="n"/>
      <c r="G390" s="312" t="n"/>
      <c r="H390" s="312" t="n"/>
      <c r="I390" s="313" t="n"/>
      <c r="J390" s="199" t="inlineStr">
        <is>
          <t xml:space="preserve">Coninser s.a.s </t>
        </is>
      </c>
      <c r="K390" s="314" t="n">
        <v>2630000</v>
      </c>
      <c r="L390" s="2" t="n">
        <v>44439</v>
      </c>
      <c r="M390" s="170" t="n"/>
      <c r="N390" s="170" t="n"/>
      <c r="O390" s="172" t="inlineStr">
        <is>
          <t>J. Felipe cardona g.</t>
        </is>
      </c>
      <c r="P390" s="52" t="inlineStr">
        <is>
          <t>Coninser@une.net.co - Felicast91@hotmail.com</t>
        </is>
      </c>
    </row>
    <row r="391">
      <c r="B391" s="170" t="n">
        <v>379</v>
      </c>
      <c r="C391" s="199" t="inlineStr">
        <is>
          <t>COTIZACION DEL DISEÑO DE EXTINCIÓN DE INCENDIOS PARA EL PROYECTO QUIROFANOS EL TESORO</t>
        </is>
      </c>
      <c r="D391" s="312" t="n"/>
      <c r="E391" s="312" t="n"/>
      <c r="F391" s="312" t="n"/>
      <c r="G391" s="312" t="n"/>
      <c r="H391" s="312" t="n"/>
      <c r="I391" s="313" t="n"/>
      <c r="J391" s="199" t="inlineStr">
        <is>
          <t>SPCI</t>
        </is>
      </c>
      <c r="K391" s="314" t="n">
        <v>3990000</v>
      </c>
      <c r="L391" s="2" t="n">
        <v>44439</v>
      </c>
      <c r="M391" s="170" t="inlineStr">
        <is>
          <t>X</t>
        </is>
      </c>
      <c r="N391" s="170" t="n">
        <v>3103898043</v>
      </c>
      <c r="O391" s="172" t="inlineStr">
        <is>
          <t>Mauricio Gutierrez</t>
        </is>
      </c>
      <c r="P391" s="52" t="inlineStr">
        <is>
          <t>mauricio.gutierrez@spci.com.co</t>
        </is>
      </c>
    </row>
    <row r="392">
      <c r="B392" s="170" t="n">
        <v>380</v>
      </c>
      <c r="C392" s="199" t="inlineStr">
        <is>
          <t>COTIZACION DEL ANÁLISIS DE SEGURIDAD HUMANA PARA EL PROYECTO SABANETA</t>
        </is>
      </c>
      <c r="D392" s="312" t="n"/>
      <c r="E392" s="312" t="n"/>
      <c r="F392" s="312" t="n"/>
      <c r="G392" s="312" t="n"/>
      <c r="H392" s="312" t="n"/>
      <c r="I392" s="313" t="n"/>
      <c r="J392" s="199" t="inlineStr">
        <is>
          <t>ADMIRIS</t>
        </is>
      </c>
      <c r="K392" s="314" t="n">
        <v>3135000</v>
      </c>
      <c r="L392" s="2" t="n">
        <v>44439</v>
      </c>
      <c r="M392" s="170" t="n"/>
      <c r="N392" s="170" t="n">
        <v>3014188503</v>
      </c>
      <c r="O392" s="172" t="inlineStr">
        <is>
          <t>Andrés Velázquez</t>
        </is>
      </c>
      <c r="P392" s="52" t="inlineStr">
        <is>
          <t>avelasquez@admirisltda.com</t>
        </is>
      </c>
    </row>
    <row r="393">
      <c r="B393" s="170" t="n">
        <v>381</v>
      </c>
      <c r="C393" s="199" t="inlineStr">
        <is>
          <t>COTIZACION DE LOS DISEÑOS DE PROTECCIÓN CONTRA INCENDIOS Y SEGURIDAD HUMANA PARA EL PROYECTO CENTRO DE INTEGRACIÓN FAMILIAR MARINILLA</t>
        </is>
      </c>
      <c r="D393" s="312" t="n"/>
      <c r="E393" s="312" t="n"/>
      <c r="F393" s="312" t="n"/>
      <c r="G393" s="312" t="n"/>
      <c r="H393" s="312" t="n"/>
      <c r="I393" s="313" t="n"/>
      <c r="J393" s="199" t="inlineStr">
        <is>
          <t>GINO</t>
        </is>
      </c>
      <c r="K393" s="314" t="n">
        <v>6270000</v>
      </c>
      <c r="L393" s="2" t="n">
        <v>44439</v>
      </c>
      <c r="M393" s="170" t="n"/>
      <c r="N393" s="170" t="inlineStr">
        <is>
          <t xml:space="preserve"> 313 652 5800 </t>
        </is>
      </c>
      <c r="O393" s="172" t="inlineStr">
        <is>
          <t>Catalina Jaramillo</t>
        </is>
      </c>
      <c r="P393" s="52" t="inlineStr">
        <is>
          <t>catalina.catajara9@gmail.com</t>
        </is>
      </c>
    </row>
    <row r="394">
      <c r="B394" s="170" t="n">
        <v>382</v>
      </c>
      <c r="C394" s="199" t="inlineStr">
        <is>
          <t>COTIZACION DEL ANÁLISIS DE SEGURIDAD HUMANA PARA EL PROYECTO COLECCIONES BIOLOGICAS</t>
        </is>
      </c>
      <c r="D394" s="312" t="n"/>
      <c r="E394" s="312" t="n"/>
      <c r="F394" s="312" t="n"/>
      <c r="G394" s="312" t="n"/>
      <c r="H394" s="312" t="n"/>
      <c r="I394" s="313" t="n"/>
      <c r="J394" s="199" t="inlineStr">
        <is>
          <t>GLOBAL ARQUITECTURA</t>
        </is>
      </c>
      <c r="K394" s="314" t="n">
        <v>750000</v>
      </c>
      <c r="L394" s="2" t="n">
        <v>44439</v>
      </c>
      <c r="M394" s="170" t="n"/>
      <c r="N394" s="170" t="n">
        <v>3137533648</v>
      </c>
      <c r="O394" s="172" t="inlineStr">
        <is>
          <t>Daniel Cordoba</t>
        </is>
      </c>
      <c r="P394" s="52" t="inlineStr">
        <is>
          <t>arquitecta.danielacordoba@gmail.com</t>
        </is>
      </c>
    </row>
    <row r="395">
      <c r="B395" s="170" t="n">
        <v>383</v>
      </c>
      <c r="C395" s="199" t="inlineStr">
        <is>
          <t>COTIZACION DE LOS DISEÑOS DE PROTECCIÓN CONTRA INCENDIOS Y SEGURIDAD HUMANA PARA EL PROYECTO SENA GÓMEZ PLATA</t>
        </is>
      </c>
      <c r="D395" s="312" t="n"/>
      <c r="E395" s="312" t="n"/>
      <c r="F395" s="312" t="n"/>
      <c r="G395" s="312" t="n"/>
      <c r="H395" s="312" t="n"/>
      <c r="I395" s="313" t="n"/>
      <c r="J395" s="199" t="inlineStr">
        <is>
          <t>DESUR</t>
        </is>
      </c>
      <c r="K395" s="314" t="n">
        <v>5990000</v>
      </c>
      <c r="L395" s="2" t="n">
        <v>44440</v>
      </c>
      <c r="M395" s="170" t="n"/>
      <c r="N395" s="170" t="n"/>
      <c r="O395" s="172" t="inlineStr">
        <is>
          <t>Susana Cardona</t>
        </is>
      </c>
      <c r="P395" s="52" t="inlineStr">
        <is>
          <t>susana.cardona@desur.gov.co</t>
        </is>
      </c>
    </row>
    <row r="396">
      <c r="B396" s="170" t="n">
        <v>384</v>
      </c>
      <c r="C396" s="246" t="inlineStr">
        <is>
          <t xml:space="preserve">COTIZACION DE LOS DISEÑOS DE PROTECCIÓN CONTRA INCENDIOS PARA EL PROYECTO DAVITA HIDRO MEDELLIN
</t>
        </is>
      </c>
      <c r="D396" s="312" t="n"/>
      <c r="E396" s="312" t="n"/>
      <c r="F396" s="312" t="n"/>
      <c r="G396" s="312" t="n"/>
      <c r="H396" s="312" t="n"/>
      <c r="I396" s="313" t="n"/>
      <c r="J396" s="199" t="inlineStr">
        <is>
          <t>COINSI</t>
        </is>
      </c>
      <c r="K396" s="314" t="n">
        <v>6580000</v>
      </c>
      <c r="L396" s="2" t="n">
        <v>44440</v>
      </c>
      <c r="M396" s="170" t="n"/>
      <c r="N396" s="170" t="n">
        <v>3218381675</v>
      </c>
      <c r="O396" s="172" t="inlineStr">
        <is>
          <t>Jhonatan A Hincapie</t>
        </is>
      </c>
      <c r="P396" s="52" t="inlineStr">
        <is>
          <t>disenos@coinsi.com</t>
        </is>
      </c>
    </row>
    <row r="397">
      <c r="B397" s="170" t="n">
        <v>385</v>
      </c>
      <c r="C397" s="199" t="inlineStr">
        <is>
          <t>COTIZACION DE LOS PLANOS AS-BUIT DE EXTINCIÓN Y DETECCIÓN DE INCEIDOS - CLÍNICA DÁVITA</t>
        </is>
      </c>
      <c r="D397" s="312" t="n"/>
      <c r="E397" s="312" t="n"/>
      <c r="F397" s="312" t="n"/>
      <c r="G397" s="312" t="n"/>
      <c r="H397" s="312" t="n"/>
      <c r="I397" s="313" t="n"/>
      <c r="J397" s="199" t="inlineStr">
        <is>
          <t>COINSI</t>
        </is>
      </c>
      <c r="K397" s="314" t="n">
        <v>3760000</v>
      </c>
      <c r="L397" s="2" t="n">
        <v>44440</v>
      </c>
      <c r="M397" s="170" t="n"/>
      <c r="N397" s="170" t="n">
        <v>3218381675</v>
      </c>
      <c r="O397" s="172" t="inlineStr">
        <is>
          <t>Jhonatan A Hincapie</t>
        </is>
      </c>
      <c r="P397" s="52" t="inlineStr">
        <is>
          <t>disenos@coinsi.com</t>
        </is>
      </c>
    </row>
    <row r="398">
      <c r="B398" s="170" t="n">
        <v>386</v>
      </c>
      <c r="C398" s="199" t="inlineStr">
        <is>
          <t>COTIZACION DE LOS DISEÑOS DE PROTECCIÓN CONTRA INCENDIOS Y SEGURIDAD HUMANA PARA EL PROYECTO UNIVERSA TORRE EMPRESARIAL</t>
        </is>
      </c>
      <c r="D398" s="312" t="n"/>
      <c r="E398" s="312" t="n"/>
      <c r="F398" s="312" t="n"/>
      <c r="G398" s="312" t="n"/>
      <c r="H398" s="312" t="n"/>
      <c r="I398" s="313" t="n"/>
      <c r="J398" s="199" t="inlineStr">
        <is>
          <t>SOCOMES</t>
        </is>
      </c>
      <c r="K398" s="314" t="n">
        <v>7520000</v>
      </c>
      <c r="L398" s="2" t="n">
        <v>44441</v>
      </c>
      <c r="M398" s="170" t="n"/>
      <c r="N398" s="170" t="n">
        <v>3137851941</v>
      </c>
      <c r="O398" s="172" t="inlineStr">
        <is>
          <t>David Lopera Medina</t>
        </is>
      </c>
      <c r="P398" s="52" t="inlineStr">
        <is>
          <t>david.lopera@socomes.com</t>
        </is>
      </c>
    </row>
    <row r="399">
      <c r="B399" s="170" t="n">
        <v>387</v>
      </c>
      <c r="C399" s="246" t="inlineStr">
        <is>
          <t xml:space="preserve">COTIZACION DE LOS DISEÑOS DE PROTECCIÓN CONTRA INCENDIOS Y SEGURIDAD HUMANA PARA EL PROYECTO BODEGAS PRIMAVERA Y RANSA
</t>
        </is>
      </c>
      <c r="D399" s="312" t="n"/>
      <c r="E399" s="312" t="n"/>
      <c r="F399" s="312" t="n"/>
      <c r="G399" s="312" t="n"/>
      <c r="H399" s="312" t="n"/>
      <c r="I399" s="313" t="n"/>
      <c r="J399" s="199" t="inlineStr">
        <is>
          <t>MENSULA</t>
        </is>
      </c>
      <c r="K399" s="314" t="n">
        <v>49450000</v>
      </c>
      <c r="L399" s="2" t="n">
        <v>44441</v>
      </c>
      <c r="M399" s="170" t="n"/>
      <c r="N399" s="170" t="n">
        <v>3004748607</v>
      </c>
      <c r="O399" s="172" t="inlineStr">
        <is>
          <t>Sebastian Giraldo Hoyos</t>
        </is>
      </c>
      <c r="P399" s="52" t="inlineStr">
        <is>
          <t>sebastiangiraldo@mensulaingenieros.com</t>
        </is>
      </c>
    </row>
    <row r="400">
      <c r="B400" s="170" t="n">
        <v>388</v>
      </c>
      <c r="C400" s="199" t="inlineStr">
        <is>
          <t>COTIZACION DEL DISEÑO DE EXTINCIÓN DE INCENDIOS PARA EL PROYECTO - VINALI</t>
        </is>
      </c>
      <c r="D400" s="312" t="n"/>
      <c r="E400" s="312" t="n"/>
      <c r="F400" s="312" t="n"/>
      <c r="G400" s="312" t="n"/>
      <c r="H400" s="312" t="n"/>
      <c r="I400" s="313" t="n"/>
      <c r="J400" s="199" t="inlineStr">
        <is>
          <t>Procoi Colombia S.A.</t>
        </is>
      </c>
      <c r="K400" s="314" t="n">
        <v>6250000</v>
      </c>
      <c r="L400" s="2" t="n">
        <v>44441</v>
      </c>
      <c r="M400" s="170" t="n"/>
      <c r="N400" s="170" t="inlineStr">
        <is>
          <t>3128931510 - 3204078385</t>
        </is>
      </c>
      <c r="O400" s="172" t="inlineStr">
        <is>
          <t>Edwin Leonardo Carvajal</t>
        </is>
      </c>
      <c r="P400" s="52" t="inlineStr">
        <is>
          <t>residente2@procoi.com</t>
        </is>
      </c>
    </row>
    <row r="401">
      <c r="B401" s="170" t="n">
        <v>389</v>
      </c>
      <c r="C401" s="199" t="inlineStr">
        <is>
          <t>COTIZACION DE LOS DISEÑOS DE PROTECCIÓN CONTRA INCENDIOS - OPAV CALDAS</t>
        </is>
      </c>
      <c r="D401" s="312" t="n"/>
      <c r="E401" s="312" t="n"/>
      <c r="F401" s="312" t="n"/>
      <c r="G401" s="312" t="n"/>
      <c r="H401" s="312" t="n"/>
      <c r="I401" s="313" t="n"/>
      <c r="J401" s="199" t="inlineStr">
        <is>
          <t>SPCI</t>
        </is>
      </c>
      <c r="K401" s="314" t="n">
        <v>14920000</v>
      </c>
      <c r="L401" s="2" t="n">
        <v>44442</v>
      </c>
      <c r="M401" s="170" t="inlineStr">
        <is>
          <t>X</t>
        </is>
      </c>
      <c r="N401" s="170" t="inlineStr">
        <is>
          <t>310 2677466</t>
        </is>
      </c>
      <c r="O401" s="172" t="inlineStr">
        <is>
          <t>Juan David Vanegas</t>
        </is>
      </c>
      <c r="P401" s="52" t="inlineStr">
        <is>
          <t xml:space="preserve">gerencia.operacion@spcisas.com.co </t>
        </is>
      </c>
    </row>
    <row r="402">
      <c r="B402" s="170" t="n">
        <v>390</v>
      </c>
      <c r="C402" s="199" t="inlineStr">
        <is>
          <t>COTIZACION DEL DISEÑO DE EXTINCIÓN DE INCENDIOS PARA EL PROYECTO LOCAL 2028 STOP PLAZA FABRICATO</t>
        </is>
      </c>
      <c r="D402" s="312" t="n"/>
      <c r="E402" s="312" t="n"/>
      <c r="F402" s="312" t="n"/>
      <c r="G402" s="312" t="n"/>
      <c r="H402" s="312" t="n"/>
      <c r="I402" s="313" t="n"/>
      <c r="J402" s="199" t="inlineStr">
        <is>
          <t>SPCI</t>
        </is>
      </c>
      <c r="K402" s="314" t="n">
        <v>1350000</v>
      </c>
      <c r="L402" s="2" t="n">
        <v>44443</v>
      </c>
      <c r="M402" s="170" t="inlineStr">
        <is>
          <t>X</t>
        </is>
      </c>
      <c r="N402" s="170" t="inlineStr">
        <is>
          <t>321 482 61 68</t>
        </is>
      </c>
      <c r="O402" s="172" t="inlineStr">
        <is>
          <t>Ana Maria Restrepo</t>
        </is>
      </c>
      <c r="P402" s="52" t="inlineStr">
        <is>
          <t>costosypresupuestos1@spcisas.com.co</t>
        </is>
      </c>
    </row>
    <row r="403">
      <c r="B403" s="170" t="n">
        <v>391</v>
      </c>
      <c r="C403" s="199" t="inlineStr">
        <is>
          <t>COTIZACION DEL DISEÑO DE EXTINCIÓN DE INCENDIOS PARA EL PROYECTO LOCAL 2029 YOYO PLAZA FABRICATO</t>
        </is>
      </c>
      <c r="D403" s="312" t="n"/>
      <c r="E403" s="312" t="n"/>
      <c r="F403" s="312" t="n"/>
      <c r="G403" s="312" t="n"/>
      <c r="H403" s="312" t="n"/>
      <c r="I403" s="313" t="n"/>
      <c r="J403" s="199" t="inlineStr">
        <is>
          <t>SPCI</t>
        </is>
      </c>
      <c r="K403" s="314" t="n">
        <v>1350000</v>
      </c>
      <c r="L403" s="2" t="n">
        <v>44443</v>
      </c>
      <c r="M403" s="170" t="inlineStr">
        <is>
          <t>X</t>
        </is>
      </c>
      <c r="N403" s="170" t="inlineStr">
        <is>
          <t>321 482 61 68</t>
        </is>
      </c>
      <c r="O403" s="172" t="inlineStr">
        <is>
          <t>Ana Maria Restrepo</t>
        </is>
      </c>
      <c r="P403" s="52" t="inlineStr">
        <is>
          <t>costosypresupuestos1@spcisas.com.co</t>
        </is>
      </c>
    </row>
    <row r="404">
      <c r="B404" s="170" t="n">
        <v>392</v>
      </c>
      <c r="C404" s="199" t="inlineStr">
        <is>
          <t>COTIZACION DEL DISEÑO DE DETECCIÓN DE INCENDIOS PARA EL PROYECTO BANCOLOMBIA HALL PLAZA MINORISTA</t>
        </is>
      </c>
      <c r="D404" s="312" t="n"/>
      <c r="E404" s="312" t="n"/>
      <c r="F404" s="312" t="n"/>
      <c r="G404" s="312" t="n"/>
      <c r="H404" s="312" t="n"/>
      <c r="I404" s="313" t="n"/>
      <c r="J404" s="199" t="inlineStr">
        <is>
          <t>SANTIAGO ROJAS</t>
        </is>
      </c>
      <c r="K404" s="314" t="n">
        <v>700000</v>
      </c>
      <c r="L404" s="2" t="n">
        <v>44443</v>
      </c>
      <c r="M404" s="170" t="inlineStr">
        <is>
          <t>X</t>
        </is>
      </c>
      <c r="N404" s="170" t="n">
        <v>3022295772</v>
      </c>
      <c r="O404" s="172" t="inlineStr">
        <is>
          <t>Aurora Rios</t>
        </is>
      </c>
      <c r="P404" s="52" t="inlineStr">
        <is>
          <t>proyectos@santiagorojas.com.co</t>
        </is>
      </c>
    </row>
    <row r="405">
      <c r="B405" s="170" t="n">
        <v>393</v>
      </c>
      <c r="C405" s="199" t="inlineStr">
        <is>
          <t>COTIZACION DEL DISEÑO DEL CUARTO DE BOMBAS DE EXTINCIÓN DE INCENDIOS - MIRASOL RIONEGRO</t>
        </is>
      </c>
      <c r="D405" s="312" t="n"/>
      <c r="E405" s="312" t="n"/>
      <c r="F405" s="312" t="n"/>
      <c r="G405" s="312" t="n"/>
      <c r="H405" s="312" t="n"/>
      <c r="I405" s="313" t="n"/>
      <c r="J405" s="71" t="inlineStr">
        <is>
          <t>FUNDACIÓN COMPARTIR</t>
        </is>
      </c>
      <c r="K405" s="314" t="n">
        <v>3000000</v>
      </c>
      <c r="L405" s="2" t="n">
        <v>44443</v>
      </c>
      <c r="M405" s="170" t="inlineStr">
        <is>
          <t>X</t>
        </is>
      </c>
      <c r="N405" s="170" t="inlineStr">
        <is>
          <t xml:space="preserve"> 320 5531813</t>
        </is>
      </c>
      <c r="O405" s="172" t="inlineStr">
        <is>
          <t>Juan Fernando Vargas</t>
        </is>
      </c>
      <c r="P405" s="52" t="inlineStr">
        <is>
          <t>admobra@fundacioncompartir.org</t>
        </is>
      </c>
    </row>
    <row r="406">
      <c r="B406" s="170" t="n">
        <v>394</v>
      </c>
      <c r="C406" s="199" t="inlineStr">
        <is>
          <t>COTIZACIÓN DEL REDISEÑO DE SEGURIDAD HUMANA Y EXTINCIÓN DE INCENDIOS PISO 11 SALUD VEGAS</t>
        </is>
      </c>
      <c r="D406" s="312" t="n"/>
      <c r="E406" s="312" t="n"/>
      <c r="F406" s="312" t="n"/>
      <c r="G406" s="312" t="n"/>
      <c r="H406" s="312" t="n"/>
      <c r="I406" s="313" t="n"/>
      <c r="J406" s="199" t="inlineStr">
        <is>
          <t xml:space="preserve">INTERVÉ </t>
        </is>
      </c>
      <c r="K406" s="314" t="n">
        <v>1000000</v>
      </c>
      <c r="L406" s="2" t="n">
        <v>44445</v>
      </c>
      <c r="M406" s="170" t="inlineStr">
        <is>
          <t>X</t>
        </is>
      </c>
      <c r="N406" s="170" t="n">
        <v>3024787538</v>
      </c>
      <c r="O406" s="172" t="inlineStr">
        <is>
          <t>Gloria Sierra</t>
        </is>
      </c>
      <c r="P406" s="52" t="inlineStr">
        <is>
          <t>gsierra@interve.co</t>
        </is>
      </c>
    </row>
    <row r="407">
      <c r="B407" s="170" t="n">
        <v>395</v>
      </c>
      <c r="C407" s="199" t="inlineStr">
        <is>
          <t>COTIZACION DE LOS DISEÑOS DE PROTECCIÓN CONTRA INCENDIOS PARA EL PROYECTO LOCAL COMERCIAL MERCADO OK</t>
        </is>
      </c>
      <c r="D407" s="312" t="n"/>
      <c r="E407" s="312" t="n"/>
      <c r="F407" s="312" t="n"/>
      <c r="G407" s="312" t="n"/>
      <c r="H407" s="312" t="n"/>
      <c r="I407" s="313" t="n"/>
      <c r="J407" s="199" t="inlineStr">
        <is>
          <t>SECURETEC</t>
        </is>
      </c>
      <c r="K407" s="314" t="n">
        <v>1870000</v>
      </c>
      <c r="L407" s="2" t="n">
        <v>44445</v>
      </c>
      <c r="M407" s="170" t="n"/>
      <c r="N407" s="170" t="n">
        <v>3014111727</v>
      </c>
      <c r="O407" s="172" t="inlineStr">
        <is>
          <t>Julian David Camacho- Estebal Olano</t>
        </is>
      </c>
      <c r="P407" s="52" t="inlineStr">
        <is>
          <t>ascomercial2@securetec.com.co</t>
        </is>
      </c>
    </row>
    <row r="408">
      <c r="B408" s="170" t="n">
        <v>396</v>
      </c>
      <c r="C408" s="246" t="inlineStr">
        <is>
          <t xml:space="preserve">COTIZACION DEL ANÁLISIS DE SEGURIDAD HUMANA PARA EL PROYECTO EDIFICIO PARQUEADEROS TORRE B ETAPA 2
</t>
        </is>
      </c>
      <c r="D408" s="312" t="n"/>
      <c r="E408" s="312" t="n"/>
      <c r="F408" s="312" t="n"/>
      <c r="G408" s="312" t="n"/>
      <c r="H408" s="312" t="n"/>
      <c r="I408" s="313" t="n"/>
      <c r="J408" s="199" t="inlineStr">
        <is>
          <t>CES</t>
        </is>
      </c>
      <c r="K408" s="314" t="n">
        <v>4500000</v>
      </c>
      <c r="L408" s="2" t="n">
        <v>44445</v>
      </c>
      <c r="M408" s="170" t="n"/>
      <c r="N408" s="170" t="inlineStr">
        <is>
          <t xml:space="preserve"> 444 0555 Ext. 1517/1112</t>
        </is>
      </c>
      <c r="O408" s="172" t="inlineStr">
        <is>
          <t xml:space="preserve">Carlos Andres Saldarriaga </t>
        </is>
      </c>
      <c r="P408" s="52" t="inlineStr">
        <is>
          <t>casaldarriaga@ces.edu.co</t>
        </is>
      </c>
    </row>
    <row r="409">
      <c r="B409" s="170" t="n">
        <v>397</v>
      </c>
      <c r="C409" s="246" t="inlineStr">
        <is>
          <t xml:space="preserve">COTIZACION DEL DISEÑO DE DETECCIÓN DE INCENDIOS PARA EL PROYECTO FRIGOMAGDALENA
</t>
        </is>
      </c>
      <c r="D409" s="312" t="n"/>
      <c r="E409" s="312" t="n"/>
      <c r="F409" s="312" t="n"/>
      <c r="G409" s="312" t="n"/>
      <c r="H409" s="312" t="n"/>
      <c r="I409" s="313" t="n"/>
      <c r="J409" s="199" t="inlineStr">
        <is>
          <t>COINSI</t>
        </is>
      </c>
      <c r="K409" s="314" t="n">
        <v>7500000</v>
      </c>
      <c r="L409" s="2" t="n">
        <v>44446</v>
      </c>
      <c r="M409" s="170" t="n"/>
      <c r="N409" s="170" t="n">
        <v>3126658022</v>
      </c>
      <c r="O409" s="172" t="inlineStr">
        <is>
          <t>Sergio Rodriguez</t>
        </is>
      </c>
      <c r="P409" s="52" t="inlineStr">
        <is>
          <t>diseno4@gyd.com.co</t>
        </is>
      </c>
    </row>
    <row r="410">
      <c r="B410" s="170" t="n">
        <v>398</v>
      </c>
      <c r="C410" s="199" t="inlineStr">
        <is>
          <t>COTIZACION DE LOS DISEÑOS DE PROTECCIÓN CONTRA INCENDIOS PARA EL PROYECTO CENFIS CIUDAD JARDIN</t>
        </is>
      </c>
      <c r="D410" s="312" t="n"/>
      <c r="E410" s="312" t="n"/>
      <c r="F410" s="312" t="n"/>
      <c r="G410" s="312" t="n"/>
      <c r="H410" s="312" t="n"/>
      <c r="I410" s="313" t="n"/>
      <c r="J410" s="199" t="inlineStr">
        <is>
          <t>SOCOMES</t>
        </is>
      </c>
      <c r="K410" s="314" t="n">
        <v>5650000</v>
      </c>
      <c r="L410" s="2" t="n">
        <v>44446</v>
      </c>
      <c r="M410" s="170" t="n"/>
      <c r="N410" s="170" t="n">
        <v>3137851941</v>
      </c>
      <c r="O410" s="172" t="inlineStr">
        <is>
          <t>David Lopera Medina</t>
        </is>
      </c>
      <c r="P410" s="52" t="inlineStr">
        <is>
          <t>david.lopera@socomes.com</t>
        </is>
      </c>
    </row>
    <row r="411">
      <c r="B411" s="170" t="n">
        <v>399</v>
      </c>
      <c r="C411" s="199" t="inlineStr">
        <is>
          <t>COTIZACION DEL ANÁLISIS DE SEGURIDAD HUMANA PARA EL PROYECTO DISCOTECA</t>
        </is>
      </c>
      <c r="D411" s="312" t="n"/>
      <c r="E411" s="312" t="n"/>
      <c r="F411" s="312" t="n"/>
      <c r="G411" s="312" t="n"/>
      <c r="H411" s="312" t="n"/>
      <c r="I411" s="313" t="n"/>
      <c r="J411" s="199" t="inlineStr">
        <is>
          <t>Cuadra por Cuadra</t>
        </is>
      </c>
      <c r="K411" s="314" t="n">
        <v>2500000</v>
      </c>
      <c r="L411" s="2" t="n">
        <v>44447</v>
      </c>
      <c r="M411" s="170" t="n"/>
      <c r="N411" s="170" t="inlineStr">
        <is>
          <t>310 469 8012</t>
        </is>
      </c>
      <c r="O411" s="172" t="inlineStr">
        <is>
          <t>CARLOS MUNERA VELEZ</t>
        </is>
      </c>
      <c r="P411" s="52" t="inlineStr">
        <is>
          <t>carlos.munera@cuadraporcuadra.com</t>
        </is>
      </c>
    </row>
    <row r="412">
      <c r="B412" s="170" t="n">
        <v>400</v>
      </c>
      <c r="C412" s="246" t="inlineStr">
        <is>
          <t xml:space="preserve">COTIZACION DE LOS DISEÑOS DE PROTECCIÓN CONTRA INCENDIOS PARA EL PROYECTO BODEGAS GUAYABAL
</t>
        </is>
      </c>
      <c r="D412" s="312" t="n"/>
      <c r="E412" s="312" t="n"/>
      <c r="F412" s="312" t="n"/>
      <c r="G412" s="312" t="n"/>
      <c r="H412" s="312" t="n"/>
      <c r="I412" s="313" t="n"/>
      <c r="J412" s="199" t="inlineStr">
        <is>
          <t>PROCOI</t>
        </is>
      </c>
      <c r="K412" s="314" t="n">
        <v>6950000</v>
      </c>
      <c r="L412" s="2" t="n">
        <v>44447</v>
      </c>
      <c r="M412" s="170" t="n"/>
      <c r="N412" s="170" t="n">
        <v>3108279836</v>
      </c>
      <c r="O412" s="172" t="inlineStr">
        <is>
          <t>Peter Mauricio Valderrama Perea</t>
        </is>
      </c>
      <c r="P412" s="52" t="inlineStr">
        <is>
          <t>residente4@procoi.com</t>
        </is>
      </c>
    </row>
    <row r="413">
      <c r="B413" s="170" t="n">
        <v>401</v>
      </c>
      <c r="C413" s="246" t="inlineStr">
        <is>
          <t xml:space="preserve">COTIZACION DE LOS DISEÑOS DE PROTECCIÓN CONTRA INCENDIOS PARA EL PROYECTO BODEGAS GUAYABAL
</t>
        </is>
      </c>
      <c r="D413" s="312" t="n"/>
      <c r="E413" s="312" t="n"/>
      <c r="F413" s="312" t="n"/>
      <c r="G413" s="312" t="n"/>
      <c r="H413" s="312" t="n"/>
      <c r="I413" s="313" t="n"/>
      <c r="J413" s="199" t="inlineStr">
        <is>
          <t>JOMARK</t>
        </is>
      </c>
      <c r="K413" s="314" t="n">
        <v>6950001</v>
      </c>
      <c r="L413" s="2" t="n">
        <v>44417</v>
      </c>
      <c r="M413" s="170" t="n"/>
      <c r="N413" s="170" t="inlineStr">
        <is>
          <t>319 5981312</t>
        </is>
      </c>
      <c r="O413" s="172" t="inlineStr">
        <is>
          <t>Laura Duque</t>
        </is>
      </c>
      <c r="P413" s="52" t="inlineStr">
        <is>
          <t>Proyectos2@jomarkseguridad.com</t>
        </is>
      </c>
    </row>
    <row r="414" ht="15" customHeight="1">
      <c r="B414" s="170" t="n">
        <v>402</v>
      </c>
      <c r="C414" s="233" t="inlineStr">
        <is>
          <t>COTIZACION DEL DISEÑO DE EXTINCIÓN DE INCENDIOS PARA EL PROYECTO LOCAL COMFAMA CIS PLAZA FABRICATO</t>
        </is>
      </c>
      <c r="D414" s="312" t="n"/>
      <c r="E414" s="312" t="n"/>
      <c r="F414" s="312" t="n"/>
      <c r="G414" s="312" t="n"/>
      <c r="H414" s="312" t="n"/>
      <c r="I414" s="313" t="n"/>
      <c r="J414" s="199" t="inlineStr">
        <is>
          <t>INTERVET</t>
        </is>
      </c>
      <c r="K414" s="314" t="n">
        <v>4500000</v>
      </c>
      <c r="L414" s="2" t="n">
        <v>44448</v>
      </c>
      <c r="M414" s="170" t="inlineStr">
        <is>
          <t>X</t>
        </is>
      </c>
      <c r="N414" s="170" t="inlineStr">
        <is>
          <t>310 386 17 63</t>
        </is>
      </c>
      <c r="O414" s="172" t="inlineStr">
        <is>
          <t>Dario Antonio Saldarriaga Ramirez</t>
        </is>
      </c>
      <c r="P414" s="52" t="inlineStr">
        <is>
          <t>dsaldarriaga@interve.co</t>
        </is>
      </c>
    </row>
    <row r="415">
      <c r="B415" s="170" t="n">
        <v>403</v>
      </c>
      <c r="C415" s="199" t="inlineStr">
        <is>
          <t>COTIZACION DEL DISEÑO DE EXTINCIÓN DE INCENDIOS PARA EL PROYECTO INTEXZONA - URBANISMO</t>
        </is>
      </c>
      <c r="D415" s="312" t="n"/>
      <c r="E415" s="312" t="n"/>
      <c r="F415" s="312" t="n"/>
      <c r="G415" s="312" t="n"/>
      <c r="H415" s="312" t="n"/>
      <c r="I415" s="313" t="n"/>
      <c r="J415" s="199" t="inlineStr">
        <is>
          <t>SPCI</t>
        </is>
      </c>
      <c r="K415" s="314" t="n">
        <v>14950000</v>
      </c>
      <c r="L415" s="2" t="n">
        <v>44448</v>
      </c>
      <c r="M415" s="170" t="n"/>
      <c r="N415" s="170" t="n">
        <v>3104680508</v>
      </c>
      <c r="O415" s="172" t="inlineStr">
        <is>
          <t>Juan Pablo Grajales</t>
        </is>
      </c>
      <c r="P415" s="52" t="inlineStr">
        <is>
          <t>juan.grajales@spci.com.co</t>
        </is>
      </c>
    </row>
    <row r="416">
      <c r="B416" s="170" t="n">
        <v>404</v>
      </c>
      <c r="C416" s="199" t="inlineStr">
        <is>
          <t>COTIZACION DE VISITAS DE ACOMPAÑAMIENTO A LA OBRA MITSUBISHI ELECTRIC</t>
        </is>
      </c>
      <c r="D416" s="312" t="n"/>
      <c r="E416" s="312" t="n"/>
      <c r="F416" s="312" t="n"/>
      <c r="G416" s="312" t="n"/>
      <c r="H416" s="312" t="n"/>
      <c r="I416" s="313" t="n"/>
      <c r="J416" s="199" t="inlineStr">
        <is>
          <t>MITSUBISHI</t>
        </is>
      </c>
      <c r="K416" s="314" t="inlineStr">
        <is>
          <t>variable</t>
        </is>
      </c>
      <c r="L416" s="2" t="n">
        <v>44448</v>
      </c>
      <c r="M416" s="170" t="n"/>
      <c r="N416" s="170" t="n">
        <v>3132971351</v>
      </c>
      <c r="O416" s="172" t="inlineStr">
        <is>
          <t>Wilton Gabriel Grajales</t>
        </is>
      </c>
      <c r="P416" s="52" t="inlineStr">
        <is>
          <t xml:space="preserve">Wilton.Grisales@melcol.com.co </t>
        </is>
      </c>
    </row>
    <row r="417">
      <c r="B417" s="170" t="n">
        <v>405</v>
      </c>
      <c r="C417" s="199" t="inlineStr">
        <is>
          <t>COTIZACION DE LOS DISEÑOS DE PROTECCIÓN CONTRA INCENDIOS PARA EL PROYECTO CIUDADELA COMPLEX</t>
        </is>
      </c>
      <c r="D417" s="312" t="n"/>
      <c r="E417" s="312" t="n"/>
      <c r="F417" s="312" t="n"/>
      <c r="G417" s="312" t="n"/>
      <c r="H417" s="312" t="n"/>
      <c r="I417" s="313" t="n"/>
      <c r="J417" s="199" t="inlineStr">
        <is>
          <t>COMPLEX</t>
        </is>
      </c>
      <c r="K417" s="314" t="n">
        <v>19990000</v>
      </c>
      <c r="L417" s="2" t="n">
        <v>44449</v>
      </c>
      <c r="M417" s="170" t="n"/>
      <c r="N417" s="170" t="n">
        <v>3013072880</v>
      </c>
      <c r="O417" s="172" t="inlineStr">
        <is>
          <t>Jorge Ferrer</t>
        </is>
      </c>
      <c r="P417" s="52" t="inlineStr">
        <is>
          <t>operaciones@complexllanogrande.com</t>
        </is>
      </c>
    </row>
    <row r="418">
      <c r="B418" s="170" t="n">
        <v>406</v>
      </c>
      <c r="C418" s="199" t="inlineStr">
        <is>
          <t>COTIZACION DE REVISIÓN DE SEGURIDAD HUMANA Y EXTINCIÓN DE INCENDIOS - CLÍNICA DE OCCIDENTE DE CALI</t>
        </is>
      </c>
      <c r="D418" s="312" t="n"/>
      <c r="E418" s="312" t="n"/>
      <c r="F418" s="312" t="n"/>
      <c r="G418" s="312" t="n"/>
      <c r="H418" s="312" t="n"/>
      <c r="I418" s="313" t="n"/>
      <c r="J418" s="199" t="inlineStr">
        <is>
          <t>CLINICA OCCIDENTE CALI</t>
        </is>
      </c>
      <c r="K418" s="314" t="n">
        <v>5950000</v>
      </c>
      <c r="L418" s="2" t="n">
        <v>44452</v>
      </c>
      <c r="M418" s="170" t="n"/>
      <c r="N418" s="170" t="inlineStr">
        <is>
          <t>313 8889026</t>
        </is>
      </c>
      <c r="O418" s="172" t="inlineStr">
        <is>
          <t>María del Mar Vásquez</t>
        </is>
      </c>
      <c r="P418" s="52" t="inlineStr">
        <is>
          <t>maria.vasquez@clinicadeoccidente.com</t>
        </is>
      </c>
    </row>
    <row r="419">
      <c r="B419" s="170" t="n">
        <v>407</v>
      </c>
      <c r="C419" s="199" t="inlineStr">
        <is>
          <t>COTIZACION DE LOS DISEÑOS DE PROTECCIÓN CONTRA INCENDIOS PARA EL PROYECTO LOCAL KOAJ MAYORCA</t>
        </is>
      </c>
      <c r="D419" s="312" t="n"/>
      <c r="E419" s="312" t="n"/>
      <c r="F419" s="312" t="n"/>
      <c r="G419" s="312" t="n"/>
      <c r="H419" s="312" t="n"/>
      <c r="I419" s="313" t="n"/>
      <c r="J419" s="199" t="inlineStr">
        <is>
          <t>JOMARK</t>
        </is>
      </c>
      <c r="K419" s="314" t="n">
        <v>3950000</v>
      </c>
      <c r="L419" s="2" t="n">
        <v>44452</v>
      </c>
      <c r="M419" s="170" t="inlineStr">
        <is>
          <t>X</t>
        </is>
      </c>
      <c r="N419" s="170" t="n">
        <v>3147943785</v>
      </c>
      <c r="O419" s="172" t="inlineStr">
        <is>
          <t>Laura Duque Betancur</t>
        </is>
      </c>
      <c r="P419" s="52" t="inlineStr">
        <is>
          <t>proyectos2@jomarkseguridad.com</t>
        </is>
      </c>
    </row>
    <row r="420">
      <c r="B420" s="170" t="n">
        <v>408</v>
      </c>
      <c r="C420" s="246" t="inlineStr">
        <is>
          <t xml:space="preserve">COTIZACION DE LOS DISEÑOS DE PROTECCIÓN CONTRA INCENDIOS PARA EL PROYECTO STAFF MUSIC ACADEMY
</t>
        </is>
      </c>
      <c r="D420" s="312" t="n"/>
      <c r="E420" s="312" t="n"/>
      <c r="F420" s="312" t="n"/>
      <c r="G420" s="312" t="n"/>
      <c r="H420" s="312" t="n"/>
      <c r="I420" s="313" t="n"/>
      <c r="J420" s="199" t="inlineStr">
        <is>
          <t>Zerohuell</t>
        </is>
      </c>
      <c r="K420" s="314" t="n">
        <v>2630000</v>
      </c>
      <c r="L420" s="2" t="n">
        <v>44453</v>
      </c>
      <c r="M420" s="170" t="n"/>
      <c r="N420" s="170" t="n">
        <v>3147743362</v>
      </c>
      <c r="O420" s="172" t="inlineStr">
        <is>
          <t>Luis Alberto Lopez Nieto</t>
        </is>
      </c>
      <c r="P420" s="52" t="inlineStr">
        <is>
          <t>lalopez@utp.edu.co</t>
        </is>
      </c>
    </row>
    <row r="421">
      <c r="B421" s="170" t="n">
        <v>409</v>
      </c>
      <c r="C421" s="199" t="inlineStr">
        <is>
          <t>COTIZACION DE LOS DISEÑOS DE PROTECCIÓN CONTRA INCENDIOS Y SEGURIDAD HUMANA PARA EL PROYECTO DISCOTECA</t>
        </is>
      </c>
      <c r="D421" s="312" t="n"/>
      <c r="E421" s="312" t="n"/>
      <c r="F421" s="312" t="n"/>
      <c r="G421" s="312" t="n"/>
      <c r="H421" s="312" t="n"/>
      <c r="I421" s="313" t="n"/>
      <c r="J421" s="199" t="inlineStr">
        <is>
          <t>Cuadra por Cuadra</t>
        </is>
      </c>
      <c r="K421" s="314" t="n">
        <v>6000000</v>
      </c>
      <c r="L421" s="2" t="n">
        <v>44453</v>
      </c>
      <c r="M421" s="170" t="n"/>
      <c r="N421" s="170" t="inlineStr">
        <is>
          <t>310 469 8012</t>
        </is>
      </c>
      <c r="O421" s="172" t="inlineStr">
        <is>
          <t>CARLOS MUNERA VELEZ</t>
        </is>
      </c>
      <c r="P421" s="52" t="inlineStr">
        <is>
          <t>carlos.munera@cuadraporcuadra.com</t>
        </is>
      </c>
    </row>
    <row r="422">
      <c r="B422" s="170" t="n">
        <v>410</v>
      </c>
      <c r="C422" s="199" t="inlineStr">
        <is>
          <t>COTIZACION DE LOS DISEÑOS DE PROTECCIÓN CONTRA INCENDIOS PARA EL PROYECTO AULAS PISOO 11 Y 12 DEL EDIFICIO DE PARQUEADEROS</t>
        </is>
      </c>
      <c r="D422" s="312" t="n"/>
      <c r="E422" s="312" t="n"/>
      <c r="F422" s="312" t="n"/>
      <c r="G422" s="312" t="n"/>
      <c r="H422" s="312" t="n"/>
      <c r="I422" s="313" t="n"/>
      <c r="J422" s="199" t="inlineStr">
        <is>
          <t>Ingeniería Estructural S.A.S</t>
        </is>
      </c>
      <c r="K422" s="314" t="n"/>
      <c r="L422" s="2" t="n">
        <v>44453</v>
      </c>
      <c r="M422" s="170" t="n"/>
      <c r="N422" s="170" t="n">
        <v>3004659012</v>
      </c>
      <c r="O422" s="172" t="inlineStr">
        <is>
          <t>Martha Ferrer</t>
        </is>
      </c>
      <c r="P422" s="52" t="inlineStr">
        <is>
          <t>mferrer@interve.co</t>
        </is>
      </c>
    </row>
    <row r="423">
      <c r="B423" s="170" t="n">
        <v>411</v>
      </c>
      <c r="C423" s="199" t="inlineStr">
        <is>
          <t>COTIZACION DE VALIDACIÓN EN CAMPO PARA MOVIMIENTO DE BOMBA CONTRA INCENDIOS - SAN PEDRO PLAZA</t>
        </is>
      </c>
      <c r="D423" s="312" t="n"/>
      <c r="E423" s="312" t="n"/>
      <c r="F423" s="312" t="n"/>
      <c r="G423" s="312" t="n"/>
      <c r="H423" s="312" t="n"/>
      <c r="I423" s="313" t="n"/>
      <c r="J423" s="199" t="inlineStr">
        <is>
          <t>SPCI</t>
        </is>
      </c>
      <c r="K423" s="314" t="n">
        <v>2950000</v>
      </c>
      <c r="L423" s="2" t="n">
        <v>44453</v>
      </c>
      <c r="M423" s="170" t="inlineStr">
        <is>
          <t>X</t>
        </is>
      </c>
      <c r="N423" s="170" t="n">
        <v>3137546144</v>
      </c>
      <c r="O423" s="172" t="inlineStr">
        <is>
          <t>Juan Camilo Quintero</t>
        </is>
      </c>
      <c r="P423" s="52" t="inlineStr">
        <is>
          <t>dir.mantenimiento@spcisas.com.co</t>
        </is>
      </c>
    </row>
    <row r="424">
      <c r="B424" s="170" t="n">
        <v>412</v>
      </c>
      <c r="C424" s="199" t="inlineStr">
        <is>
          <t>COTIZACION DEL DISEÑO DE EXTINCIÓN DE INCENDIOS PARA EL PROYECTO LOCAL FLAMINGO PLAZA FABRICATO</t>
        </is>
      </c>
      <c r="D424" s="312" t="n"/>
      <c r="E424" s="312" t="n"/>
      <c r="F424" s="312" t="n"/>
      <c r="G424" s="312" t="n"/>
      <c r="H424" s="312" t="n"/>
      <c r="I424" s="313" t="n"/>
      <c r="J424" s="199" t="inlineStr">
        <is>
          <t>SPCI</t>
        </is>
      </c>
      <c r="K424" s="314" t="n">
        <v>4390000</v>
      </c>
      <c r="L424" s="2" t="n">
        <v>44454</v>
      </c>
      <c r="M424" s="170" t="n"/>
      <c r="N424" s="170" t="n">
        <v>3102677466</v>
      </c>
      <c r="O424" s="172" t="inlineStr">
        <is>
          <t>Juan David Vanegas</t>
        </is>
      </c>
      <c r="P424" s="52" t="inlineStr">
        <is>
          <t>gerencia.operacion@spcisas.com.co</t>
        </is>
      </c>
    </row>
    <row r="425">
      <c r="B425" s="170" t="n">
        <v>413</v>
      </c>
      <c r="C425" s="199" t="inlineStr">
        <is>
          <t>COTIZACION DE LA INSPECCIÓN Y PRUEBAS DE ACEPTACIÓN - YORK LUXURY SUITES</t>
        </is>
      </c>
      <c r="D425" s="312" t="n"/>
      <c r="E425" s="312" t="n"/>
      <c r="F425" s="312" t="n"/>
      <c r="G425" s="312" t="n"/>
      <c r="H425" s="312" t="n"/>
      <c r="I425" s="313" t="n"/>
      <c r="J425" s="199" t="inlineStr">
        <is>
          <t>ACEIS</t>
        </is>
      </c>
      <c r="K425" s="314" t="n">
        <v>4950000</v>
      </c>
      <c r="L425" s="2" t="n">
        <v>44455</v>
      </c>
      <c r="M425" s="170" t="n"/>
      <c r="N425" s="170" t="inlineStr">
        <is>
          <t>317 5106432</t>
        </is>
      </c>
      <c r="O425" s="172" t="inlineStr">
        <is>
          <t>Wendy Juliana Carmona</t>
        </is>
      </c>
      <c r="P425" s="52" t="inlineStr">
        <is>
          <t>administracion.york@bluedoors.co</t>
        </is>
      </c>
    </row>
    <row r="426">
      <c r="B426" s="170" t="n">
        <v>414</v>
      </c>
      <c r="C426" s="199" t="inlineStr">
        <is>
          <t>COTIZACION DE LA REVISIÓN VISUAL DEL SISTEMA DE EXTINCIÓN DE INCENDIOS PARA EL CC DIAMANTE</t>
        </is>
      </c>
      <c r="D426" s="312" t="n"/>
      <c r="E426" s="312" t="n"/>
      <c r="F426" s="312" t="n"/>
      <c r="G426" s="312" t="n"/>
      <c r="H426" s="312" t="n"/>
      <c r="I426" s="313" t="n"/>
      <c r="J426" s="199" t="inlineStr">
        <is>
          <t>SPCI</t>
        </is>
      </c>
      <c r="K426" s="314" t="n">
        <v>2500000</v>
      </c>
      <c r="L426" s="2" t="n">
        <v>44455</v>
      </c>
      <c r="M426" s="170" t="n"/>
      <c r="N426" s="170" t="n">
        <v>3104165783</v>
      </c>
      <c r="O426" s="172" t="inlineStr">
        <is>
          <t>Cristiam Mondragón</t>
        </is>
      </c>
      <c r="P426" s="52" t="inlineStr">
        <is>
          <t>dir.proyectos2@spcisas.com.co</t>
        </is>
      </c>
    </row>
    <row r="427">
      <c r="B427" s="170" t="n">
        <v>415</v>
      </c>
      <c r="C427" s="199" t="inlineStr">
        <is>
          <t>COTIZACION DE LOS DISEÑOS DE PROTECCIÓN CONTRA INCENDIOS Y SEGURIDAD HUMANA PARA EL PROYECTO CLINICA AUNA LAS AMERICAS CR 80</t>
        </is>
      </c>
      <c r="D427" s="312" t="n"/>
      <c r="E427" s="312" t="n"/>
      <c r="F427" s="312" t="n"/>
      <c r="G427" s="312" t="n"/>
      <c r="H427" s="312" t="n"/>
      <c r="I427" s="313" t="n"/>
      <c r="J427" s="199" t="inlineStr">
        <is>
          <t>INTERVE</t>
        </is>
      </c>
      <c r="K427" s="314" t="n">
        <v>4500000</v>
      </c>
      <c r="L427" s="2" t="n">
        <v>44455</v>
      </c>
      <c r="M427" s="170" t="inlineStr">
        <is>
          <t>X</t>
        </is>
      </c>
      <c r="N427" s="170" t="inlineStr">
        <is>
          <t>57(4) 352 3434</t>
        </is>
      </c>
      <c r="O427" s="172" t="inlineStr">
        <is>
          <t>Humberto Acevedo</t>
        </is>
      </c>
      <c r="P427" s="52" t="inlineStr">
        <is>
          <t>hacevedo@interve.co</t>
        </is>
      </c>
    </row>
    <row r="428">
      <c r="B428" s="170" t="n">
        <v>416</v>
      </c>
      <c r="C428" s="199" t="inlineStr">
        <is>
          <t>COTIZACION DEL ANÁLISIS DE SEGURIDAD HUMANA PARA EL PROYECTO BALCONES DE RIASCOS</t>
        </is>
      </c>
      <c r="D428" s="312" t="n"/>
      <c r="E428" s="312" t="n"/>
      <c r="F428" s="312" t="n"/>
      <c r="G428" s="312" t="n"/>
      <c r="H428" s="312" t="n"/>
      <c r="I428" s="313" t="n"/>
      <c r="J428" s="199" t="inlineStr">
        <is>
          <t>Stratego</t>
        </is>
      </c>
      <c r="K428" s="314" t="n">
        <v>3135000</v>
      </c>
      <c r="L428" s="2" t="n">
        <v>44455</v>
      </c>
      <c r="M428" s="170" t="n"/>
      <c r="N428" s="170" t="n">
        <v>3116725581</v>
      </c>
      <c r="O428" s="172" t="inlineStr">
        <is>
          <t>Daniela Henao Correa</t>
        </is>
      </c>
      <c r="P428" s="52" t="inlineStr">
        <is>
          <t>d.henao@stratego.com.co</t>
        </is>
      </c>
    </row>
    <row r="429">
      <c r="B429" s="170" t="n">
        <v>417</v>
      </c>
      <c r="C429" s="199" t="inlineStr">
        <is>
          <t>COTIZACION DE LOS DISEÑOS DE PROTECCIÓN CONTRA INCENDIOS PARA EL PROYECTO EDIFICIO BORNEO 2 PH</t>
        </is>
      </c>
      <c r="D429" s="312" t="n"/>
      <c r="E429" s="312" t="n"/>
      <c r="F429" s="312" t="n"/>
      <c r="G429" s="312" t="n"/>
      <c r="H429" s="312" t="n"/>
      <c r="I429" s="313" t="n"/>
      <c r="J429" s="199" t="inlineStr">
        <is>
          <t>BORNEO</t>
        </is>
      </c>
      <c r="K429" s="314" t="n">
        <v>4950000</v>
      </c>
      <c r="L429" s="2" t="n">
        <v>44455</v>
      </c>
      <c r="M429" s="170" t="n"/>
      <c r="N429" s="170" t="n">
        <v>3007309228</v>
      </c>
      <c r="O429" s="172" t="inlineStr">
        <is>
          <t>Luis Fernando Lopez</t>
        </is>
      </c>
      <c r="P429" s="52" t="inlineStr">
        <is>
          <t>borneo2ph@hotmail.com</t>
        </is>
      </c>
    </row>
    <row r="430">
      <c r="B430" s="170" t="n">
        <v>418</v>
      </c>
      <c r="C430" s="199" t="inlineStr">
        <is>
          <t>COTIZACION DEL DISEÑO DE EXTINCIÓN DE INCENDIOS PARA EL PROYECTO LOCAL 212 VIVA BARRANQUILLA</t>
        </is>
      </c>
      <c r="D430" s="312" t="n"/>
      <c r="E430" s="312" t="n"/>
      <c r="F430" s="312" t="n"/>
      <c r="G430" s="312" t="n"/>
      <c r="H430" s="312" t="n"/>
      <c r="I430" s="313" t="n"/>
      <c r="J430" s="199" t="inlineStr">
        <is>
          <t>SPCI</t>
        </is>
      </c>
      <c r="K430" s="314" t="n">
        <v>1500000</v>
      </c>
      <c r="L430" s="2" t="n">
        <v>44456</v>
      </c>
      <c r="M430" s="170" t="inlineStr">
        <is>
          <t>X</t>
        </is>
      </c>
      <c r="N430" s="170" t="n">
        <v>3137546144</v>
      </c>
      <c r="O430" s="172" t="inlineStr">
        <is>
          <t>Camilo Quintero</t>
        </is>
      </c>
      <c r="P430" s="52" t="inlineStr">
        <is>
          <t>dir.mantenimiento@spcisas.com.co</t>
        </is>
      </c>
    </row>
    <row r="431">
      <c r="B431" s="170" t="n">
        <v>419</v>
      </c>
      <c r="C431" s="246" t="inlineStr">
        <is>
          <t xml:space="preserve">COTIZACION DEL ANÁLISIS DE SEGURIDAD HUMANA PARA EL PROYECTO EDIFICIO CONFIAR
</t>
        </is>
      </c>
      <c r="D431" s="312" t="n"/>
      <c r="E431" s="312" t="n"/>
      <c r="F431" s="312" t="n"/>
      <c r="G431" s="312" t="n"/>
      <c r="H431" s="312" t="n"/>
      <c r="I431" s="313" t="n"/>
      <c r="J431" s="199" t="inlineStr">
        <is>
          <t>SOLIDA VIVIENDA SOLIDARIA</t>
        </is>
      </c>
      <c r="K431" s="314" t="n">
        <v>2950000</v>
      </c>
      <c r="L431" s="2" t="n">
        <v>44456</v>
      </c>
      <c r="M431" s="170" t="n"/>
      <c r="N431" s="170" t="inlineStr">
        <is>
          <t>4487500 ext 4912</t>
        </is>
      </c>
      <c r="O431" s="172" t="inlineStr">
        <is>
          <t>Yaddy Giron Martinez</t>
        </is>
      </c>
      <c r="P431" s="52" t="inlineStr">
        <is>
          <t>yaddy.giron@solida.com.co</t>
        </is>
      </c>
    </row>
    <row r="432">
      <c r="B432" s="170" t="n">
        <v>420</v>
      </c>
      <c r="C432" s="199" t="inlineStr">
        <is>
          <t>COTIZACION DEL ANÁLISIS DE SEGURIDAD HUMANA PARA EL PROYECTO FLORES DEL CAMPO</t>
        </is>
      </c>
      <c r="D432" s="312" t="n"/>
      <c r="E432" s="312" t="n"/>
      <c r="F432" s="312" t="n"/>
      <c r="G432" s="312" t="n"/>
      <c r="H432" s="312" t="n"/>
      <c r="I432" s="313" t="n"/>
      <c r="J432" s="199" t="inlineStr">
        <is>
          <t>SOLIDA VIVIENDA SOLIDARIA</t>
        </is>
      </c>
      <c r="K432" s="314" t="n">
        <v>1500000</v>
      </c>
      <c r="L432" s="2" t="n">
        <v>44456</v>
      </c>
      <c r="M432" s="170" t="inlineStr">
        <is>
          <t>X</t>
        </is>
      </c>
      <c r="N432" s="170" t="inlineStr">
        <is>
          <t>4487500 ext 4912</t>
        </is>
      </c>
      <c r="O432" s="172" t="inlineStr">
        <is>
          <t>Yaddy Giron Martinez</t>
        </is>
      </c>
      <c r="P432" s="52" t="inlineStr">
        <is>
          <t>yaddy.giron@solida.com.co</t>
        </is>
      </c>
    </row>
    <row r="433">
      <c r="B433" s="170" t="n">
        <v>421</v>
      </c>
      <c r="C433" s="199" t="inlineStr">
        <is>
          <t>COTIZACION DE LOS DISEÑOS DE PROTECCIÓN CONTRA INCENDIOS PARA EL PROYECTO DE LOLITA PLAZA FABRICATO</t>
        </is>
      </c>
      <c r="D433" s="312" t="n"/>
      <c r="E433" s="312" t="n"/>
      <c r="F433" s="312" t="n"/>
      <c r="G433" s="312" t="n"/>
      <c r="H433" s="312" t="n"/>
      <c r="I433" s="313" t="n"/>
      <c r="J433" s="199" t="inlineStr">
        <is>
          <t>FP SERVICES SAS</t>
        </is>
      </c>
      <c r="K433" s="314" t="n">
        <v>1500000</v>
      </c>
      <c r="L433" s="2" t="n">
        <v>44459</v>
      </c>
      <c r="M433" s="170" t="n"/>
      <c r="N433" s="170" t="n">
        <v>3122371313</v>
      </c>
      <c r="O433" s="172" t="inlineStr">
        <is>
          <t>Yhonatan Marin Ochoa</t>
        </is>
      </c>
      <c r="P433" s="52" t="inlineStr">
        <is>
          <t>proyectos@fpservices.com.co</t>
        </is>
      </c>
    </row>
    <row r="434">
      <c r="B434" s="170" t="n">
        <v>422</v>
      </c>
      <c r="C434" s="199" t="inlineStr">
        <is>
          <t>COTIZACION DEL DISEÑO DE EXTINCIÓN DE INCENDIOS PARA EL PROYECTO SUNEDU</t>
        </is>
      </c>
      <c r="D434" s="312" t="n"/>
      <c r="E434" s="312" t="n"/>
      <c r="F434" s="312" t="n"/>
      <c r="G434" s="312" t="n"/>
      <c r="H434" s="312" t="n"/>
      <c r="I434" s="313" t="n"/>
      <c r="J434" s="199" t="inlineStr">
        <is>
          <t>FIRE PROTECTION SOLUTIONS GROUP, LLC</t>
        </is>
      </c>
      <c r="K434" s="314" t="n"/>
      <c r="L434" s="2" t="n">
        <v>44460</v>
      </c>
      <c r="M434" s="170" t="n"/>
      <c r="N434" s="170" t="n">
        <v>3108227462</v>
      </c>
      <c r="O434" s="172" t="inlineStr">
        <is>
          <t>ALVARO MANOSALVA</t>
        </is>
      </c>
      <c r="P434" s="52" t="inlineStr">
        <is>
          <t>alvaromanosalva@sfiregroup.com</t>
        </is>
      </c>
    </row>
    <row r="435" ht="15" customHeight="1">
      <c r="B435" s="170" t="n">
        <v>423</v>
      </c>
      <c r="C435" s="233" t="inlineStr">
        <is>
          <t xml:space="preserve">COTIZACION DEL DISEÑO DE DETECCIÓN DE INCENDIOS PARA EL PROYECTO GREEN B
</t>
        </is>
      </c>
      <c r="D435" s="312" t="n"/>
      <c r="E435" s="312" t="n"/>
      <c r="F435" s="312" t="n"/>
      <c r="G435" s="312" t="n"/>
      <c r="H435" s="312" t="n"/>
      <c r="I435" s="313" t="n"/>
      <c r="J435" s="199" t="inlineStr">
        <is>
          <t>JOMARK</t>
        </is>
      </c>
      <c r="K435" s="314" t="n">
        <v>5000000</v>
      </c>
      <c r="L435" s="2" t="n">
        <v>44460</v>
      </c>
      <c r="M435" s="170" t="n"/>
      <c r="N435" s="170" t="n">
        <v>3147943785</v>
      </c>
      <c r="O435" s="172" t="inlineStr">
        <is>
          <t>Laura Duque Betancur</t>
        </is>
      </c>
      <c r="P435" s="52" t="inlineStr">
        <is>
          <t>proyectos2@jomarkseguridad.com</t>
        </is>
      </c>
    </row>
    <row r="436">
      <c r="B436" s="170" t="n">
        <v>424</v>
      </c>
      <c r="C436" s="233" t="inlineStr">
        <is>
          <t>COTIZACION DEL DISEÑO DE DETECCIÓN DE INCENDIOS PARA EL PROYECTO CENTRO COMERCIAL EL DIAMANTE</t>
        </is>
      </c>
      <c r="D436" s="312" t="n"/>
      <c r="E436" s="312" t="n"/>
      <c r="F436" s="312" t="n"/>
      <c r="G436" s="312" t="n"/>
      <c r="H436" s="312" t="n"/>
      <c r="I436" s="313" t="n"/>
      <c r="J436" s="199" t="inlineStr">
        <is>
          <t>SPCI</t>
        </is>
      </c>
      <c r="K436" s="314" t="n">
        <v>15000</v>
      </c>
      <c r="L436" s="2" t="n">
        <v>44460</v>
      </c>
      <c r="M436" s="170" t="n"/>
      <c r="N436" s="170" t="n">
        <v>3104165783</v>
      </c>
      <c r="O436" s="172" t="inlineStr">
        <is>
          <t>Cristiam Mondragón Cortes</t>
        </is>
      </c>
      <c r="P436" s="52" t="inlineStr">
        <is>
          <t>dir.proyectos2@spcisas.com.co</t>
        </is>
      </c>
    </row>
    <row r="437">
      <c r="B437" s="170" t="n">
        <v>425</v>
      </c>
      <c r="C437" s="199" t="inlineStr">
        <is>
          <t>COTIZACION DEL DISEÑO DE DETECCIÓN DE INCENDIOS PARA EL PROYECTO BALANCE PHARMA SAS</t>
        </is>
      </c>
      <c r="D437" s="312" t="n"/>
      <c r="E437" s="312" t="n"/>
      <c r="F437" s="312" t="n"/>
      <c r="G437" s="312" t="n"/>
      <c r="H437" s="312" t="n"/>
      <c r="I437" s="313" t="n"/>
      <c r="J437" s="199" t="inlineStr">
        <is>
          <t>JOMARK</t>
        </is>
      </c>
      <c r="K437" s="314" t="n">
        <v>2250000</v>
      </c>
      <c r="L437" s="2" t="n">
        <v>44460</v>
      </c>
      <c r="M437" s="170" t="n"/>
      <c r="N437" s="170" t="n">
        <v>3147943785</v>
      </c>
      <c r="O437" s="172" t="inlineStr">
        <is>
          <t>Laura Duque Betancur</t>
        </is>
      </c>
      <c r="P437" s="52" t="inlineStr">
        <is>
          <t>proyectos2@jomarkseguridad.com</t>
        </is>
      </c>
    </row>
    <row r="438">
      <c r="B438" s="170" t="n">
        <v>426</v>
      </c>
      <c r="C438" s="199" t="inlineStr">
        <is>
          <t>COTIZACION DE LOS DISEÑOS DE PROTECCIÓN CONTRA INCENDIOS PARA EL PROYECTO VINYL COLOR’S</t>
        </is>
      </c>
      <c r="D438" s="312" t="n"/>
      <c r="E438" s="312" t="n"/>
      <c r="F438" s="312" t="n"/>
      <c r="G438" s="312" t="n"/>
      <c r="H438" s="312" t="n"/>
      <c r="I438" s="313" t="n"/>
      <c r="J438" s="199" t="inlineStr">
        <is>
          <t>HSEQ</t>
        </is>
      </c>
      <c r="K438" s="314" t="n">
        <v>12850000</v>
      </c>
      <c r="L438" s="2" t="n">
        <v>44460</v>
      </c>
      <c r="M438" s="170" t="n"/>
      <c r="N438" s="170" t="n">
        <v>3106958133</v>
      </c>
      <c r="O438" s="172" t="inlineStr">
        <is>
          <t>Laura Daniela Torres</t>
        </is>
      </c>
      <c r="P438" s="52" t="inlineStr">
        <is>
          <t>latorresp96@gmail.com</t>
        </is>
      </c>
    </row>
    <row r="439">
      <c r="B439" s="170" t="n">
        <v>427</v>
      </c>
      <c r="C439" s="199" t="inlineStr">
        <is>
          <t>COTIZACION DEL DISEÑO DE EXTINCIÓN DE INCENDIOS PARA EL PROYECTO AL PARQUE</t>
        </is>
      </c>
      <c r="D439" s="312" t="n"/>
      <c r="E439" s="312" t="n"/>
      <c r="F439" s="312" t="n"/>
      <c r="G439" s="312" t="n"/>
      <c r="H439" s="312" t="n"/>
      <c r="I439" s="313" t="n"/>
      <c r="J439" s="199" t="inlineStr">
        <is>
          <t>SECURETEC</t>
        </is>
      </c>
      <c r="K439" s="314" t="n">
        <v>550000</v>
      </c>
      <c r="L439" s="2" t="n">
        <v>44461</v>
      </c>
      <c r="M439" s="170" t="n"/>
      <c r="N439" s="170" t="n">
        <v>3206678830</v>
      </c>
      <c r="O439" s="172" t="inlineStr">
        <is>
          <t>Jhonny Castro</t>
        </is>
      </c>
      <c r="P439" s="52" t="inlineStr">
        <is>
          <t>dirproyectos@securetec.com.co</t>
        </is>
      </c>
    </row>
    <row r="440">
      <c r="B440" s="170" t="n">
        <v>428</v>
      </c>
      <c r="C440" s="233" t="inlineStr">
        <is>
          <t xml:space="preserve">COTIZACION DEL DISEÑO DE DETECCIÓN DE INCENDIOS PARA EL PROYECTO INGENIO RISARALDA
</t>
        </is>
      </c>
      <c r="D440" s="312" t="n"/>
      <c r="E440" s="312" t="n"/>
      <c r="F440" s="312" t="n"/>
      <c r="G440" s="312" t="n"/>
      <c r="H440" s="312" t="n"/>
      <c r="I440" s="313" t="n"/>
      <c r="J440" s="199" t="inlineStr">
        <is>
          <t>SPCI</t>
        </is>
      </c>
      <c r="K440" s="314" t="n">
        <v>1500000</v>
      </c>
      <c r="L440" s="2" t="n">
        <v>44461</v>
      </c>
      <c r="M440" s="170" t="inlineStr">
        <is>
          <t>X</t>
        </is>
      </c>
      <c r="N440" s="170" t="n">
        <v>3104165783</v>
      </c>
      <c r="O440" s="172" t="inlineStr">
        <is>
          <t>Cristiam Mondragón Cortes</t>
        </is>
      </c>
      <c r="P440" s="52" t="inlineStr">
        <is>
          <t>dir.proyectos2@spcisas.com.co</t>
        </is>
      </c>
    </row>
    <row r="441">
      <c r="B441" s="170" t="n">
        <v>429</v>
      </c>
      <c r="C441" s="199" t="inlineStr">
        <is>
          <t>COTIZACION DEL DISEÑO DE EXTINCIÓN DE INCENDIOS - PROYECTO OFICINA 1201 CCI</t>
        </is>
      </c>
      <c r="D441" s="312" t="n"/>
      <c r="E441" s="312" t="n"/>
      <c r="F441" s="312" t="n"/>
      <c r="G441" s="312" t="n"/>
      <c r="H441" s="312" t="n"/>
      <c r="I441" s="313" t="n"/>
      <c r="J441" s="199" t="inlineStr">
        <is>
          <t>SPCI</t>
        </is>
      </c>
      <c r="K441" s="314" t="n">
        <v>1500000</v>
      </c>
      <c r="L441" s="2" t="n">
        <v>44462</v>
      </c>
      <c r="M441" s="170" t="n"/>
      <c r="N441" s="170" t="n">
        <v>3137546144</v>
      </c>
      <c r="O441" s="172" t="inlineStr">
        <is>
          <t>Camilo Quintero</t>
        </is>
      </c>
      <c r="P441" s="52" t="inlineStr">
        <is>
          <t>dir.mantenimiento@spcisas.com.co</t>
        </is>
      </c>
    </row>
    <row r="442">
      <c r="B442" s="170" t="n">
        <v>430</v>
      </c>
      <c r="C442" s="199" t="inlineStr">
        <is>
          <t>COTIZACION DEL DISEÑO DE DETECCIÓN DE INCENDIOS PARA EL PROYECTO EDIFICIO CLINICA DEL PRADO</t>
        </is>
      </c>
      <c r="D442" s="312" t="n"/>
      <c r="E442" s="312" t="n"/>
      <c r="F442" s="312" t="n"/>
      <c r="G442" s="312" t="n"/>
      <c r="H442" s="312" t="n"/>
      <c r="I442" s="313" t="n"/>
      <c r="J442" s="199" t="inlineStr">
        <is>
          <t>SPCI</t>
        </is>
      </c>
      <c r="K442" s="314" t="n">
        <v>4390000</v>
      </c>
      <c r="L442" s="2" t="n">
        <v>44462</v>
      </c>
      <c r="M442" s="170" t="n"/>
      <c r="N442" s="170" t="n">
        <v>3104680508</v>
      </c>
      <c r="O442" s="172" t="inlineStr">
        <is>
          <t>Juan Pablo Grajales</t>
        </is>
      </c>
      <c r="P442" s="52" t="inlineStr">
        <is>
          <t>juan.grajales@spci.com.co</t>
        </is>
      </c>
    </row>
    <row r="443">
      <c r="B443" s="170" t="n">
        <v>431</v>
      </c>
      <c r="C443" s="199" t="inlineStr">
        <is>
          <t>COTIZACION DEL DISEÑO DE DETECCIÓN DE INCENDIOS PARA EL PROYECTO BANCOLOMBIA HALL DE CAJEROS SEVILLA</t>
        </is>
      </c>
      <c r="D443" s="312" t="n"/>
      <c r="E443" s="312" t="n"/>
      <c r="F443" s="312" t="n"/>
      <c r="G443" s="312" t="n"/>
      <c r="H443" s="312" t="n"/>
      <c r="I443" s="313" t="n"/>
      <c r="J443" s="199" t="inlineStr">
        <is>
          <t>SANTIAGO ROJAS</t>
        </is>
      </c>
      <c r="K443" s="314" t="n"/>
      <c r="L443" s="2" t="n">
        <v>44463</v>
      </c>
      <c r="M443" s="170" t="inlineStr">
        <is>
          <t>X</t>
        </is>
      </c>
      <c r="N443" s="170" t="n">
        <v>3022295772</v>
      </c>
      <c r="O443" s="172" t="inlineStr">
        <is>
          <t>Aurora Rios</t>
        </is>
      </c>
      <c r="P443" s="52" t="inlineStr">
        <is>
          <t>proyectos@santiagorojas.com.co</t>
        </is>
      </c>
    </row>
    <row r="444">
      <c r="B444" s="170" t="n">
        <v>432</v>
      </c>
      <c r="C444" s="199" t="inlineStr">
        <is>
          <t>COTIZACION DEL ANÁLISIS DE SEGURIDAD HUMANA PARA EL PROYECTO PROYECTO ED. AMBULATORIO CES</t>
        </is>
      </c>
      <c r="D444" s="312" t="n"/>
      <c r="E444" s="312" t="n"/>
      <c r="F444" s="312" t="n"/>
      <c r="G444" s="312" t="n"/>
      <c r="H444" s="312" t="n"/>
      <c r="I444" s="313" t="n"/>
      <c r="J444" s="199" t="inlineStr">
        <is>
          <t>CLINICA CES</t>
        </is>
      </c>
      <c r="K444" s="314" t="n">
        <v>2500000</v>
      </c>
      <c r="L444" s="2" t="n">
        <v>44463</v>
      </c>
      <c r="M444" s="170" t="n"/>
      <c r="N444" s="170" t="inlineStr">
        <is>
          <t>5767272- Ext 7387</t>
        </is>
      </c>
      <c r="O444" s="172" t="inlineStr">
        <is>
          <t>Leidy Alzate Quintero</t>
        </is>
      </c>
      <c r="P444" s="52" t="inlineStr">
        <is>
          <t>leidyalzateq@clinicaces.edu.co</t>
        </is>
      </c>
    </row>
    <row r="445">
      <c r="B445" s="170" t="n">
        <v>433</v>
      </c>
      <c r="C445" s="199" t="inlineStr">
        <is>
          <t>COTIZACION DEL DISEÑO DE EXTINCIÓN DE INCENDIOS PARA EL PROYECTO CONSULTORIO 450m2</t>
        </is>
      </c>
      <c r="D445" s="312" t="n"/>
      <c r="E445" s="312" t="n"/>
      <c r="F445" s="312" t="n"/>
      <c r="G445" s="312" t="n"/>
      <c r="H445" s="312" t="n"/>
      <c r="I445" s="313" t="n"/>
      <c r="J445" s="199" t="inlineStr">
        <is>
          <t>Taller Sintesis Arquitectura</t>
        </is>
      </c>
      <c r="K445" s="314" t="n"/>
      <c r="L445" s="2" t="n">
        <v>44463</v>
      </c>
      <c r="M445" s="170" t="n"/>
      <c r="N445" s="170" t="n"/>
      <c r="O445" s="172" t="inlineStr">
        <is>
          <t>Farhid Maya</t>
        </is>
      </c>
      <c r="P445" s="172" t="n"/>
    </row>
    <row r="446">
      <c r="B446" s="170" t="n">
        <v>434</v>
      </c>
      <c r="C446" s="246" t="inlineStr">
        <is>
          <t xml:space="preserve">COTIZACION DEL DISEÑO DE EXTINCIÓN DE INCENDIOS PARA EL PROYECTO EDIFICIO HOSPITALARIO 2.000m2
</t>
        </is>
      </c>
      <c r="D446" s="312" t="n"/>
      <c r="E446" s="312" t="n"/>
      <c r="F446" s="312" t="n"/>
      <c r="G446" s="312" t="n"/>
      <c r="H446" s="312" t="n"/>
      <c r="I446" s="313" t="n"/>
      <c r="J446" s="199" t="inlineStr">
        <is>
          <t>Taller Sintesis Arquitectura</t>
        </is>
      </c>
      <c r="K446" s="314" t="n"/>
      <c r="L446" s="2" t="n">
        <v>44463</v>
      </c>
      <c r="M446" s="170" t="n"/>
      <c r="N446" s="170" t="n"/>
      <c r="O446" s="172" t="inlineStr">
        <is>
          <t>Farhid Maya</t>
        </is>
      </c>
      <c r="P446" s="172" t="n"/>
    </row>
    <row r="447">
      <c r="B447" s="170" t="n">
        <v>435</v>
      </c>
      <c r="C447" s="246" t="inlineStr">
        <is>
          <t xml:space="preserve">COTIZACION DEL DISEÑO DE EXTINCIÓN DE INCENDIOS PARA EL PROYECTO FARMACIA 200 m2
</t>
        </is>
      </c>
      <c r="D447" s="312" t="n"/>
      <c r="E447" s="312" t="n"/>
      <c r="F447" s="312" t="n"/>
      <c r="G447" s="312" t="n"/>
      <c r="H447" s="312" t="n"/>
      <c r="I447" s="313" t="n"/>
      <c r="J447" s="199" t="inlineStr">
        <is>
          <t>Taller Sintesis Arquitectura</t>
        </is>
      </c>
      <c r="K447" s="314" t="n"/>
      <c r="L447" s="2" t="n">
        <v>44463</v>
      </c>
      <c r="M447" s="170" t="n"/>
      <c r="N447" s="170" t="n"/>
      <c r="O447" s="172" t="inlineStr">
        <is>
          <t>Farhid Maya</t>
        </is>
      </c>
      <c r="P447" s="172" t="n"/>
    </row>
    <row r="448">
      <c r="B448" s="170" t="n">
        <v>436</v>
      </c>
      <c r="C448" s="199" t="inlineStr">
        <is>
          <t xml:space="preserve">COTIZACION DE LOS DISEÑOS DE PROTECCIÓN CONTRA INCENDIOS Y SEGURIDAD HUMANA PARA EL PROYECTO VALLE VERDE TORRE </t>
        </is>
      </c>
      <c r="D448" s="312" t="n"/>
      <c r="E448" s="312" t="n"/>
      <c r="F448" s="312" t="n"/>
      <c r="G448" s="312" t="n"/>
      <c r="H448" s="312" t="n"/>
      <c r="I448" s="313" t="n"/>
      <c r="J448" s="199" t="inlineStr">
        <is>
          <t>MENSULA</t>
        </is>
      </c>
      <c r="K448" s="314" t="n">
        <v>7950000</v>
      </c>
      <c r="L448" s="2" t="n">
        <v>44466</v>
      </c>
      <c r="M448" s="170" t="inlineStr">
        <is>
          <t>X</t>
        </is>
      </c>
      <c r="N448" s="170" t="n">
        <v>3008643710</v>
      </c>
      <c r="O448" s="172" t="inlineStr">
        <is>
          <t>Cristina Palacio Pérez</t>
        </is>
      </c>
      <c r="P448" s="52" t="inlineStr">
        <is>
          <t>cristinapalacio@mensulaingenieros.com</t>
        </is>
      </c>
    </row>
    <row r="449">
      <c r="B449" s="170" t="n">
        <v>437</v>
      </c>
      <c r="C449" s="199" t="inlineStr">
        <is>
          <t>COTIZACION DE LOS DISEÑOS DE PROTECCIÓN CONTRA INCENDIOS Y SEGURIDAD HUMANA PARA EL PROYECTO CENTRO DE ATENCIÓN DE VETERINARIA</t>
        </is>
      </c>
      <c r="D449" s="312" t="n"/>
      <c r="E449" s="312" t="n"/>
      <c r="F449" s="312" t="n"/>
      <c r="G449" s="312" t="n"/>
      <c r="H449" s="312" t="n"/>
      <c r="I449" s="313" t="n"/>
      <c r="J449" s="199" t="inlineStr">
        <is>
          <t>Constructor Civil</t>
        </is>
      </c>
      <c r="K449" s="314" t="n">
        <v>4700000</v>
      </c>
      <c r="L449" s="2" t="n">
        <v>44467</v>
      </c>
      <c r="M449" s="170" t="n"/>
      <c r="N449" s="170" t="n"/>
      <c r="O449" s="172" t="inlineStr">
        <is>
          <t>Faber Esneider Villa Cardona</t>
        </is>
      </c>
      <c r="P449" s="52" t="inlineStr">
        <is>
          <t>fabervilla1@gmail.com</t>
        </is>
      </c>
    </row>
    <row r="450">
      <c r="B450" s="170" t="n">
        <v>438</v>
      </c>
      <c r="C450" s="246" t="inlineStr">
        <is>
          <t xml:space="preserve">COTIZACION DEL DISEÑO DE EXTINCIÓN DE INCENDIOS PARA EL PROYECTO SINERGIA EL POBLADO CAMARA DE COMERCIO
</t>
        </is>
      </c>
      <c r="D450" s="312" t="n"/>
      <c r="E450" s="312" t="n"/>
      <c r="F450" s="312" t="n"/>
      <c r="G450" s="312" t="n"/>
      <c r="H450" s="312" t="n"/>
      <c r="I450" s="313" t="n"/>
      <c r="J450" s="199" t="inlineStr">
        <is>
          <t>SPCI</t>
        </is>
      </c>
      <c r="K450" s="314" t="n">
        <v>3390000</v>
      </c>
      <c r="L450" s="2" t="n">
        <v>44467</v>
      </c>
      <c r="M450" s="170" t="n"/>
      <c r="N450" s="170" t="n">
        <v>3137546144</v>
      </c>
      <c r="O450" s="172" t="inlineStr">
        <is>
          <t>Juan Camilo Quintero</t>
        </is>
      </c>
      <c r="P450" s="52" t="inlineStr">
        <is>
          <t>dir.mantenimiento@spcisas.com.co</t>
        </is>
      </c>
    </row>
    <row r="451">
      <c r="B451" s="170" t="n">
        <v>439</v>
      </c>
      <c r="C451" s="199" t="inlineStr">
        <is>
          <t>COTIZACION DE LOS DISEÑOS DE PROTECCIÓN CONTRA INCENDIOS Y SEGURIDAD HUMANA PARA EL PROYECTO HOTEL LA CASTELLANA</t>
        </is>
      </c>
      <c r="D451" s="312" t="n"/>
      <c r="E451" s="312" t="n"/>
      <c r="F451" s="312" t="n"/>
      <c r="G451" s="312" t="n"/>
      <c r="H451" s="312" t="n"/>
      <c r="I451" s="313" t="n"/>
      <c r="J451" s="199" t="inlineStr">
        <is>
          <t>RRP ARQUITECTOS</t>
        </is>
      </c>
      <c r="K451" s="314" t="n">
        <v>8970000</v>
      </c>
      <c r="L451" s="2" t="n">
        <v>44467</v>
      </c>
      <c r="M451" s="170" t="inlineStr">
        <is>
          <t>X</t>
        </is>
      </c>
      <c r="N451" s="170" t="n"/>
      <c r="O451" s="172" t="inlineStr">
        <is>
          <t>Valeria Haydar Valderrama</t>
        </is>
      </c>
      <c r="P451" s="52" t="inlineStr">
        <is>
          <t>valeria.haydar@upb.edu.co</t>
        </is>
      </c>
    </row>
    <row r="452">
      <c r="B452" s="170" t="n">
        <v>440</v>
      </c>
      <c r="C452" s="199" t="inlineStr">
        <is>
          <t>COTIZACION DEL DISEÑO DE EXTINCIÓN DE INCENDIOS - CERÁMICA ITALIA</t>
        </is>
      </c>
      <c r="D452" s="312" t="n"/>
      <c r="E452" s="312" t="n"/>
      <c r="F452" s="312" t="n"/>
      <c r="G452" s="312" t="n"/>
      <c r="H452" s="312" t="n"/>
      <c r="I452" s="313" t="n"/>
      <c r="J452" s="199" t="inlineStr">
        <is>
          <t>CONCONCRETO</t>
        </is>
      </c>
      <c r="K452" s="314" t="n">
        <v>62000000</v>
      </c>
      <c r="L452" s="2" t="n">
        <v>44467</v>
      </c>
      <c r="M452" s="170" t="n"/>
      <c r="N452" s="170" t="n"/>
      <c r="O452" s="172" t="inlineStr">
        <is>
          <t>Lina Daza</t>
        </is>
      </c>
      <c r="P452" s="52" t="inlineStr">
        <is>
          <t xml:space="preserve">idaza@conconcreto.com                 </t>
        </is>
      </c>
    </row>
    <row r="453">
      <c r="B453" s="170" t="n">
        <v>441</v>
      </c>
      <c r="C453" s="199" t="inlineStr">
        <is>
          <t>COTIZACIÓN DE LA INGENIERÍA CONCEPTUAL EXTINCIÓN DE INCENDIOS Y SEGURIDAD HUMANA - LABORATORIO GASURE</t>
        </is>
      </c>
      <c r="D453" s="312" t="n"/>
      <c r="E453" s="312" t="n"/>
      <c r="F453" s="312" t="n"/>
      <c r="G453" s="312" t="n"/>
      <c r="H453" s="312" t="n"/>
      <c r="I453" s="313" t="n"/>
      <c r="J453" s="199" t="inlineStr">
        <is>
          <t>NATIVA INGENIERIA</t>
        </is>
      </c>
      <c r="K453" s="314" t="n">
        <v>4200000</v>
      </c>
      <c r="L453" s="2" t="n">
        <v>44468</v>
      </c>
      <c r="M453" s="170" t="n"/>
      <c r="N453" s="170" t="n">
        <v>3015421412</v>
      </c>
      <c r="O453" s="172" t="inlineStr">
        <is>
          <t>Juan Londoño</t>
        </is>
      </c>
      <c r="P453" s="52" t="inlineStr">
        <is>
          <t>juan.londono@serviciosipm.com</t>
        </is>
      </c>
    </row>
    <row r="454">
      <c r="B454" s="170" t="n">
        <v>442</v>
      </c>
      <c r="C454" s="199" t="inlineStr">
        <is>
          <t>COTIZACION DE LOS DISEÑOS DE PROTECCIÓN CONTRA INCENDIOS Y SEGURIDAD HUMANA PARA EL PROYECTO LAS LOMAS</t>
        </is>
      </c>
      <c r="D454" s="312" t="n"/>
      <c r="E454" s="312" t="n"/>
      <c r="F454" s="312" t="n"/>
      <c r="G454" s="312" t="n"/>
      <c r="H454" s="312" t="n"/>
      <c r="I454" s="313" t="n"/>
      <c r="J454" s="199" t="inlineStr">
        <is>
          <t>OBRASDE</t>
        </is>
      </c>
      <c r="K454" s="314" t="n">
        <v>11900000</v>
      </c>
      <c r="L454" s="2" t="n">
        <v>44470</v>
      </c>
      <c r="M454" s="170" t="n"/>
      <c r="N454" s="170" t="inlineStr">
        <is>
          <t>444 54 53</t>
        </is>
      </c>
      <c r="O454" s="172" t="inlineStr">
        <is>
          <t>JHON FERNANDO GÓMEZ MARÍN</t>
        </is>
      </c>
      <c r="P454" s="52" t="inlineStr">
        <is>
          <t>john.gomez@obrasde.com</t>
        </is>
      </c>
    </row>
    <row r="455">
      <c r="B455" s="170" t="n">
        <v>443</v>
      </c>
      <c r="C455" s="199" t="inlineStr">
        <is>
          <t>COTIZACION DE LOS DISEÑOS DE PROTECCIÓN CONTRA INCENDIOS Y SEGURIDAD HUMANA PARA EL PROYECTO LAS LOMAS</t>
        </is>
      </c>
      <c r="D455" s="312" t="n"/>
      <c r="E455" s="312" t="n"/>
      <c r="F455" s="312" t="n"/>
      <c r="G455" s="312" t="n"/>
      <c r="H455" s="312" t="n"/>
      <c r="I455" s="313" t="n"/>
      <c r="J455" s="199" t="inlineStr">
        <is>
          <t>SPCI</t>
        </is>
      </c>
      <c r="K455" s="314" t="n">
        <v>11000000</v>
      </c>
      <c r="L455" s="2" t="n">
        <v>44470</v>
      </c>
      <c r="M455" s="170" t="n"/>
      <c r="N455" s="170" t="inlineStr">
        <is>
          <t>321 482 61 68</t>
        </is>
      </c>
      <c r="O455" s="172" t="inlineStr">
        <is>
          <t>Ana Maria Restrepo</t>
        </is>
      </c>
      <c r="P455" s="52" t="inlineStr">
        <is>
          <t>costosypresupuestos1@spcisas.com.co</t>
        </is>
      </c>
    </row>
    <row r="456">
      <c r="B456" s="170" t="n">
        <v>444</v>
      </c>
      <c r="C456" s="199" t="inlineStr">
        <is>
          <t>COTIZACION DEL ANÁLISIS DE SEGURIDAD HUMANA PARA EL PROYECTO DCO</t>
        </is>
      </c>
      <c r="D456" s="312" t="n"/>
      <c r="E456" s="312" t="n"/>
      <c r="F456" s="312" t="n"/>
      <c r="G456" s="312" t="n"/>
      <c r="H456" s="312" t="n"/>
      <c r="I456" s="313" t="n"/>
      <c r="J456" s="199" t="inlineStr">
        <is>
          <t>CONCONCRETO</t>
        </is>
      </c>
      <c r="K456" s="314" t="n">
        <v>4390000</v>
      </c>
      <c r="L456" s="2" t="n">
        <v>44470</v>
      </c>
      <c r="M456" s="170" t="n"/>
      <c r="N456" s="170" t="inlineStr">
        <is>
          <t>300 367 50 22</t>
        </is>
      </c>
      <c r="O456" s="172" t="inlineStr">
        <is>
          <t>Andrés Restrepo</t>
        </is>
      </c>
      <c r="P456" s="52" t="inlineStr">
        <is>
          <t>arestrepoe@conconcreto.com</t>
        </is>
      </c>
    </row>
    <row r="457">
      <c r="B457" s="170" t="n">
        <v>445</v>
      </c>
      <c r="C457" s="199" t="inlineStr">
        <is>
          <t>COTIZACION DE LOS DISEÑOS DE PROTECCIÓN CONTRA INCENDIOS Y SEGURIDAD HUMANA PARA EL PROYECTO PRANA ENVIGADO</t>
        </is>
      </c>
      <c r="D457" s="312" t="n"/>
      <c r="E457" s="312" t="n"/>
      <c r="F457" s="312" t="n"/>
      <c r="G457" s="312" t="n"/>
      <c r="H457" s="312" t="n"/>
      <c r="I457" s="313" t="n"/>
      <c r="J457" s="199" t="inlineStr">
        <is>
          <t>SOLUCIONES CIVILES</t>
        </is>
      </c>
      <c r="K457" s="314" t="n">
        <v>18190000</v>
      </c>
      <c r="L457" s="2" t="n">
        <v>44471</v>
      </c>
      <c r="M457" s="170" t="inlineStr">
        <is>
          <t>X</t>
        </is>
      </c>
      <c r="N457" s="170" t="n">
        <v>4483960</v>
      </c>
      <c r="O457" s="172" t="inlineStr">
        <is>
          <t>Gustavo Aguirre Arcila</t>
        </is>
      </c>
      <c r="P457" s="91" t="inlineStr">
        <is>
          <t>gaguirre@solciviles.com</t>
        </is>
      </c>
    </row>
    <row r="458">
      <c r="B458" s="170" t="n">
        <v>446</v>
      </c>
      <c r="C458" s="199" t="inlineStr">
        <is>
          <t>COTIZACION DE LOS DISEÑOS DE PROTECCIÓN CONTRA INCENDIOS Y SEGURIDAD HUMANA PARA EL PROYECTO LA VIDA ES BELLA 2</t>
        </is>
      </c>
      <c r="D458" s="312" t="n"/>
      <c r="E458" s="312" t="n"/>
      <c r="F458" s="312" t="n"/>
      <c r="G458" s="312" t="n"/>
      <c r="H458" s="312" t="n"/>
      <c r="I458" s="313" t="n"/>
      <c r="J458" s="199" t="inlineStr">
        <is>
          <t>SOLUCIONES CIVILES</t>
        </is>
      </c>
      <c r="K458" s="314" t="n">
        <v>29850000</v>
      </c>
      <c r="L458" s="2" t="n">
        <v>44471</v>
      </c>
      <c r="M458" s="170" t="inlineStr">
        <is>
          <t>X</t>
        </is>
      </c>
      <c r="N458" s="170" t="n">
        <v>4483960</v>
      </c>
      <c r="O458" s="172" t="inlineStr">
        <is>
          <t>Gustavo Aguirre Arcila</t>
        </is>
      </c>
      <c r="P458" s="52" t="inlineStr">
        <is>
          <t>gaguirre@solciviles.com</t>
        </is>
      </c>
    </row>
    <row r="459">
      <c r="B459" s="170" t="n">
        <v>447</v>
      </c>
      <c r="C459" s="199" t="inlineStr">
        <is>
          <t>COTIZACION DE LOS DISEÑOS DE SEGURIDAD HUMANA Y PROTECCIÓN CONTRA  INCENDIOS - COMFAMA BELLO</t>
        </is>
      </c>
      <c r="D459" s="312" t="n"/>
      <c r="E459" s="312" t="n"/>
      <c r="F459" s="312" t="n"/>
      <c r="G459" s="312" t="n"/>
      <c r="H459" s="312" t="n"/>
      <c r="I459" s="313" t="n"/>
      <c r="J459" s="199" t="inlineStr">
        <is>
          <t>MARCOS ESTEBAN</t>
        </is>
      </c>
      <c r="K459" s="314" t="n">
        <v>49600000</v>
      </c>
      <c r="L459" s="2" t="n">
        <v>44471</v>
      </c>
      <c r="M459" s="170" t="n"/>
      <c r="N459" s="170" t="n"/>
      <c r="O459" s="172" t="inlineStr">
        <is>
          <t>Marcos Esteban Guerra</t>
        </is>
      </c>
      <c r="P459" s="52" t="inlineStr">
        <is>
          <t>meguerra0811@gmail.com</t>
        </is>
      </c>
    </row>
    <row r="460">
      <c r="B460" s="170" t="n">
        <v>448</v>
      </c>
      <c r="C460" s="199" t="inlineStr">
        <is>
          <t>COTIZACION DEL DISEÑO DE EXTINCIÓN DE INCENDIOS PARA EL PROYECTO SALUD VEGAS TORRE MÉDICA P.H</t>
        </is>
      </c>
      <c r="D460" s="312" t="n"/>
      <c r="E460" s="312" t="n"/>
      <c r="F460" s="312" t="n"/>
      <c r="G460" s="312" t="n"/>
      <c r="H460" s="312" t="n"/>
      <c r="I460" s="313" t="n"/>
      <c r="J460" s="199" t="inlineStr">
        <is>
          <t>ARQUITECTURA Y CONCRETO</t>
        </is>
      </c>
      <c r="K460" s="314" t="n"/>
      <c r="L460" s="2" t="n">
        <v>44473</v>
      </c>
      <c r="M460" s="170" t="inlineStr">
        <is>
          <t>X</t>
        </is>
      </c>
      <c r="N460" s="170" t="n"/>
      <c r="O460" s="172" t="inlineStr">
        <is>
          <t>Alejandra Sánchez</t>
        </is>
      </c>
      <c r="P460" s="52" t="inlineStr">
        <is>
          <t>arquitecta.alejandrasanchez@gmail.com</t>
        </is>
      </c>
    </row>
    <row r="461">
      <c r="B461" s="170" t="n">
        <v>449</v>
      </c>
      <c r="C461" s="199" t="inlineStr">
        <is>
          <t>COTIZACION DE LOS DISEÑOS DE PROTECCIÓN CONTRA INCENDIOS Y SEGURIDAD HUMANA PARA EL PROYECTO WAKE EL TESORO</t>
        </is>
      </c>
      <c r="D461" s="312" t="n"/>
      <c r="E461" s="312" t="n"/>
      <c r="F461" s="312" t="n"/>
      <c r="G461" s="312" t="n"/>
      <c r="H461" s="312" t="n"/>
      <c r="I461" s="313" t="n"/>
      <c r="J461" s="199" t="inlineStr">
        <is>
          <t>INTERVE</t>
        </is>
      </c>
      <c r="K461" s="314" t="n"/>
      <c r="L461" s="2" t="n">
        <v>44473</v>
      </c>
      <c r="M461" s="170" t="inlineStr">
        <is>
          <t>X</t>
        </is>
      </c>
      <c r="N461" s="170" t="n"/>
      <c r="O461" s="172" t="inlineStr">
        <is>
          <t>HUMBERTO ACEVEDO GUTIERREZ</t>
        </is>
      </c>
      <c r="P461" s="52" t="inlineStr">
        <is>
          <t>hacevedo@interve.co</t>
        </is>
      </c>
    </row>
    <row r="462">
      <c r="B462" s="170" t="n">
        <v>450</v>
      </c>
      <c r="C462" s="246" t="inlineStr">
        <is>
          <t xml:space="preserve">COTIZACION DE LOS DISEÑOS DE PROTECCIÓN CONTRA INCENDIOS PARA EL PROYECTO SEMPER LASER MEDELLIN
</t>
        </is>
      </c>
      <c r="D462" s="312" t="n"/>
      <c r="E462" s="312" t="n"/>
      <c r="F462" s="312" t="n"/>
      <c r="G462" s="312" t="n"/>
      <c r="H462" s="312" t="n"/>
      <c r="I462" s="313" t="n"/>
      <c r="J462" s="199" t="inlineStr">
        <is>
          <t>Hefex Red Contra Incendios</t>
        </is>
      </c>
      <c r="K462" s="314" t="n">
        <v>1880000</v>
      </c>
      <c r="L462" s="2" t="n">
        <v>44474</v>
      </c>
      <c r="M462" s="170" t="n"/>
      <c r="N462" s="170" t="inlineStr">
        <is>
          <t>305 4504268</t>
        </is>
      </c>
      <c r="O462" s="172" t="inlineStr">
        <is>
          <t xml:space="preserve">Juan Agudelo </t>
        </is>
      </c>
      <c r="P462" s="52" t="inlineStr">
        <is>
          <t>juan.agudelo@hefex.co</t>
        </is>
      </c>
    </row>
    <row r="463">
      <c r="B463" s="170" t="n">
        <v>451</v>
      </c>
      <c r="C463" s="199" t="inlineStr">
        <is>
          <t>COTIZACION DEL DISEÑO DE EXTINCIÓN DE INCENDIOS PARA EL PROYECTO T-RRAZO</t>
        </is>
      </c>
      <c r="D463" s="312" t="n"/>
      <c r="E463" s="312" t="n"/>
      <c r="F463" s="312" t="n"/>
      <c r="G463" s="312" t="n"/>
      <c r="H463" s="312" t="n"/>
      <c r="I463" s="313" t="n"/>
      <c r="J463" s="199" t="inlineStr">
        <is>
          <t>PERFEK</t>
        </is>
      </c>
      <c r="K463" s="314" t="n"/>
      <c r="L463" s="2" t="n">
        <v>44474</v>
      </c>
      <c r="M463" s="170" t="inlineStr">
        <is>
          <t>X</t>
        </is>
      </c>
      <c r="N463" s="170" t="n">
        <v>3007701428</v>
      </c>
      <c r="O463" s="172" t="inlineStr">
        <is>
          <t>Johana Montoya Zapata</t>
        </is>
      </c>
      <c r="P463" s="52" t="inlineStr">
        <is>
          <t>Johana.montoya@perfek.com.co</t>
        </is>
      </c>
    </row>
    <row r="464">
      <c r="B464" s="170" t="n">
        <v>452</v>
      </c>
      <c r="C464" s="246" t="inlineStr">
        <is>
          <t xml:space="preserve">COTIZACION DE LOS DISEÑOS DE PROTECCIÓN CONTRA INCENDIOS PARA EL PROYECTO SUBESTACIONES DE ENERGIA
</t>
        </is>
      </c>
      <c r="D464" s="312" t="n"/>
      <c r="E464" s="312" t="n"/>
      <c r="F464" s="312" t="n"/>
      <c r="G464" s="312" t="n"/>
      <c r="H464" s="312" t="n"/>
      <c r="I464" s="313" t="n"/>
      <c r="J464" s="199" t="inlineStr">
        <is>
          <t>COINSI</t>
        </is>
      </c>
      <c r="K464" s="314" t="n">
        <v>17500000</v>
      </c>
      <c r="L464" s="2" t="n">
        <v>44474</v>
      </c>
      <c r="M464" s="170" t="n"/>
      <c r="N464" s="170" t="n">
        <v>3218381675</v>
      </c>
      <c r="O464" s="172" t="inlineStr">
        <is>
          <t>Jonathan Hincapie</t>
        </is>
      </c>
      <c r="P464" s="52" t="inlineStr">
        <is>
          <t>disenos@coinsi.com</t>
        </is>
      </c>
    </row>
    <row r="465">
      <c r="B465" s="170" t="n">
        <v>453</v>
      </c>
      <c r="C465" s="199" t="inlineStr">
        <is>
          <t>COTIZACION DEL ANÁLISIS DE SEGURIDAD HUMANA PARA EL PROYECTO SENA GÓMEZ PLATA</t>
        </is>
      </c>
      <c r="D465" s="312" t="n"/>
      <c r="E465" s="312" t="n"/>
      <c r="F465" s="312" t="n"/>
      <c r="G465" s="312" t="n"/>
      <c r="H465" s="312" t="n"/>
      <c r="I465" s="313" t="n"/>
      <c r="J465" s="199" t="inlineStr">
        <is>
          <t>DESUR</t>
        </is>
      </c>
      <c r="K465" s="314" t="n">
        <v>15650000</v>
      </c>
      <c r="L465" s="2" t="n">
        <v>44475</v>
      </c>
      <c r="M465" s="72" t="n"/>
      <c r="N465" s="170" t="n"/>
      <c r="O465" s="172" t="inlineStr">
        <is>
          <t>Susana Cardona</t>
        </is>
      </c>
      <c r="P465" s="52" t="inlineStr">
        <is>
          <t>susana.cardona@desur.gov.co</t>
        </is>
      </c>
    </row>
    <row r="466">
      <c r="B466" s="170" t="n">
        <v>454</v>
      </c>
      <c r="C466" s="199" t="inlineStr">
        <is>
          <t>COTIZACION DE LOS DISEÑOS DE PROTECCIÓN CONTRA INCENDIOS Y SEGURIDAD HUMANA PARA EL PROYECTO T-RRAZO</t>
        </is>
      </c>
      <c r="D466" s="312" t="n"/>
      <c r="E466" s="312" t="n"/>
      <c r="F466" s="312" t="n"/>
      <c r="G466" s="312" t="n"/>
      <c r="H466" s="312" t="n"/>
      <c r="I466" s="313" t="n"/>
      <c r="J466" s="199" t="inlineStr">
        <is>
          <t>PERFEK</t>
        </is>
      </c>
      <c r="K466" s="314" t="n"/>
      <c r="L466" s="2" t="n">
        <v>44474</v>
      </c>
      <c r="M466" s="2" t="inlineStr">
        <is>
          <t>X</t>
        </is>
      </c>
      <c r="N466" s="170" t="n">
        <v>3007701428</v>
      </c>
      <c r="O466" s="172" t="inlineStr">
        <is>
          <t>Johana Montoya Zapata</t>
        </is>
      </c>
      <c r="P466" s="52" t="inlineStr">
        <is>
          <t>Johana.montoya@perfek.com.co</t>
        </is>
      </c>
    </row>
    <row r="467">
      <c r="B467" s="170" t="n">
        <v>455</v>
      </c>
      <c r="C467" s="199" t="inlineStr">
        <is>
          <t>COTIZACION DE LOS DISEÑOS DE PROTECCIÓN CONTRA INCENDIOS PARA EL PROYECTO LOCAL COLMEDICOS</t>
        </is>
      </c>
      <c r="D467" s="312" t="n"/>
      <c r="E467" s="312" t="n"/>
      <c r="F467" s="312" t="n"/>
      <c r="G467" s="312" t="n"/>
      <c r="H467" s="312" t="n"/>
      <c r="I467" s="313" t="n"/>
      <c r="J467" s="199" t="inlineStr">
        <is>
          <t>SOCOMES</t>
        </is>
      </c>
      <c r="K467" s="314" t="n">
        <v>2680000</v>
      </c>
      <c r="L467" s="2" t="n">
        <v>44480</v>
      </c>
      <c r="M467" s="170" t="inlineStr">
        <is>
          <t>X</t>
        </is>
      </c>
      <c r="N467" s="170" t="n">
        <v>3137851941</v>
      </c>
      <c r="O467" s="172" t="inlineStr">
        <is>
          <t>David Lopera Medina</t>
        </is>
      </c>
      <c r="P467" s="52" t="inlineStr">
        <is>
          <t>david.lopera@socomes.com</t>
        </is>
      </c>
    </row>
    <row r="468">
      <c r="B468" s="170" t="n">
        <v>456</v>
      </c>
      <c r="C468" s="199" t="inlineStr">
        <is>
          <t>COTIZACION DEL DISEÑO DE EXTINCIÓN DE INCENDIOS PARA EL PROYECTO BODENORTE</t>
        </is>
      </c>
      <c r="D468" s="312" t="n"/>
      <c r="E468" s="312" t="n"/>
      <c r="F468" s="312" t="n"/>
      <c r="G468" s="312" t="n"/>
      <c r="H468" s="312" t="n"/>
      <c r="I468" s="313" t="n"/>
      <c r="J468" s="199" t="inlineStr">
        <is>
          <t>JOMARK</t>
        </is>
      </c>
      <c r="K468" s="314" t="n"/>
      <c r="L468" s="2" t="n">
        <v>44480</v>
      </c>
      <c r="M468" s="170" t="n"/>
      <c r="N468" s="170" t="inlineStr">
        <is>
          <t>319 5981312</t>
        </is>
      </c>
      <c r="O468" s="172" t="inlineStr">
        <is>
          <t>Laura Duque</t>
        </is>
      </c>
      <c r="P468" s="52" t="inlineStr">
        <is>
          <t>Proyectos2@jomarkseguridad.com</t>
        </is>
      </c>
    </row>
    <row r="469">
      <c r="B469" s="170" t="n">
        <v>457</v>
      </c>
      <c r="C469" s="246" t="inlineStr">
        <is>
          <t xml:space="preserve">COTIZACION DE LOS DISEÑOS DE PROTECCIÓN CONTRA INCENDIOS Y SEGURIDAD HUMANA PARA EL PROYECTO COMFAMA SURA ARANJUEZ
</t>
        </is>
      </c>
      <c r="D469" s="312" t="n"/>
      <c r="E469" s="312" t="n"/>
      <c r="F469" s="312" t="n"/>
      <c r="G469" s="312" t="n"/>
      <c r="H469" s="312" t="n"/>
      <c r="I469" s="313" t="n"/>
      <c r="J469" s="199" t="inlineStr">
        <is>
          <t>PROYECTOS &amp; ESTRUCTURAS S.A.</t>
        </is>
      </c>
      <c r="K469" s="314" t="n"/>
      <c r="L469" s="2" t="n">
        <v>44480</v>
      </c>
      <c r="M469" s="170" t="n"/>
      <c r="N469" s="170" t="inlineStr">
        <is>
          <t>4075496-4075302</t>
        </is>
      </c>
      <c r="O469" s="172" t="inlineStr">
        <is>
          <t>JUAN C QUINTERO R</t>
        </is>
      </c>
      <c r="P469" s="52" t="inlineStr">
        <is>
          <t>arquitectura1@pye.com.co</t>
        </is>
      </c>
    </row>
    <row r="470">
      <c r="B470" s="170" t="n">
        <v>458</v>
      </c>
      <c r="C470" s="199" t="inlineStr">
        <is>
          <t>COTIZACION DE LOS DISEÑOS DE PROTECCIÓN CONTRA INCENDIOS PARA EL PROYECTO LOCAL COLMEDICOS</t>
        </is>
      </c>
      <c r="D470" s="312" t="n"/>
      <c r="E470" s="312" t="n"/>
      <c r="F470" s="312" t="n"/>
      <c r="G470" s="312" t="n"/>
      <c r="H470" s="312" t="n"/>
      <c r="I470" s="313" t="n"/>
      <c r="J470" s="199" t="inlineStr">
        <is>
          <t>ESPIRAL</t>
        </is>
      </c>
      <c r="K470" s="314" t="n">
        <v>2820000</v>
      </c>
      <c r="L470" s="2" t="n">
        <v>44481</v>
      </c>
      <c r="M470" s="170" t="n"/>
      <c r="N470" s="170" t="inlineStr">
        <is>
          <t>320 6350734</t>
        </is>
      </c>
      <c r="O470" s="172" t="inlineStr">
        <is>
          <t>Maria Isabel Correa</t>
        </is>
      </c>
      <c r="P470" s="52" t="inlineStr">
        <is>
          <t>maria.correa@espiral.com.co</t>
        </is>
      </c>
    </row>
    <row r="471">
      <c r="B471" s="170" t="n">
        <v>459</v>
      </c>
      <c r="C471" s="199" t="inlineStr">
        <is>
          <t>COTIZACION DEL DISEÑO DE DETECCIÓN DE INCENDIOS PARA EL PROYECTO BANCOLOMBIA HALL DE CAJEROS ORBE PLAZA</t>
        </is>
      </c>
      <c r="D471" s="312" t="n"/>
      <c r="E471" s="312" t="n"/>
      <c r="F471" s="312" t="n"/>
      <c r="G471" s="312" t="n"/>
      <c r="H471" s="312" t="n"/>
      <c r="I471" s="313" t="n"/>
      <c r="J471" s="199" t="inlineStr">
        <is>
          <t>SANTIAGO ROJAS</t>
        </is>
      </c>
      <c r="K471" s="314" t="n">
        <v>750000</v>
      </c>
      <c r="L471" s="2" t="n">
        <v>44482</v>
      </c>
      <c r="M471" s="170" t="inlineStr">
        <is>
          <t>X</t>
        </is>
      </c>
      <c r="N471" s="170" t="n">
        <v>3022295772</v>
      </c>
      <c r="O471" s="172" t="inlineStr">
        <is>
          <t>Aurora Rios</t>
        </is>
      </c>
      <c r="P471" s="52" t="inlineStr">
        <is>
          <t>proyectos@santiagorojas.com.co</t>
        </is>
      </c>
    </row>
    <row r="472">
      <c r="B472" s="170" t="n">
        <v>460</v>
      </c>
      <c r="C472" s="199" t="inlineStr">
        <is>
          <t>COTIZACION DEL DISEÑO DE EXTINCIÓN DE INCENDIOS PARA EL PROYECTO HANGARES</t>
        </is>
      </c>
      <c r="D472" s="312" t="n"/>
      <c r="E472" s="312" t="n"/>
      <c r="F472" s="312" t="n"/>
      <c r="G472" s="312" t="n"/>
      <c r="H472" s="312" t="n"/>
      <c r="I472" s="313" t="n"/>
      <c r="J472" s="199" t="inlineStr">
        <is>
          <t>FIRE PROTECTION SOLUTIONS GROUP, LLC</t>
        </is>
      </c>
      <c r="K472" s="314" t="n"/>
      <c r="L472" s="2" t="n">
        <v>44482</v>
      </c>
      <c r="M472" s="170" t="n"/>
      <c r="N472" s="170" t="n">
        <v>3108227462</v>
      </c>
      <c r="O472" s="172" t="inlineStr">
        <is>
          <t>ALVARO MANOSALVA</t>
        </is>
      </c>
      <c r="P472" s="52" t="inlineStr">
        <is>
          <t>alvaromanosalva@sfiregroup.com</t>
        </is>
      </c>
    </row>
    <row r="473" ht="15" customHeight="1">
      <c r="B473" s="170" t="n">
        <v>461</v>
      </c>
      <c r="C473" s="199" t="inlineStr">
        <is>
          <t xml:space="preserve">
COTIZACION DE LOS DISEÑOS DE PROTECCIÓN CONTRA INCENDIOS Y SEGURIDAD HUMANA PARA EL PROYECTO WAKE 2.0</t>
        </is>
      </c>
      <c r="D473" s="312" t="n"/>
      <c r="E473" s="312" t="n"/>
      <c r="F473" s="312" t="n"/>
      <c r="G473" s="312" t="n"/>
      <c r="H473" s="312" t="n"/>
      <c r="I473" s="313" t="n"/>
      <c r="J473" s="199" t="inlineStr">
        <is>
          <t>INTERVE</t>
        </is>
      </c>
      <c r="K473" s="314" t="n"/>
      <c r="L473" s="2" t="n">
        <v>44483</v>
      </c>
      <c r="M473" s="170" t="n"/>
      <c r="N473" s="170" t="n">
        <v>3007808119</v>
      </c>
      <c r="O473" s="172" t="inlineStr">
        <is>
          <t>Luis Felipe Arboleda Monsalve</t>
        </is>
      </c>
      <c r="P473" s="52" t="inlineStr">
        <is>
          <t>farboleda@interve.co</t>
        </is>
      </c>
    </row>
    <row r="474">
      <c r="B474" s="170" t="n">
        <v>462</v>
      </c>
      <c r="C474" s="199" t="inlineStr">
        <is>
          <t>COTIZACION DE LOS DISEÑOS DE PROTECCIÓN CONTRA INCENDIOS Y SEGURIDAD HUMANA PARA EL PROYECTO AGUA MARINA</t>
        </is>
      </c>
      <c r="D474" s="312" t="n"/>
      <c r="E474" s="312" t="n"/>
      <c r="F474" s="312" t="n"/>
      <c r="G474" s="312" t="n"/>
      <c r="H474" s="312" t="n"/>
      <c r="I474" s="313" t="n"/>
      <c r="J474" s="199" t="inlineStr">
        <is>
          <t>GINO</t>
        </is>
      </c>
      <c r="K474" s="314" t="n"/>
      <c r="L474" s="2" t="n">
        <v>44484</v>
      </c>
      <c r="M474" s="170" t="n"/>
      <c r="N474" s="170" t="n">
        <v>3113396273</v>
      </c>
      <c r="O474" s="172" t="inlineStr">
        <is>
          <t>Gino Alejandro Montoya Mazo</t>
        </is>
      </c>
      <c r="P474" s="52" t="inlineStr">
        <is>
          <t>gino1037@hotmail.com</t>
        </is>
      </c>
    </row>
    <row r="475">
      <c r="B475" s="170" t="n">
        <v>463</v>
      </c>
      <c r="C475" s="199" t="inlineStr">
        <is>
          <t>COTIZACION DE LOS DISEÑOS DE PROTECCIÓN CONTRA INCENDIOS - EDIFICIO ALEJANDRÍA</t>
        </is>
      </c>
      <c r="D475" s="312" t="n"/>
      <c r="E475" s="312" t="n"/>
      <c r="F475" s="312" t="n"/>
      <c r="G475" s="312" t="n"/>
      <c r="H475" s="312" t="n"/>
      <c r="I475" s="313" t="n"/>
      <c r="J475" s="199" t="inlineStr">
        <is>
          <t>SPCI</t>
        </is>
      </c>
      <c r="K475" s="314" t="n">
        <v>9780000</v>
      </c>
      <c r="L475" s="2" t="n">
        <v>44484</v>
      </c>
      <c r="M475" s="170" t="n"/>
      <c r="N475" s="170" t="inlineStr">
        <is>
          <t>321 482 61 68</t>
        </is>
      </c>
      <c r="O475" s="172" t="inlineStr">
        <is>
          <t>Ana Maria Restrepo</t>
        </is>
      </c>
      <c r="P475" s="52" t="inlineStr">
        <is>
          <t>costosypresupuestos1@spcisas.com.co</t>
        </is>
      </c>
    </row>
    <row r="476">
      <c r="B476" s="170" t="n">
        <v>464</v>
      </c>
      <c r="C476" s="199" t="inlineStr">
        <is>
          <t>COTIZACION ING DETALLE SEGURIDAD HUMANA Y PROTECCIÓN CONTRA  INCENDIOS - ESTACIÓN TRANSFERENCIA EPM</t>
        </is>
      </c>
      <c r="D476" s="312" t="n"/>
      <c r="E476" s="312" t="n"/>
      <c r="F476" s="312" t="n"/>
      <c r="G476" s="312" t="n"/>
      <c r="H476" s="312" t="n"/>
      <c r="I476" s="313" t="n"/>
      <c r="J476" s="199" t="inlineStr">
        <is>
          <t>EPM</t>
        </is>
      </c>
      <c r="K476" s="314" t="n">
        <v>49950000</v>
      </c>
      <c r="L476" s="2" t="n">
        <v>44484</v>
      </c>
      <c r="M476" s="170" t="n"/>
      <c r="N476" s="170" t="inlineStr">
        <is>
          <t>(+57) 3006206534</t>
        </is>
      </c>
      <c r="O476" s="172" t="inlineStr">
        <is>
          <t>Brandet Omar</t>
        </is>
      </c>
      <c r="P476" s="52" t="inlineStr">
        <is>
          <t>Brandet.Maya@epm.com.co</t>
        </is>
      </c>
    </row>
    <row r="477">
      <c r="B477" s="170" t="n">
        <v>465</v>
      </c>
      <c r="C477" s="199" t="inlineStr">
        <is>
          <t>COTIZACION DE LOS DISEÑOS DE PROTECCIÓN CONTRA INCENDIOS PARA EL PROYECTO CONSULTORIOS ODONTOLOGICOS EL TESORO TORRE MEDICA  2</t>
        </is>
      </c>
      <c r="D477" s="312" t="n"/>
      <c r="E477" s="312" t="n"/>
      <c r="F477" s="312" t="n"/>
      <c r="G477" s="312" t="n"/>
      <c r="H477" s="312" t="n"/>
      <c r="I477" s="313" t="n"/>
      <c r="J477" s="199" t="inlineStr">
        <is>
          <t>CIVILSA</t>
        </is>
      </c>
      <c r="K477" s="314" t="n">
        <v>1990000</v>
      </c>
      <c r="L477" s="2" t="n">
        <v>44489</v>
      </c>
      <c r="M477" s="170" t="n"/>
      <c r="N477" s="170" t="inlineStr">
        <is>
          <t>310 4659572</t>
        </is>
      </c>
      <c r="O477" s="172" t="inlineStr">
        <is>
          <t>Julio Alzate</t>
        </is>
      </c>
      <c r="P477" s="52" t="inlineStr">
        <is>
          <t xml:space="preserve">julialzate@une.net.co </t>
        </is>
      </c>
    </row>
    <row r="478">
      <c r="B478" s="170" t="n">
        <v>466</v>
      </c>
      <c r="C478" s="199" t="inlineStr">
        <is>
          <t>COTIZACION DE LOS DISEÑOS DE PROTECCIÓN CONTRA INCENDIOS PARA EL PROYECTO LOCAL COMERCIAL EL DUENDE</t>
        </is>
      </c>
      <c r="D478" s="312" t="n"/>
      <c r="E478" s="312" t="n"/>
      <c r="F478" s="312" t="n"/>
      <c r="G478" s="312" t="n"/>
      <c r="H478" s="312" t="n"/>
      <c r="I478" s="313" t="n"/>
      <c r="J478" s="199" t="inlineStr">
        <is>
          <t>SPCI</t>
        </is>
      </c>
      <c r="K478" s="314" t="n">
        <v>1690000</v>
      </c>
      <c r="L478" s="2" t="n">
        <v>44490</v>
      </c>
      <c r="M478" s="170" t="n"/>
      <c r="N478" s="170" t="n">
        <v>3137546144</v>
      </c>
      <c r="O478" s="172" t="inlineStr">
        <is>
          <t>Juan Camilo Quintero</t>
        </is>
      </c>
      <c r="P478" s="52" t="inlineStr">
        <is>
          <t>proyectos1spci@gmail.com</t>
        </is>
      </c>
    </row>
    <row r="479">
      <c r="B479" s="170" t="n">
        <v>467</v>
      </c>
      <c r="C479" s="199" t="inlineStr">
        <is>
          <t>COTIZACION DEL DISEÑO DE EXTINCIÓN DE INCENDIOS PARA EL PROYECTO EDIFICIO MUNICIPIO DE GUARNE</t>
        </is>
      </c>
      <c r="D479" s="312" t="n"/>
      <c r="E479" s="312" t="n"/>
      <c r="F479" s="312" t="n"/>
      <c r="G479" s="312" t="n"/>
      <c r="H479" s="312" t="n"/>
      <c r="I479" s="313" t="n"/>
      <c r="J479" s="199" t="inlineStr">
        <is>
          <t>SOCOMES</t>
        </is>
      </c>
      <c r="K479" s="314" t="n">
        <v>3390000</v>
      </c>
      <c r="L479" s="2" t="n">
        <v>44491</v>
      </c>
      <c r="M479" s="170" t="n"/>
      <c r="N479" s="170" t="n">
        <v>3137851941</v>
      </c>
      <c r="O479" s="172" t="inlineStr">
        <is>
          <t>David Lopera Medina</t>
        </is>
      </c>
      <c r="P479" s="52" t="inlineStr">
        <is>
          <t>david.lopera@socomes.com</t>
        </is>
      </c>
    </row>
    <row r="480">
      <c r="B480" s="170" t="n">
        <v>468</v>
      </c>
      <c r="C480" s="199" t="inlineStr">
        <is>
          <t>COTIZACION DEL DISEÑO DE EXTINCIÓN DE INCENDIOS PARA EL PROYECTO ÉXITO 170</t>
        </is>
      </c>
      <c r="D480" s="312" t="n"/>
      <c r="E480" s="312" t="n"/>
      <c r="F480" s="312" t="n"/>
      <c r="G480" s="312" t="n"/>
      <c r="H480" s="312" t="n"/>
      <c r="I480" s="313" t="n"/>
      <c r="J480" s="199" t="inlineStr">
        <is>
          <t>SPCI</t>
        </is>
      </c>
      <c r="K480" s="314" t="n">
        <v>15050000</v>
      </c>
      <c r="L480" s="2" t="n">
        <v>44491</v>
      </c>
      <c r="M480" s="170" t="n"/>
      <c r="N480" s="170" t="n">
        <v>3137546144</v>
      </c>
      <c r="O480" s="172" t="inlineStr">
        <is>
          <t>Juan Camilo Quintero</t>
        </is>
      </c>
      <c r="P480" s="52" t="inlineStr">
        <is>
          <t>proyectos1spci@gmail.com</t>
        </is>
      </c>
    </row>
    <row r="481">
      <c r="B481" s="170" t="n">
        <v>469</v>
      </c>
      <c r="C481" s="246" t="inlineStr">
        <is>
          <t xml:space="preserve">COTIZACION DEL DISEÑO DE EXTINCIÓN DE INCENDIOS PARA EL PROYECTO ÉXITO COUNTRY
</t>
        </is>
      </c>
      <c r="D481" s="312" t="n"/>
      <c r="E481" s="312" t="n"/>
      <c r="F481" s="312" t="n"/>
      <c r="G481" s="312" t="n"/>
      <c r="H481" s="312" t="n"/>
      <c r="I481" s="313" t="n"/>
      <c r="J481" s="199" t="inlineStr">
        <is>
          <t>SPCI</t>
        </is>
      </c>
      <c r="K481" s="314" t="n">
        <v>16300000</v>
      </c>
      <c r="L481" s="2" t="n">
        <v>44491</v>
      </c>
      <c r="M481" s="170" t="n"/>
      <c r="N481" s="170" t="n">
        <v>3137546144</v>
      </c>
      <c r="O481" s="172" t="inlineStr">
        <is>
          <t>Juan Camilo Quintero</t>
        </is>
      </c>
      <c r="P481" s="52" t="inlineStr">
        <is>
          <t>proyectos1spci@gmail.com</t>
        </is>
      </c>
    </row>
    <row r="482">
      <c r="B482" s="170" t="n">
        <v>470</v>
      </c>
      <c r="C482" s="199" t="inlineStr">
        <is>
          <t>COTIZACION DEL DISEÑO DE EXTINCIÓN DE INCENDIOS PARA EL PROYECTO ÉXITO LAS AMERICAS</t>
        </is>
      </c>
      <c r="D482" s="312" t="n"/>
      <c r="E482" s="312" t="n"/>
      <c r="F482" s="312" t="n"/>
      <c r="G482" s="312" t="n"/>
      <c r="H482" s="312" t="n"/>
      <c r="I482" s="313" t="n"/>
      <c r="J482" s="199" t="inlineStr">
        <is>
          <t>SPCI</t>
        </is>
      </c>
      <c r="K482" s="314" t="n">
        <v>18190000</v>
      </c>
      <c r="L482" s="2" t="n">
        <v>44491</v>
      </c>
      <c r="M482" s="170" t="n"/>
      <c r="N482" s="170" t="n">
        <v>3137546144</v>
      </c>
      <c r="O482" s="172" t="inlineStr">
        <is>
          <t>Juan Camilo Quintero</t>
        </is>
      </c>
      <c r="P482" s="52" t="inlineStr">
        <is>
          <t>proyectos1spci@gmail.com</t>
        </is>
      </c>
    </row>
    <row r="483">
      <c r="B483" s="170" t="n">
        <v>471</v>
      </c>
      <c r="C483" s="199" t="inlineStr">
        <is>
          <t>COTIZACION DEL DISEÑO DE EXTINCIÓN DE INCENDIOS PARA EL PROYECTO CLINICA FRESENIUS BELLO</t>
        </is>
      </c>
      <c r="D483" s="312" t="n"/>
      <c r="E483" s="312" t="n"/>
      <c r="F483" s="312" t="n"/>
      <c r="G483" s="312" t="n"/>
      <c r="H483" s="312" t="n"/>
      <c r="I483" s="313" t="n"/>
      <c r="J483" s="199" t="inlineStr">
        <is>
          <t>COINSI</t>
        </is>
      </c>
      <c r="K483" s="314" t="n">
        <v>4990000</v>
      </c>
      <c r="L483" s="2" t="n">
        <v>44491</v>
      </c>
      <c r="M483" s="170" t="n"/>
      <c r="N483" s="170" t="n">
        <v>3218381675</v>
      </c>
      <c r="O483" s="172" t="inlineStr">
        <is>
          <t>Jonathan Hincapie</t>
        </is>
      </c>
      <c r="P483" s="52" t="inlineStr">
        <is>
          <t>disenos@coinsi.com</t>
        </is>
      </c>
    </row>
    <row r="484">
      <c r="B484" s="170" t="n">
        <v>472</v>
      </c>
      <c r="C484" s="199" t="inlineStr">
        <is>
          <t>COTIZACION DEL DISEÑO DE EXTINCIÓN DE INCENDIOS PARA EL PROYECTO EXTRACCIÓN COCINA SALA VIP AEROPUERTO EL DORADO</t>
        </is>
      </c>
      <c r="D484" s="312" t="n"/>
      <c r="E484" s="312" t="n"/>
      <c r="F484" s="312" t="n"/>
      <c r="G484" s="312" t="n"/>
      <c r="H484" s="312" t="n"/>
      <c r="I484" s="313" t="n"/>
      <c r="J484" s="199" t="inlineStr">
        <is>
          <t>RIZKO</t>
        </is>
      </c>
      <c r="K484" s="314" t="n">
        <v>1130000</v>
      </c>
      <c r="L484" s="2" t="n">
        <v>44491</v>
      </c>
      <c r="M484" s="170" t="n"/>
      <c r="N484" s="170" t="n">
        <v>3104477501</v>
      </c>
      <c r="O484" s="172" t="inlineStr">
        <is>
          <t>Carlos Quintero</t>
        </is>
      </c>
      <c r="P484" s="52" t="inlineStr">
        <is>
          <t>cakintero@gmail.com</t>
        </is>
      </c>
    </row>
    <row r="485">
      <c r="B485" s="170" t="n">
        <v>473</v>
      </c>
      <c r="C485" s="199" t="inlineStr">
        <is>
          <t>COTIZACION DE LOS DISEÑOS DE PROTECCIÓN CONTRA INCENDIOS PARA EL PROYECTO EXTRACCIÓN COCINA SALA VIP AEROPUERTO EL DORADO</t>
        </is>
      </c>
      <c r="D485" s="312" t="n"/>
      <c r="E485" s="312" t="n"/>
      <c r="F485" s="312" t="n"/>
      <c r="G485" s="312" t="n"/>
      <c r="H485" s="312" t="n"/>
      <c r="I485" s="313" t="n"/>
      <c r="J485" s="199" t="inlineStr">
        <is>
          <t>RIZKO</t>
        </is>
      </c>
      <c r="K485" s="314" t="n">
        <v>4390000</v>
      </c>
      <c r="L485" s="2" t="n">
        <v>44491</v>
      </c>
      <c r="M485" s="170" t="n"/>
      <c r="N485" s="170" t="n">
        <v>3104477502</v>
      </c>
      <c r="O485" s="172" t="inlineStr">
        <is>
          <t>Carlos Quintero</t>
        </is>
      </c>
      <c r="P485" s="52" t="inlineStr">
        <is>
          <t>cakintero@gmail.com</t>
        </is>
      </c>
    </row>
    <row r="486">
      <c r="B486" s="170" t="n">
        <v>474</v>
      </c>
      <c r="C486" s="199" t="inlineStr">
        <is>
          <t>COTIZACION DE LOS DISEÑOS DE PROTECCIÓN CONTRA INCENDIOS PARA EL PROYECTO EIMALAWA</t>
        </is>
      </c>
      <c r="D486" s="312" t="n"/>
      <c r="E486" s="312" t="n"/>
      <c r="F486" s="312" t="n"/>
      <c r="G486" s="312" t="n"/>
      <c r="H486" s="312" t="n"/>
      <c r="I486" s="313" t="n"/>
      <c r="J486" s="199" t="inlineStr">
        <is>
          <t>GINO</t>
        </is>
      </c>
      <c r="K486" s="314" t="n">
        <v>6960000</v>
      </c>
      <c r="L486" s="2" t="n">
        <v>44494</v>
      </c>
      <c r="M486" s="170" t="n"/>
      <c r="N486" s="170" t="n"/>
      <c r="O486" s="172" t="n"/>
      <c r="P486" s="172" t="n"/>
    </row>
    <row r="487">
      <c r="B487" s="170" t="n">
        <v>475</v>
      </c>
      <c r="C487" s="233" t="inlineStr">
        <is>
          <t xml:space="preserve">COTIZACION DE LOS DISEÑOS DE PROTECCIÓN CONTRA INCENDIOS Y SEGURIDAD HUMANA PARA EL PROYECTO CANTAGIRONE VERDDE 
</t>
        </is>
      </c>
      <c r="D487" s="312" t="n"/>
      <c r="E487" s="312" t="n"/>
      <c r="F487" s="312" t="n"/>
      <c r="G487" s="312" t="n"/>
      <c r="H487" s="312" t="n"/>
      <c r="I487" s="313" t="n"/>
      <c r="J487" s="199" t="inlineStr">
        <is>
          <t>GINO</t>
        </is>
      </c>
      <c r="K487" s="314" t="n">
        <v>16930000</v>
      </c>
      <c r="L487" s="2" t="n">
        <v>44494</v>
      </c>
      <c r="M487" s="170" t="n"/>
      <c r="N487" s="170" t="n"/>
      <c r="O487" s="172" t="n"/>
      <c r="P487" s="172" t="n"/>
    </row>
    <row r="488">
      <c r="B488" s="170" t="n">
        <v>476</v>
      </c>
      <c r="C488" s="199" t="inlineStr">
        <is>
          <t>COTIZACION DEL DISEÑO DE EXTINCIÓN DE INCENDIOS PARA EL PROYECTO LIVEVOX EDIFICIO CROSS</t>
        </is>
      </c>
      <c r="D488" s="312" t="n"/>
      <c r="E488" s="312" t="n"/>
      <c r="F488" s="312" t="n"/>
      <c r="G488" s="312" t="n"/>
      <c r="H488" s="312" t="n"/>
      <c r="I488" s="313" t="n"/>
      <c r="J488" s="199" t="inlineStr">
        <is>
          <t>Livevox</t>
        </is>
      </c>
      <c r="K488" s="314" t="n"/>
      <c r="L488" s="2" t="n">
        <v>44494</v>
      </c>
      <c r="M488" s="170" t="n"/>
      <c r="N488" s="170" t="n"/>
      <c r="O488" s="172" t="inlineStr">
        <is>
          <t>Sebastián Ramírez</t>
        </is>
      </c>
      <c r="P488" s="172" t="n"/>
    </row>
    <row r="489">
      <c r="B489" s="170" t="n">
        <v>477</v>
      </c>
      <c r="C489" s="199" t="inlineStr">
        <is>
          <t>COTIZACION DE LOS DISEÑOS DE PROTECCIÓN CONTRA INCENDIOS Y SEGURIDAD HUMANA PARA El PROYECTO -DE CAMBIL 93 SMART HOUSE</t>
        </is>
      </c>
      <c r="D489" s="312" t="n"/>
      <c r="E489" s="312" t="n"/>
      <c r="F489" s="312" t="n"/>
      <c r="G489" s="312" t="n"/>
      <c r="H489" s="312" t="n"/>
      <c r="I489" s="313" t="n"/>
      <c r="J489" s="199" t="inlineStr">
        <is>
          <t>GINO</t>
        </is>
      </c>
      <c r="K489" s="314" t="n">
        <v>9970000</v>
      </c>
      <c r="L489" s="2" t="n">
        <v>44494</v>
      </c>
      <c r="M489" s="170" t="n"/>
      <c r="N489" s="170" t="n"/>
      <c r="O489" s="172" t="n"/>
      <c r="P489" s="172" t="n"/>
    </row>
    <row r="490">
      <c r="B490" s="170" t="n">
        <v>478</v>
      </c>
      <c r="C490" s="199" t="inlineStr">
        <is>
          <t>COTIZACION DEL ANÁLISIS DE SEGURIDAD HUMANA PARA EL PROYECTO ZANETTI T4</t>
        </is>
      </c>
      <c r="D490" s="312" t="n"/>
      <c r="E490" s="312" t="n"/>
      <c r="F490" s="312" t="n"/>
      <c r="G490" s="312" t="n"/>
      <c r="H490" s="312" t="n"/>
      <c r="I490" s="313" t="n"/>
      <c r="J490" s="199" t="inlineStr">
        <is>
          <t>CONCONCRETO</t>
        </is>
      </c>
      <c r="K490" s="314" t="n">
        <v>2630000</v>
      </c>
      <c r="L490" s="2" t="n">
        <v>44494</v>
      </c>
      <c r="M490" s="170" t="n"/>
      <c r="N490" s="170" t="n"/>
      <c r="O490" s="172" t="n"/>
      <c r="P490" s="172" t="n"/>
    </row>
    <row r="491">
      <c r="B491" s="170" t="n">
        <v>479</v>
      </c>
      <c r="C491" s="199" t="inlineStr">
        <is>
          <t>COTIZACION DEL DISEÑO DE EXTINCIÓN DE INCENDIOS PARA EL PROYECTO PARQUER MUNDO AVENTURA</t>
        </is>
      </c>
      <c r="D491" s="312" t="n"/>
      <c r="E491" s="312" t="n"/>
      <c r="F491" s="312" t="n"/>
      <c r="G491" s="312" t="n"/>
      <c r="H491" s="312" t="n"/>
      <c r="I491" s="313" t="n"/>
      <c r="J491" s="199" t="inlineStr">
        <is>
          <t>CORPARQUES</t>
        </is>
      </c>
      <c r="K491" s="314" t="n"/>
      <c r="L491" s="2" t="n">
        <v>44494</v>
      </c>
      <c r="M491" s="170" t="n"/>
      <c r="N491" s="170" t="n">
        <v>3157021528</v>
      </c>
      <c r="O491" s="172" t="inlineStr">
        <is>
          <t>Carlos H. Noguera Gomez</t>
        </is>
      </c>
      <c r="P491" s="52" t="inlineStr">
        <is>
          <t>cnoguera@corparques.co</t>
        </is>
      </c>
    </row>
    <row r="492">
      <c r="B492" s="170" t="n">
        <v>480</v>
      </c>
      <c r="C492" s="199" t="inlineStr">
        <is>
          <t>COTIZACION EVALUACIÓN DEL SISTEMA DE BOMBA CONTRA INCENDIOS - POLITÉCNICO DE COLOMBIA BLOQUES 2 Y 3</t>
        </is>
      </c>
      <c r="D492" s="312" t="n"/>
      <c r="E492" s="312" t="n"/>
      <c r="F492" s="312" t="n"/>
      <c r="G492" s="312" t="n"/>
      <c r="H492" s="312" t="n"/>
      <c r="I492" s="313" t="n"/>
      <c r="J492" s="199" t="inlineStr">
        <is>
          <t>POLITECNICO</t>
        </is>
      </c>
      <c r="K492" s="314" t="n">
        <v>3500000</v>
      </c>
      <c r="L492" s="2" t="n">
        <v>44495</v>
      </c>
      <c r="M492" s="170" t="n"/>
      <c r="N492" s="170" t="inlineStr">
        <is>
          <t>321 6354438</t>
        </is>
      </c>
      <c r="O492" s="172" t="inlineStr">
        <is>
          <t>Duber Castrillón</t>
        </is>
      </c>
      <c r="P492" s="52" t="inlineStr">
        <is>
          <t>rectoria@politecnicodecolombia.edu.co</t>
        </is>
      </c>
    </row>
    <row r="493">
      <c r="B493" s="170" t="n">
        <v>481</v>
      </c>
      <c r="C493" s="199" t="inlineStr">
        <is>
          <t>COTIZACION DEL DISEÑO DE EXTINCIÓN DE INCENDIOS PARA EL PROYECTO LOCAL MOVISTAR VIVA SINCELEJO</t>
        </is>
      </c>
      <c r="D493" s="312" t="n"/>
      <c r="E493" s="312" t="n"/>
      <c r="F493" s="312" t="n"/>
      <c r="G493" s="312" t="n"/>
      <c r="H493" s="312" t="n"/>
      <c r="I493" s="313" t="n"/>
      <c r="J493" s="199" t="inlineStr">
        <is>
          <t>SPCI</t>
        </is>
      </c>
      <c r="K493" s="314" t="n">
        <v>1000000</v>
      </c>
      <c r="L493" s="2" t="n">
        <v>44496</v>
      </c>
      <c r="M493" s="170" t="n"/>
      <c r="N493" s="170" t="n">
        <v>3137546144</v>
      </c>
      <c r="O493" s="172" t="inlineStr">
        <is>
          <t>Juan Camilo Quintero</t>
        </is>
      </c>
      <c r="P493" s="52" t="inlineStr">
        <is>
          <t>proyectos1spci@gmail.com</t>
        </is>
      </c>
    </row>
    <row r="494">
      <c r="B494" s="170" t="n">
        <v>482</v>
      </c>
      <c r="C494" s="199" t="inlineStr">
        <is>
          <t>COTIZACION DE LOS DISEÑOS DE PROTECCIÓN CONTRA INCENDIOS Y SEGURIDAD HUMANA PARA EL PROYECTO BODEGAS TECNAS</t>
        </is>
      </c>
      <c r="D494" s="312" t="n"/>
      <c r="E494" s="312" t="n"/>
      <c r="F494" s="312" t="n"/>
      <c r="G494" s="312" t="n"/>
      <c r="H494" s="312" t="n"/>
      <c r="I494" s="313" t="n"/>
      <c r="J494" s="199" t="inlineStr">
        <is>
          <t>ESTRUCTURAR</t>
        </is>
      </c>
      <c r="K494" s="314" t="inlineStr">
        <is>
          <t>Ya estaba cotizado</t>
        </is>
      </c>
      <c r="L494" s="2" t="n">
        <v>44496</v>
      </c>
      <c r="M494" s="170" t="n"/>
      <c r="N494" s="170" t="n">
        <v>3134587240</v>
      </c>
      <c r="O494" s="172" t="inlineStr">
        <is>
          <t>Hector Camelo</t>
        </is>
      </c>
      <c r="P494" s="52" t="inlineStr">
        <is>
          <t>hectorcamelo@estructurar.co</t>
        </is>
      </c>
    </row>
    <row r="495">
      <c r="B495" s="170" t="n">
        <v>483</v>
      </c>
      <c r="C495" s="199" t="inlineStr">
        <is>
          <t>COTIZACION DE LOS DISEÑOS DE PROTECCIÓN CONTRA INCENDIOS Y SEGURIDAD HUMANA PARA EL PROYECTO MONTANO</t>
        </is>
      </c>
      <c r="D495" s="312" t="n"/>
      <c r="E495" s="312" t="n"/>
      <c r="F495" s="312" t="n"/>
      <c r="G495" s="312" t="n"/>
      <c r="H495" s="312" t="n"/>
      <c r="I495" s="313" t="n"/>
      <c r="J495" s="199" t="inlineStr">
        <is>
          <t>SOCOMES</t>
        </is>
      </c>
      <c r="K495" s="314" t="n">
        <v>15680000</v>
      </c>
      <c r="L495" s="2" t="n">
        <v>44496</v>
      </c>
      <c r="M495" s="170" t="n"/>
      <c r="N495" s="170" t="n">
        <v>3137851941</v>
      </c>
      <c r="O495" s="172" t="inlineStr">
        <is>
          <t>David Lopera</t>
        </is>
      </c>
      <c r="P495" s="52" t="inlineStr">
        <is>
          <t>david.lopera@socomes.com</t>
        </is>
      </c>
    </row>
    <row r="496">
      <c r="B496" s="170" t="n">
        <v>484</v>
      </c>
      <c r="C496" s="199" t="inlineStr">
        <is>
          <t>COTIZACION DE LOS DISEÑOS DE PROTECCIÓN CONTRA INCENDIOS Y SEGURIDAD HUMANA PARA EL PROYECTO 23 LIVING</t>
        </is>
      </c>
      <c r="D496" s="312" t="n"/>
      <c r="E496" s="312" t="n"/>
      <c r="F496" s="312" t="n"/>
      <c r="G496" s="312" t="n"/>
      <c r="H496" s="312" t="n"/>
      <c r="I496" s="313" t="n"/>
      <c r="J496" s="199" t="inlineStr">
        <is>
          <t>MENSULA</t>
        </is>
      </c>
      <c r="K496" s="314" t="n"/>
      <c r="L496" s="2" t="n">
        <v>44496</v>
      </c>
      <c r="M496" s="170" t="n"/>
      <c r="N496" s="170" t="inlineStr">
        <is>
          <t>300 864 37 10</t>
        </is>
      </c>
      <c r="O496" s="172" t="inlineStr">
        <is>
          <t>Cristina Palacio Pérez</t>
        </is>
      </c>
      <c r="P496" s="52" t="inlineStr">
        <is>
          <t>cristinapalacio@mensulaingenieros.com</t>
        </is>
      </c>
    </row>
    <row r="497">
      <c r="B497" s="170" t="n">
        <v>485</v>
      </c>
      <c r="C497" s="199" t="inlineStr">
        <is>
          <t>COTIZACION DEL DISEÑO DE EXTINCIÓN DE INCENDIOS PARA EL PROYECTO LOCAL 0139 SALUD VEGAS</t>
        </is>
      </c>
      <c r="D497" s="312" t="n"/>
      <c r="E497" s="312" t="n"/>
      <c r="F497" s="312" t="n"/>
      <c r="G497" s="312" t="n"/>
      <c r="H497" s="312" t="n"/>
      <c r="I497" s="313" t="n"/>
      <c r="J497" s="199" t="inlineStr">
        <is>
          <t>ANDREA</t>
        </is>
      </c>
      <c r="K497" s="314" t="n"/>
      <c r="L497" s="2" t="n">
        <v>44496</v>
      </c>
      <c r="M497" s="170" t="inlineStr">
        <is>
          <t>X</t>
        </is>
      </c>
      <c r="N497" s="170" t="n">
        <v>3122500703</v>
      </c>
      <c r="O497" s="172" t="inlineStr">
        <is>
          <t>Andrea Santiago Rodriguez</t>
        </is>
      </c>
      <c r="P497" s="52" t="inlineStr">
        <is>
          <t>ingandreasantiago@hotmail.com</t>
        </is>
      </c>
    </row>
    <row r="498">
      <c r="B498" s="170" t="n">
        <v>486</v>
      </c>
      <c r="C498" s="199" t="inlineStr">
        <is>
          <t>COTIZACION DE LOS DISEÑOS DE PROTECCIÓN CONTRA INCENDIOS - CONSULTORIO COLMEDICOS MAYORCA</t>
        </is>
      </c>
      <c r="D498" s="312" t="n"/>
      <c r="E498" s="312" t="n"/>
      <c r="F498" s="312" t="n"/>
      <c r="G498" s="312" t="n"/>
      <c r="H498" s="312" t="n"/>
      <c r="I498" s="313" t="n"/>
      <c r="J498" s="199" t="inlineStr">
        <is>
          <t>ESPIRAL</t>
        </is>
      </c>
      <c r="K498" s="314" t="n">
        <v>3760000</v>
      </c>
      <c r="L498" s="2" t="n">
        <v>44497</v>
      </c>
      <c r="M498" s="170" t="n"/>
      <c r="N498" s="170" t="n"/>
      <c r="O498" s="172" t="inlineStr">
        <is>
          <t>Julián Gutiérrez</t>
        </is>
      </c>
      <c r="P498" s="52" t="inlineStr">
        <is>
          <t>julian.gutierrez@espiral.com.co</t>
        </is>
      </c>
    </row>
    <row r="499">
      <c r="B499" s="170" t="n">
        <v>487</v>
      </c>
      <c r="C499" s="199" t="inlineStr">
        <is>
          <t>COTIZACION DEL DISEÑO DE EXTINCIÓN DE INCENDIOS PARA EL PROYECTO OFICINA 1602 COLMEDICOS</t>
        </is>
      </c>
      <c r="D499" s="312" t="n"/>
      <c r="E499" s="312" t="n"/>
      <c r="F499" s="312" t="n"/>
      <c r="G499" s="312" t="n"/>
      <c r="H499" s="312" t="n"/>
      <c r="I499" s="313" t="n"/>
      <c r="J499" s="199" t="inlineStr">
        <is>
          <t>SPCI</t>
        </is>
      </c>
      <c r="K499" s="314" t="n">
        <v>1150000</v>
      </c>
      <c r="L499" s="2" t="n">
        <v>44497</v>
      </c>
      <c r="M499" s="170" t="n"/>
      <c r="N499" s="170" t="inlineStr">
        <is>
          <t>321 482 61 68</t>
        </is>
      </c>
      <c r="O499" s="172" t="inlineStr">
        <is>
          <t>Ana Maria Restrepo</t>
        </is>
      </c>
      <c r="P499" s="52" t="inlineStr">
        <is>
          <t>costosypresupuestos1@spcisas.com.co</t>
        </is>
      </c>
    </row>
    <row r="500">
      <c r="B500" s="170" t="n">
        <v>488</v>
      </c>
      <c r="C500" s="199" t="inlineStr">
        <is>
          <t>COTIZACION DEL DISEÑO DE EXTINCIÓN DE INCENDIOS PARA EL PROYECTO LOCAL DISTRITO CAFETERO</t>
        </is>
      </c>
      <c r="D500" s="312" t="n"/>
      <c r="E500" s="312" t="n"/>
      <c r="F500" s="312" t="n"/>
      <c r="G500" s="312" t="n"/>
      <c r="H500" s="312" t="n"/>
      <c r="I500" s="313" t="n"/>
      <c r="J500" s="199" t="inlineStr">
        <is>
          <t>AMBITO TALLER</t>
        </is>
      </c>
      <c r="K500" s="314" t="n"/>
      <c r="L500" s="2" t="n">
        <v>44498</v>
      </c>
      <c r="M500" s="170" t="n"/>
      <c r="N500" s="170" t="n">
        <v>3128459851</v>
      </c>
      <c r="O500" s="172" t="inlineStr">
        <is>
          <t>Felipe Zapata</t>
        </is>
      </c>
      <c r="P500" s="89" t="inlineStr">
        <is>
          <t>info@ambitotaller.com</t>
        </is>
      </c>
    </row>
    <row r="501" ht="15" customHeight="1">
      <c r="B501" s="170" t="n">
        <v>489</v>
      </c>
      <c r="C501" s="199" t="inlineStr">
        <is>
          <t xml:space="preserve">
COTIZACION DEL DISEÑO DE DETECCIÓN DE INCENDIOS PARA EL PROYECTO VALOR</t>
        </is>
      </c>
      <c r="D501" s="312" t="n"/>
      <c r="E501" s="312" t="n"/>
      <c r="F501" s="312" t="n"/>
      <c r="G501" s="312" t="n"/>
      <c r="H501" s="312" t="n"/>
      <c r="I501" s="313" t="n"/>
      <c r="J501" s="199" t="inlineStr">
        <is>
          <t>Ensamble Espacios Vivos</t>
        </is>
      </c>
      <c r="K501" s="314" t="n"/>
      <c r="L501" s="2" t="n">
        <v>44502</v>
      </c>
      <c r="M501" s="170" t="n"/>
      <c r="N501" s="170" t="n"/>
      <c r="O501" s="172" t="inlineStr">
        <is>
          <t>Paola Lopez</t>
        </is>
      </c>
      <c r="P501" s="52" t="inlineStr">
        <is>
          <t>paolopez@ensambleespaciosvivos.com</t>
        </is>
      </c>
    </row>
    <row r="502">
      <c r="B502" s="170" t="n">
        <v>490</v>
      </c>
      <c r="C502" s="199" t="inlineStr">
        <is>
          <t>COTIZACION DE LOS DISEÑOS DE SEGURIDAD HUMANA Y EXTINCIÓN DE INCENDIOS - HACIENDA NIQUIA T6</t>
        </is>
      </c>
      <c r="D502" s="312" t="n"/>
      <c r="E502" s="312" t="n"/>
      <c r="F502" s="312" t="n"/>
      <c r="G502" s="312" t="n"/>
      <c r="H502" s="312" t="n"/>
      <c r="I502" s="313" t="n"/>
      <c r="J502" s="199" t="inlineStr">
        <is>
          <t>Arquitectura y Concreto</t>
        </is>
      </c>
      <c r="K502" s="314" t="n">
        <v>3500000</v>
      </c>
      <c r="L502" s="2" t="n">
        <v>44503</v>
      </c>
      <c r="M502" s="170" t="inlineStr">
        <is>
          <t>X</t>
        </is>
      </c>
      <c r="N502" s="170" t="inlineStr">
        <is>
          <t>3123618 ext: 2111</t>
        </is>
      </c>
      <c r="O502" s="172" t="inlineStr">
        <is>
          <t>Blanca Saldarriaga</t>
        </is>
      </c>
      <c r="P502" s="52" t="inlineStr">
        <is>
          <t>blancasaldarriaga@arquitecturayconcreto.com</t>
        </is>
      </c>
    </row>
    <row r="503">
      <c r="B503" s="170" t="n">
        <v>491</v>
      </c>
      <c r="C503" s="199" t="inlineStr">
        <is>
          <t>COTIZACION DE LOS DISEÑOS DE PROTECCIÓN CONTRA  INCENDIOS - LOCAL COCHPN EXPRESS MIXY LOS COLORES</t>
        </is>
      </c>
      <c r="D503" s="312" t="n"/>
      <c r="E503" s="312" t="n"/>
      <c r="F503" s="312" t="n"/>
      <c r="G503" s="312" t="n"/>
      <c r="H503" s="312" t="n"/>
      <c r="I503" s="313" t="n"/>
      <c r="J503" s="199" t="inlineStr">
        <is>
          <t>SENSIBLE</t>
        </is>
      </c>
      <c r="K503" s="314" t="n">
        <v>1500000</v>
      </c>
      <c r="L503" s="2" t="n">
        <v>44503</v>
      </c>
      <c r="M503" s="170" t="n"/>
      <c r="N503" s="170" t="n">
        <v>3053387520</v>
      </c>
      <c r="O503" s="172" t="inlineStr">
        <is>
          <t>Steven Tabares</t>
        </is>
      </c>
      <c r="P503" s="52" t="inlineStr">
        <is>
          <t>hola@sensibleestudio.com</t>
        </is>
      </c>
    </row>
    <row r="504">
      <c r="B504" s="170" t="n">
        <v>492</v>
      </c>
      <c r="C504" s="199" t="inlineStr">
        <is>
          <t>COTIZACION EVALUACIÓN DEL SISTEMA CON LA NUEVA BOMBA CONTRA INCENDIOS – MIRASOL RIONEGRO</t>
        </is>
      </c>
      <c r="D504" s="312" t="n"/>
      <c r="E504" s="312" t="n"/>
      <c r="F504" s="312" t="n"/>
      <c r="G504" s="312" t="n"/>
      <c r="H504" s="312" t="n"/>
      <c r="I504" s="313" t="n"/>
      <c r="J504" s="199" t="inlineStr">
        <is>
          <t>FUNDACIÓN COMPARTIR</t>
        </is>
      </c>
      <c r="K504" s="314" t="n">
        <v>3250000</v>
      </c>
      <c r="L504" s="2" t="n">
        <v>44503</v>
      </c>
      <c r="M504" s="170" t="inlineStr">
        <is>
          <t>X</t>
        </is>
      </c>
      <c r="N504" s="170" t="inlineStr">
        <is>
          <t>301 7119154</t>
        </is>
      </c>
      <c r="O504" s="172" t="inlineStr">
        <is>
          <t>Wilson Javier Castro</t>
        </is>
      </c>
      <c r="P504" s="52" t="inlineStr">
        <is>
          <t>dir.obramirasol@fundacioncompartir.org</t>
        </is>
      </c>
    </row>
    <row r="505">
      <c r="B505" s="170" t="n">
        <v>493</v>
      </c>
      <c r="C505" s="199" t="inlineStr">
        <is>
          <t>COTIZACION DEL ANÁLISIS DE SEGURIDAD HUMANA PARA EL PROYECTO ZARZZO</t>
        </is>
      </c>
      <c r="D505" s="312" t="n"/>
      <c r="E505" s="312" t="n"/>
      <c r="F505" s="312" t="n"/>
      <c r="G505" s="312" t="n"/>
      <c r="H505" s="312" t="n"/>
      <c r="I505" s="313" t="n"/>
      <c r="J505" s="199" t="inlineStr">
        <is>
          <t>360INGENIERIA</t>
        </is>
      </c>
      <c r="K505" s="314" t="n"/>
      <c r="L505" s="2" t="n">
        <v>44503</v>
      </c>
      <c r="M505" s="170" t="n"/>
      <c r="N505" s="170" t="inlineStr">
        <is>
          <t>300 476 66 92</t>
        </is>
      </c>
      <c r="O505" s="172" t="inlineStr">
        <is>
          <t>Carlos Gomez</t>
        </is>
      </c>
      <c r="P505" s="52" t="inlineStr">
        <is>
          <t>360proyectosingenieria@gmail.com</t>
        </is>
      </c>
    </row>
    <row r="506">
      <c r="B506" s="170" t="n">
        <v>494</v>
      </c>
      <c r="C506" s="199" t="inlineStr">
        <is>
          <t>COTIZACION DEL ANÁLISIS DE SEGURIDAD HUMANA PARA EL PROYECTO LA LINDE LAS LOMAS</t>
        </is>
      </c>
      <c r="D506" s="312" t="n"/>
      <c r="E506" s="312" t="n"/>
      <c r="F506" s="312" t="n"/>
      <c r="G506" s="312" t="n"/>
      <c r="H506" s="312" t="n"/>
      <c r="I506" s="313" t="n"/>
      <c r="J506" s="199" t="inlineStr">
        <is>
          <t>360INGENIERIA</t>
        </is>
      </c>
      <c r="K506" s="314" t="n"/>
      <c r="L506" s="2" t="n">
        <v>44505</v>
      </c>
      <c r="M506" s="170" t="n"/>
      <c r="N506" s="170" t="inlineStr">
        <is>
          <t>300 476 66 92</t>
        </is>
      </c>
      <c r="O506" s="172" t="inlineStr">
        <is>
          <t>Carlos Gomez</t>
        </is>
      </c>
      <c r="P506" s="52" t="inlineStr">
        <is>
          <t>360proyectosingenieria@gmail.com</t>
        </is>
      </c>
    </row>
    <row r="507">
      <c r="B507" s="170" t="n">
        <v>495</v>
      </c>
      <c r="C507" s="199" t="inlineStr">
        <is>
          <t>COTIZACION DEL DISEÑO DE EXTINCIÓN DE INCENDIOS - LOCAL SPA UÑAS WINE PLAZA FABRICATO</t>
        </is>
      </c>
      <c r="D507" s="312" t="n"/>
      <c r="E507" s="312" t="n"/>
      <c r="F507" s="312" t="n"/>
      <c r="G507" s="312" t="n"/>
      <c r="H507" s="312" t="n"/>
      <c r="I507" s="313" t="n"/>
      <c r="J507" s="199" t="inlineStr">
        <is>
          <t>SPCI</t>
        </is>
      </c>
      <c r="K507" s="314" t="n">
        <v>1100000</v>
      </c>
      <c r="L507" s="2" t="n">
        <v>44508</v>
      </c>
      <c r="M507" s="170" t="inlineStr">
        <is>
          <t>X</t>
        </is>
      </c>
      <c r="N507" s="170" t="inlineStr">
        <is>
          <t>321 482 61 68</t>
        </is>
      </c>
      <c r="O507" s="172" t="inlineStr">
        <is>
          <t>Ana Maria Restrepo</t>
        </is>
      </c>
      <c r="P507" s="52" t="inlineStr">
        <is>
          <t>costosypresupuestos1@spcisas.com.co</t>
        </is>
      </c>
    </row>
    <row r="508">
      <c r="B508" s="170" t="n">
        <v>496</v>
      </c>
      <c r="C508" s="199" t="inlineStr">
        <is>
          <t>COTIZACION DEL DISEÑO DE EXTINCIÓN DE INCENDIOS - LOCAL 02125 PLAZA FABRICATO</t>
        </is>
      </c>
      <c r="D508" s="312" t="n"/>
      <c r="E508" s="312" t="n"/>
      <c r="F508" s="312" t="n"/>
      <c r="G508" s="312" t="n"/>
      <c r="H508" s="312" t="n"/>
      <c r="I508" s="313" t="n"/>
      <c r="J508" s="199" t="inlineStr">
        <is>
          <t>SPCI</t>
        </is>
      </c>
      <c r="K508" s="314" t="n">
        <v>950000</v>
      </c>
      <c r="L508" s="2" t="n">
        <v>44509</v>
      </c>
      <c r="M508" s="170" t="inlineStr">
        <is>
          <t>X</t>
        </is>
      </c>
      <c r="N508" s="170" t="inlineStr">
        <is>
          <t>321 482 61 68</t>
        </is>
      </c>
      <c r="O508" s="172" t="inlineStr">
        <is>
          <t>Ana Maria Restrepo</t>
        </is>
      </c>
      <c r="P508" s="52" t="inlineStr">
        <is>
          <t>costosypresupuestos1@spcisas.com.co</t>
        </is>
      </c>
    </row>
    <row r="509">
      <c r="B509" s="170" t="n">
        <v>497</v>
      </c>
      <c r="C509" s="199" t="inlineStr">
        <is>
          <t xml:space="preserve"> COTIZACION DE LOS DISEÑOS DE SEGURIDAD HUMANA Y PROTECCIÓN CONTRA  INCENDIOS - ON LIVING</t>
        </is>
      </c>
      <c r="D509" s="312" t="n"/>
      <c r="E509" s="312" t="n"/>
      <c r="F509" s="312" t="n"/>
      <c r="G509" s="312" t="n"/>
      <c r="H509" s="312" t="n"/>
      <c r="I509" s="313" t="n"/>
      <c r="J509" s="199" t="inlineStr">
        <is>
          <t>RRP ARQUITECTOS</t>
        </is>
      </c>
      <c r="K509" s="314" t="n">
        <v>17990000</v>
      </c>
      <c r="L509" s="2" t="n">
        <v>44509</v>
      </c>
      <c r="M509" s="170" t="n"/>
      <c r="N509" s="170" t="inlineStr">
        <is>
          <t>311 6101334</t>
        </is>
      </c>
      <c r="O509" s="172" t="inlineStr">
        <is>
          <t>Sebastián Rojas Villa</t>
        </is>
      </c>
      <c r="P509" s="52" t="inlineStr">
        <is>
          <t>sebastian.rojasvi@gmail.com</t>
        </is>
      </c>
    </row>
    <row r="510">
      <c r="B510" s="170" t="n">
        <v>498</v>
      </c>
      <c r="C510" s="199" t="inlineStr">
        <is>
          <t>COTIZACION DE LOS DISEÑOS DE PROTECCIÓN CONTRA  INCENDIOS - FARMATODO LA SEBASTIANA</t>
        </is>
      </c>
      <c r="D510" s="312" t="n"/>
      <c r="E510" s="312" t="n"/>
      <c r="F510" s="312" t="n"/>
      <c r="G510" s="312" t="n"/>
      <c r="H510" s="312" t="n"/>
      <c r="I510" s="313" t="n"/>
      <c r="J510" s="199" t="inlineStr">
        <is>
          <t>ZUPETROL</t>
        </is>
      </c>
      <c r="K510" s="314" t="n">
        <v>3990000</v>
      </c>
      <c r="L510" s="2" t="n">
        <v>44509</v>
      </c>
      <c r="M510" s="170" t="inlineStr">
        <is>
          <t>X</t>
        </is>
      </c>
      <c r="N510" s="170" t="inlineStr">
        <is>
          <t>310 4559932</t>
        </is>
      </c>
      <c r="O510" s="172" t="inlineStr">
        <is>
          <t>Edwin Zuluaga</t>
        </is>
      </c>
      <c r="P510" s="52" t="inlineStr">
        <is>
          <t>ed@zupetrol.com</t>
        </is>
      </c>
    </row>
    <row r="511">
      <c r="B511" s="170" t="n">
        <v>499</v>
      </c>
      <c r="C511" s="199" t="inlineStr">
        <is>
          <t>COTIZACION DE LOS DISEÑOS DE PROTECCIÓN CONTRA INCENDIOS - CASA NAMASTÉ</t>
        </is>
      </c>
      <c r="D511" s="312" t="n"/>
      <c r="E511" s="312" t="n"/>
      <c r="F511" s="312" t="n"/>
      <c r="G511" s="312" t="n"/>
      <c r="H511" s="312" t="n"/>
      <c r="I511" s="313" t="n"/>
      <c r="J511" s="199" t="inlineStr">
        <is>
          <t>IDEAS TANGIBLES</t>
        </is>
      </c>
      <c r="K511" s="314" t="n">
        <v>2760000</v>
      </c>
      <c r="L511" s="2" t="n">
        <v>44509</v>
      </c>
      <c r="M511" s="170" t="inlineStr">
        <is>
          <t>X</t>
        </is>
      </c>
      <c r="N511" s="170" t="inlineStr">
        <is>
          <t>318 5444110</t>
        </is>
      </c>
      <c r="O511" s="172" t="inlineStr">
        <is>
          <t>Jhon Esteban Ochoa</t>
        </is>
      </c>
      <c r="P511" s="52" t="inlineStr">
        <is>
          <t>residente@ideastangibles.co</t>
        </is>
      </c>
    </row>
    <row r="512">
      <c r="B512" s="170" t="n">
        <v>500</v>
      </c>
      <c r="C512" s="199" t="inlineStr">
        <is>
          <t>COTIZACION DEL ANÁLISIS DE SEGURIDAD HUMANA PARA EL PROYECTO FRUTOS VERDES TORRE 10-11-12</t>
        </is>
      </c>
      <c r="D512" s="312" t="n"/>
      <c r="E512" s="312" t="n"/>
      <c r="F512" s="312" t="n"/>
      <c r="G512" s="312" t="n"/>
      <c r="H512" s="312" t="n"/>
      <c r="I512" s="313" t="n"/>
      <c r="J512" s="199" t="inlineStr">
        <is>
          <t>CVAARQUITECTOS</t>
        </is>
      </c>
      <c r="K512" s="314" t="n"/>
      <c r="L512" s="2" t="n">
        <v>44510</v>
      </c>
      <c r="M512" s="170" t="inlineStr">
        <is>
          <t>X</t>
        </is>
      </c>
      <c r="N512" s="170" t="n"/>
      <c r="O512" s="172" t="inlineStr">
        <is>
          <t>Crisitina Velez</t>
        </is>
      </c>
      <c r="P512" s="52" t="inlineStr">
        <is>
          <t>cva.arquitectos@gmail.com</t>
        </is>
      </c>
    </row>
    <row r="513">
      <c r="B513" s="170" t="n">
        <v>501</v>
      </c>
      <c r="C513" s="246" t="inlineStr">
        <is>
          <t xml:space="preserve">COTIZACION DEL DISEÑO DE EXTINCIÓN DE INCENDIOS PARA EL PROYECTO LA LINDE LAS LOMAS
</t>
        </is>
      </c>
      <c r="D513" s="312" t="n"/>
      <c r="E513" s="312" t="n"/>
      <c r="F513" s="312" t="n"/>
      <c r="G513" s="312" t="n"/>
      <c r="H513" s="312" t="n"/>
      <c r="I513" s="313" t="n"/>
      <c r="J513" s="199" t="inlineStr">
        <is>
          <t>360INGENIERIA</t>
        </is>
      </c>
      <c r="K513" s="314" t="n"/>
      <c r="L513" s="2" t="n">
        <v>44505</v>
      </c>
      <c r="M513" s="170" t="n"/>
      <c r="N513" s="170" t="inlineStr">
        <is>
          <t>300 476 66 92</t>
        </is>
      </c>
      <c r="O513" s="172" t="inlineStr">
        <is>
          <t>Carlos Gomez</t>
        </is>
      </c>
      <c r="P513" s="52" t="inlineStr">
        <is>
          <t>360proyectosingenieria@gmail.com</t>
        </is>
      </c>
    </row>
    <row r="514">
      <c r="B514" s="170" t="n">
        <v>502</v>
      </c>
      <c r="C514" s="199" t="inlineStr">
        <is>
          <t>COTIZACION DE MATRIZ SEGURIDAD HUMANA PROYECTOS DE INVERSIÓN EN SALUD - BANCOLOMBIA</t>
        </is>
      </c>
      <c r="D514" s="312" t="n"/>
      <c r="E514" s="312" t="n"/>
      <c r="F514" s="312" t="n"/>
      <c r="G514" s="312" t="n"/>
      <c r="H514" s="312" t="n"/>
      <c r="I514" s="313" t="n"/>
      <c r="J514" s="199" t="inlineStr">
        <is>
          <t>CONDISEÑO</t>
        </is>
      </c>
      <c r="K514" s="314" t="n">
        <v>5000000</v>
      </c>
      <c r="L514" s="2" t="n">
        <v>44510</v>
      </c>
      <c r="M514" s="170" t="n"/>
      <c r="N514" s="170" t="n">
        <v>3175594091</v>
      </c>
      <c r="O514" s="172" t="inlineStr">
        <is>
          <t>Nakary García Romero</t>
        </is>
      </c>
      <c r="P514" s="52" t="inlineStr">
        <is>
          <t>n.garcia@condiseno.co</t>
        </is>
      </c>
    </row>
    <row r="515">
      <c r="B515" s="170" t="n">
        <v>503</v>
      </c>
      <c r="C515" s="199" t="inlineStr">
        <is>
          <t>COTIZACION DEL ANÁLISIS DE SEGURIDAD HUMANA PARA EL PROYECTO HOTEL SOMOS MANILA</t>
        </is>
      </c>
      <c r="D515" s="312" t="n"/>
      <c r="E515" s="312" t="n"/>
      <c r="F515" s="312" t="n"/>
      <c r="G515" s="312" t="n"/>
      <c r="H515" s="312" t="n"/>
      <c r="I515" s="313" t="n"/>
      <c r="J515" s="199" t="inlineStr">
        <is>
          <t>A5</t>
        </is>
      </c>
      <c r="K515" s="314" t="n"/>
      <c r="L515" s="2" t="n">
        <v>44512</v>
      </c>
      <c r="M515" s="170" t="n"/>
      <c r="N515" s="170" t="n"/>
      <c r="O515" s="172" t="n"/>
      <c r="P515" s="52" t="inlineStr">
        <is>
          <t>residente1@a5arquitectura.com</t>
        </is>
      </c>
    </row>
    <row r="516">
      <c r="B516" s="170" t="n">
        <v>504</v>
      </c>
      <c r="C516" s="199" t="inlineStr">
        <is>
          <t>COTIZACION DE LOS DISEÑOS DE PROTECCIÓN CONTRA INCENDIOS - TRADHE</t>
        </is>
      </c>
      <c r="D516" s="312" t="n"/>
      <c r="E516" s="312" t="n"/>
      <c r="F516" s="312" t="n"/>
      <c r="G516" s="312" t="n"/>
      <c r="H516" s="312" t="n"/>
      <c r="I516" s="313" t="n"/>
      <c r="J516" s="199" t="inlineStr">
        <is>
          <t>SPCI</t>
        </is>
      </c>
      <c r="K516" s="314" t="n">
        <v>9400000</v>
      </c>
      <c r="L516" s="2" t="n">
        <v>44512</v>
      </c>
      <c r="M516" s="170" t="n"/>
      <c r="N516" s="170" t="n">
        <v>3104680508</v>
      </c>
      <c r="O516" s="172" t="inlineStr">
        <is>
          <t>Juan Pablo Grajales</t>
        </is>
      </c>
      <c r="P516" s="52" t="inlineStr">
        <is>
          <t>juan.grajales@spci.com.co</t>
        </is>
      </c>
    </row>
    <row r="517">
      <c r="B517" s="170" t="n">
        <v>505</v>
      </c>
      <c r="C517" s="199" t="inlineStr">
        <is>
          <t>COTIZACION DEL ANÁLISIS DE SEGURIDAD HUMANA -CRUZ VERDE BOGOTÁ</t>
        </is>
      </c>
      <c r="D517" s="312" t="n"/>
      <c r="E517" s="312" t="n"/>
      <c r="F517" s="312" t="n"/>
      <c r="G517" s="312" t="n"/>
      <c r="H517" s="312" t="n"/>
      <c r="I517" s="313" t="n"/>
      <c r="J517" s="199" t="inlineStr">
        <is>
          <t>STUDIO SUR</t>
        </is>
      </c>
      <c r="K517" s="314" t="n">
        <v>3850000</v>
      </c>
      <c r="L517" s="2" t="n">
        <v>44513</v>
      </c>
      <c r="M517" s="170" t="n"/>
      <c r="N517" s="170" t="n">
        <v>3134669894</v>
      </c>
      <c r="O517" s="172" t="inlineStr">
        <is>
          <t>Andrea Sanchez</t>
        </is>
      </c>
      <c r="P517" s="52" t="inlineStr">
        <is>
          <t>andrea.sanchez@studiosur.net</t>
        </is>
      </c>
    </row>
    <row r="518">
      <c r="B518" s="170" t="n">
        <v>506</v>
      </c>
      <c r="C518" s="199" t="inlineStr">
        <is>
          <t>COTIZACION DEL ANÁLISIS DE SEGURIDAD HUMANA PARA EL PROYECTO URBAN SALITRE ZURICH 3</t>
        </is>
      </c>
      <c r="D518" s="312" t="n"/>
      <c r="E518" s="312" t="n"/>
      <c r="F518" s="312" t="n"/>
      <c r="G518" s="312" t="n"/>
      <c r="H518" s="312" t="n"/>
      <c r="I518" s="313" t="n"/>
      <c r="J518" s="199" t="inlineStr">
        <is>
          <t>OSPINAS</t>
        </is>
      </c>
      <c r="K518" s="314" t="n"/>
      <c r="L518" s="2" t="n">
        <v>44516</v>
      </c>
      <c r="M518" s="170" t="n"/>
      <c r="N518" s="170" t="n">
        <v>3203476710</v>
      </c>
      <c r="O518" s="172" t="inlineStr">
        <is>
          <t>Lawrence Rodríguez</t>
        </is>
      </c>
      <c r="P518" s="89" t="inlineStr">
        <is>
          <t>Jorge.rodriguez@ospinas.com.co</t>
        </is>
      </c>
    </row>
    <row r="519">
      <c r="B519" s="170" t="n">
        <v>507</v>
      </c>
      <c r="C519" s="233" t="inlineStr">
        <is>
          <t xml:space="preserve">COTIZACION DE LOS DISEÑOS DE PROTECCIÓN CONTRA INCENDIOS Y SEGURIDAD HUMANA PARA EL PROYECTO HOSPITAL DEPARTAMENTAL DE NARIÑO
</t>
        </is>
      </c>
      <c r="D519" s="312" t="n"/>
      <c r="E519" s="312" t="n"/>
      <c r="F519" s="312" t="n"/>
      <c r="G519" s="312" t="n"/>
      <c r="H519" s="312" t="n"/>
      <c r="I519" s="313" t="n"/>
      <c r="J519" s="199" t="inlineStr">
        <is>
          <t>CONDISEÑO</t>
        </is>
      </c>
      <c r="K519" s="314" t="inlineStr">
        <is>
          <t>No se cotizó</t>
        </is>
      </c>
      <c r="L519" s="2" t="n">
        <v>44516</v>
      </c>
      <c r="M519" s="170" t="n"/>
      <c r="N519" s="170" t="n">
        <v>3175594091</v>
      </c>
      <c r="O519" s="172" t="inlineStr">
        <is>
          <t>Nakary García Romero</t>
        </is>
      </c>
      <c r="P519" s="52" t="inlineStr">
        <is>
          <t>n.garcia@condiseno.co</t>
        </is>
      </c>
    </row>
    <row r="520">
      <c r="B520" s="170" t="n">
        <v>508</v>
      </c>
      <c r="C520" s="233" t="inlineStr">
        <is>
          <t xml:space="preserve">COTIZACION DE LOS DISEÑOS DE PROTECCIÓN CONTRA INCENDIOS Y SEGURIDAD HUMANA PARA EL PROYECTO NORTIKO
</t>
        </is>
      </c>
      <c r="D520" s="312" t="n"/>
      <c r="E520" s="312" t="n"/>
      <c r="F520" s="312" t="n"/>
      <c r="G520" s="312" t="n"/>
      <c r="H520" s="312" t="n"/>
      <c r="I520" s="313" t="n"/>
      <c r="J520" s="199" t="inlineStr">
        <is>
          <t>CONTEX</t>
        </is>
      </c>
      <c r="K520" s="314" t="n"/>
      <c r="L520" s="2" t="n">
        <v>44517</v>
      </c>
      <c r="M520" s="2" t="inlineStr">
        <is>
          <t>X</t>
        </is>
      </c>
      <c r="N520" s="170" t="n"/>
      <c r="O520" s="172" t="inlineStr">
        <is>
          <t>Elisa Pantoja Bohorquez</t>
        </is>
      </c>
      <c r="P520" s="89" t="inlineStr">
        <is>
          <t>epantoja@contex.com.co</t>
        </is>
      </c>
    </row>
    <row r="521">
      <c r="B521" s="170" t="n">
        <v>509</v>
      </c>
      <c r="C521" s="199" t="inlineStr">
        <is>
          <t>COTIZACION DEL DISEÑO DE EXTINCIÓN DE INCENDIOS PARA EL PROYECTO LOCAL 0115 LEMONT</t>
        </is>
      </c>
      <c r="D521" s="312" t="n"/>
      <c r="E521" s="312" t="n"/>
      <c r="F521" s="312" t="n"/>
      <c r="G521" s="312" t="n"/>
      <c r="H521" s="312" t="n"/>
      <c r="I521" s="313" t="n"/>
      <c r="J521" s="199" t="inlineStr">
        <is>
          <t>SPCI</t>
        </is>
      </c>
      <c r="K521" s="314" t="n">
        <v>1250000</v>
      </c>
      <c r="L521" s="2" t="n">
        <v>44518</v>
      </c>
      <c r="M521" s="170" t="inlineStr">
        <is>
          <t>X</t>
        </is>
      </c>
      <c r="N521" s="170" t="inlineStr">
        <is>
          <t>321 482 61 68</t>
        </is>
      </c>
      <c r="O521" s="172" t="inlineStr">
        <is>
          <t>Ana Maria Restrepo</t>
        </is>
      </c>
      <c r="P521" s="52" t="inlineStr">
        <is>
          <t>costosypresupuestos1@spcisas.com.co</t>
        </is>
      </c>
    </row>
    <row r="522">
      <c r="B522" s="170" t="n">
        <v>510</v>
      </c>
      <c r="C522" s="199" t="inlineStr">
        <is>
          <t>COTIZACION DEL DISEÑO DE EXTINCIÓN DE INCENDIOS PARA EL PROYECTO HOTEL SOMOS MANILA</t>
        </is>
      </c>
      <c r="D522" s="312" t="n"/>
      <c r="E522" s="312" t="n"/>
      <c r="F522" s="312" t="n"/>
      <c r="G522" s="312" t="n"/>
      <c r="H522" s="312" t="n"/>
      <c r="I522" s="313" t="n"/>
      <c r="J522" s="199" t="inlineStr">
        <is>
          <t>COINSI</t>
        </is>
      </c>
      <c r="K522" s="314" t="n">
        <v>6270000</v>
      </c>
      <c r="L522" s="2" t="n">
        <v>44518</v>
      </c>
      <c r="M522" s="170" t="n"/>
      <c r="N522" s="170" t="n">
        <v>3186899388</v>
      </c>
      <c r="O522" s="172" t="inlineStr">
        <is>
          <t>Manuel D Angulo</t>
        </is>
      </c>
      <c r="P522" s="52" t="inlineStr">
        <is>
          <t>lidertecnico@coinsi.com</t>
        </is>
      </c>
    </row>
    <row r="523">
      <c r="B523" s="170" t="n">
        <v>511</v>
      </c>
      <c r="C523" s="199" t="inlineStr">
        <is>
          <t>COTIZACION DEL ANÁLISIS DE SEGURIDAD HUMANA - SIGMA OSF RFP</t>
        </is>
      </c>
      <c r="D523" s="312" t="n"/>
      <c r="E523" s="312" t="n"/>
      <c r="F523" s="312" t="n"/>
      <c r="G523" s="312" t="n"/>
      <c r="H523" s="312" t="n"/>
      <c r="I523" s="313" t="n"/>
      <c r="J523" s="199" t="inlineStr">
        <is>
          <t>STUDIO SUR</t>
        </is>
      </c>
      <c r="K523" s="314" t="inlineStr">
        <is>
          <t>variable</t>
        </is>
      </c>
      <c r="L523" s="2" t="n">
        <v>44519</v>
      </c>
      <c r="M523" s="170" t="n"/>
      <c r="N523" s="170" t="n">
        <v>3134669894</v>
      </c>
      <c r="O523" s="172" t="inlineStr">
        <is>
          <t>Andrea Sanchez</t>
        </is>
      </c>
      <c r="P523" s="52" t="inlineStr">
        <is>
          <t>andrea.sanchez@studiosur.net</t>
        </is>
      </c>
    </row>
    <row r="524">
      <c r="B524" s="170" t="n">
        <v>512</v>
      </c>
      <c r="C524" s="199" t="inlineStr">
        <is>
          <t>COTIZACION DEL DISEÑO DEL CUARTO DE BOMBAS DE EXTINCIÓN DE INCENDIOS - DEBORA ARANGO</t>
        </is>
      </c>
      <c r="D524" s="312" t="n"/>
      <c r="E524" s="312" t="n"/>
      <c r="F524" s="312" t="n"/>
      <c r="G524" s="312" t="n"/>
      <c r="H524" s="312" t="n"/>
      <c r="I524" s="313" t="n"/>
      <c r="J524" s="199" t="inlineStr">
        <is>
          <t>GINO</t>
        </is>
      </c>
      <c r="K524" s="314" t="n">
        <v>3000000</v>
      </c>
      <c r="L524" s="2" t="n">
        <v>44519</v>
      </c>
      <c r="M524" s="170" t="n"/>
      <c r="N524" s="170" t="n">
        <v>3113396273</v>
      </c>
      <c r="O524" s="172" t="inlineStr">
        <is>
          <t>Gino Montoya</t>
        </is>
      </c>
      <c r="P524" s="52" t="inlineStr">
        <is>
          <t>gino1037@hotmail.com</t>
        </is>
      </c>
    </row>
    <row r="525">
      <c r="B525" s="170" t="n">
        <v>513</v>
      </c>
      <c r="C525" s="199" t="inlineStr">
        <is>
          <t>COTIZACION DEL DISEÑO DE EXTINCIÓN DE INCENDIOS - COLEGIO ALCÁZARES</t>
        </is>
      </c>
      <c r="D525" s="312" t="n"/>
      <c r="E525" s="312" t="n"/>
      <c r="F525" s="312" t="n"/>
      <c r="G525" s="312" t="n"/>
      <c r="H525" s="312" t="n"/>
      <c r="I525" s="313" t="n"/>
      <c r="J525" s="199" t="inlineStr">
        <is>
          <t>SPCI</t>
        </is>
      </c>
      <c r="K525" s="314" t="n">
        <v>6900000</v>
      </c>
      <c r="L525" s="2" t="n">
        <v>44519</v>
      </c>
      <c r="M525" s="170" t="n"/>
      <c r="N525" s="170" t="n">
        <v>3104680508</v>
      </c>
      <c r="O525" s="172" t="inlineStr">
        <is>
          <t>Juan Pablo Grajales</t>
        </is>
      </c>
      <c r="P525" s="52" t="inlineStr">
        <is>
          <t>juan.grajales@spci.com.co</t>
        </is>
      </c>
    </row>
    <row r="526">
      <c r="B526" s="170" t="n">
        <v>514</v>
      </c>
      <c r="C526" s="233" t="inlineStr">
        <is>
          <t xml:space="preserve">COTIZACION DE LOS DISEÑOS DE PROTECCIÓN CONTRA INCENDIOS PARA EL PROYECTO LOCAL CENTRO COMERCIAL VIVA LA CEJA
</t>
        </is>
      </c>
      <c r="D526" s="312" t="n"/>
      <c r="E526" s="312" t="n"/>
      <c r="F526" s="312" t="n"/>
      <c r="G526" s="312" t="n"/>
      <c r="H526" s="312" t="n"/>
      <c r="I526" s="313" t="n"/>
      <c r="J526" s="199" t="inlineStr">
        <is>
          <t>SPCI</t>
        </is>
      </c>
      <c r="K526" s="314" t="n"/>
      <c r="L526" s="2" t="n">
        <v>44523</v>
      </c>
      <c r="M526" s="170" t="inlineStr">
        <is>
          <t>X</t>
        </is>
      </c>
      <c r="N526" s="170" t="n"/>
      <c r="O526" s="172" t="inlineStr">
        <is>
          <t>Camilo Quintero</t>
        </is>
      </c>
      <c r="P526" s="52" t="inlineStr">
        <is>
          <t>camilo.quintero@spci.com.co</t>
        </is>
      </c>
    </row>
    <row r="527">
      <c r="B527" s="170" t="n">
        <v>515</v>
      </c>
      <c r="C527" s="199" t="inlineStr">
        <is>
          <t>COTIZACION DEL DISEÑO DE DETECCIÓN DE INCENDIOS - PARQUE EMPRESARIAL RIONEGRO</t>
        </is>
      </c>
      <c r="D527" s="312" t="n"/>
      <c r="E527" s="312" t="n"/>
      <c r="F527" s="312" t="n"/>
      <c r="G527" s="312" t="n"/>
      <c r="H527" s="312" t="n"/>
      <c r="I527" s="313" t="n"/>
      <c r="J527" s="199" t="inlineStr">
        <is>
          <t>SPCI</t>
        </is>
      </c>
      <c r="K527" s="314" t="n">
        <v>1800000</v>
      </c>
      <c r="L527" s="2" t="n">
        <v>44523</v>
      </c>
      <c r="M527" s="170" t="n"/>
      <c r="N527" s="170" t="n">
        <v>3104680508</v>
      </c>
      <c r="O527" s="172" t="inlineStr">
        <is>
          <t>Juan Pablo Grajales</t>
        </is>
      </c>
      <c r="P527" s="52" t="inlineStr">
        <is>
          <t>juan.grajales@spci.com.co</t>
        </is>
      </c>
    </row>
    <row r="528">
      <c r="B528" s="170" t="n">
        <v>516</v>
      </c>
      <c r="C528" s="199" t="inlineStr">
        <is>
          <t>COTIZACION DEL DISEÑO DE EXTINCIÓN DE INCENDIOS PARA EL PROYECTO BODEGA 3 DEL PARQUE DE BODEGAS</t>
        </is>
      </c>
      <c r="D528" s="312" t="n"/>
      <c r="E528" s="312" t="n"/>
      <c r="F528" s="312" t="n"/>
      <c r="G528" s="312" t="n"/>
      <c r="H528" s="312" t="n"/>
      <c r="I528" s="313" t="n"/>
      <c r="J528" s="199" t="inlineStr">
        <is>
          <t xml:space="preserve"> Berince SAS</t>
        </is>
      </c>
      <c r="K528" s="314" t="n"/>
      <c r="L528" s="2" t="n">
        <v>44523</v>
      </c>
      <c r="M528" s="170" t="n"/>
      <c r="N528" s="170" t="n"/>
      <c r="O528" s="172" t="inlineStr">
        <is>
          <t>Cristina Lamb</t>
        </is>
      </c>
      <c r="P528" s="52" t="inlineStr">
        <is>
          <t>berincesas@gmail.com</t>
        </is>
      </c>
    </row>
    <row r="529">
      <c r="B529" s="170" t="n">
        <v>517</v>
      </c>
      <c r="C529" s="199" t="inlineStr">
        <is>
          <t>COTIZACION DE LOS DISEÑOS DE SEGURIDAD HUMANA Y PROTECCIÓN CONTRA INCENDIOS - DP8 TOWER</t>
        </is>
      </c>
      <c r="D529" s="312" t="n"/>
      <c r="E529" s="312" t="n"/>
      <c r="F529" s="312" t="n"/>
      <c r="G529" s="312" t="n"/>
      <c r="H529" s="312" t="n"/>
      <c r="I529" s="313" t="n"/>
      <c r="J529" s="199" t="inlineStr">
        <is>
          <t>INVERSIONES Y CONSTRUCCIONES APOLO</t>
        </is>
      </c>
      <c r="K529" s="314" t="n">
        <v>8460000</v>
      </c>
      <c r="L529" s="2" t="n">
        <v>44523</v>
      </c>
      <c r="M529" s="170" t="n"/>
      <c r="N529" s="170" t="inlineStr">
        <is>
          <t>300 8384379</t>
        </is>
      </c>
      <c r="O529" s="172" t="inlineStr">
        <is>
          <t>Jaime Alonso Londoño</t>
        </is>
      </c>
      <c r="P529" s="52" t="inlineStr">
        <is>
          <t>jalon.apolo21@gmail.com</t>
        </is>
      </c>
    </row>
    <row r="530">
      <c r="B530" s="170" t="n">
        <v>518</v>
      </c>
      <c r="C530" s="199" t="inlineStr">
        <is>
          <t>COTIZACION DEL DISEÑO DE EXTINCIÓN DE INCENDIOS - PROYECTO RESIDENCIAL ARAUCA</t>
        </is>
      </c>
      <c r="D530" s="312" t="n"/>
      <c r="E530" s="312" t="n"/>
      <c r="F530" s="312" t="n"/>
      <c r="G530" s="312" t="n"/>
      <c r="H530" s="312" t="n"/>
      <c r="I530" s="313" t="n"/>
      <c r="J530" s="199" t="inlineStr">
        <is>
          <t>IPROIN CONSTRUCTORA</t>
        </is>
      </c>
      <c r="K530" s="314" t="inlineStr">
        <is>
          <t>Variable</t>
        </is>
      </c>
      <c r="L530" s="2" t="n">
        <v>44523</v>
      </c>
      <c r="M530" s="170" t="n"/>
      <c r="N530" s="170" t="inlineStr">
        <is>
          <t>321 2182029</t>
        </is>
      </c>
      <c r="O530" s="172" t="inlineStr">
        <is>
          <t>Marlón Pastrana</t>
        </is>
      </c>
      <c r="P530" s="52" t="inlineStr">
        <is>
          <t>Ingenieria@iproin.com.co</t>
        </is>
      </c>
    </row>
    <row r="531">
      <c r="B531" s="170" t="n">
        <v>519</v>
      </c>
      <c r="C531" s="199" t="inlineStr">
        <is>
          <t>COTIZACION DEL ANÁLISIS DE SEGURIDAD HUMANA PARA EL PROYECTO EDIFICIO JOLET</t>
        </is>
      </c>
      <c r="D531" s="312" t="n"/>
      <c r="E531" s="312" t="n"/>
      <c r="F531" s="312" t="n"/>
      <c r="G531" s="312" t="n"/>
      <c r="H531" s="312" t="n"/>
      <c r="I531" s="313" t="n"/>
      <c r="J531" s="199" t="inlineStr">
        <is>
          <t>Idea Base SAS</t>
        </is>
      </c>
      <c r="K531" s="314" t="n">
        <v>1960000</v>
      </c>
      <c r="L531" s="2" t="n">
        <v>44524</v>
      </c>
      <c r="M531" s="170" t="n"/>
      <c r="N531" s="170" t="n">
        <v>3045624551</v>
      </c>
      <c r="O531" s="172" t="inlineStr">
        <is>
          <t>Natalia Fernández Garcés</t>
        </is>
      </c>
      <c r="P531" s="52" t="inlineStr">
        <is>
          <t>arqjunior@ideabasearquitectos.com</t>
        </is>
      </c>
    </row>
    <row r="532">
      <c r="B532" s="170" t="n">
        <v>520</v>
      </c>
      <c r="C532" s="199" t="inlineStr">
        <is>
          <t>COTIZACION DEL DISEÑO DEL CUARTO DE BOMBAS Y EVALUACIÓN DEL SISTEMA DISEÑADO - MIRASOL RIONEGRO</t>
        </is>
      </c>
      <c r="D532" s="312" t="n"/>
      <c r="E532" s="312" t="n"/>
      <c r="F532" s="312" t="n"/>
      <c r="G532" s="312" t="n"/>
      <c r="H532" s="312" t="n"/>
      <c r="I532" s="313" t="n"/>
      <c r="J532" s="199" t="inlineStr">
        <is>
          <t>FUNDACIÓN COMPARTIR</t>
        </is>
      </c>
      <c r="K532" s="314" t="n">
        <v>4000000</v>
      </c>
      <c r="L532" s="2" t="n">
        <v>44524</v>
      </c>
      <c r="M532" s="170" t="inlineStr">
        <is>
          <t>X</t>
        </is>
      </c>
      <c r="N532" s="170" t="n"/>
      <c r="O532" s="172" t="inlineStr">
        <is>
          <t xml:space="preserve">Luis Vargas Gámez </t>
        </is>
      </c>
      <c r="P532" s="52" t="inlineStr">
        <is>
          <t>admobra@fundacioncompartir.org</t>
        </is>
      </c>
    </row>
    <row r="533">
      <c r="B533" s="170" t="n">
        <v>521</v>
      </c>
      <c r="C533" s="199" t="inlineStr">
        <is>
          <t>COTIZACION DE LA INGENIERÍA CONCEPTUAL DE EXTINCIÓN DE INCENDIOS - COMPAÑÍA DE EMPAQUES</t>
        </is>
      </c>
      <c r="D533" s="312" t="n"/>
      <c r="E533" s="312" t="n"/>
      <c r="F533" s="312" t="n"/>
      <c r="G533" s="312" t="n"/>
      <c r="H533" s="312" t="n"/>
      <c r="I533" s="313" t="n"/>
      <c r="J533" s="199" t="inlineStr">
        <is>
          <t>COMPAÑÍA DE EMPAQUES</t>
        </is>
      </c>
      <c r="K533" s="314" t="n">
        <v>9950000</v>
      </c>
      <c r="L533" s="2" t="n">
        <v>44525</v>
      </c>
      <c r="M533" s="170" t="n"/>
      <c r="N533" s="170" t="inlineStr">
        <is>
          <t>301 2051599</t>
        </is>
      </c>
      <c r="O533" s="172" t="inlineStr">
        <is>
          <t>Edwin Andrés Cortes</t>
        </is>
      </c>
      <c r="P533" s="52" t="inlineStr">
        <is>
          <t>edwin.cortes@grupoexcala.com</t>
        </is>
      </c>
    </row>
    <row r="534">
      <c r="B534" s="170" t="n">
        <v>522</v>
      </c>
      <c r="C534" s="199" t="inlineStr">
        <is>
          <t>COTIZACION DE LOS DISEÑOS DE SEGURIDAD HUMANA Y PROTECCIÓN CONTRA INCENDIOS - PROYECTO NUEVO COMPAÑÍA DE EMPAQUES</t>
        </is>
      </c>
      <c r="D534" s="312" t="n"/>
      <c r="E534" s="312" t="n"/>
      <c r="F534" s="312" t="n"/>
      <c r="G534" s="312" t="n"/>
      <c r="H534" s="312" t="n"/>
      <c r="I534" s="313" t="n"/>
      <c r="J534" s="199" t="inlineStr">
        <is>
          <t>COMPAÑÍA DE EMPAQUES</t>
        </is>
      </c>
      <c r="K534" s="314" t="n">
        <v>21950000</v>
      </c>
      <c r="L534" s="2" t="n">
        <v>44525</v>
      </c>
      <c r="M534" s="170" t="n"/>
      <c r="N534" s="170" t="inlineStr">
        <is>
          <t>301 2051599</t>
        </is>
      </c>
      <c r="O534" s="172" t="inlineStr">
        <is>
          <t>Edwin Andrés Cortes</t>
        </is>
      </c>
      <c r="P534" s="52" t="inlineStr">
        <is>
          <t>edwin.cortes@grupoexcala.com</t>
        </is>
      </c>
    </row>
    <row r="535">
      <c r="B535" s="170" t="n">
        <v>523</v>
      </c>
      <c r="C535" s="199" t="inlineStr">
        <is>
          <t>COTIZACION DE LOS DISEÑOS DE SEGURIDAD HUMANA Y PROTECCIÓN CONTRA  INCENDIOS - HOTEL SOMOS MANILA</t>
        </is>
      </c>
      <c r="D535" s="312" t="n"/>
      <c r="E535" s="312" t="n"/>
      <c r="F535" s="312" t="n"/>
      <c r="G535" s="312" t="n"/>
      <c r="H535" s="312" t="n"/>
      <c r="I535" s="313" t="n"/>
      <c r="J535" s="199" t="inlineStr">
        <is>
          <t>A5</t>
        </is>
      </c>
      <c r="K535" s="314" t="n">
        <v>10950000</v>
      </c>
      <c r="L535" s="2" t="n">
        <v>44526</v>
      </c>
      <c r="M535" s="170" t="n"/>
      <c r="N535" s="170" t="n"/>
      <c r="O535" s="172" t="inlineStr">
        <is>
          <t xml:space="preserve">Carolina </t>
        </is>
      </c>
      <c r="P535" s="52" t="inlineStr">
        <is>
          <t>residente1@a5arquitectura.com</t>
        </is>
      </c>
    </row>
    <row r="536">
      <c r="B536" s="170" t="n">
        <v>524</v>
      </c>
      <c r="C536" s="199" t="inlineStr">
        <is>
          <t>COTIZACION DEL ANÁLISIS DE SEGURIDAD HUMANA - CATTLEYA TORRE 2</t>
        </is>
      </c>
      <c r="D536" s="312" t="n"/>
      <c r="E536" s="312" t="n"/>
      <c r="F536" s="312" t="n"/>
      <c r="G536" s="312" t="n"/>
      <c r="H536" s="312" t="n"/>
      <c r="I536" s="313" t="n"/>
      <c r="J536" s="199" t="inlineStr">
        <is>
          <t>CIVILES</t>
        </is>
      </c>
      <c r="K536" s="314" t="n">
        <v>2950000</v>
      </c>
      <c r="L536" s="2" t="n">
        <v>44526</v>
      </c>
      <c r="M536" s="170" t="inlineStr">
        <is>
          <t>X</t>
        </is>
      </c>
      <c r="N536" s="170" t="n">
        <v>3042478572</v>
      </c>
      <c r="O536" s="172" t="inlineStr">
        <is>
          <t xml:space="preserve">NELSON HORACIO VALLEJO HERNANDEZ </t>
        </is>
      </c>
      <c r="P536" s="52" t="inlineStr">
        <is>
          <t>residenteciviles1@civiles-sas.com</t>
        </is>
      </c>
    </row>
    <row r="537">
      <c r="B537" s="170" t="n">
        <v>525</v>
      </c>
      <c r="C537" s="199" t="inlineStr">
        <is>
          <t>COTIZACION DE LOS DISEÑOS DE SEGURIDAD HUMANA Y PROTECCIÓN CONTRA INCENDIOS - COMPAÑÍA DE EMPAQUES</t>
        </is>
      </c>
      <c r="D537" s="312" t="n"/>
      <c r="E537" s="312" t="n"/>
      <c r="F537" s="312" t="n"/>
      <c r="G537" s="312" t="n"/>
      <c r="H537" s="312" t="n"/>
      <c r="I537" s="313" t="n"/>
      <c r="J537" s="199" t="inlineStr">
        <is>
          <t>COMPAÑÍA DE EMPAQUES</t>
        </is>
      </c>
      <c r="K537" s="314" t="n">
        <v>65850000</v>
      </c>
      <c r="L537" s="2" t="n">
        <v>44527</v>
      </c>
      <c r="M537" s="170" t="n"/>
      <c r="N537" s="170" t="inlineStr">
        <is>
          <t>301 2051599</t>
        </is>
      </c>
      <c r="O537" s="172" t="inlineStr">
        <is>
          <t>Edwin Andrés Cortes</t>
        </is>
      </c>
      <c r="P537" s="52" t="inlineStr">
        <is>
          <t>edwin.cortes@grupoexcala.com</t>
        </is>
      </c>
    </row>
    <row r="538">
      <c r="B538" s="170" t="n">
        <v>526</v>
      </c>
      <c r="C538" s="199" t="inlineStr">
        <is>
          <t>COTIZACION DE LOS DISEÑOS DE PROTECCIÓN CONTRA  INCENDIOS - BANCOLOMBIA PLAZA FABRICATO</t>
        </is>
      </c>
      <c r="D538" s="312" t="n"/>
      <c r="E538" s="312" t="n"/>
      <c r="F538" s="312" t="n"/>
      <c r="G538" s="312" t="n"/>
      <c r="H538" s="312" t="n"/>
      <c r="I538" s="313" t="n"/>
      <c r="J538" s="199" t="inlineStr">
        <is>
          <t>CONDISEÑO</t>
        </is>
      </c>
      <c r="K538" s="314" t="n"/>
      <c r="L538" s="2" t="n">
        <v>44529</v>
      </c>
      <c r="M538" s="170" t="inlineStr">
        <is>
          <t>X</t>
        </is>
      </c>
      <c r="N538" s="170" t="n"/>
      <c r="O538" s="172" t="n"/>
      <c r="P538" s="172" t="n"/>
    </row>
    <row r="539">
      <c r="B539" s="170" t="n">
        <v>527</v>
      </c>
      <c r="C539" s="199" t="inlineStr">
        <is>
          <t>COTIZACION DEL DISEÑO DE EXTINCIÓN DE INCENDIOS - 408 SALUD VEGAS</t>
        </is>
      </c>
      <c r="D539" s="312" t="n"/>
      <c r="E539" s="312" t="n"/>
      <c r="F539" s="312" t="n"/>
      <c r="G539" s="312" t="n"/>
      <c r="H539" s="312" t="n"/>
      <c r="I539" s="313" t="n"/>
      <c r="J539" s="199" t="inlineStr">
        <is>
          <t>SARA FRANCO</t>
        </is>
      </c>
      <c r="K539" s="314" t="n">
        <v>950000</v>
      </c>
      <c r="L539" s="2" t="n">
        <v>44531</v>
      </c>
      <c r="M539" s="170" t="n"/>
      <c r="N539" s="170" t="n">
        <v>3014695381</v>
      </c>
      <c r="O539" s="172" t="inlineStr">
        <is>
          <t>Sara Franco</t>
        </is>
      </c>
      <c r="P539" s="52" t="inlineStr">
        <is>
          <t>sarafrancorendon@gmail.com</t>
        </is>
      </c>
    </row>
    <row r="540">
      <c r="B540" s="170" t="n">
        <v>528</v>
      </c>
      <c r="C540" s="199" t="inlineStr">
        <is>
          <t>COTIZACION DEL ANÁLISIS DE SEGURIDAD HUMANA - TORRE 3 CERROS DE AVELLANEDA</t>
        </is>
      </c>
      <c r="D540" s="312" t="n"/>
      <c r="E540" s="312" t="n"/>
      <c r="F540" s="312" t="n"/>
      <c r="G540" s="312" t="n"/>
      <c r="H540" s="312" t="n"/>
      <c r="I540" s="313" t="n"/>
      <c r="J540" s="199" t="inlineStr">
        <is>
          <t>YADDY SOLIDA</t>
        </is>
      </c>
      <c r="K540" s="314" t="n">
        <v>1250000</v>
      </c>
      <c r="L540" s="2" t="n">
        <v>41245</v>
      </c>
      <c r="M540" s="170" t="n"/>
      <c r="N540" s="170" t="inlineStr">
        <is>
          <t>4487500 ext 4912</t>
        </is>
      </c>
      <c r="O540" s="172" t="inlineStr">
        <is>
          <t>Yaddy Giron Martinez</t>
        </is>
      </c>
      <c r="P540" s="52" t="inlineStr">
        <is>
          <t>yaddy.giron@solida.com.co</t>
        </is>
      </c>
    </row>
    <row r="541">
      <c r="B541" s="170" t="n">
        <v>529</v>
      </c>
      <c r="C541" s="199" t="inlineStr">
        <is>
          <t>COTIZACION DEL ANÁLISIS DE SEGURIDAD HUMANA - EL CARMEN COLONIAL</t>
        </is>
      </c>
      <c r="D541" s="312" t="n"/>
      <c r="E541" s="312" t="n"/>
      <c r="F541" s="312" t="n"/>
      <c r="G541" s="312" t="n"/>
      <c r="H541" s="312" t="n"/>
      <c r="I541" s="313" t="n"/>
      <c r="J541" s="199" t="inlineStr">
        <is>
          <t>FP CIVILES</t>
        </is>
      </c>
      <c r="K541" s="314" t="n">
        <v>1750000</v>
      </c>
      <c r="L541" s="2" t="n">
        <v>41246</v>
      </c>
      <c r="M541" s="170" t="n"/>
      <c r="N541" s="170" t="n">
        <v>3113396273</v>
      </c>
      <c r="O541" s="172" t="inlineStr">
        <is>
          <t>Gino Montoya</t>
        </is>
      </c>
      <c r="P541" s="52" t="inlineStr">
        <is>
          <t>gino1037@hotmail.com</t>
        </is>
      </c>
    </row>
    <row r="542">
      <c r="B542" s="170" t="n">
        <v>530</v>
      </c>
      <c r="C542" s="199" t="inlineStr">
        <is>
          <t>COTIZACIÓN DISEÑOS CASA NAMASTE</t>
        </is>
      </c>
      <c r="D542" s="312" t="n"/>
      <c r="E542" s="312" t="n"/>
      <c r="F542" s="312" t="n"/>
      <c r="G542" s="312" t="n"/>
      <c r="H542" s="312" t="n"/>
      <c r="I542" s="313" t="n"/>
      <c r="J542" s="199" t="inlineStr">
        <is>
          <t>GINO</t>
        </is>
      </c>
      <c r="K542" s="314" t="n"/>
      <c r="L542" s="2" t="n">
        <v>44534</v>
      </c>
      <c r="M542" s="170" t="n"/>
      <c r="N542" s="170" t="n">
        <v>3113396273</v>
      </c>
      <c r="O542" s="172" t="inlineStr">
        <is>
          <t>Gino Montoya</t>
        </is>
      </c>
      <c r="P542" s="52" t="inlineStr">
        <is>
          <t>gino1037@hotmail.com</t>
        </is>
      </c>
    </row>
    <row r="543">
      <c r="B543" s="170" t="n">
        <v>531</v>
      </c>
      <c r="C543" s="199" t="inlineStr">
        <is>
          <t>COTIZACION DE LA INGENIERÍA CONCEPTUAL DE EXTINCIÓN DE INCENDIOS - CLÍNICA LAS VEGAS</t>
        </is>
      </c>
      <c r="D543" s="312" t="n"/>
      <c r="E543" s="312" t="n"/>
      <c r="F543" s="312" t="n"/>
      <c r="G543" s="312" t="n"/>
      <c r="H543" s="312" t="n"/>
      <c r="I543" s="313" t="n"/>
      <c r="J543" s="199" t="inlineStr">
        <is>
          <t>CLINICA LAS VEGAS</t>
        </is>
      </c>
      <c r="K543" s="314" t="n">
        <v>1500000</v>
      </c>
      <c r="L543" s="2" t="n">
        <v>44536</v>
      </c>
      <c r="M543" s="170" t="n"/>
      <c r="N543" s="170" t="inlineStr">
        <is>
          <t>301 3527048</t>
        </is>
      </c>
      <c r="O543" s="172" t="inlineStr">
        <is>
          <t>Mario Salud y Servicios</t>
        </is>
      </c>
      <c r="P543" s="172" t="n"/>
    </row>
    <row r="544">
      <c r="B544" s="170" t="n">
        <v>532</v>
      </c>
      <c r="C544" s="199" t="inlineStr">
        <is>
          <t>COTIZACIÓN CONSULTORÍA HORA INGENIERO PROTECCIÓN CONTRA INCENDIOS Y SEGURIDAD HUMANA</t>
        </is>
      </c>
      <c r="D544" s="312" t="n"/>
      <c r="E544" s="312" t="n"/>
      <c r="F544" s="312" t="n"/>
      <c r="G544" s="312" t="n"/>
      <c r="H544" s="312" t="n"/>
      <c r="I544" s="313" t="n"/>
      <c r="J544" s="199" t="inlineStr">
        <is>
          <t>GERENCIA INTEGRAL</t>
        </is>
      </c>
      <c r="K544" s="314" t="n">
        <v>150000</v>
      </c>
      <c r="L544" s="2" t="n">
        <v>44536</v>
      </c>
      <c r="M544" s="170" t="n"/>
      <c r="N544" s="170" t="n">
        <v>3014383931</v>
      </c>
      <c r="O544" s="172" t="inlineStr">
        <is>
          <t>Yury Vélez</t>
        </is>
      </c>
      <c r="P544" s="327" t="inlineStr">
        <is>
          <t>yvelez@hdgerenciaintegral.com</t>
        </is>
      </c>
    </row>
    <row r="545">
      <c r="B545" s="170" t="n">
        <v>533</v>
      </c>
      <c r="C545" s="246" t="inlineStr">
        <is>
          <t xml:space="preserve">COTIZACION DEL DISEÑO DE EXTINCIÓN DE INCENDIOS PARA EL PROYECTO TORRE SILVESTRE
</t>
        </is>
      </c>
      <c r="D545" s="312" t="n"/>
      <c r="E545" s="312" t="n"/>
      <c r="F545" s="312" t="n"/>
      <c r="G545" s="312" t="n"/>
      <c r="H545" s="312" t="n"/>
      <c r="I545" s="313" t="n"/>
      <c r="J545" s="199" t="inlineStr">
        <is>
          <t>JOMARK</t>
        </is>
      </c>
      <c r="K545" s="314" t="n">
        <v>12950000</v>
      </c>
      <c r="L545" s="170" t="inlineStr">
        <is>
          <t>06/12/20221</t>
        </is>
      </c>
      <c r="M545" s="2" t="n"/>
      <c r="N545" s="170" t="inlineStr">
        <is>
          <t>319 5981312</t>
        </is>
      </c>
      <c r="O545" s="172" t="inlineStr">
        <is>
          <t>Laura Duque</t>
        </is>
      </c>
      <c r="P545" s="52" t="inlineStr">
        <is>
          <t>Proyectos2@jomarkseguridad.com</t>
        </is>
      </c>
    </row>
    <row r="546">
      <c r="B546" s="170" t="n">
        <v>534</v>
      </c>
      <c r="C546" s="199" t="inlineStr">
        <is>
          <t>COTIZACION DEL ANÁLISIS DE SEGURIDAD HUMANA PARA EL PROYECTO CERROS DE AVELLANEDA TORRE 3</t>
        </is>
      </c>
      <c r="D546" s="312" t="n"/>
      <c r="E546" s="312" t="n"/>
      <c r="F546" s="312" t="n"/>
      <c r="G546" s="312" t="n"/>
      <c r="H546" s="312" t="n"/>
      <c r="I546" s="313" t="n"/>
      <c r="J546" s="199" t="inlineStr">
        <is>
          <t>SOLIDA VIVIENDA SOLIDARIA</t>
        </is>
      </c>
      <c r="K546" s="314" t="n">
        <v>1350000</v>
      </c>
      <c r="L546" s="2" t="n">
        <v>44536</v>
      </c>
      <c r="M546" s="170" t="n"/>
      <c r="N546" s="170" t="inlineStr">
        <is>
          <t>4487500 ext 4912</t>
        </is>
      </c>
      <c r="O546" s="172" t="inlineStr">
        <is>
          <t>Yaddy Giron Martinez</t>
        </is>
      </c>
      <c r="P546" s="52" t="inlineStr">
        <is>
          <t>yaddy.giron@solida.com.co</t>
        </is>
      </c>
    </row>
    <row r="547">
      <c r="B547" s="170" t="n">
        <v>535</v>
      </c>
      <c r="C547" s="199" t="inlineStr">
        <is>
          <t>COTIZACION DE LOS DISEÑOS DE PROTECCIÓN CONTRA INCENDIOS Y SEGURIDAD HUMANA PARA EL PROYECTO RESERVA DEL CARMEN</t>
        </is>
      </c>
      <c r="D547" s="312" t="n"/>
      <c r="E547" s="312" t="n"/>
      <c r="F547" s="312" t="n"/>
      <c r="G547" s="312" t="n"/>
      <c r="H547" s="312" t="n"/>
      <c r="I547" s="313" t="n"/>
      <c r="J547" s="199" t="inlineStr">
        <is>
          <t>OBRASDE</t>
        </is>
      </c>
      <c r="K547" s="314" t="n">
        <v>14950000</v>
      </c>
      <c r="L547" s="2" t="n">
        <v>44537</v>
      </c>
      <c r="M547" s="170" t="n"/>
      <c r="N547" s="170" t="inlineStr">
        <is>
          <t>444 54 53</t>
        </is>
      </c>
      <c r="O547" s="172" t="inlineStr">
        <is>
          <t>Jhon Fernando Gomez Marin</t>
        </is>
      </c>
      <c r="P547" s="52" t="inlineStr">
        <is>
          <t>john.gomez@obrasde.com</t>
        </is>
      </c>
    </row>
    <row r="548">
      <c r="B548" s="170" t="n">
        <v>536</v>
      </c>
      <c r="C548" s="199" t="inlineStr">
        <is>
          <t>COTIZACION DEL DISEÑO DE EXTINCIÓN DE INCENDIOS PARA EL PROYECTO CENTRO DE NEGOCIOS SUR “TATA” ETAPA 3</t>
        </is>
      </c>
      <c r="D548" s="312" t="n"/>
      <c r="E548" s="312" t="n"/>
      <c r="F548" s="312" t="n"/>
      <c r="G548" s="312" t="n"/>
      <c r="H548" s="312" t="n"/>
      <c r="I548" s="313" t="n"/>
      <c r="J548" s="199" t="inlineStr">
        <is>
          <t>LONDOÑO GOMEZ</t>
        </is>
      </c>
      <c r="K548" s="314" t="n">
        <v>23950000</v>
      </c>
      <c r="L548" s="2" t="n">
        <v>44537</v>
      </c>
      <c r="M548" s="2" t="inlineStr">
        <is>
          <t>X</t>
        </is>
      </c>
      <c r="N548" s="170" t="n">
        <v>3111770</v>
      </c>
      <c r="O548" s="172" t="inlineStr">
        <is>
          <t>Juan Diego Echeverry</t>
        </is>
      </c>
      <c r="P548" s="52" t="inlineStr">
        <is>
          <t>jecheverri@londonogomez.com</t>
        </is>
      </c>
    </row>
    <row r="549">
      <c r="B549" s="170" t="n">
        <v>537</v>
      </c>
      <c r="C549" s="199" t="inlineStr">
        <is>
          <t>COTIZACION DE LOS DISEÑOS DE PROTECCIÓN CONTRA INCENDIOS Y SEGURIDAD HUMANA PARA EL PROYECTO RESERVA DEL CARMEN</t>
        </is>
      </c>
      <c r="D549" s="312" t="n"/>
      <c r="E549" s="312" t="n"/>
      <c r="F549" s="312" t="n"/>
      <c r="G549" s="312" t="n"/>
      <c r="H549" s="312" t="n"/>
      <c r="I549" s="313" t="n"/>
      <c r="J549" s="199" t="inlineStr">
        <is>
          <t>SPCI</t>
        </is>
      </c>
      <c r="K549" s="314" t="n">
        <v>13950000</v>
      </c>
      <c r="L549" s="2" t="n">
        <v>44539</v>
      </c>
      <c r="M549" s="170" t="n"/>
      <c r="N549" s="170" t="inlineStr">
        <is>
          <t>321 482 61 68</t>
        </is>
      </c>
      <c r="O549" s="172" t="inlineStr">
        <is>
          <t>Ana Maria Restrepo</t>
        </is>
      </c>
      <c r="P549" s="52" t="inlineStr">
        <is>
          <t>costosypresupuestos1@spcisas.com.co</t>
        </is>
      </c>
    </row>
    <row r="550">
      <c r="B550" s="170" t="n">
        <v>538</v>
      </c>
      <c r="C550" s="199" t="inlineStr">
        <is>
          <t>COTIZACION DE LOS DISEÑOS DE PROTECCIÓN CONTRA INCENDIOS Y SEGURIDAD HUMANA PARA EL PROYECTO QUARZZO</t>
        </is>
      </c>
      <c r="D550" s="312" t="n"/>
      <c r="E550" s="312" t="n"/>
      <c r="F550" s="312" t="n"/>
      <c r="G550" s="312" t="n"/>
      <c r="H550" s="312" t="n"/>
      <c r="I550" s="313" t="n"/>
      <c r="J550" s="199" t="inlineStr">
        <is>
          <t>FCR SAS</t>
        </is>
      </c>
      <c r="K550" s="314" t="n">
        <v>12900000</v>
      </c>
      <c r="L550" s="2" t="n">
        <v>44539</v>
      </c>
      <c r="M550" s="170" t="inlineStr">
        <is>
          <t>X</t>
        </is>
      </c>
      <c r="N550" s="170" t="n"/>
      <c r="O550" s="172" t="inlineStr">
        <is>
          <t>Vanessa Zapata</t>
        </is>
      </c>
      <c r="P550" s="52" t="inlineStr">
        <is>
          <t>Vanessazapata.fcr@gmail.com</t>
        </is>
      </c>
    </row>
    <row r="551">
      <c r="B551" s="170" t="n">
        <v>539</v>
      </c>
      <c r="C551" s="199" t="inlineStr">
        <is>
          <t>COTIZACION DE LOS DISEÑOS DE PROTECCIÓN CONTRA INCENDIOS Y SEGURIDAD HUMANA PARA EL PROYECTO BELO HORIZONTE</t>
        </is>
      </c>
      <c r="D551" s="312" t="n"/>
      <c r="E551" s="312" t="n"/>
      <c r="F551" s="312" t="n"/>
      <c r="G551" s="312" t="n"/>
      <c r="H551" s="312" t="n"/>
      <c r="I551" s="313" t="n"/>
      <c r="J551" s="199" t="inlineStr">
        <is>
          <t>FCR SAS</t>
        </is>
      </c>
      <c r="K551" s="314" t="n">
        <v>26700000</v>
      </c>
      <c r="L551" s="2" t="n">
        <v>44539</v>
      </c>
      <c r="M551" s="170" t="n"/>
      <c r="N551" s="170" t="n"/>
      <c r="O551" s="172" t="inlineStr">
        <is>
          <t>Vanessa Zapata</t>
        </is>
      </c>
      <c r="P551" s="52" t="inlineStr">
        <is>
          <t>Vanessazapata.fcr@gmail.com</t>
        </is>
      </c>
    </row>
    <row r="552">
      <c r="B552" s="170" t="n">
        <v>540</v>
      </c>
      <c r="C552" s="199" t="inlineStr">
        <is>
          <t>COTIZACION DEL DISEÑO DE EXTINCIÓN DE INCENDIOS - ÍNDIGO</t>
        </is>
      </c>
      <c r="D552" s="312" t="n"/>
      <c r="E552" s="312" t="n"/>
      <c r="F552" s="312" t="n"/>
      <c r="G552" s="312" t="n"/>
      <c r="H552" s="312" t="n"/>
      <c r="I552" s="313" t="n"/>
      <c r="J552" s="199" t="inlineStr">
        <is>
          <t>SERIINCO</t>
        </is>
      </c>
      <c r="K552" s="314" t="n">
        <v>12190000</v>
      </c>
      <c r="L552" s="2" t="n">
        <v>44540</v>
      </c>
      <c r="M552" s="170" t="n"/>
      <c r="N552" s="170" t="n">
        <v>3113391008</v>
      </c>
      <c r="O552" s="172" t="inlineStr">
        <is>
          <t>Carlos Enrique Henao</t>
        </is>
      </c>
      <c r="P552" s="52" t="inlineStr">
        <is>
          <t>carlos.henao@seriinco.com</t>
        </is>
      </c>
    </row>
    <row r="553">
      <c r="B553" s="170" t="n">
        <v>541</v>
      </c>
      <c r="C553" s="199" t="inlineStr">
        <is>
          <t>COTIZACION DE LOS DISEÑOS DE SEGURIDAD HUMANA Y PROTECCIÓN CONTRA  INCENDIOS - BAXTER</t>
        </is>
      </c>
      <c r="D553" s="312" t="n"/>
      <c r="E553" s="312" t="n"/>
      <c r="F553" s="312" t="n"/>
      <c r="G553" s="312" t="n"/>
      <c r="H553" s="312" t="n"/>
      <c r="I553" s="313" t="n"/>
      <c r="J553" s="199" t="inlineStr">
        <is>
          <t>BAXTER</t>
        </is>
      </c>
      <c r="K553" s="314" t="n">
        <v>240000000</v>
      </c>
      <c r="L553" s="2" t="n">
        <v>44543</v>
      </c>
      <c r="M553" s="170" t="n"/>
      <c r="N553" s="170" t="n"/>
      <c r="O553" s="172" t="inlineStr">
        <is>
          <t>Sebastián Fonseca</t>
        </is>
      </c>
      <c r="P553" s="52" t="inlineStr">
        <is>
          <t>sebastian_fonseca@baxter.com</t>
        </is>
      </c>
    </row>
    <row r="554">
      <c r="B554" s="170" t="n">
        <v>542</v>
      </c>
      <c r="C554" s="199" t="inlineStr">
        <is>
          <t>COTIZACION DEL ANÁLISIS DE SEGURIDAD HUMANA - FLORES DEL CAMPO</t>
        </is>
      </c>
      <c r="D554" s="312" t="n"/>
      <c r="E554" s="312" t="n"/>
      <c r="F554" s="312" t="n"/>
      <c r="G554" s="312" t="n"/>
      <c r="H554" s="312" t="n"/>
      <c r="I554" s="313" t="n"/>
      <c r="J554" s="199" t="inlineStr">
        <is>
          <t>SOLIDA VIVIENDA SOLIDARIA</t>
        </is>
      </c>
      <c r="K554" s="314" t="n">
        <v>2500000</v>
      </c>
      <c r="L554" s="2" t="n">
        <v>44544</v>
      </c>
      <c r="M554" s="170" t="n"/>
      <c r="N554" s="170" t="inlineStr">
        <is>
          <t>4487500 ext 4912</t>
        </is>
      </c>
      <c r="O554" s="172" t="inlineStr">
        <is>
          <t>Yaddy Giron Martinez</t>
        </is>
      </c>
      <c r="P554" s="52" t="inlineStr">
        <is>
          <t>yaddy.giron@solida.com.co</t>
        </is>
      </c>
    </row>
    <row r="555">
      <c r="B555" s="170" t="n">
        <v>543</v>
      </c>
      <c r="C555" s="199" t="inlineStr">
        <is>
          <t>COTIZACION DEL DISEÑO DE EXTINCIÓN DE INCENDIOS - HALL DE CAJEROS AYAPEL</t>
        </is>
      </c>
      <c r="D555" s="312" t="n"/>
      <c r="E555" s="312" t="n"/>
      <c r="F555" s="312" t="n"/>
      <c r="G555" s="312" t="n"/>
      <c r="H555" s="312" t="n"/>
      <c r="I555" s="313" t="n"/>
      <c r="J555" s="199" t="inlineStr">
        <is>
          <t>SANTIAGO ROJAS</t>
        </is>
      </c>
      <c r="K555" s="314" t="n">
        <v>600000</v>
      </c>
      <c r="L555" s="2" t="n">
        <v>44545</v>
      </c>
      <c r="M555" s="170" t="inlineStr">
        <is>
          <t>X</t>
        </is>
      </c>
      <c r="N555" s="170" t="n">
        <v>3022295772</v>
      </c>
      <c r="O555" s="172" t="inlineStr">
        <is>
          <t>Aurora Rios</t>
        </is>
      </c>
      <c r="P555" s="52" t="inlineStr">
        <is>
          <t>proyectos@santiagorojas.com.co</t>
        </is>
      </c>
    </row>
    <row r="556">
      <c r="B556" s="170" t="n">
        <v>544</v>
      </c>
      <c r="C556" s="233" t="inlineStr">
        <is>
          <t>COTIZACION DEL DISEÑO DE EXTINCIÓN DE INCENDIOS PARA EL PROYECTO LOCAL 3089 PLAZA FABRICATO</t>
        </is>
      </c>
      <c r="D556" s="312" t="n"/>
      <c r="E556" s="312" t="n"/>
      <c r="F556" s="312" t="n"/>
      <c r="G556" s="312" t="n"/>
      <c r="H556" s="312" t="n"/>
      <c r="I556" s="313" t="n"/>
      <c r="J556" s="199" t="inlineStr">
        <is>
          <t>SPCI</t>
        </is>
      </c>
      <c r="K556" s="314" t="n">
        <v>12500000</v>
      </c>
      <c r="L556" s="2" t="n">
        <v>44545</v>
      </c>
      <c r="M556" s="170" t="inlineStr">
        <is>
          <t>X</t>
        </is>
      </c>
      <c r="N556" s="170" t="inlineStr">
        <is>
          <t>321 482 61 68</t>
        </is>
      </c>
      <c r="O556" s="172" t="inlineStr">
        <is>
          <t>Ana Maria Restrepo</t>
        </is>
      </c>
      <c r="P556" s="52" t="inlineStr">
        <is>
          <t>costosypresupuestos1@spcisas.com.co</t>
        </is>
      </c>
    </row>
    <row r="557">
      <c r="B557" s="170" t="n">
        <v>545</v>
      </c>
      <c r="C557" s="199" t="inlineStr">
        <is>
          <t>COTIZACION DEL DISEÑO DE EXTINCIÓN DE INCENDIOS PARA EL PROYECTO HOSTERIA FARALLONES</t>
        </is>
      </c>
      <c r="D557" s="312" t="n"/>
      <c r="E557" s="312" t="n"/>
      <c r="F557" s="312" t="n"/>
      <c r="G557" s="312" t="n"/>
      <c r="H557" s="312" t="n"/>
      <c r="I557" s="313" t="n"/>
      <c r="J557" s="199" t="inlineStr">
        <is>
          <t>JOMARK</t>
        </is>
      </c>
      <c r="K557" s="314" t="n"/>
      <c r="L557" s="2" t="n">
        <v>44545</v>
      </c>
      <c r="M557" s="170" t="n"/>
      <c r="N557" s="170" t="inlineStr">
        <is>
          <t>319 5981312</t>
        </is>
      </c>
      <c r="O557" s="172" t="inlineStr">
        <is>
          <t>Laura Duque</t>
        </is>
      </c>
      <c r="P557" s="52" t="inlineStr">
        <is>
          <t>Proyectos2@jomarkseguridad.com</t>
        </is>
      </c>
    </row>
    <row r="558">
      <c r="B558" s="170" t="n">
        <v>546</v>
      </c>
      <c r="C558" s="199" t="inlineStr">
        <is>
          <t>COTIZACION DE LOS DISEÑOS DE PROTECCIÓN CONTRA INCENDIOS Y SEGURIDAD HUMANA PARA EL PROYECTO TORRE SILVESTRE</t>
        </is>
      </c>
      <c r="D558" s="312" t="n"/>
      <c r="E558" s="312" t="n"/>
      <c r="F558" s="312" t="n"/>
      <c r="G558" s="312" t="n"/>
      <c r="H558" s="312" t="n"/>
      <c r="I558" s="313" t="n"/>
      <c r="J558" s="199" t="inlineStr">
        <is>
          <t>JOMARK</t>
        </is>
      </c>
      <c r="K558" s="314" t="n"/>
      <c r="L558" s="2" t="n">
        <v>44545</v>
      </c>
      <c r="M558" s="170" t="n"/>
      <c r="N558" s="170" t="inlineStr">
        <is>
          <t>319 5981312</t>
        </is>
      </c>
      <c r="O558" s="172" t="inlineStr">
        <is>
          <t>Laura Duque</t>
        </is>
      </c>
      <c r="P558" s="52" t="inlineStr">
        <is>
          <t>Proyectos2@jomarkseguridad.com</t>
        </is>
      </c>
    </row>
    <row r="559">
      <c r="B559" s="170" t="n">
        <v>547</v>
      </c>
      <c r="C559" s="233" t="inlineStr">
        <is>
          <t>COTIZACION DE LOS DISEÑOS DE PROTECCIÓN CONTRA INCENDIOS Y SEGURIDAD HUMANA PARA EL PROYECTO COPACABANA ETAPA 1,2,3</t>
        </is>
      </c>
      <c r="D559" s="312" t="n"/>
      <c r="E559" s="312" t="n"/>
      <c r="F559" s="312" t="n"/>
      <c r="G559" s="312" t="n"/>
      <c r="H559" s="312" t="n"/>
      <c r="I559" s="313" t="n"/>
      <c r="J559" s="199" t="inlineStr">
        <is>
          <t>3M</t>
        </is>
      </c>
      <c r="K559" s="314" t="n">
        <v>21950000</v>
      </c>
      <c r="L559" s="2" t="n">
        <v>44545</v>
      </c>
      <c r="M559" s="170" t="n"/>
      <c r="N559" s="170" t="n">
        <v>3126799421</v>
      </c>
      <c r="O559" s="172" t="inlineStr">
        <is>
          <t>David Ochoa</t>
        </is>
      </c>
      <c r="P559" s="52" t="inlineStr">
        <is>
          <t>ingenieria@3mingenieros.com.co</t>
        </is>
      </c>
    </row>
    <row r="560">
      <c r="B560" s="170" t="n">
        <v>548</v>
      </c>
      <c r="C560" s="199" t="inlineStr">
        <is>
          <t>COTIZACION EVALUACIÓN TÉCNICA SISTEMAS PROTECCIÓN DE INCENDIOS UDEA FRONTINO</t>
        </is>
      </c>
      <c r="D560" s="312" t="n"/>
      <c r="E560" s="312" t="n"/>
      <c r="F560" s="312" t="n"/>
      <c r="G560" s="312" t="n"/>
      <c r="H560" s="312" t="n"/>
      <c r="I560" s="313" t="n"/>
      <c r="J560" s="199" t="inlineStr">
        <is>
          <t>NATIVA INGENIERIA</t>
        </is>
      </c>
      <c r="K560" s="314" t="n"/>
      <c r="L560" s="2" t="n">
        <v>44545</v>
      </c>
      <c r="M560" s="170" t="n"/>
      <c r="N560" s="170" t="n">
        <v>3015421412</v>
      </c>
      <c r="O560" s="172" t="inlineStr">
        <is>
          <t>Juan Londoño</t>
        </is>
      </c>
      <c r="P560" s="52" t="inlineStr">
        <is>
          <t>juan.londono@serviciosipm.com</t>
        </is>
      </c>
    </row>
    <row r="561">
      <c r="B561" s="170" t="n">
        <v>549</v>
      </c>
      <c r="C561" s="199" t="inlineStr">
        <is>
          <t>COTIZACION DEL ANÁLISIS DE SEGURIDAD HUMANA PARA EL PROYECTO PSCINAS DEL INDER</t>
        </is>
      </c>
      <c r="D561" s="312" t="n"/>
      <c r="E561" s="312" t="n"/>
      <c r="F561" s="312" t="n"/>
      <c r="G561" s="312" t="n"/>
      <c r="H561" s="312" t="n"/>
      <c r="I561" s="313" t="n"/>
      <c r="J561" s="199" t="inlineStr">
        <is>
          <t>DESUR</t>
        </is>
      </c>
      <c r="K561" s="314" t="n">
        <v>2500000</v>
      </c>
      <c r="L561" s="2" t="n">
        <v>44545</v>
      </c>
      <c r="M561" s="170" t="n"/>
      <c r="N561" s="170" t="inlineStr">
        <is>
          <t>4801300 Ext. 116</t>
        </is>
      </c>
      <c r="O561" s="172" t="inlineStr">
        <is>
          <t>Carolina Gómez Mosquera</t>
        </is>
      </c>
      <c r="P561" s="52" t="inlineStr">
        <is>
          <t>Vanessazapata.fcr@gmail.com</t>
        </is>
      </c>
    </row>
    <row r="562">
      <c r="B562" s="170" t="n">
        <v>550</v>
      </c>
      <c r="C562" s="199" t="inlineStr">
        <is>
          <t>COTIZACION DE LOS DISEÑOS DE PROTECCIÓN CONTRA INCENDIOS PARA EL PROYECTO TERRAVANA APARTAMENTOS</t>
        </is>
      </c>
      <c r="D562" s="312" t="n"/>
      <c r="E562" s="312" t="n"/>
      <c r="F562" s="312" t="n"/>
      <c r="G562" s="312" t="n"/>
      <c r="H562" s="312" t="n"/>
      <c r="I562" s="313" t="n"/>
      <c r="J562" s="199" t="inlineStr">
        <is>
          <t>CON-AXION SAS</t>
        </is>
      </c>
      <c r="K562" s="314" t="n"/>
      <c r="L562" s="2" t="n">
        <v>44551</v>
      </c>
      <c r="M562" s="170" t="n"/>
      <c r="N562" s="170" t="inlineStr">
        <is>
          <t>314 6305217</t>
        </is>
      </c>
      <c r="O562" s="172" t="inlineStr">
        <is>
          <t>Lina María Restrepo Saldarriaga</t>
        </is>
      </c>
      <c r="P562" s="52" t="inlineStr">
        <is>
          <t>Lrestrepo@con-axion.com</t>
        </is>
      </c>
    </row>
    <row r="563">
      <c r="B563" s="170" t="n">
        <v>551</v>
      </c>
      <c r="C563" s="199" t="inlineStr">
        <is>
          <t>COTIZACION DEL DISEÑO DE EXTINCIÓN DE INCENDIOS - KOBA GIRARDOTA</t>
        </is>
      </c>
      <c r="D563" s="312" t="n"/>
      <c r="E563" s="312" t="n"/>
      <c r="F563" s="312" t="n"/>
      <c r="G563" s="312" t="n"/>
      <c r="H563" s="312" t="n"/>
      <c r="I563" s="313" t="n"/>
      <c r="J563" s="199" t="inlineStr">
        <is>
          <t>SPCI</t>
        </is>
      </c>
      <c r="K563" s="330" t="n">
        <v>14990000</v>
      </c>
      <c r="L563" s="2" t="n">
        <v>44552</v>
      </c>
      <c r="M563" s="170" t="inlineStr">
        <is>
          <t>X</t>
        </is>
      </c>
      <c r="N563" s="170" t="n">
        <v>3104680508</v>
      </c>
      <c r="O563" s="172" t="inlineStr">
        <is>
          <t>Juan Pablo Grajales</t>
        </is>
      </c>
      <c r="P563" s="52" t="inlineStr">
        <is>
          <t>juan.grajales@spci.com.co</t>
        </is>
      </c>
    </row>
    <row r="564" ht="15" customHeight="1">
      <c r="B564" s="170" t="n">
        <v>552</v>
      </c>
    </row>
    <row r="565">
      <c r="B565" s="170" t="n">
        <v>553</v>
      </c>
      <c r="C565" s="199" t="n"/>
      <c r="D565" s="312" t="n"/>
      <c r="E565" s="312" t="n"/>
      <c r="F565" s="312" t="n"/>
      <c r="G565" s="312" t="n"/>
      <c r="H565" s="312" t="n"/>
      <c r="I565" s="313" t="n"/>
      <c r="J565" s="199" t="n"/>
      <c r="K565" s="314" t="n"/>
      <c r="L565" s="170" t="n"/>
      <c r="M565" s="170" t="n"/>
      <c r="N565" s="170" t="n"/>
      <c r="O565" s="172" t="n"/>
      <c r="P565" s="172" t="n"/>
    </row>
    <row r="566">
      <c r="B566" s="170" t="n">
        <v>554</v>
      </c>
      <c r="C566" s="199" t="n"/>
      <c r="D566" s="312" t="n"/>
      <c r="E566" s="312" t="n"/>
      <c r="F566" s="312" t="n"/>
      <c r="G566" s="312" t="n"/>
      <c r="H566" s="312" t="n"/>
      <c r="I566" s="313" t="n"/>
      <c r="J566" s="199" t="n"/>
      <c r="K566" s="314" t="n"/>
      <c r="L566" s="170" t="n"/>
      <c r="M566" s="170" t="n"/>
      <c r="N566" s="170" t="n"/>
      <c r="O566" s="172" t="n"/>
      <c r="P566" s="172" t="n"/>
    </row>
    <row r="567">
      <c r="B567" s="170" t="n">
        <v>555</v>
      </c>
      <c r="C567" s="199" t="n"/>
      <c r="D567" s="312" t="n"/>
      <c r="E567" s="312" t="n"/>
      <c r="F567" s="312" t="n"/>
      <c r="G567" s="312" t="n"/>
      <c r="H567" s="312" t="n"/>
      <c r="I567" s="313" t="n"/>
      <c r="J567" s="199" t="n"/>
      <c r="K567" s="314" t="n"/>
      <c r="L567" s="170" t="n"/>
      <c r="M567" s="170" t="n"/>
      <c r="N567" s="170" t="n"/>
      <c r="O567" s="172" t="n"/>
      <c r="P567" s="172" t="n"/>
    </row>
    <row r="568">
      <c r="B568" s="170" t="n">
        <v>556</v>
      </c>
      <c r="C568" s="199" t="n"/>
      <c r="D568" s="312" t="n"/>
      <c r="E568" s="312" t="n"/>
      <c r="F568" s="312" t="n"/>
      <c r="G568" s="312" t="n"/>
      <c r="H568" s="312" t="n"/>
      <c r="I568" s="313" t="n"/>
      <c r="J568" s="199" t="n"/>
      <c r="K568" s="314" t="n"/>
      <c r="L568" s="170" t="n"/>
      <c r="M568" s="170" t="n"/>
      <c r="N568" s="170" t="n"/>
      <c r="O568" s="172" t="n"/>
      <c r="P568" s="172" t="n"/>
    </row>
    <row r="569">
      <c r="B569" s="170" t="n">
        <v>557</v>
      </c>
      <c r="C569" s="199" t="n"/>
      <c r="D569" s="312" t="n"/>
      <c r="E569" s="312" t="n"/>
      <c r="F569" s="312" t="n"/>
      <c r="G569" s="312" t="n"/>
      <c r="H569" s="312" t="n"/>
      <c r="I569" s="313" t="n"/>
      <c r="J569" s="199" t="n"/>
      <c r="K569" s="314" t="n"/>
      <c r="L569" s="170" t="n"/>
      <c r="M569" s="170" t="n"/>
      <c r="N569" s="170" t="n"/>
      <c r="O569" s="172" t="n"/>
      <c r="P569" s="172" t="n"/>
    </row>
    <row r="570">
      <c r="B570" s="170" t="n">
        <v>558</v>
      </c>
      <c r="C570" s="199" t="n"/>
      <c r="D570" s="312" t="n"/>
      <c r="E570" s="312" t="n"/>
      <c r="F570" s="312" t="n"/>
      <c r="G570" s="312" t="n"/>
      <c r="H570" s="312" t="n"/>
      <c r="I570" s="313" t="n"/>
      <c r="J570" s="199" t="n"/>
      <c r="K570" s="314" t="n"/>
      <c r="L570" s="170" t="n"/>
      <c r="M570" s="170" t="n"/>
      <c r="N570" s="170" t="n"/>
      <c r="O570" s="172" t="n"/>
      <c r="P570" s="172" t="n"/>
    </row>
    <row r="571">
      <c r="B571" s="170" t="n">
        <v>559</v>
      </c>
      <c r="C571" s="199" t="n"/>
      <c r="D571" s="312" t="n"/>
      <c r="E571" s="312" t="n"/>
      <c r="F571" s="312" t="n"/>
      <c r="G571" s="312" t="n"/>
      <c r="H571" s="312" t="n"/>
      <c r="I571" s="313" t="n"/>
      <c r="J571" s="199" t="n"/>
      <c r="K571" s="314" t="n"/>
      <c r="L571" s="170" t="n"/>
      <c r="M571" s="170" t="n"/>
      <c r="N571" s="170" t="n"/>
      <c r="O571" s="172" t="n"/>
      <c r="P571" s="172" t="n"/>
    </row>
    <row r="572">
      <c r="B572" s="170" t="n">
        <v>560</v>
      </c>
      <c r="C572" s="199" t="n"/>
      <c r="D572" s="312" t="n"/>
      <c r="E572" s="312" t="n"/>
      <c r="F572" s="312" t="n"/>
      <c r="G572" s="312" t="n"/>
      <c r="H572" s="312" t="n"/>
      <c r="I572" s="313" t="n"/>
      <c r="J572" s="199" t="n"/>
      <c r="K572" s="314" t="n"/>
      <c r="L572" s="170" t="n"/>
      <c r="M572" s="170" t="n"/>
      <c r="N572" s="170" t="n"/>
      <c r="O572" s="172" t="n"/>
      <c r="P572" s="172" t="n"/>
    </row>
    <row r="573">
      <c r="B573" s="170" t="n"/>
      <c r="C573" s="199" t="n"/>
      <c r="D573" s="312" t="n"/>
      <c r="E573" s="312" t="n"/>
      <c r="F573" s="312" t="n"/>
      <c r="G573" s="312" t="n"/>
      <c r="H573" s="312" t="n"/>
      <c r="I573" s="313" t="n"/>
      <c r="J573" s="199" t="n"/>
      <c r="K573" s="314" t="n"/>
      <c r="L573" s="170" t="n"/>
      <c r="M573" s="170" t="n"/>
      <c r="N573" s="170" t="n"/>
      <c r="O573" s="172" t="n"/>
      <c r="P573" s="172" t="n"/>
    </row>
    <row r="574">
      <c r="B574" s="170" t="n"/>
      <c r="C574" s="199" t="n"/>
      <c r="D574" s="312" t="n"/>
      <c r="E574" s="312" t="n"/>
      <c r="F574" s="312" t="n"/>
      <c r="G574" s="312" t="n"/>
      <c r="H574" s="312" t="n"/>
      <c r="I574" s="313" t="n"/>
      <c r="J574" s="199" t="n"/>
      <c r="K574" s="314" t="n"/>
      <c r="L574" s="170" t="n"/>
      <c r="M574" s="170" t="n"/>
      <c r="N574" s="170" t="n"/>
      <c r="O574" s="172" t="n"/>
      <c r="P574" s="172" t="n"/>
    </row>
    <row r="575">
      <c r="B575" s="170" t="n"/>
      <c r="C575" s="199" t="n"/>
      <c r="D575" s="312" t="n"/>
      <c r="E575" s="312" t="n"/>
      <c r="F575" s="312" t="n"/>
      <c r="G575" s="312" t="n"/>
      <c r="H575" s="312" t="n"/>
      <c r="I575" s="313" t="n"/>
      <c r="J575" s="199" t="n"/>
      <c r="K575" s="314" t="n"/>
      <c r="L575" s="170" t="n"/>
      <c r="M575" s="170" t="n"/>
      <c r="N575" s="170" t="n"/>
      <c r="O575" s="172" t="n"/>
      <c r="P575" s="172" t="n"/>
    </row>
    <row r="576">
      <c r="B576" s="170" t="n"/>
      <c r="C576" s="199" t="n"/>
      <c r="D576" s="312" t="n"/>
      <c r="E576" s="312" t="n"/>
      <c r="F576" s="312" t="n"/>
      <c r="G576" s="312" t="n"/>
      <c r="H576" s="312" t="n"/>
      <c r="I576" s="313" t="n"/>
      <c r="J576" s="199" t="n"/>
      <c r="K576" s="314" t="n"/>
      <c r="L576" s="170" t="n"/>
      <c r="M576" s="170" t="n"/>
      <c r="N576" s="170" t="n"/>
      <c r="O576" s="172" t="n"/>
      <c r="P576" s="172" t="n"/>
    </row>
    <row r="577">
      <c r="B577" s="170" t="n"/>
      <c r="C577" s="199" t="n"/>
      <c r="D577" s="312" t="n"/>
      <c r="E577" s="312" t="n"/>
      <c r="F577" s="312" t="n"/>
      <c r="G577" s="312" t="n"/>
      <c r="H577" s="312" t="n"/>
      <c r="I577" s="313" t="n"/>
      <c r="J577" s="199" t="n"/>
      <c r="K577" s="314" t="n"/>
      <c r="L577" s="170" t="n"/>
      <c r="M577" s="170" t="n"/>
      <c r="N577" s="170" t="n"/>
      <c r="O577" s="172" t="n"/>
      <c r="P577" s="172" t="n"/>
    </row>
    <row r="578">
      <c r="B578" s="170" t="n"/>
      <c r="C578" s="199" t="n"/>
      <c r="D578" s="312" t="n"/>
      <c r="E578" s="312" t="n"/>
      <c r="F578" s="312" t="n"/>
      <c r="G578" s="312" t="n"/>
      <c r="H578" s="312" t="n"/>
      <c r="I578" s="313" t="n"/>
      <c r="J578" s="199" t="n"/>
      <c r="K578" s="314" t="n"/>
      <c r="L578" s="170" t="n"/>
      <c r="M578" s="170" t="n"/>
      <c r="N578" s="170" t="n"/>
      <c r="O578" s="172" t="n"/>
      <c r="P578" s="172" t="n"/>
    </row>
    <row r="579">
      <c r="B579" s="170" t="n"/>
      <c r="C579" s="199" t="n"/>
      <c r="D579" s="312" t="n"/>
      <c r="E579" s="312" t="n"/>
      <c r="F579" s="312" t="n"/>
      <c r="G579" s="312" t="n"/>
      <c r="H579" s="312" t="n"/>
      <c r="I579" s="313" t="n"/>
      <c r="J579" s="199" t="n"/>
      <c r="K579" s="314" t="n"/>
      <c r="L579" s="170" t="n"/>
      <c r="M579" s="170" t="n"/>
      <c r="N579" s="170" t="n"/>
      <c r="O579" s="172" t="n"/>
      <c r="P579" s="172" t="n"/>
    </row>
    <row r="580">
      <c r="B580" s="170" t="n"/>
      <c r="C580" s="199" t="n"/>
      <c r="D580" s="312" t="n"/>
      <c r="E580" s="312" t="n"/>
      <c r="F580" s="312" t="n"/>
      <c r="G580" s="312" t="n"/>
      <c r="H580" s="312" t="n"/>
      <c r="I580" s="313" t="n"/>
      <c r="J580" s="199" t="n"/>
      <c r="K580" s="314" t="n"/>
      <c r="L580" s="170" t="n"/>
      <c r="M580" s="170" t="n"/>
      <c r="N580" s="170" t="n"/>
      <c r="O580" s="172" t="n"/>
      <c r="P580" s="172" t="n"/>
    </row>
    <row r="581">
      <c r="B581" s="170" t="n"/>
      <c r="C581" s="199" t="n"/>
      <c r="D581" s="312" t="n"/>
      <c r="E581" s="312" t="n"/>
      <c r="F581" s="312" t="n"/>
      <c r="G581" s="312" t="n"/>
      <c r="H581" s="312" t="n"/>
      <c r="I581" s="313" t="n"/>
      <c r="J581" s="199" t="n"/>
      <c r="K581" s="314" t="n"/>
      <c r="L581" s="170" t="n"/>
      <c r="M581" s="170" t="n"/>
      <c r="N581" s="170" t="n"/>
      <c r="O581" s="172" t="n"/>
      <c r="P581" s="172" t="n"/>
    </row>
    <row r="582">
      <c r="B582" s="170" t="n"/>
      <c r="C582" s="199" t="n"/>
      <c r="D582" s="312" t="n"/>
      <c r="E582" s="312" t="n"/>
      <c r="F582" s="312" t="n"/>
      <c r="G582" s="312" t="n"/>
      <c r="H582" s="312" t="n"/>
      <c r="I582" s="313" t="n"/>
      <c r="J582" s="199" t="n"/>
      <c r="K582" s="314" t="n"/>
      <c r="L582" s="170" t="n"/>
      <c r="M582" s="170" t="n"/>
      <c r="N582" s="170" t="n"/>
      <c r="O582" s="172" t="n"/>
      <c r="P582" s="172" t="n"/>
    </row>
    <row r="583">
      <c r="B583" s="170" t="n"/>
      <c r="C583" s="199" t="n"/>
      <c r="D583" s="312" t="n"/>
      <c r="E583" s="312" t="n"/>
      <c r="F583" s="312" t="n"/>
      <c r="G583" s="312" t="n"/>
      <c r="H583" s="312" t="n"/>
      <c r="I583" s="313" t="n"/>
      <c r="J583" s="199" t="n"/>
      <c r="K583" s="314" t="n"/>
      <c r="L583" s="170" t="n"/>
      <c r="M583" s="170" t="n"/>
      <c r="N583" s="170" t="n"/>
      <c r="O583" s="172" t="n"/>
      <c r="P583" s="172" t="n"/>
    </row>
    <row r="584">
      <c r="B584" s="170" t="n"/>
      <c r="C584" s="199" t="n"/>
      <c r="D584" s="312" t="n"/>
      <c r="E584" s="312" t="n"/>
      <c r="F584" s="312" t="n"/>
      <c r="G584" s="312" t="n"/>
      <c r="H584" s="312" t="n"/>
      <c r="I584" s="313" t="n"/>
      <c r="J584" s="199" t="n"/>
      <c r="K584" s="314" t="n"/>
      <c r="L584" s="170" t="n"/>
      <c r="M584" s="170" t="n"/>
      <c r="N584" s="170" t="n"/>
      <c r="O584" s="172" t="n"/>
      <c r="P584" s="172" t="n"/>
    </row>
    <row r="585">
      <c r="B585" s="170" t="n"/>
      <c r="C585" s="199" t="n"/>
      <c r="D585" s="312" t="n"/>
      <c r="E585" s="312" t="n"/>
      <c r="F585" s="312" t="n"/>
      <c r="G585" s="312" t="n"/>
      <c r="H585" s="312" t="n"/>
      <c r="I585" s="313" t="n"/>
      <c r="J585" s="199" t="n"/>
      <c r="K585" s="314" t="n"/>
      <c r="L585" s="170" t="n"/>
      <c r="M585" s="170" t="n"/>
      <c r="N585" s="170" t="n"/>
      <c r="O585" s="172" t="n"/>
      <c r="P585" s="172" t="n"/>
    </row>
    <row r="586">
      <c r="B586" s="170" t="n"/>
      <c r="C586" s="199" t="n"/>
      <c r="D586" s="312" t="n"/>
      <c r="E586" s="312" t="n"/>
      <c r="F586" s="312" t="n"/>
      <c r="G586" s="312" t="n"/>
      <c r="H586" s="312" t="n"/>
      <c r="I586" s="313" t="n"/>
      <c r="J586" s="199" t="n"/>
      <c r="K586" s="314" t="n"/>
      <c r="L586" s="170" t="n"/>
      <c r="M586" s="170" t="n"/>
      <c r="N586" s="170" t="n"/>
      <c r="O586" s="172" t="n"/>
      <c r="P586" s="172" t="n"/>
    </row>
    <row r="587">
      <c r="B587" s="170" t="n"/>
      <c r="C587" s="199" t="n"/>
      <c r="D587" s="312" t="n"/>
      <c r="E587" s="312" t="n"/>
      <c r="F587" s="312" t="n"/>
      <c r="G587" s="312" t="n"/>
      <c r="H587" s="312" t="n"/>
      <c r="I587" s="313" t="n"/>
      <c r="J587" s="199" t="n"/>
      <c r="K587" s="314" t="n"/>
      <c r="L587" s="170" t="n"/>
      <c r="M587" s="170" t="n"/>
      <c r="N587" s="170" t="n"/>
      <c r="O587" s="172" t="n"/>
      <c r="P587" s="172" t="n"/>
    </row>
    <row r="588">
      <c r="B588" s="170" t="n"/>
      <c r="C588" s="199" t="n"/>
      <c r="D588" s="312" t="n"/>
      <c r="E588" s="312" t="n"/>
      <c r="F588" s="312" t="n"/>
      <c r="G588" s="312" t="n"/>
      <c r="H588" s="312" t="n"/>
      <c r="I588" s="313" t="n"/>
      <c r="J588" s="199" t="n"/>
      <c r="K588" s="314" t="n"/>
      <c r="L588" s="170" t="n"/>
      <c r="M588" s="170" t="n"/>
      <c r="N588" s="170" t="n"/>
      <c r="O588" s="172" t="n"/>
      <c r="P588" s="172" t="n"/>
    </row>
    <row r="589">
      <c r="B589" s="170" t="n"/>
      <c r="C589" s="199" t="n"/>
      <c r="D589" s="312" t="n"/>
      <c r="E589" s="312" t="n"/>
      <c r="F589" s="312" t="n"/>
      <c r="G589" s="312" t="n"/>
      <c r="H589" s="312" t="n"/>
      <c r="I589" s="313" t="n"/>
      <c r="J589" s="199" t="n"/>
      <c r="K589" s="314" t="n"/>
      <c r="L589" s="170" t="n"/>
      <c r="M589" s="170" t="n"/>
      <c r="N589" s="170" t="n"/>
      <c r="O589" s="172" t="n"/>
      <c r="P589" s="172" t="n"/>
    </row>
    <row r="590">
      <c r="B590" s="170" t="n"/>
      <c r="C590" s="199" t="n"/>
      <c r="D590" s="312" t="n"/>
      <c r="E590" s="312" t="n"/>
      <c r="F590" s="312" t="n"/>
      <c r="G590" s="312" t="n"/>
      <c r="H590" s="312" t="n"/>
      <c r="I590" s="313" t="n"/>
      <c r="J590" s="199" t="n"/>
      <c r="K590" s="314" t="n"/>
      <c r="L590" s="170" t="n"/>
      <c r="M590" s="170" t="n"/>
      <c r="N590" s="170" t="n"/>
      <c r="O590" s="172" t="n"/>
      <c r="P590" s="172" t="n"/>
    </row>
    <row r="591">
      <c r="B591" s="170" t="n"/>
      <c r="C591" s="199" t="n"/>
      <c r="D591" s="312" t="n"/>
      <c r="E591" s="312" t="n"/>
      <c r="F591" s="312" t="n"/>
      <c r="G591" s="312" t="n"/>
      <c r="H591" s="312" t="n"/>
      <c r="I591" s="313" t="n"/>
      <c r="J591" s="199" t="n"/>
      <c r="K591" s="314" t="n"/>
      <c r="L591" s="170" t="n"/>
      <c r="M591" s="170" t="n"/>
      <c r="N591" s="170" t="n"/>
      <c r="O591" s="172" t="n"/>
      <c r="P591" s="172" t="n"/>
    </row>
    <row r="592">
      <c r="B592" s="170" t="n"/>
      <c r="C592" s="199" t="n"/>
      <c r="D592" s="312" t="n"/>
      <c r="E592" s="312" t="n"/>
      <c r="F592" s="312" t="n"/>
      <c r="G592" s="312" t="n"/>
      <c r="H592" s="312" t="n"/>
      <c r="I592" s="313" t="n"/>
      <c r="J592" s="199" t="n"/>
      <c r="K592" s="314" t="n"/>
      <c r="L592" s="170" t="n"/>
      <c r="M592" s="170" t="n"/>
      <c r="N592" s="170" t="n"/>
      <c r="O592" s="172" t="n"/>
      <c r="P592" s="172" t="n"/>
    </row>
    <row r="593">
      <c r="B593" s="170" t="n"/>
      <c r="C593" s="199" t="n"/>
      <c r="D593" s="312" t="n"/>
      <c r="E593" s="312" t="n"/>
      <c r="F593" s="312" t="n"/>
      <c r="G593" s="312" t="n"/>
      <c r="H593" s="312" t="n"/>
      <c r="I593" s="313" t="n"/>
      <c r="J593" s="199" t="n"/>
      <c r="K593" s="314" t="n"/>
      <c r="L593" s="170" t="n"/>
      <c r="M593" s="170" t="n"/>
      <c r="N593" s="170" t="n"/>
      <c r="O593" s="172" t="n"/>
      <c r="P593" s="172" t="n"/>
    </row>
    <row r="594">
      <c r="B594" s="170" t="n"/>
      <c r="C594" s="199" t="n"/>
      <c r="D594" s="312" t="n"/>
      <c r="E594" s="312" t="n"/>
      <c r="F594" s="312" t="n"/>
      <c r="G594" s="312" t="n"/>
      <c r="H594" s="312" t="n"/>
      <c r="I594" s="313" t="n"/>
      <c r="J594" s="199" t="n"/>
      <c r="K594" s="314" t="n"/>
      <c r="L594" s="170" t="n"/>
      <c r="M594" s="170" t="n"/>
      <c r="N594" s="170" t="n"/>
      <c r="O594" s="172" t="n"/>
      <c r="P594" s="172" t="n"/>
    </row>
    <row r="595">
      <c r="B595" s="170" t="n"/>
      <c r="C595" s="199" t="n"/>
      <c r="D595" s="312" t="n"/>
      <c r="E595" s="312" t="n"/>
      <c r="F595" s="312" t="n"/>
      <c r="G595" s="312" t="n"/>
      <c r="H595" s="312" t="n"/>
      <c r="I595" s="313" t="n"/>
      <c r="J595" s="199" t="n"/>
      <c r="K595" s="314" t="n"/>
      <c r="L595" s="170" t="n"/>
      <c r="M595" s="170" t="n"/>
      <c r="N595" s="170" t="n"/>
      <c r="O595" s="172" t="n"/>
      <c r="P595" s="172" t="n"/>
    </row>
    <row r="596">
      <c r="B596" s="170" t="n"/>
      <c r="C596" s="199" t="n"/>
      <c r="D596" s="312" t="n"/>
      <c r="E596" s="312" t="n"/>
      <c r="F596" s="312" t="n"/>
      <c r="G596" s="312" t="n"/>
      <c r="H596" s="312" t="n"/>
      <c r="I596" s="313" t="n"/>
      <c r="J596" s="199" t="n"/>
      <c r="K596" s="314" t="n"/>
      <c r="L596" s="170" t="n"/>
      <c r="M596" s="170" t="n"/>
      <c r="N596" s="170" t="n"/>
      <c r="O596" s="172" t="n"/>
      <c r="P596" s="172" t="n"/>
    </row>
    <row r="597">
      <c r="B597" s="170" t="n"/>
      <c r="C597" s="199" t="n"/>
      <c r="D597" s="312" t="n"/>
      <c r="E597" s="312" t="n"/>
      <c r="F597" s="312" t="n"/>
      <c r="G597" s="312" t="n"/>
      <c r="H597" s="312" t="n"/>
      <c r="I597" s="313" t="n"/>
      <c r="J597" s="199" t="n"/>
      <c r="K597" s="314" t="n"/>
      <c r="L597" s="170" t="n"/>
      <c r="M597" s="170" t="n"/>
      <c r="N597" s="170" t="n"/>
      <c r="O597" s="172" t="n"/>
      <c r="P597" s="172" t="n"/>
    </row>
    <row r="598">
      <c r="B598" s="170" t="n"/>
      <c r="C598" s="199" t="n"/>
      <c r="D598" s="312" t="n"/>
      <c r="E598" s="312" t="n"/>
      <c r="F598" s="312" t="n"/>
      <c r="G598" s="312" t="n"/>
      <c r="H598" s="312" t="n"/>
      <c r="I598" s="313" t="n"/>
      <c r="J598" s="199" t="n"/>
      <c r="K598" s="314" t="n"/>
      <c r="L598" s="170" t="n"/>
      <c r="M598" s="170" t="n"/>
      <c r="N598" s="170" t="n"/>
      <c r="O598" s="172" t="n"/>
      <c r="P598" s="172" t="n"/>
    </row>
    <row r="599">
      <c r="B599" s="170" t="n"/>
      <c r="C599" s="199" t="n"/>
      <c r="D599" s="312" t="n"/>
      <c r="E599" s="312" t="n"/>
      <c r="F599" s="312" t="n"/>
      <c r="G599" s="312" t="n"/>
      <c r="H599" s="312" t="n"/>
      <c r="I599" s="313" t="n"/>
      <c r="J599" s="199" t="n"/>
      <c r="K599" s="314" t="n"/>
      <c r="L599" s="170" t="n"/>
      <c r="M599" s="170" t="n"/>
      <c r="N599" s="170" t="n"/>
      <c r="O599" s="172" t="n"/>
      <c r="P599" s="172" t="n"/>
    </row>
    <row r="600">
      <c r="B600" s="170" t="n"/>
      <c r="C600" s="199" t="n"/>
      <c r="D600" s="312" t="n"/>
      <c r="E600" s="312" t="n"/>
      <c r="F600" s="312" t="n"/>
      <c r="G600" s="312" t="n"/>
      <c r="H600" s="312" t="n"/>
      <c r="I600" s="313" t="n"/>
      <c r="J600" s="199" t="n"/>
      <c r="K600" s="314" t="n"/>
      <c r="L600" s="170" t="n"/>
      <c r="M600" s="170" t="n"/>
      <c r="N600" s="170" t="n"/>
      <c r="O600" s="172" t="n"/>
      <c r="P600" s="172" t="n"/>
    </row>
    <row r="601">
      <c r="B601" s="170" t="n"/>
      <c r="C601" s="199" t="n"/>
      <c r="D601" s="312" t="n"/>
      <c r="E601" s="312" t="n"/>
      <c r="F601" s="312" t="n"/>
      <c r="G601" s="312" t="n"/>
      <c r="H601" s="312" t="n"/>
      <c r="I601" s="313" t="n"/>
      <c r="J601" s="199" t="n"/>
      <c r="K601" s="314" t="n"/>
      <c r="L601" s="170" t="n"/>
      <c r="M601" s="170" t="n"/>
      <c r="N601" s="170" t="n"/>
      <c r="O601" s="172" t="n"/>
      <c r="P601" s="172" t="n"/>
    </row>
    <row r="602">
      <c r="B602" s="170" t="n"/>
      <c r="C602" s="199" t="n"/>
      <c r="D602" s="312" t="n"/>
      <c r="E602" s="312" t="n"/>
      <c r="F602" s="312" t="n"/>
      <c r="G602" s="312" t="n"/>
      <c r="H602" s="312" t="n"/>
      <c r="I602" s="313" t="n"/>
      <c r="J602" s="199" t="n"/>
      <c r="K602" s="314" t="n"/>
      <c r="L602" s="170" t="n"/>
      <c r="M602" s="170" t="n"/>
      <c r="N602" s="170" t="n"/>
      <c r="O602" s="172" t="n"/>
      <c r="P602" s="172" t="n"/>
    </row>
    <row r="603">
      <c r="B603" s="170" t="n"/>
      <c r="C603" s="199" t="n"/>
      <c r="D603" s="312" t="n"/>
      <c r="E603" s="312" t="n"/>
      <c r="F603" s="312" t="n"/>
      <c r="G603" s="312" t="n"/>
      <c r="H603" s="312" t="n"/>
      <c r="I603" s="313" t="n"/>
      <c r="J603" s="199" t="n"/>
      <c r="K603" s="314" t="n"/>
      <c r="L603" s="170" t="n"/>
      <c r="M603" s="170" t="n"/>
      <c r="N603" s="170" t="n"/>
      <c r="O603" s="172" t="n"/>
      <c r="P603" s="172" t="n"/>
    </row>
    <row r="604">
      <c r="B604" s="170" t="n"/>
      <c r="C604" s="199" t="n"/>
      <c r="D604" s="312" t="n"/>
      <c r="E604" s="312" t="n"/>
      <c r="F604" s="312" t="n"/>
      <c r="G604" s="312" t="n"/>
      <c r="H604" s="312" t="n"/>
      <c r="I604" s="313" t="n"/>
      <c r="J604" s="199" t="n"/>
      <c r="K604" s="314" t="n"/>
      <c r="L604" s="170" t="n"/>
      <c r="M604" s="170" t="n"/>
      <c r="N604" s="170" t="n"/>
      <c r="O604" s="172" t="n"/>
      <c r="P604" s="172" t="n"/>
    </row>
    <row r="605">
      <c r="B605" s="170" t="n"/>
      <c r="C605" s="199" t="n"/>
      <c r="D605" s="312" t="n"/>
      <c r="E605" s="312" t="n"/>
      <c r="F605" s="312" t="n"/>
      <c r="G605" s="312" t="n"/>
      <c r="H605" s="312" t="n"/>
      <c r="I605" s="313" t="n"/>
      <c r="J605" s="199" t="n"/>
      <c r="K605" s="314" t="n"/>
      <c r="L605" s="170" t="n"/>
      <c r="M605" s="170" t="n"/>
      <c r="N605" s="170" t="n"/>
      <c r="O605" s="172" t="n"/>
      <c r="P605" s="172" t="n"/>
    </row>
    <row r="606">
      <c r="B606" s="170" t="n"/>
      <c r="C606" s="199" t="n"/>
      <c r="D606" s="312" t="n"/>
      <c r="E606" s="312" t="n"/>
      <c r="F606" s="312" t="n"/>
      <c r="G606" s="312" t="n"/>
      <c r="H606" s="312" t="n"/>
      <c r="I606" s="313" t="n"/>
      <c r="J606" s="199" t="n"/>
      <c r="K606" s="314" t="n"/>
      <c r="L606" s="170" t="n"/>
      <c r="M606" s="170" t="n"/>
      <c r="N606" s="170" t="n"/>
      <c r="O606" s="172" t="n"/>
      <c r="P606" s="172" t="n"/>
    </row>
    <row r="607">
      <c r="B607" s="170" t="n"/>
      <c r="C607" s="199" t="n"/>
      <c r="D607" s="312" t="n"/>
      <c r="E607" s="312" t="n"/>
      <c r="F607" s="312" t="n"/>
      <c r="G607" s="312" t="n"/>
      <c r="H607" s="312" t="n"/>
      <c r="I607" s="313" t="n"/>
      <c r="J607" s="199" t="n"/>
      <c r="K607" s="314" t="n"/>
      <c r="L607" s="170" t="n"/>
      <c r="M607" s="170" t="n"/>
      <c r="N607" s="170" t="n"/>
      <c r="O607" s="172" t="n"/>
      <c r="P607" s="172" t="n"/>
    </row>
    <row r="608">
      <c r="B608" s="170" t="n"/>
      <c r="C608" s="199" t="n"/>
      <c r="D608" s="312" t="n"/>
      <c r="E608" s="312" t="n"/>
      <c r="F608" s="312" t="n"/>
      <c r="G608" s="312" t="n"/>
      <c r="H608" s="312" t="n"/>
      <c r="I608" s="313" t="n"/>
      <c r="J608" s="199" t="n"/>
      <c r="K608" s="314" t="n"/>
      <c r="L608" s="170" t="n"/>
      <c r="M608" s="170" t="n"/>
      <c r="N608" s="170" t="n"/>
      <c r="O608" s="172" t="n"/>
      <c r="P608" s="172" t="n"/>
    </row>
    <row r="609">
      <c r="B609" s="170" t="n"/>
      <c r="C609" s="199" t="n"/>
      <c r="D609" s="312" t="n"/>
      <c r="E609" s="312" t="n"/>
      <c r="F609" s="312" t="n"/>
      <c r="G609" s="312" t="n"/>
      <c r="H609" s="312" t="n"/>
      <c r="I609" s="313" t="n"/>
      <c r="J609" s="199" t="n"/>
      <c r="K609" s="314" t="n"/>
      <c r="L609" s="170" t="n"/>
      <c r="M609" s="170" t="n"/>
      <c r="N609" s="170" t="n"/>
      <c r="O609" s="172" t="n"/>
      <c r="P609" s="172" t="n"/>
    </row>
    <row r="610">
      <c r="B610" s="170" t="n"/>
      <c r="C610" s="199" t="n"/>
      <c r="D610" s="312" t="n"/>
      <c r="E610" s="312" t="n"/>
      <c r="F610" s="312" t="n"/>
      <c r="G610" s="312" t="n"/>
      <c r="H610" s="312" t="n"/>
      <c r="I610" s="313" t="n"/>
      <c r="J610" s="199" t="n"/>
      <c r="K610" s="314" t="n"/>
      <c r="L610" s="170" t="n"/>
      <c r="M610" s="170" t="n"/>
      <c r="N610" s="170" t="n"/>
      <c r="O610" s="172" t="n"/>
      <c r="P610" s="172" t="n"/>
    </row>
    <row r="611">
      <c r="B611" s="170" t="n"/>
      <c r="C611" s="199" t="n"/>
      <c r="D611" s="312" t="n"/>
      <c r="E611" s="312" t="n"/>
      <c r="F611" s="312" t="n"/>
      <c r="G611" s="312" t="n"/>
      <c r="H611" s="312" t="n"/>
      <c r="I611" s="313" t="n"/>
      <c r="J611" s="199" t="n"/>
      <c r="K611" s="314" t="n"/>
      <c r="L611" s="170" t="n"/>
      <c r="M611" s="170" t="n"/>
      <c r="N611" s="170" t="n"/>
      <c r="O611" s="172" t="n"/>
      <c r="P611" s="172" t="n"/>
    </row>
    <row r="612">
      <c r="B612" s="170" t="n"/>
      <c r="C612" s="199" t="n"/>
      <c r="D612" s="312" t="n"/>
      <c r="E612" s="312" t="n"/>
      <c r="F612" s="312" t="n"/>
      <c r="G612" s="312" t="n"/>
      <c r="H612" s="312" t="n"/>
      <c r="I612" s="313" t="n"/>
      <c r="J612" s="199" t="n"/>
      <c r="K612" s="314" t="n"/>
      <c r="L612" s="170" t="n"/>
      <c r="M612" s="170" t="n"/>
      <c r="N612" s="170" t="n"/>
      <c r="O612" s="172" t="n"/>
      <c r="P612" s="172" t="n"/>
    </row>
    <row r="613">
      <c r="B613" s="170" t="n"/>
      <c r="C613" s="199" t="n"/>
      <c r="D613" s="312" t="n"/>
      <c r="E613" s="312" t="n"/>
      <c r="F613" s="312" t="n"/>
      <c r="G613" s="312" t="n"/>
      <c r="H613" s="312" t="n"/>
      <c r="I613" s="313" t="n"/>
      <c r="J613" s="199" t="n"/>
      <c r="K613" s="314" t="n"/>
      <c r="L613" s="170" t="n"/>
      <c r="M613" s="170" t="n"/>
      <c r="N613" s="170" t="n"/>
      <c r="O613" s="172" t="n"/>
      <c r="P613" s="172" t="n"/>
    </row>
    <row r="614">
      <c r="B614" s="170" t="n"/>
      <c r="C614" s="199" t="n"/>
      <c r="D614" s="312" t="n"/>
      <c r="E614" s="312" t="n"/>
      <c r="F614" s="312" t="n"/>
      <c r="G614" s="312" t="n"/>
      <c r="H614" s="312" t="n"/>
      <c r="I614" s="313" t="n"/>
      <c r="J614" s="199" t="n"/>
      <c r="K614" s="314" t="n"/>
      <c r="L614" s="170" t="n"/>
      <c r="M614" s="170" t="n"/>
      <c r="N614" s="170" t="n"/>
      <c r="O614" s="172" t="n"/>
      <c r="P614" s="172" t="n"/>
    </row>
    <row r="615">
      <c r="B615" s="170" t="n"/>
      <c r="C615" s="199" t="n"/>
      <c r="D615" s="312" t="n"/>
      <c r="E615" s="312" t="n"/>
      <c r="F615" s="312" t="n"/>
      <c r="G615" s="312" t="n"/>
      <c r="H615" s="312" t="n"/>
      <c r="I615" s="313" t="n"/>
      <c r="J615" s="199" t="n"/>
      <c r="K615" s="314" t="n"/>
      <c r="L615" s="170" t="n"/>
      <c r="M615" s="170" t="n"/>
      <c r="N615" s="170" t="n"/>
      <c r="O615" s="172" t="n"/>
      <c r="P615" s="172" t="n"/>
    </row>
    <row r="616">
      <c r="B616" s="170" t="n"/>
      <c r="C616" s="199" t="n"/>
      <c r="D616" s="312" t="n"/>
      <c r="E616" s="312" t="n"/>
      <c r="F616" s="312" t="n"/>
      <c r="G616" s="312" t="n"/>
      <c r="H616" s="312" t="n"/>
      <c r="I616" s="313" t="n"/>
      <c r="J616" s="199" t="n"/>
      <c r="K616" s="314" t="n"/>
      <c r="L616" s="170" t="n"/>
      <c r="M616" s="170" t="n"/>
      <c r="N616" s="170" t="n"/>
      <c r="O616" s="172" t="n"/>
      <c r="P616" s="172" t="n"/>
    </row>
    <row r="617">
      <c r="B617" s="170" t="n"/>
      <c r="C617" s="199" t="n"/>
      <c r="D617" s="312" t="n"/>
      <c r="E617" s="312" t="n"/>
      <c r="F617" s="312" t="n"/>
      <c r="G617" s="312" t="n"/>
      <c r="H617" s="312" t="n"/>
      <c r="I617" s="313" t="n"/>
      <c r="J617" s="199" t="n"/>
      <c r="K617" s="314" t="n"/>
      <c r="L617" s="170" t="n"/>
      <c r="M617" s="170" t="n"/>
      <c r="N617" s="170" t="n"/>
      <c r="O617" s="172" t="n"/>
      <c r="P617" s="172" t="n"/>
    </row>
    <row r="618">
      <c r="B618" s="170" t="n"/>
      <c r="C618" s="199" t="n"/>
      <c r="D618" s="312" t="n"/>
      <c r="E618" s="312" t="n"/>
      <c r="F618" s="312" t="n"/>
      <c r="G618" s="312" t="n"/>
      <c r="H618" s="312" t="n"/>
      <c r="I618" s="313" t="n"/>
      <c r="J618" s="199" t="n"/>
      <c r="K618" s="314" t="n"/>
      <c r="L618" s="170" t="n"/>
      <c r="M618" s="170" t="n"/>
      <c r="N618" s="170" t="n"/>
      <c r="O618" s="172" t="n"/>
      <c r="P618" s="172" t="n"/>
    </row>
    <row r="619">
      <c r="B619" s="170" t="n"/>
      <c r="C619" s="199" t="n"/>
      <c r="D619" s="312" t="n"/>
      <c r="E619" s="312" t="n"/>
      <c r="F619" s="312" t="n"/>
      <c r="G619" s="312" t="n"/>
      <c r="H619" s="312" t="n"/>
      <c r="I619" s="313" t="n"/>
      <c r="J619" s="199" t="n"/>
      <c r="K619" s="314" t="n"/>
      <c r="L619" s="170" t="n"/>
      <c r="M619" s="170" t="n"/>
      <c r="N619" s="170" t="n"/>
      <c r="O619" s="172" t="n"/>
      <c r="P619" s="172" t="n"/>
    </row>
    <row r="620">
      <c r="B620" s="170" t="n"/>
      <c r="C620" s="199" t="n"/>
      <c r="D620" s="312" t="n"/>
      <c r="E620" s="312" t="n"/>
      <c r="F620" s="312" t="n"/>
      <c r="G620" s="312" t="n"/>
      <c r="H620" s="312" t="n"/>
      <c r="I620" s="313" t="n"/>
      <c r="J620" s="199" t="n"/>
      <c r="K620" s="314" t="n"/>
      <c r="L620" s="170" t="n"/>
      <c r="M620" s="170" t="n"/>
      <c r="N620" s="170" t="n"/>
      <c r="O620" s="172" t="n"/>
      <c r="P620" s="172" t="n"/>
    </row>
    <row r="621">
      <c r="B621" s="170" t="n"/>
      <c r="C621" s="199" t="n"/>
      <c r="D621" s="312" t="n"/>
      <c r="E621" s="312" t="n"/>
      <c r="F621" s="312" t="n"/>
      <c r="G621" s="312" t="n"/>
      <c r="H621" s="312" t="n"/>
      <c r="I621" s="313" t="n"/>
      <c r="J621" s="199" t="n"/>
      <c r="K621" s="314" t="n"/>
      <c r="L621" s="170" t="n"/>
      <c r="M621" s="170" t="n"/>
      <c r="N621" s="170" t="n"/>
      <c r="O621" s="172" t="n"/>
      <c r="P621" s="172" t="n"/>
    </row>
    <row r="622">
      <c r="B622" s="170" t="n"/>
      <c r="C622" s="199" t="n"/>
      <c r="D622" s="312" t="n"/>
      <c r="E622" s="312" t="n"/>
      <c r="F622" s="312" t="n"/>
      <c r="G622" s="312" t="n"/>
      <c r="H622" s="312" t="n"/>
      <c r="I622" s="313" t="n"/>
      <c r="J622" s="199" t="n"/>
      <c r="K622" s="314" t="n"/>
      <c r="L622" s="170" t="n"/>
      <c r="M622" s="170" t="n"/>
      <c r="N622" s="170" t="n"/>
      <c r="O622" s="172" t="n"/>
      <c r="P622" s="172" t="n"/>
    </row>
    <row r="623">
      <c r="B623" s="170" t="n"/>
      <c r="C623" s="199" t="n"/>
      <c r="D623" s="312" t="n"/>
      <c r="E623" s="312" t="n"/>
      <c r="F623" s="312" t="n"/>
      <c r="G623" s="312" t="n"/>
      <c r="H623" s="312" t="n"/>
      <c r="I623" s="313" t="n"/>
      <c r="J623" s="199" t="n"/>
      <c r="K623" s="314" t="n"/>
      <c r="L623" s="170" t="n"/>
      <c r="M623" s="170" t="n"/>
      <c r="N623" s="170" t="n"/>
      <c r="O623" s="172" t="n"/>
      <c r="P623" s="172" t="n"/>
    </row>
    <row r="624">
      <c r="B624" s="170" t="n"/>
      <c r="C624" s="199" t="n"/>
      <c r="D624" s="312" t="n"/>
      <c r="E624" s="312" t="n"/>
      <c r="F624" s="312" t="n"/>
      <c r="G624" s="312" t="n"/>
      <c r="H624" s="312" t="n"/>
      <c r="I624" s="313" t="n"/>
      <c r="J624" s="199" t="n"/>
      <c r="K624" s="314" t="n"/>
      <c r="L624" s="170" t="n"/>
      <c r="M624" s="170" t="n"/>
      <c r="N624" s="170" t="n"/>
      <c r="O624" s="172" t="n"/>
      <c r="P624" s="172" t="n"/>
    </row>
    <row r="625">
      <c r="B625" s="170" t="n"/>
      <c r="C625" s="199" t="n"/>
      <c r="D625" s="312" t="n"/>
      <c r="E625" s="312" t="n"/>
      <c r="F625" s="312" t="n"/>
      <c r="G625" s="312" t="n"/>
      <c r="H625" s="312" t="n"/>
      <c r="I625" s="313" t="n"/>
      <c r="J625" s="199" t="n"/>
      <c r="K625" s="314" t="n"/>
      <c r="L625" s="170" t="n"/>
      <c r="M625" s="170" t="n"/>
      <c r="N625" s="170" t="n"/>
      <c r="O625" s="172" t="n"/>
      <c r="P625" s="172" t="n"/>
    </row>
    <row r="626">
      <c r="B626" s="170" t="n"/>
      <c r="C626" s="199" t="n"/>
      <c r="D626" s="312" t="n"/>
      <c r="E626" s="312" t="n"/>
      <c r="F626" s="312" t="n"/>
      <c r="G626" s="312" t="n"/>
      <c r="H626" s="312" t="n"/>
      <c r="I626" s="313" t="n"/>
      <c r="J626" s="199" t="n"/>
      <c r="K626" s="314" t="n"/>
      <c r="L626" s="170" t="n"/>
      <c r="M626" s="170" t="n"/>
      <c r="N626" s="170" t="n"/>
      <c r="O626" s="172" t="n"/>
      <c r="P626" s="172" t="n"/>
    </row>
    <row r="627">
      <c r="B627" s="170" t="n"/>
      <c r="C627" s="199" t="n"/>
      <c r="D627" s="312" t="n"/>
      <c r="E627" s="312" t="n"/>
      <c r="F627" s="312" t="n"/>
      <c r="G627" s="312" t="n"/>
      <c r="H627" s="312" t="n"/>
      <c r="I627" s="313" t="n"/>
      <c r="J627" s="199" t="n"/>
      <c r="K627" s="314" t="n"/>
      <c r="L627" s="170" t="n"/>
      <c r="M627" s="170" t="n"/>
      <c r="N627" s="170" t="n"/>
      <c r="O627" s="172" t="n"/>
      <c r="P627" s="172" t="n"/>
    </row>
    <row r="628">
      <c r="B628" s="170" t="n"/>
      <c r="C628" s="199" t="n"/>
      <c r="D628" s="312" t="n"/>
      <c r="E628" s="312" t="n"/>
      <c r="F628" s="312" t="n"/>
      <c r="G628" s="312" t="n"/>
      <c r="H628" s="312" t="n"/>
      <c r="I628" s="313" t="n"/>
      <c r="J628" s="199" t="n"/>
      <c r="K628" s="314" t="n"/>
      <c r="L628" s="170" t="n"/>
      <c r="M628" s="170" t="n"/>
      <c r="N628" s="170" t="n"/>
      <c r="O628" s="172" t="n"/>
      <c r="P628" s="172" t="n"/>
    </row>
    <row r="629">
      <c r="B629" s="170" t="n"/>
      <c r="C629" s="199" t="n"/>
      <c r="D629" s="312" t="n"/>
      <c r="E629" s="312" t="n"/>
      <c r="F629" s="312" t="n"/>
      <c r="G629" s="312" t="n"/>
      <c r="H629" s="312" t="n"/>
      <c r="I629" s="313" t="n"/>
      <c r="J629" s="199" t="n"/>
      <c r="K629" s="314" t="n"/>
      <c r="L629" s="170" t="n"/>
      <c r="M629" s="170" t="n"/>
      <c r="N629" s="170" t="n"/>
      <c r="O629" s="172" t="n"/>
      <c r="P629" s="172" t="n"/>
    </row>
    <row r="630">
      <c r="B630" s="170" t="n"/>
      <c r="C630" s="199" t="n"/>
      <c r="D630" s="312" t="n"/>
      <c r="E630" s="312" t="n"/>
      <c r="F630" s="312" t="n"/>
      <c r="G630" s="312" t="n"/>
      <c r="H630" s="312" t="n"/>
      <c r="I630" s="313" t="n"/>
      <c r="J630" s="199" t="n"/>
      <c r="K630" s="314" t="n"/>
      <c r="L630" s="170" t="n"/>
      <c r="M630" s="170" t="n"/>
      <c r="N630" s="170" t="n"/>
      <c r="O630" s="172" t="n"/>
      <c r="P630" s="172" t="n"/>
    </row>
    <row r="631">
      <c r="B631" s="170" t="n"/>
      <c r="C631" s="199" t="n"/>
      <c r="D631" s="312" t="n"/>
      <c r="E631" s="312" t="n"/>
      <c r="F631" s="312" t="n"/>
      <c r="G631" s="312" t="n"/>
      <c r="H631" s="312" t="n"/>
      <c r="I631" s="313" t="n"/>
      <c r="J631" s="199" t="n"/>
      <c r="K631" s="314" t="n"/>
      <c r="L631" s="170" t="n"/>
      <c r="M631" s="170" t="n"/>
      <c r="N631" s="170" t="n"/>
      <c r="O631" s="172" t="n"/>
      <c r="P631" s="172" t="n"/>
    </row>
    <row r="632">
      <c r="B632" s="170" t="n"/>
      <c r="C632" s="199" t="n"/>
      <c r="D632" s="312" t="n"/>
      <c r="E632" s="312" t="n"/>
      <c r="F632" s="312" t="n"/>
      <c r="G632" s="312" t="n"/>
      <c r="H632" s="312" t="n"/>
      <c r="I632" s="313" t="n"/>
      <c r="J632" s="199" t="n"/>
      <c r="K632" s="314" t="n"/>
      <c r="L632" s="170" t="n"/>
      <c r="M632" s="170" t="n"/>
      <c r="N632" s="170" t="n"/>
      <c r="O632" s="172" t="n"/>
      <c r="P632" s="172" t="n"/>
    </row>
    <row r="633">
      <c r="B633" s="170" t="n"/>
      <c r="C633" s="199" t="n"/>
      <c r="D633" s="312" t="n"/>
      <c r="E633" s="312" t="n"/>
      <c r="F633" s="312" t="n"/>
      <c r="G633" s="312" t="n"/>
      <c r="H633" s="312" t="n"/>
      <c r="I633" s="313" t="n"/>
      <c r="J633" s="199" t="n"/>
      <c r="K633" s="314" t="n"/>
      <c r="L633" s="170" t="n"/>
      <c r="M633" s="170" t="n"/>
      <c r="N633" s="170" t="n"/>
      <c r="O633" s="172" t="n"/>
      <c r="P633" s="172" t="n"/>
    </row>
    <row r="634">
      <c r="B634" s="170" t="n"/>
      <c r="C634" s="199" t="n"/>
      <c r="D634" s="312" t="n"/>
      <c r="E634" s="312" t="n"/>
      <c r="F634" s="312" t="n"/>
      <c r="G634" s="312" t="n"/>
      <c r="H634" s="312" t="n"/>
      <c r="I634" s="313" t="n"/>
      <c r="J634" s="199" t="n"/>
      <c r="K634" s="314" t="n"/>
      <c r="L634" s="170" t="n"/>
      <c r="M634" s="170" t="n"/>
      <c r="N634" s="170" t="n"/>
      <c r="O634" s="172" t="n"/>
      <c r="P634" s="172" t="n"/>
    </row>
    <row r="635">
      <c r="B635" s="170" t="n"/>
      <c r="C635" s="199" t="n"/>
      <c r="D635" s="312" t="n"/>
      <c r="E635" s="312" t="n"/>
      <c r="F635" s="312" t="n"/>
      <c r="G635" s="312" t="n"/>
      <c r="H635" s="312" t="n"/>
      <c r="I635" s="313" t="n"/>
      <c r="J635" s="199" t="n"/>
      <c r="K635" s="314" t="n"/>
      <c r="L635" s="170" t="n"/>
      <c r="M635" s="170" t="n"/>
      <c r="N635" s="170" t="n"/>
      <c r="O635" s="172" t="n"/>
      <c r="P635" s="172" t="n"/>
    </row>
    <row r="636">
      <c r="B636" s="170" t="n"/>
      <c r="C636" s="199" t="n"/>
      <c r="D636" s="312" t="n"/>
      <c r="E636" s="312" t="n"/>
      <c r="F636" s="312" t="n"/>
      <c r="G636" s="312" t="n"/>
      <c r="H636" s="312" t="n"/>
      <c r="I636" s="313" t="n"/>
      <c r="J636" s="199" t="n"/>
      <c r="K636" s="314" t="n"/>
      <c r="L636" s="170" t="n"/>
      <c r="M636" s="170" t="n"/>
      <c r="N636" s="170" t="n"/>
      <c r="O636" s="172" t="n"/>
      <c r="P636" s="172" t="n"/>
    </row>
    <row r="637">
      <c r="B637" s="170" t="n"/>
      <c r="C637" s="199" t="n"/>
      <c r="D637" s="312" t="n"/>
      <c r="E637" s="312" t="n"/>
      <c r="F637" s="312" t="n"/>
      <c r="G637" s="312" t="n"/>
      <c r="H637" s="312" t="n"/>
      <c r="I637" s="313" t="n"/>
      <c r="J637" s="199" t="n"/>
      <c r="K637" s="314" t="n"/>
      <c r="L637" s="170" t="n"/>
      <c r="M637" s="170" t="n"/>
      <c r="N637" s="170" t="n"/>
      <c r="O637" s="172" t="n"/>
      <c r="P637" s="172" t="n"/>
    </row>
    <row r="638">
      <c r="B638" s="170" t="n"/>
      <c r="C638" s="199" t="n"/>
      <c r="D638" s="312" t="n"/>
      <c r="E638" s="312" t="n"/>
      <c r="F638" s="312" t="n"/>
      <c r="G638" s="312" t="n"/>
      <c r="H638" s="312" t="n"/>
      <c r="I638" s="313" t="n"/>
      <c r="J638" s="199" t="n"/>
      <c r="K638" s="314" t="n"/>
      <c r="L638" s="170" t="n"/>
      <c r="M638" s="170" t="n"/>
      <c r="N638" s="170" t="n"/>
      <c r="O638" s="172" t="n"/>
      <c r="P638" s="172" t="n"/>
    </row>
    <row r="639">
      <c r="B639" s="170" t="n"/>
      <c r="C639" s="199" t="n"/>
      <c r="D639" s="312" t="n"/>
      <c r="E639" s="312" t="n"/>
      <c r="F639" s="312" t="n"/>
      <c r="G639" s="312" t="n"/>
      <c r="H639" s="312" t="n"/>
      <c r="I639" s="313" t="n"/>
      <c r="J639" s="199" t="n"/>
      <c r="K639" s="314" t="n"/>
      <c r="L639" s="170" t="n"/>
      <c r="M639" s="170" t="n"/>
      <c r="N639" s="170" t="n"/>
      <c r="O639" s="172" t="n"/>
      <c r="P639" s="172" t="n"/>
    </row>
    <row r="640">
      <c r="B640" s="170" t="n"/>
      <c r="C640" s="199" t="n"/>
      <c r="D640" s="312" t="n"/>
      <c r="E640" s="312" t="n"/>
      <c r="F640" s="312" t="n"/>
      <c r="G640" s="312" t="n"/>
      <c r="H640" s="312" t="n"/>
      <c r="I640" s="313" t="n"/>
      <c r="J640" s="199" t="n"/>
      <c r="K640" s="314" t="n"/>
      <c r="L640" s="170" t="n"/>
      <c r="M640" s="170" t="n"/>
      <c r="N640" s="170" t="n"/>
      <c r="O640" s="172" t="n"/>
      <c r="P640" s="172" t="n"/>
    </row>
    <row r="641">
      <c r="B641" s="170" t="n"/>
      <c r="C641" s="199" t="n"/>
      <c r="D641" s="312" t="n"/>
      <c r="E641" s="312" t="n"/>
      <c r="F641" s="312" t="n"/>
      <c r="G641" s="312" t="n"/>
      <c r="H641" s="312" t="n"/>
      <c r="I641" s="313" t="n"/>
      <c r="J641" s="199" t="n"/>
      <c r="K641" s="314" t="n"/>
      <c r="L641" s="170" t="n"/>
      <c r="M641" s="170" t="n"/>
      <c r="N641" s="170" t="n"/>
      <c r="O641" s="172" t="n"/>
      <c r="P641" s="172" t="n"/>
    </row>
    <row r="642">
      <c r="B642" s="170" t="n"/>
      <c r="C642" s="199" t="n"/>
      <c r="D642" s="312" t="n"/>
      <c r="E642" s="312" t="n"/>
      <c r="F642" s="312" t="n"/>
      <c r="G642" s="312" t="n"/>
      <c r="H642" s="312" t="n"/>
      <c r="I642" s="313" t="n"/>
      <c r="J642" s="199" t="n"/>
      <c r="K642" s="314" t="n"/>
      <c r="L642" s="170" t="n"/>
      <c r="M642" s="170" t="n"/>
      <c r="N642" s="170" t="n"/>
      <c r="O642" s="172" t="n"/>
      <c r="P642" s="172" t="n"/>
    </row>
    <row r="643">
      <c r="B643" s="170" t="n"/>
      <c r="C643" s="199" t="n"/>
      <c r="D643" s="312" t="n"/>
      <c r="E643" s="312" t="n"/>
      <c r="F643" s="312" t="n"/>
      <c r="G643" s="312" t="n"/>
      <c r="H643" s="312" t="n"/>
      <c r="I643" s="313" t="n"/>
      <c r="J643" s="199" t="n"/>
      <c r="K643" s="314" t="n"/>
      <c r="L643" s="170" t="n"/>
      <c r="M643" s="170" t="n"/>
      <c r="N643" s="170" t="n"/>
      <c r="O643" s="172" t="n"/>
      <c r="P643" s="172" t="n"/>
    </row>
    <row r="644">
      <c r="B644" s="170" t="n"/>
      <c r="C644" s="199" t="n"/>
      <c r="D644" s="312" t="n"/>
      <c r="E644" s="312" t="n"/>
      <c r="F644" s="312" t="n"/>
      <c r="G644" s="312" t="n"/>
      <c r="H644" s="312" t="n"/>
      <c r="I644" s="313" t="n"/>
      <c r="J644" s="199" t="n"/>
      <c r="K644" s="314" t="n"/>
      <c r="L644" s="170" t="n"/>
      <c r="M644" s="170" t="n"/>
      <c r="N644" s="170" t="n"/>
      <c r="O644" s="172" t="n"/>
      <c r="P644" s="172" t="n"/>
    </row>
    <row r="645">
      <c r="B645" s="170" t="n"/>
      <c r="C645" s="199" t="n"/>
      <c r="D645" s="312" t="n"/>
      <c r="E645" s="312" t="n"/>
      <c r="F645" s="312" t="n"/>
      <c r="G645" s="312" t="n"/>
      <c r="H645" s="312" t="n"/>
      <c r="I645" s="313" t="n"/>
      <c r="J645" s="199" t="n"/>
      <c r="K645" s="314" t="n"/>
      <c r="L645" s="170" t="n"/>
      <c r="M645" s="170" t="n"/>
      <c r="N645" s="170" t="n"/>
      <c r="O645" s="172" t="n"/>
      <c r="P645" s="172" t="n"/>
    </row>
    <row r="646">
      <c r="B646" s="170" t="n"/>
      <c r="C646" s="199" t="n"/>
      <c r="D646" s="312" t="n"/>
      <c r="E646" s="312" t="n"/>
      <c r="F646" s="312" t="n"/>
      <c r="G646" s="312" t="n"/>
      <c r="H646" s="312" t="n"/>
      <c r="I646" s="313" t="n"/>
      <c r="J646" s="199" t="n"/>
      <c r="K646" s="314" t="n"/>
      <c r="L646" s="170" t="n"/>
      <c r="M646" s="170" t="n"/>
      <c r="N646" s="170" t="n"/>
      <c r="O646" s="172" t="n"/>
      <c r="P646" s="172" t="n"/>
    </row>
    <row r="647">
      <c r="B647" s="170" t="n"/>
      <c r="C647" s="199" t="n"/>
      <c r="D647" s="312" t="n"/>
      <c r="E647" s="312" t="n"/>
      <c r="F647" s="312" t="n"/>
      <c r="G647" s="312" t="n"/>
      <c r="H647" s="312" t="n"/>
      <c r="I647" s="313" t="n"/>
      <c r="J647" s="199" t="n"/>
      <c r="K647" s="314" t="n"/>
      <c r="L647" s="170" t="n"/>
      <c r="M647" s="170" t="n"/>
      <c r="N647" s="170" t="n"/>
      <c r="O647" s="172" t="n"/>
      <c r="P647" s="172" t="n"/>
    </row>
    <row r="648">
      <c r="B648" s="170" t="n"/>
      <c r="C648" s="199" t="n"/>
      <c r="D648" s="312" t="n"/>
      <c r="E648" s="312" t="n"/>
      <c r="F648" s="312" t="n"/>
      <c r="G648" s="312" t="n"/>
      <c r="H648" s="312" t="n"/>
      <c r="I648" s="313" t="n"/>
      <c r="J648" s="199" t="n"/>
      <c r="K648" s="314" t="n"/>
      <c r="L648" s="170" t="n"/>
      <c r="M648" s="170" t="n"/>
      <c r="N648" s="170" t="n"/>
      <c r="O648" s="172" t="n"/>
      <c r="P648" s="172" t="n"/>
    </row>
    <row r="649">
      <c r="B649" s="170" t="n"/>
      <c r="C649" s="199" t="n"/>
      <c r="D649" s="312" t="n"/>
      <c r="E649" s="312" t="n"/>
      <c r="F649" s="312" t="n"/>
      <c r="G649" s="312" t="n"/>
      <c r="H649" s="312" t="n"/>
      <c r="I649" s="313" t="n"/>
      <c r="J649" s="199" t="n"/>
      <c r="K649" s="314" t="n"/>
      <c r="L649" s="170" t="n"/>
      <c r="M649" s="170" t="n"/>
      <c r="N649" s="170" t="n"/>
      <c r="O649" s="172" t="n"/>
      <c r="P649" s="172" t="n"/>
    </row>
    <row r="650">
      <c r="B650" s="170" t="n"/>
      <c r="C650" s="199" t="n"/>
      <c r="D650" s="312" t="n"/>
      <c r="E650" s="312" t="n"/>
      <c r="F650" s="312" t="n"/>
      <c r="G650" s="312" t="n"/>
      <c r="H650" s="312" t="n"/>
      <c r="I650" s="313" t="n"/>
      <c r="J650" s="199" t="n"/>
      <c r="K650" s="314" t="n"/>
      <c r="L650" s="170" t="n"/>
      <c r="M650" s="170" t="n"/>
      <c r="N650" s="170" t="n"/>
      <c r="O650" s="172" t="n"/>
      <c r="P650" s="172" t="n"/>
    </row>
    <row r="651">
      <c r="B651" s="170" t="n"/>
      <c r="C651" s="199" t="n"/>
      <c r="D651" s="312" t="n"/>
      <c r="E651" s="312" t="n"/>
      <c r="F651" s="312" t="n"/>
      <c r="G651" s="312" t="n"/>
      <c r="H651" s="312" t="n"/>
      <c r="I651" s="313" t="n"/>
      <c r="J651" s="199" t="n"/>
      <c r="K651" s="314" t="n"/>
      <c r="L651" s="170" t="n"/>
      <c r="M651" s="170" t="n"/>
      <c r="N651" s="170" t="n"/>
      <c r="O651" s="172" t="n"/>
      <c r="P651" s="172" t="n"/>
    </row>
    <row r="652">
      <c r="B652" s="170" t="n"/>
      <c r="C652" s="199" t="n"/>
      <c r="D652" s="312" t="n"/>
      <c r="E652" s="312" t="n"/>
      <c r="F652" s="312" t="n"/>
      <c r="G652" s="312" t="n"/>
      <c r="H652" s="312" t="n"/>
      <c r="I652" s="313" t="n"/>
      <c r="J652" s="199" t="n"/>
      <c r="K652" s="314" t="n"/>
      <c r="L652" s="170" t="n"/>
      <c r="M652" s="170" t="n"/>
      <c r="N652" s="170" t="n"/>
      <c r="O652" s="172" t="n"/>
      <c r="P652" s="172" t="n"/>
    </row>
    <row r="653">
      <c r="B653" s="170" t="n"/>
      <c r="C653" s="199" t="n"/>
      <c r="D653" s="312" t="n"/>
      <c r="E653" s="312" t="n"/>
      <c r="F653" s="312" t="n"/>
      <c r="G653" s="312" t="n"/>
      <c r="H653" s="312" t="n"/>
      <c r="I653" s="313" t="n"/>
      <c r="J653" s="199" t="n"/>
      <c r="K653" s="314" t="n"/>
      <c r="L653" s="170" t="n"/>
      <c r="M653" s="170" t="n"/>
      <c r="N653" s="170" t="n"/>
      <c r="O653" s="172" t="n"/>
      <c r="P653" s="172" t="n"/>
    </row>
    <row r="654">
      <c r="B654" s="170" t="n"/>
      <c r="C654" s="199" t="n"/>
      <c r="D654" s="312" t="n"/>
      <c r="E654" s="312" t="n"/>
      <c r="F654" s="312" t="n"/>
      <c r="G654" s="312" t="n"/>
      <c r="H654" s="312" t="n"/>
      <c r="I654" s="313" t="n"/>
      <c r="J654" s="199" t="n"/>
      <c r="K654" s="314" t="n"/>
      <c r="L654" s="170" t="n"/>
      <c r="M654" s="170" t="n"/>
      <c r="N654" s="170" t="n"/>
      <c r="O654" s="172" t="n"/>
      <c r="P654" s="172" t="n"/>
    </row>
    <row r="655">
      <c r="B655" s="170" t="n"/>
      <c r="C655" s="199" t="n"/>
      <c r="D655" s="312" t="n"/>
      <c r="E655" s="312" t="n"/>
      <c r="F655" s="312" t="n"/>
      <c r="G655" s="312" t="n"/>
      <c r="H655" s="312" t="n"/>
      <c r="I655" s="313" t="n"/>
      <c r="J655" s="199" t="n"/>
      <c r="K655" s="314" t="n"/>
      <c r="L655" s="170" t="n"/>
      <c r="M655" s="170" t="n"/>
      <c r="N655" s="170" t="n"/>
      <c r="O655" s="172" t="n"/>
      <c r="P655" s="172" t="n"/>
    </row>
    <row r="656">
      <c r="B656" s="170" t="n"/>
      <c r="C656" s="199" t="n"/>
      <c r="D656" s="312" t="n"/>
      <c r="E656" s="312" t="n"/>
      <c r="F656" s="312" t="n"/>
      <c r="G656" s="312" t="n"/>
      <c r="H656" s="312" t="n"/>
      <c r="I656" s="313" t="n"/>
      <c r="J656" s="199" t="n"/>
      <c r="K656" s="314" t="n"/>
      <c r="L656" s="170" t="n"/>
      <c r="M656" s="170" t="n"/>
      <c r="N656" s="170" t="n"/>
      <c r="O656" s="172" t="n"/>
      <c r="P656" s="172" t="n"/>
    </row>
    <row r="657">
      <c r="B657" s="170" t="n"/>
      <c r="C657" s="199" t="n"/>
      <c r="D657" s="312" t="n"/>
      <c r="E657" s="312" t="n"/>
      <c r="F657" s="312" t="n"/>
      <c r="G657" s="312" t="n"/>
      <c r="H657" s="312" t="n"/>
      <c r="I657" s="313" t="n"/>
      <c r="J657" s="199" t="n"/>
      <c r="K657" s="314" t="n"/>
      <c r="L657" s="170" t="n"/>
      <c r="M657" s="170" t="n"/>
      <c r="N657" s="170" t="n"/>
      <c r="O657" s="172" t="n"/>
      <c r="P657" s="172" t="n"/>
    </row>
    <row r="658">
      <c r="B658" s="170" t="n"/>
      <c r="C658" s="199" t="n"/>
      <c r="D658" s="312" t="n"/>
      <c r="E658" s="312" t="n"/>
      <c r="F658" s="312" t="n"/>
      <c r="G658" s="312" t="n"/>
      <c r="H658" s="312" t="n"/>
      <c r="I658" s="313" t="n"/>
      <c r="J658" s="199" t="n"/>
      <c r="K658" s="314" t="n"/>
      <c r="L658" s="170" t="n"/>
      <c r="M658" s="170" t="n"/>
      <c r="N658" s="170" t="n"/>
      <c r="O658" s="172" t="n"/>
      <c r="P658" s="172" t="n"/>
    </row>
    <row r="659">
      <c r="B659" s="170" t="n"/>
      <c r="C659" s="199" t="n"/>
      <c r="D659" s="312" t="n"/>
      <c r="E659" s="312" t="n"/>
      <c r="F659" s="312" t="n"/>
      <c r="G659" s="312" t="n"/>
      <c r="H659" s="312" t="n"/>
      <c r="I659" s="313" t="n"/>
      <c r="J659" s="199" t="n"/>
      <c r="K659" s="314" t="n"/>
      <c r="L659" s="170" t="n"/>
      <c r="M659" s="170" t="n"/>
      <c r="N659" s="170" t="n"/>
      <c r="O659" s="172" t="n"/>
      <c r="P659" s="172" t="n"/>
    </row>
    <row r="660">
      <c r="B660" s="170" t="n"/>
      <c r="C660" s="199" t="n"/>
      <c r="D660" s="312" t="n"/>
      <c r="E660" s="312" t="n"/>
      <c r="F660" s="312" t="n"/>
      <c r="G660" s="312" t="n"/>
      <c r="H660" s="312" t="n"/>
      <c r="I660" s="313" t="n"/>
      <c r="J660" s="199" t="n"/>
      <c r="K660" s="314" t="n"/>
      <c r="L660" s="170" t="n"/>
      <c r="M660" s="170" t="n"/>
      <c r="N660" s="170" t="n"/>
      <c r="O660" s="172" t="n"/>
      <c r="P660" s="172" t="n"/>
    </row>
    <row r="661">
      <c r="B661" s="170" t="n"/>
      <c r="C661" s="199" t="n"/>
      <c r="D661" s="312" t="n"/>
      <c r="E661" s="312" t="n"/>
      <c r="F661" s="312" t="n"/>
      <c r="G661" s="312" t="n"/>
      <c r="H661" s="312" t="n"/>
      <c r="I661" s="313" t="n"/>
      <c r="J661" s="199" t="n"/>
      <c r="K661" s="314" t="n"/>
      <c r="L661" s="170" t="n"/>
      <c r="M661" s="170" t="n"/>
      <c r="N661" s="170" t="n"/>
      <c r="O661" s="172" t="n"/>
      <c r="P661" s="172" t="n"/>
    </row>
    <row r="662">
      <c r="B662" s="170" t="n"/>
      <c r="C662" s="199" t="n"/>
      <c r="D662" s="312" t="n"/>
      <c r="E662" s="312" t="n"/>
      <c r="F662" s="312" t="n"/>
      <c r="G662" s="312" t="n"/>
      <c r="H662" s="312" t="n"/>
      <c r="I662" s="313" t="n"/>
      <c r="J662" s="199" t="n"/>
      <c r="K662" s="314" t="n"/>
      <c r="L662" s="170" t="n"/>
      <c r="M662" s="170" t="n"/>
      <c r="N662" s="170" t="n"/>
      <c r="O662" s="172" t="n"/>
      <c r="P662" s="172" t="n"/>
    </row>
    <row r="663">
      <c r="B663" s="170" t="n"/>
      <c r="C663" s="199" t="n"/>
      <c r="D663" s="312" t="n"/>
      <c r="E663" s="312" t="n"/>
      <c r="F663" s="312" t="n"/>
      <c r="G663" s="312" t="n"/>
      <c r="H663" s="312" t="n"/>
      <c r="I663" s="313" t="n"/>
      <c r="J663" s="199" t="n"/>
      <c r="K663" s="314" t="n"/>
      <c r="L663" s="170" t="n"/>
      <c r="M663" s="170" t="n"/>
      <c r="N663" s="170" t="n"/>
      <c r="O663" s="172" t="n"/>
      <c r="P663" s="172" t="n"/>
    </row>
    <row r="664">
      <c r="B664" s="170" t="n"/>
      <c r="C664" s="199" t="n"/>
      <c r="D664" s="312" t="n"/>
      <c r="E664" s="312" t="n"/>
      <c r="F664" s="312" t="n"/>
      <c r="G664" s="312" t="n"/>
      <c r="H664" s="312" t="n"/>
      <c r="I664" s="313" t="n"/>
      <c r="J664" s="199" t="n"/>
      <c r="K664" s="314" t="n"/>
      <c r="L664" s="170" t="n"/>
      <c r="M664" s="170" t="n"/>
      <c r="N664" s="170" t="n"/>
      <c r="O664" s="172" t="n"/>
      <c r="P664" s="172" t="n"/>
    </row>
    <row r="665">
      <c r="B665" s="170" t="n"/>
      <c r="C665" s="199" t="n"/>
      <c r="D665" s="312" t="n"/>
      <c r="E665" s="312" t="n"/>
      <c r="F665" s="312" t="n"/>
      <c r="G665" s="312" t="n"/>
      <c r="H665" s="312" t="n"/>
      <c r="I665" s="313" t="n"/>
      <c r="J665" s="199" t="n"/>
      <c r="K665" s="314" t="n"/>
      <c r="L665" s="170" t="n"/>
      <c r="M665" s="170" t="n"/>
      <c r="N665" s="170" t="n"/>
      <c r="O665" s="172" t="n"/>
      <c r="P665" s="172" t="n"/>
    </row>
    <row r="666">
      <c r="B666" s="170" t="n"/>
      <c r="C666" s="199" t="n"/>
      <c r="D666" s="312" t="n"/>
      <c r="E666" s="312" t="n"/>
      <c r="F666" s="312" t="n"/>
      <c r="G666" s="312" t="n"/>
      <c r="H666" s="312" t="n"/>
      <c r="I666" s="313" t="n"/>
      <c r="J666" s="199" t="n"/>
      <c r="K666" s="314" t="n"/>
      <c r="L666" s="170" t="n"/>
      <c r="M666" s="170" t="n"/>
      <c r="N666" s="170" t="n"/>
      <c r="O666" s="172" t="n"/>
      <c r="P666" s="172" t="n"/>
    </row>
    <row r="667">
      <c r="B667" s="170" t="n"/>
      <c r="C667" s="199" t="n"/>
      <c r="D667" s="312" t="n"/>
      <c r="E667" s="312" t="n"/>
      <c r="F667" s="312" t="n"/>
      <c r="G667" s="312" t="n"/>
      <c r="H667" s="312" t="n"/>
      <c r="I667" s="313" t="n"/>
      <c r="J667" s="199" t="n"/>
      <c r="K667" s="314" t="n"/>
      <c r="L667" s="170" t="n"/>
      <c r="M667" s="170" t="n"/>
      <c r="N667" s="170" t="n"/>
      <c r="O667" s="172" t="n"/>
      <c r="P667" s="172" t="n"/>
    </row>
    <row r="668">
      <c r="B668" s="170" t="n"/>
      <c r="C668" s="199" t="n"/>
      <c r="D668" s="312" t="n"/>
      <c r="E668" s="312" t="n"/>
      <c r="F668" s="312" t="n"/>
      <c r="G668" s="312" t="n"/>
      <c r="H668" s="312" t="n"/>
      <c r="I668" s="313" t="n"/>
      <c r="J668" s="199" t="n"/>
      <c r="K668" s="314" t="n"/>
      <c r="L668" s="170" t="n"/>
      <c r="M668" s="170" t="n"/>
      <c r="N668" s="170" t="n"/>
      <c r="O668" s="172" t="n"/>
      <c r="P668" s="172" t="n"/>
    </row>
    <row r="669">
      <c r="B669" s="170" t="n"/>
      <c r="C669" s="199" t="n"/>
      <c r="D669" s="312" t="n"/>
      <c r="E669" s="312" t="n"/>
      <c r="F669" s="312" t="n"/>
      <c r="G669" s="312" t="n"/>
      <c r="H669" s="312" t="n"/>
      <c r="I669" s="313" t="n"/>
      <c r="J669" s="199" t="n"/>
      <c r="K669" s="314" t="n"/>
      <c r="L669" s="170" t="n"/>
      <c r="M669" s="170" t="n"/>
      <c r="N669" s="170" t="n"/>
      <c r="O669" s="172" t="n"/>
      <c r="P669" s="172" t="n"/>
    </row>
    <row r="670">
      <c r="B670" s="170" t="n"/>
      <c r="C670" s="199" t="n"/>
      <c r="D670" s="312" t="n"/>
      <c r="E670" s="312" t="n"/>
      <c r="F670" s="312" t="n"/>
      <c r="G670" s="312" t="n"/>
      <c r="H670" s="312" t="n"/>
      <c r="I670" s="313" t="n"/>
      <c r="J670" s="199" t="n"/>
      <c r="K670" s="314" t="n"/>
      <c r="L670" s="170" t="n"/>
      <c r="M670" s="170" t="n"/>
      <c r="N670" s="170" t="n"/>
      <c r="O670" s="172" t="n"/>
      <c r="P670" s="172" t="n"/>
    </row>
    <row r="671">
      <c r="B671" s="170" t="n"/>
      <c r="C671" s="199" t="n"/>
      <c r="D671" s="312" t="n"/>
      <c r="E671" s="312" t="n"/>
      <c r="F671" s="312" t="n"/>
      <c r="G671" s="312" t="n"/>
      <c r="H671" s="312" t="n"/>
      <c r="I671" s="313" t="n"/>
      <c r="J671" s="199" t="n"/>
      <c r="K671" s="314" t="n"/>
      <c r="L671" s="170" t="n"/>
      <c r="M671" s="170" t="n"/>
      <c r="N671" s="170" t="n"/>
      <c r="O671" s="172" t="n"/>
      <c r="P671" s="172" t="n"/>
    </row>
    <row r="672">
      <c r="B672" s="170" t="n"/>
      <c r="C672" s="199" t="n"/>
      <c r="D672" s="312" t="n"/>
      <c r="E672" s="312" t="n"/>
      <c r="F672" s="312" t="n"/>
      <c r="G672" s="312" t="n"/>
      <c r="H672" s="312" t="n"/>
      <c r="I672" s="313" t="n"/>
      <c r="J672" s="199" t="n"/>
      <c r="K672" s="314" t="n"/>
      <c r="L672" s="170" t="n"/>
      <c r="M672" s="170" t="n"/>
      <c r="N672" s="170" t="n"/>
      <c r="O672" s="172" t="n"/>
      <c r="P672" s="172" t="n"/>
    </row>
    <row r="673">
      <c r="B673" s="170" t="n"/>
      <c r="C673" s="199" t="n"/>
      <c r="D673" s="312" t="n"/>
      <c r="E673" s="312" t="n"/>
      <c r="F673" s="312" t="n"/>
      <c r="G673" s="312" t="n"/>
      <c r="H673" s="312" t="n"/>
      <c r="I673" s="313" t="n"/>
      <c r="J673" s="199" t="n"/>
      <c r="K673" s="314" t="n"/>
      <c r="L673" s="170" t="n"/>
      <c r="M673" s="170" t="n"/>
      <c r="N673" s="170" t="n"/>
      <c r="O673" s="172" t="n"/>
      <c r="P673" s="172" t="n"/>
    </row>
    <row r="674">
      <c r="B674" s="170" t="n"/>
      <c r="C674" s="199" t="n"/>
      <c r="D674" s="312" t="n"/>
      <c r="E674" s="312" t="n"/>
      <c r="F674" s="312" t="n"/>
      <c r="G674" s="312" t="n"/>
      <c r="H674" s="312" t="n"/>
      <c r="I674" s="313" t="n"/>
      <c r="J674" s="199" t="n"/>
      <c r="K674" s="314" t="n"/>
      <c r="L674" s="170" t="n"/>
      <c r="M674" s="170" t="n"/>
      <c r="N674" s="170" t="n"/>
      <c r="O674" s="172" t="n"/>
      <c r="P674" s="172" t="n"/>
    </row>
    <row r="675">
      <c r="B675" s="170" t="n"/>
      <c r="C675" s="199" t="n"/>
      <c r="D675" s="312" t="n"/>
      <c r="E675" s="312" t="n"/>
      <c r="F675" s="312" t="n"/>
      <c r="G675" s="312" t="n"/>
      <c r="H675" s="312" t="n"/>
      <c r="I675" s="313" t="n"/>
      <c r="J675" s="199" t="n"/>
      <c r="K675" s="314" t="n"/>
      <c r="L675" s="170" t="n"/>
      <c r="M675" s="170" t="n"/>
      <c r="N675" s="170" t="n"/>
      <c r="O675" s="172" t="n"/>
      <c r="P675" s="172" t="n"/>
    </row>
    <row r="676">
      <c r="B676" s="170" t="n"/>
      <c r="C676" s="199" t="n"/>
      <c r="D676" s="312" t="n"/>
      <c r="E676" s="312" t="n"/>
      <c r="F676" s="312" t="n"/>
      <c r="G676" s="312" t="n"/>
      <c r="H676" s="312" t="n"/>
      <c r="I676" s="313" t="n"/>
      <c r="J676" s="199" t="n"/>
      <c r="K676" s="314" t="n"/>
      <c r="L676" s="170" t="n"/>
      <c r="M676" s="170" t="n"/>
      <c r="N676" s="170" t="n"/>
      <c r="O676" s="172" t="n"/>
      <c r="P676" s="172" t="n"/>
    </row>
    <row r="677">
      <c r="B677" s="170" t="n"/>
      <c r="C677" s="199" t="n"/>
      <c r="D677" s="312" t="n"/>
      <c r="E677" s="312" t="n"/>
      <c r="F677" s="312" t="n"/>
      <c r="G677" s="312" t="n"/>
      <c r="H677" s="312" t="n"/>
      <c r="I677" s="313" t="n"/>
      <c r="J677" s="199" t="n"/>
      <c r="K677" s="314" t="n"/>
      <c r="L677" s="170" t="n"/>
      <c r="M677" s="170" t="n"/>
      <c r="N677" s="170" t="n"/>
      <c r="O677" s="172" t="n"/>
      <c r="P677" s="172" t="n"/>
    </row>
    <row r="678">
      <c r="B678" s="170" t="n"/>
      <c r="C678" s="199" t="n"/>
      <c r="D678" s="312" t="n"/>
      <c r="E678" s="312" t="n"/>
      <c r="F678" s="312" t="n"/>
      <c r="G678" s="312" t="n"/>
      <c r="H678" s="312" t="n"/>
      <c r="I678" s="313" t="n"/>
      <c r="J678" s="199" t="n"/>
      <c r="K678" s="314" t="n"/>
      <c r="L678" s="170" t="n"/>
      <c r="M678" s="170" t="n"/>
      <c r="N678" s="170" t="n"/>
      <c r="O678" s="172" t="n"/>
      <c r="P678" s="172" t="n"/>
    </row>
    <row r="679">
      <c r="B679" s="170" t="n"/>
      <c r="C679" s="199" t="n"/>
      <c r="D679" s="312" t="n"/>
      <c r="E679" s="312" t="n"/>
      <c r="F679" s="312" t="n"/>
      <c r="G679" s="312" t="n"/>
      <c r="H679" s="312" t="n"/>
      <c r="I679" s="313" t="n"/>
      <c r="J679" s="199" t="n"/>
      <c r="K679" s="314" t="n"/>
      <c r="L679" s="170" t="n"/>
      <c r="M679" s="170" t="n"/>
      <c r="N679" s="170" t="n"/>
      <c r="O679" s="172" t="n"/>
      <c r="P679" s="172" t="n"/>
    </row>
    <row r="680">
      <c r="B680" s="170" t="n"/>
      <c r="C680" s="199" t="n"/>
      <c r="D680" s="312" t="n"/>
      <c r="E680" s="312" t="n"/>
      <c r="F680" s="312" t="n"/>
      <c r="G680" s="312" t="n"/>
      <c r="H680" s="312" t="n"/>
      <c r="I680" s="313" t="n"/>
      <c r="J680" s="199" t="n"/>
      <c r="K680" s="314" t="n"/>
      <c r="L680" s="170" t="n"/>
      <c r="M680" s="170" t="n"/>
      <c r="N680" s="170" t="n"/>
      <c r="O680" s="172" t="n"/>
      <c r="P680" s="172" t="n"/>
    </row>
    <row r="681">
      <c r="B681" s="170" t="n"/>
      <c r="C681" s="199" t="n"/>
      <c r="D681" s="312" t="n"/>
      <c r="E681" s="312" t="n"/>
      <c r="F681" s="312" t="n"/>
      <c r="G681" s="312" t="n"/>
      <c r="H681" s="312" t="n"/>
      <c r="I681" s="313" t="n"/>
      <c r="J681" s="199" t="n"/>
      <c r="K681" s="314" t="n"/>
      <c r="L681" s="170" t="n"/>
      <c r="M681" s="170" t="n"/>
      <c r="N681" s="170" t="n"/>
      <c r="O681" s="172" t="n"/>
      <c r="P681" s="172" t="n"/>
    </row>
    <row r="682">
      <c r="B682" s="170" t="n"/>
      <c r="C682" s="199" t="n"/>
      <c r="D682" s="312" t="n"/>
      <c r="E682" s="312" t="n"/>
      <c r="F682" s="312" t="n"/>
      <c r="G682" s="312" t="n"/>
      <c r="H682" s="312" t="n"/>
      <c r="I682" s="313" t="n"/>
      <c r="J682" s="199" t="n"/>
      <c r="K682" s="314" t="n"/>
      <c r="L682" s="170" t="n"/>
      <c r="M682" s="170" t="n"/>
      <c r="N682" s="170" t="n"/>
      <c r="O682" s="172" t="n"/>
      <c r="P682" s="172" t="n"/>
    </row>
    <row r="683">
      <c r="B683" s="170" t="n"/>
      <c r="C683" s="199" t="n"/>
      <c r="D683" s="312" t="n"/>
      <c r="E683" s="312" t="n"/>
      <c r="F683" s="312" t="n"/>
      <c r="G683" s="312" t="n"/>
      <c r="H683" s="312" t="n"/>
      <c r="I683" s="313" t="n"/>
      <c r="J683" s="199" t="n"/>
      <c r="K683" s="314" t="n"/>
      <c r="L683" s="170" t="n"/>
      <c r="M683" s="170" t="n"/>
      <c r="N683" s="170" t="n"/>
      <c r="O683" s="172" t="n"/>
      <c r="P683" s="172" t="n"/>
    </row>
    <row r="684">
      <c r="B684" s="170" t="n"/>
      <c r="C684" s="199" t="n"/>
      <c r="D684" s="312" t="n"/>
      <c r="E684" s="312" t="n"/>
      <c r="F684" s="312" t="n"/>
      <c r="G684" s="312" t="n"/>
      <c r="H684" s="312" t="n"/>
      <c r="I684" s="313" t="n"/>
      <c r="J684" s="199" t="n"/>
      <c r="K684" s="314" t="n"/>
      <c r="L684" s="170" t="n"/>
      <c r="M684" s="170" t="n"/>
      <c r="N684" s="170" t="n"/>
      <c r="O684" s="172" t="n"/>
      <c r="P684" s="172" t="n"/>
    </row>
    <row r="685">
      <c r="B685" s="170" t="n"/>
      <c r="C685" s="199" t="n"/>
      <c r="D685" s="312" t="n"/>
      <c r="E685" s="312" t="n"/>
      <c r="F685" s="312" t="n"/>
      <c r="G685" s="312" t="n"/>
      <c r="H685" s="312" t="n"/>
      <c r="I685" s="313" t="n"/>
      <c r="J685" s="199" t="n"/>
      <c r="K685" s="314" t="n"/>
      <c r="L685" s="170" t="n"/>
      <c r="M685" s="170" t="n"/>
      <c r="N685" s="170" t="n"/>
      <c r="O685" s="172" t="n"/>
      <c r="P685" s="172" t="n"/>
    </row>
    <row r="686">
      <c r="B686" s="170" t="n"/>
      <c r="C686" s="199" t="n"/>
      <c r="D686" s="312" t="n"/>
      <c r="E686" s="312" t="n"/>
      <c r="F686" s="312" t="n"/>
      <c r="G686" s="312" t="n"/>
      <c r="H686" s="312" t="n"/>
      <c r="I686" s="313" t="n"/>
      <c r="J686" s="199" t="n"/>
      <c r="K686" s="314" t="n"/>
      <c r="L686" s="170" t="n"/>
      <c r="M686" s="170" t="n"/>
      <c r="N686" s="170" t="n"/>
      <c r="O686" s="172" t="n"/>
      <c r="P686" s="172" t="n"/>
    </row>
    <row r="687">
      <c r="B687" s="170" t="n"/>
      <c r="C687" s="199" t="n"/>
      <c r="D687" s="312" t="n"/>
      <c r="E687" s="312" t="n"/>
      <c r="F687" s="312" t="n"/>
      <c r="G687" s="312" t="n"/>
      <c r="H687" s="312" t="n"/>
      <c r="I687" s="313" t="n"/>
      <c r="J687" s="199" t="n"/>
      <c r="K687" s="314" t="n"/>
      <c r="L687" s="170" t="n"/>
      <c r="M687" s="170" t="n"/>
      <c r="N687" s="170" t="n"/>
      <c r="O687" s="172" t="n"/>
      <c r="P687" s="172" t="n"/>
    </row>
    <row r="688">
      <c r="B688" s="170" t="n"/>
      <c r="C688" s="199" t="n"/>
      <c r="D688" s="312" t="n"/>
      <c r="E688" s="312" t="n"/>
      <c r="F688" s="312" t="n"/>
      <c r="G688" s="312" t="n"/>
      <c r="H688" s="312" t="n"/>
      <c r="I688" s="313" t="n"/>
      <c r="J688" s="199" t="n"/>
      <c r="K688" s="314" t="n"/>
      <c r="L688" s="170" t="n"/>
      <c r="M688" s="170" t="n"/>
      <c r="N688" s="170" t="n"/>
      <c r="O688" s="172" t="n"/>
      <c r="P688" s="172" t="n"/>
    </row>
    <row r="689">
      <c r="B689" s="170" t="n"/>
      <c r="C689" s="199" t="n"/>
      <c r="D689" s="312" t="n"/>
      <c r="E689" s="312" t="n"/>
      <c r="F689" s="312" t="n"/>
      <c r="G689" s="312" t="n"/>
      <c r="H689" s="312" t="n"/>
      <c r="I689" s="313" t="n"/>
      <c r="J689" s="199" t="n"/>
      <c r="K689" s="314" t="n"/>
      <c r="L689" s="170" t="n"/>
      <c r="M689" s="170" t="n"/>
      <c r="N689" s="170" t="n"/>
      <c r="O689" s="172" t="n"/>
      <c r="P689" s="172" t="n"/>
    </row>
    <row r="690">
      <c r="B690" s="170" t="n"/>
      <c r="C690" s="199" t="n"/>
      <c r="D690" s="312" t="n"/>
      <c r="E690" s="312" t="n"/>
      <c r="F690" s="312" t="n"/>
      <c r="G690" s="312" t="n"/>
      <c r="H690" s="312" t="n"/>
      <c r="I690" s="313" t="n"/>
      <c r="J690" s="199" t="n"/>
      <c r="K690" s="314" t="n"/>
      <c r="L690" s="170" t="n"/>
      <c r="M690" s="170" t="n"/>
      <c r="N690" s="170" t="n"/>
      <c r="O690" s="172" t="n"/>
      <c r="P690" s="172" t="n"/>
    </row>
    <row r="691">
      <c r="B691" s="170" t="n"/>
      <c r="C691" s="199" t="n"/>
      <c r="D691" s="312" t="n"/>
      <c r="E691" s="312" t="n"/>
      <c r="F691" s="312" t="n"/>
      <c r="G691" s="312" t="n"/>
      <c r="H691" s="312" t="n"/>
      <c r="I691" s="313" t="n"/>
      <c r="J691" s="199" t="n"/>
      <c r="K691" s="314" t="n"/>
      <c r="L691" s="170" t="n"/>
      <c r="M691" s="170" t="n"/>
      <c r="N691" s="170" t="n"/>
      <c r="O691" s="172" t="n"/>
      <c r="P691" s="172" t="n"/>
    </row>
    <row r="692">
      <c r="B692" s="170" t="n"/>
      <c r="C692" s="199" t="n"/>
      <c r="D692" s="312" t="n"/>
      <c r="E692" s="312" t="n"/>
      <c r="F692" s="312" t="n"/>
      <c r="G692" s="312" t="n"/>
      <c r="H692" s="312" t="n"/>
      <c r="I692" s="313" t="n"/>
      <c r="J692" s="199" t="n"/>
      <c r="K692" s="314" t="n"/>
      <c r="L692" s="170" t="n"/>
      <c r="M692" s="170" t="n"/>
      <c r="N692" s="170" t="n"/>
      <c r="O692" s="172" t="n"/>
      <c r="P692" s="172" t="n"/>
    </row>
    <row r="693">
      <c r="B693" s="170" t="n"/>
      <c r="C693" s="199" t="n"/>
      <c r="D693" s="312" t="n"/>
      <c r="E693" s="312" t="n"/>
      <c r="F693" s="312" t="n"/>
      <c r="G693" s="312" t="n"/>
      <c r="H693" s="312" t="n"/>
      <c r="I693" s="313" t="n"/>
      <c r="J693" s="199" t="n"/>
      <c r="K693" s="314" t="n"/>
      <c r="L693" s="170" t="n"/>
      <c r="M693" s="170" t="n"/>
      <c r="N693" s="170" t="n"/>
      <c r="O693" s="172" t="n"/>
      <c r="P693" s="172" t="n"/>
    </row>
    <row r="694">
      <c r="B694" s="170" t="n"/>
      <c r="C694" s="199" t="n"/>
      <c r="D694" s="312" t="n"/>
      <c r="E694" s="312" t="n"/>
      <c r="F694" s="312" t="n"/>
      <c r="G694" s="312" t="n"/>
      <c r="H694" s="312" t="n"/>
      <c r="I694" s="313" t="n"/>
      <c r="J694" s="199" t="n"/>
      <c r="K694" s="314" t="n"/>
      <c r="L694" s="170" t="n"/>
      <c r="M694" s="170" t="n"/>
      <c r="N694" s="170" t="n"/>
      <c r="O694" s="172" t="n"/>
      <c r="P694" s="172" t="n"/>
    </row>
    <row r="695">
      <c r="B695" s="170" t="n"/>
      <c r="C695" s="199" t="n"/>
      <c r="D695" s="312" t="n"/>
      <c r="E695" s="312" t="n"/>
      <c r="F695" s="312" t="n"/>
      <c r="G695" s="312" t="n"/>
      <c r="H695" s="312" t="n"/>
      <c r="I695" s="313" t="n"/>
      <c r="J695" s="199" t="n"/>
      <c r="K695" s="314" t="n"/>
      <c r="L695" s="170" t="n"/>
      <c r="M695" s="170" t="n"/>
      <c r="N695" s="170" t="n"/>
      <c r="O695" s="172" t="n"/>
      <c r="P695" s="172" t="n"/>
    </row>
    <row r="696">
      <c r="B696" s="170" t="n"/>
      <c r="C696" s="199" t="n"/>
      <c r="D696" s="312" t="n"/>
      <c r="E696" s="312" t="n"/>
      <c r="F696" s="312" t="n"/>
      <c r="G696" s="312" t="n"/>
      <c r="H696" s="312" t="n"/>
      <c r="I696" s="313" t="n"/>
      <c r="J696" s="199" t="n"/>
      <c r="K696" s="314" t="n"/>
      <c r="L696" s="170" t="n"/>
      <c r="M696" s="170" t="n"/>
      <c r="N696" s="170" t="n"/>
      <c r="O696" s="172" t="n"/>
      <c r="P696" s="172" t="n"/>
    </row>
    <row r="697">
      <c r="B697" s="170" t="n"/>
      <c r="C697" s="199" t="n"/>
      <c r="D697" s="312" t="n"/>
      <c r="E697" s="312" t="n"/>
      <c r="F697" s="312" t="n"/>
      <c r="G697" s="312" t="n"/>
      <c r="H697" s="312" t="n"/>
      <c r="I697" s="313" t="n"/>
      <c r="J697" s="199" t="n"/>
      <c r="K697" s="314" t="n"/>
      <c r="L697" s="170" t="n"/>
      <c r="M697" s="170" t="n"/>
      <c r="N697" s="170" t="n"/>
      <c r="O697" s="172" t="n"/>
      <c r="P697" s="172" t="n"/>
    </row>
    <row r="698">
      <c r="B698" s="170" t="n"/>
      <c r="C698" s="199" t="n"/>
      <c r="D698" s="312" t="n"/>
      <c r="E698" s="312" t="n"/>
      <c r="F698" s="312" t="n"/>
      <c r="G698" s="312" t="n"/>
      <c r="H698" s="312" t="n"/>
      <c r="I698" s="313" t="n"/>
      <c r="J698" s="199" t="n"/>
      <c r="K698" s="314" t="n"/>
      <c r="L698" s="170" t="n"/>
      <c r="M698" s="170" t="n"/>
      <c r="N698" s="170" t="n"/>
      <c r="O698" s="172" t="n"/>
      <c r="P698" s="172" t="n"/>
    </row>
    <row r="699">
      <c r="B699" s="170" t="n"/>
      <c r="C699" s="199" t="n"/>
      <c r="D699" s="312" t="n"/>
      <c r="E699" s="312" t="n"/>
      <c r="F699" s="312" t="n"/>
      <c r="G699" s="312" t="n"/>
      <c r="H699" s="312" t="n"/>
      <c r="I699" s="313" t="n"/>
      <c r="J699" s="199" t="n"/>
      <c r="K699" s="314" t="n"/>
      <c r="L699" s="170" t="n"/>
      <c r="M699" s="170" t="n"/>
      <c r="N699" s="170" t="n"/>
      <c r="O699" s="172" t="n"/>
      <c r="P699" s="172" t="n"/>
    </row>
    <row r="700">
      <c r="B700" s="170" t="n"/>
      <c r="C700" s="199" t="n"/>
      <c r="D700" s="312" t="n"/>
      <c r="E700" s="312" t="n"/>
      <c r="F700" s="312" t="n"/>
      <c r="G700" s="312" t="n"/>
      <c r="H700" s="312" t="n"/>
      <c r="I700" s="313" t="n"/>
      <c r="J700" s="199" t="n"/>
      <c r="K700" s="314" t="n"/>
      <c r="L700" s="170" t="n"/>
      <c r="M700" s="170" t="n"/>
      <c r="N700" s="170" t="n"/>
      <c r="O700" s="172" t="n"/>
      <c r="P700" s="172" t="n"/>
    </row>
    <row r="701">
      <c r="B701" s="170" t="n"/>
      <c r="C701" s="199" t="n"/>
      <c r="D701" s="312" t="n"/>
      <c r="E701" s="312" t="n"/>
      <c r="F701" s="312" t="n"/>
      <c r="G701" s="312" t="n"/>
      <c r="H701" s="312" t="n"/>
      <c r="I701" s="313" t="n"/>
      <c r="J701" s="199" t="n"/>
      <c r="K701" s="314" t="n"/>
      <c r="L701" s="170" t="n"/>
      <c r="M701" s="170" t="n"/>
      <c r="N701" s="170" t="n"/>
      <c r="O701" s="172" t="n"/>
      <c r="P701" s="172" t="n"/>
    </row>
    <row r="702">
      <c r="B702" s="170" t="n"/>
      <c r="C702" s="199" t="n"/>
      <c r="D702" s="312" t="n"/>
      <c r="E702" s="312" t="n"/>
      <c r="F702" s="312" t="n"/>
      <c r="G702" s="312" t="n"/>
      <c r="H702" s="312" t="n"/>
      <c r="I702" s="313" t="n"/>
      <c r="J702" s="199" t="n"/>
      <c r="K702" s="314" t="n"/>
      <c r="L702" s="170" t="n"/>
      <c r="M702" s="170" t="n"/>
      <c r="N702" s="170" t="n"/>
      <c r="O702" s="172" t="n"/>
      <c r="P702" s="172" t="n"/>
    </row>
    <row r="703">
      <c r="B703" s="170" t="n"/>
      <c r="C703" s="199" t="n"/>
      <c r="D703" s="312" t="n"/>
      <c r="E703" s="312" t="n"/>
      <c r="F703" s="312" t="n"/>
      <c r="G703" s="312" t="n"/>
      <c r="H703" s="312" t="n"/>
      <c r="I703" s="313" t="n"/>
      <c r="J703" s="199" t="n"/>
      <c r="K703" s="314" t="n"/>
      <c r="L703" s="170" t="n"/>
      <c r="M703" s="170" t="n"/>
      <c r="N703" s="170" t="n"/>
      <c r="O703" s="172" t="n"/>
      <c r="P703" s="172" t="n"/>
    </row>
    <row r="704">
      <c r="B704" s="170" t="n"/>
      <c r="C704" s="199" t="n"/>
      <c r="D704" s="312" t="n"/>
      <c r="E704" s="312" t="n"/>
      <c r="F704" s="312" t="n"/>
      <c r="G704" s="312" t="n"/>
      <c r="H704" s="312" t="n"/>
      <c r="I704" s="313" t="n"/>
      <c r="J704" s="199" t="n"/>
      <c r="K704" s="314" t="n"/>
      <c r="L704" s="170" t="n"/>
      <c r="M704" s="170" t="n"/>
      <c r="N704" s="170" t="n"/>
      <c r="O704" s="172" t="n"/>
      <c r="P704" s="172" t="n"/>
    </row>
    <row r="705">
      <c r="B705" s="170" t="n"/>
      <c r="C705" s="199" t="n"/>
      <c r="D705" s="312" t="n"/>
      <c r="E705" s="312" t="n"/>
      <c r="F705" s="312" t="n"/>
      <c r="G705" s="312" t="n"/>
      <c r="H705" s="312" t="n"/>
      <c r="I705" s="313" t="n"/>
      <c r="J705" s="199" t="n"/>
      <c r="K705" s="314" t="n"/>
      <c r="L705" s="170" t="n"/>
      <c r="M705" s="170" t="n"/>
      <c r="N705" s="170" t="n"/>
      <c r="O705" s="172" t="n"/>
      <c r="P705" s="172" t="n"/>
    </row>
    <row r="706">
      <c r="B706" s="170" t="n"/>
      <c r="C706" s="199" t="n"/>
      <c r="D706" s="312" t="n"/>
      <c r="E706" s="312" t="n"/>
      <c r="F706" s="312" t="n"/>
      <c r="G706" s="312" t="n"/>
      <c r="H706" s="312" t="n"/>
      <c r="I706" s="313" t="n"/>
      <c r="J706" s="199" t="n"/>
      <c r="K706" s="314" t="n"/>
      <c r="L706" s="170" t="n"/>
      <c r="M706" s="170" t="n"/>
      <c r="N706" s="170" t="n"/>
      <c r="O706" s="172" t="n"/>
      <c r="P706" s="172" t="n"/>
    </row>
    <row r="707">
      <c r="B707" s="170" t="n"/>
      <c r="C707" s="199" t="n"/>
      <c r="D707" s="312" t="n"/>
      <c r="E707" s="312" t="n"/>
      <c r="F707" s="312" t="n"/>
      <c r="G707" s="312" t="n"/>
      <c r="H707" s="312" t="n"/>
      <c r="I707" s="313" t="n"/>
      <c r="J707" s="199" t="n"/>
      <c r="K707" s="314" t="n"/>
      <c r="L707" s="170" t="n"/>
      <c r="M707" s="170" t="n"/>
      <c r="N707" s="170" t="n"/>
      <c r="O707" s="172" t="n"/>
      <c r="P707" s="172" t="n"/>
    </row>
    <row r="708">
      <c r="B708" s="170" t="n"/>
      <c r="C708" s="199" t="n"/>
      <c r="D708" s="312" t="n"/>
      <c r="E708" s="312" t="n"/>
      <c r="F708" s="312" t="n"/>
      <c r="G708" s="312" t="n"/>
      <c r="H708" s="312" t="n"/>
      <c r="I708" s="313" t="n"/>
      <c r="J708" s="199" t="n"/>
      <c r="K708" s="314" t="n"/>
      <c r="L708" s="170" t="n"/>
      <c r="M708" s="170" t="n"/>
      <c r="N708" s="170" t="n"/>
      <c r="O708" s="172" t="n"/>
      <c r="P708" s="172" t="n"/>
    </row>
    <row r="709">
      <c r="B709" s="170" t="n"/>
      <c r="C709" s="199" t="n"/>
      <c r="D709" s="312" t="n"/>
      <c r="E709" s="312" t="n"/>
      <c r="F709" s="312" t="n"/>
      <c r="G709" s="312" t="n"/>
      <c r="H709" s="312" t="n"/>
      <c r="I709" s="313" t="n"/>
      <c r="J709" s="199" t="n"/>
      <c r="K709" s="314" t="n"/>
      <c r="L709" s="170" t="n"/>
      <c r="M709" s="170" t="n"/>
      <c r="N709" s="170" t="n"/>
      <c r="O709" s="172" t="n"/>
      <c r="P709" s="172" t="n"/>
    </row>
    <row r="710">
      <c r="B710" s="170" t="n"/>
      <c r="C710" s="199" t="n"/>
      <c r="D710" s="312" t="n"/>
      <c r="E710" s="312" t="n"/>
      <c r="F710" s="312" t="n"/>
      <c r="G710" s="312" t="n"/>
      <c r="H710" s="312" t="n"/>
      <c r="I710" s="313" t="n"/>
      <c r="J710" s="199" t="n"/>
      <c r="K710" s="314" t="n"/>
      <c r="L710" s="170" t="n"/>
      <c r="M710" s="170" t="n"/>
      <c r="N710" s="170" t="n"/>
      <c r="O710" s="172" t="n"/>
      <c r="P710" s="172" t="n"/>
    </row>
    <row r="711">
      <c r="B711" s="170" t="n"/>
      <c r="C711" s="199" t="n"/>
      <c r="D711" s="312" t="n"/>
      <c r="E711" s="312" t="n"/>
      <c r="F711" s="312" t="n"/>
      <c r="G711" s="312" t="n"/>
      <c r="H711" s="312" t="n"/>
      <c r="I711" s="313" t="n"/>
      <c r="J711" s="199" t="n"/>
      <c r="K711" s="314" t="n"/>
      <c r="L711" s="170" t="n"/>
      <c r="M711" s="170" t="n"/>
      <c r="N711" s="170" t="n"/>
      <c r="O711" s="172" t="n"/>
      <c r="P711" s="172" t="n"/>
    </row>
    <row r="712">
      <c r="B712" s="170" t="n"/>
      <c r="C712" s="199" t="n"/>
      <c r="D712" s="312" t="n"/>
      <c r="E712" s="312" t="n"/>
      <c r="F712" s="312" t="n"/>
      <c r="G712" s="312" t="n"/>
      <c r="H712" s="312" t="n"/>
      <c r="I712" s="313" t="n"/>
      <c r="J712" s="199" t="n"/>
      <c r="K712" s="314" t="n"/>
      <c r="L712" s="170" t="n"/>
      <c r="M712" s="170" t="n"/>
      <c r="N712" s="170" t="n"/>
      <c r="O712" s="172" t="n"/>
      <c r="P712" s="172" t="n"/>
    </row>
    <row r="713">
      <c r="B713" s="170" t="n"/>
      <c r="C713" s="199" t="n"/>
      <c r="D713" s="312" t="n"/>
      <c r="E713" s="312" t="n"/>
      <c r="F713" s="312" t="n"/>
      <c r="G713" s="312" t="n"/>
      <c r="H713" s="312" t="n"/>
      <c r="I713" s="313" t="n"/>
      <c r="J713" s="199" t="n"/>
      <c r="K713" s="314" t="n"/>
      <c r="L713" s="170" t="n"/>
      <c r="M713" s="170" t="n"/>
      <c r="N713" s="170" t="n"/>
      <c r="O713" s="172" t="n"/>
      <c r="P713" s="172" t="n"/>
    </row>
    <row r="714">
      <c r="B714" s="170" t="n"/>
      <c r="C714" s="199" t="n"/>
      <c r="D714" s="312" t="n"/>
      <c r="E714" s="312" t="n"/>
      <c r="F714" s="312" t="n"/>
      <c r="G714" s="312" t="n"/>
      <c r="H714" s="312" t="n"/>
      <c r="I714" s="313" t="n"/>
      <c r="J714" s="199" t="n"/>
      <c r="K714" s="314" t="n"/>
      <c r="L714" s="170" t="n"/>
      <c r="M714" s="170" t="n"/>
      <c r="N714" s="170" t="n"/>
      <c r="O714" s="172" t="n"/>
      <c r="P714" s="172" t="n"/>
    </row>
    <row r="715">
      <c r="B715" s="170" t="n"/>
      <c r="C715" s="199" t="n"/>
      <c r="D715" s="312" t="n"/>
      <c r="E715" s="312" t="n"/>
      <c r="F715" s="312" t="n"/>
      <c r="G715" s="312" t="n"/>
      <c r="H715" s="312" t="n"/>
      <c r="I715" s="313" t="n"/>
      <c r="J715" s="199" t="n"/>
      <c r="K715" s="314" t="n"/>
      <c r="L715" s="170" t="n"/>
      <c r="M715" s="170" t="n"/>
      <c r="N715" s="170" t="n"/>
      <c r="O715" s="172" t="n"/>
      <c r="P715" s="172" t="n"/>
    </row>
    <row r="716">
      <c r="B716" s="170" t="n"/>
      <c r="C716" s="199" t="n"/>
      <c r="D716" s="312" t="n"/>
      <c r="E716" s="312" t="n"/>
      <c r="F716" s="312" t="n"/>
      <c r="G716" s="312" t="n"/>
      <c r="H716" s="312" t="n"/>
      <c r="I716" s="313" t="n"/>
      <c r="J716" s="199" t="n"/>
      <c r="K716" s="314" t="n"/>
      <c r="L716" s="170" t="n"/>
      <c r="M716" s="170" t="n"/>
      <c r="N716" s="170" t="n"/>
      <c r="O716" s="172" t="n"/>
      <c r="P716" s="172" t="n"/>
    </row>
    <row r="717">
      <c r="B717" s="170" t="n"/>
      <c r="C717" s="199" t="n"/>
      <c r="D717" s="312" t="n"/>
      <c r="E717" s="312" t="n"/>
      <c r="F717" s="312" t="n"/>
      <c r="G717" s="312" t="n"/>
      <c r="H717" s="312" t="n"/>
      <c r="I717" s="313" t="n"/>
      <c r="J717" s="199" t="n"/>
      <c r="K717" s="314" t="n"/>
      <c r="L717" s="170" t="n"/>
      <c r="M717" s="170" t="n"/>
      <c r="N717" s="170" t="n"/>
      <c r="O717" s="172" t="n"/>
      <c r="P717" s="172" t="n"/>
    </row>
    <row r="718">
      <c r="B718" s="170" t="n"/>
      <c r="C718" s="199" t="n"/>
      <c r="D718" s="312" t="n"/>
      <c r="E718" s="312" t="n"/>
      <c r="F718" s="312" t="n"/>
      <c r="G718" s="312" t="n"/>
      <c r="H718" s="312" t="n"/>
      <c r="I718" s="313" t="n"/>
      <c r="J718" s="199" t="n"/>
      <c r="K718" s="314" t="n"/>
      <c r="L718" s="170" t="n"/>
      <c r="M718" s="170" t="n"/>
      <c r="N718" s="170" t="n"/>
      <c r="O718" s="172" t="n"/>
      <c r="P718" s="172" t="n"/>
    </row>
    <row r="719">
      <c r="B719" s="170" t="n"/>
      <c r="C719" s="199" t="n"/>
      <c r="D719" s="312" t="n"/>
      <c r="E719" s="312" t="n"/>
      <c r="F719" s="312" t="n"/>
      <c r="G719" s="312" t="n"/>
      <c r="H719" s="312" t="n"/>
      <c r="I719" s="313" t="n"/>
      <c r="J719" s="199" t="n"/>
      <c r="K719" s="314" t="n"/>
      <c r="L719" s="170" t="n"/>
      <c r="M719" s="170" t="n"/>
      <c r="N719" s="170" t="n"/>
      <c r="O719" s="172" t="n"/>
      <c r="P719" s="172" t="n"/>
    </row>
    <row r="720">
      <c r="B720" s="170" t="n"/>
      <c r="C720" s="199" t="n"/>
      <c r="D720" s="312" t="n"/>
      <c r="E720" s="312" t="n"/>
      <c r="F720" s="312" t="n"/>
      <c r="G720" s="312" t="n"/>
      <c r="H720" s="312" t="n"/>
      <c r="I720" s="313" t="n"/>
      <c r="J720" s="199" t="n"/>
      <c r="K720" s="314" t="n"/>
      <c r="L720" s="170" t="n"/>
      <c r="M720" s="170" t="n"/>
      <c r="N720" s="170" t="n"/>
      <c r="O720" s="172" t="n"/>
      <c r="P720" s="172" t="n"/>
    </row>
    <row r="721">
      <c r="B721" s="170" t="n"/>
      <c r="C721" s="199" t="n"/>
      <c r="D721" s="312" t="n"/>
      <c r="E721" s="312" t="n"/>
      <c r="F721" s="312" t="n"/>
      <c r="G721" s="312" t="n"/>
      <c r="H721" s="312" t="n"/>
      <c r="I721" s="313" t="n"/>
      <c r="J721" s="199" t="n"/>
      <c r="K721" s="314" t="n"/>
      <c r="L721" s="170" t="n"/>
      <c r="M721" s="170" t="n"/>
      <c r="N721" s="170" t="n"/>
      <c r="O721" s="172" t="n"/>
      <c r="P721" s="172" t="n"/>
    </row>
    <row r="722">
      <c r="B722" s="170" t="n"/>
      <c r="C722" s="199" t="n"/>
      <c r="D722" s="312" t="n"/>
      <c r="E722" s="312" t="n"/>
      <c r="F722" s="312" t="n"/>
      <c r="G722" s="312" t="n"/>
      <c r="H722" s="312" t="n"/>
      <c r="I722" s="313" t="n"/>
      <c r="J722" s="199" t="n"/>
      <c r="K722" s="314" t="n"/>
      <c r="L722" s="170" t="n"/>
      <c r="M722" s="170" t="n"/>
      <c r="N722" s="170" t="n"/>
      <c r="O722" s="172" t="n"/>
      <c r="P722" s="172" t="n"/>
    </row>
    <row r="723">
      <c r="B723" s="170" t="n"/>
      <c r="C723" s="199" t="n"/>
      <c r="D723" s="312" t="n"/>
      <c r="E723" s="312" t="n"/>
      <c r="F723" s="312" t="n"/>
      <c r="G723" s="312" t="n"/>
      <c r="H723" s="312" t="n"/>
      <c r="I723" s="313" t="n"/>
      <c r="J723" s="199" t="n"/>
      <c r="K723" s="314" t="n"/>
      <c r="L723" s="170" t="n"/>
      <c r="M723" s="170" t="n"/>
      <c r="N723" s="170" t="n"/>
      <c r="O723" s="172" t="n"/>
      <c r="P723" s="172" t="n"/>
    </row>
    <row r="724">
      <c r="B724" s="170" t="n"/>
      <c r="C724" s="199" t="n"/>
      <c r="D724" s="312" t="n"/>
      <c r="E724" s="312" t="n"/>
      <c r="F724" s="312" t="n"/>
      <c r="G724" s="312" t="n"/>
      <c r="H724" s="312" t="n"/>
      <c r="I724" s="313" t="n"/>
      <c r="J724" s="199" t="n"/>
      <c r="K724" s="314" t="n"/>
      <c r="L724" s="170" t="n"/>
      <c r="M724" s="170" t="n"/>
      <c r="N724" s="170" t="n"/>
      <c r="O724" s="172" t="n"/>
      <c r="P724" s="172" t="n"/>
    </row>
    <row r="725">
      <c r="B725" s="170" t="n"/>
      <c r="C725" s="199" t="n"/>
      <c r="D725" s="312" t="n"/>
      <c r="E725" s="312" t="n"/>
      <c r="F725" s="312" t="n"/>
      <c r="G725" s="312" t="n"/>
      <c r="H725" s="312" t="n"/>
      <c r="I725" s="313" t="n"/>
      <c r="J725" s="199" t="n"/>
      <c r="K725" s="314" t="n"/>
      <c r="L725" s="170" t="n"/>
      <c r="M725" s="170" t="n"/>
      <c r="N725" s="170" t="n"/>
      <c r="O725" s="172" t="n"/>
      <c r="P725" s="172" t="n"/>
    </row>
    <row r="726">
      <c r="B726" s="170" t="n"/>
      <c r="C726" s="199" t="n"/>
      <c r="D726" s="312" t="n"/>
      <c r="E726" s="312" t="n"/>
      <c r="F726" s="312" t="n"/>
      <c r="G726" s="312" t="n"/>
      <c r="H726" s="312" t="n"/>
      <c r="I726" s="313" t="n"/>
      <c r="J726" s="199" t="n"/>
      <c r="K726" s="314" t="n"/>
      <c r="L726" s="170" t="n"/>
      <c r="M726" s="170" t="n"/>
      <c r="N726" s="170" t="n"/>
      <c r="O726" s="172" t="n"/>
      <c r="P726" s="172" t="n"/>
    </row>
    <row r="727">
      <c r="B727" s="170" t="n"/>
      <c r="C727" s="199" t="n"/>
      <c r="D727" s="312" t="n"/>
      <c r="E727" s="312" t="n"/>
      <c r="F727" s="312" t="n"/>
      <c r="G727" s="312" t="n"/>
      <c r="H727" s="312" t="n"/>
      <c r="I727" s="313" t="n"/>
      <c r="J727" s="199" t="n"/>
      <c r="K727" s="314" t="n"/>
      <c r="L727" s="170" t="n"/>
      <c r="M727" s="170" t="n"/>
      <c r="N727" s="170" t="n"/>
      <c r="O727" s="172" t="n"/>
      <c r="P727" s="172" t="n"/>
    </row>
    <row r="728">
      <c r="B728" s="170" t="n"/>
      <c r="C728" s="199" t="n"/>
      <c r="D728" s="312" t="n"/>
      <c r="E728" s="312" t="n"/>
      <c r="F728" s="312" t="n"/>
      <c r="G728" s="312" t="n"/>
      <c r="H728" s="312" t="n"/>
      <c r="I728" s="313" t="n"/>
      <c r="J728" s="199" t="n"/>
      <c r="K728" s="314" t="n"/>
      <c r="L728" s="170" t="n"/>
      <c r="M728" s="170" t="n"/>
      <c r="N728" s="170" t="n"/>
      <c r="O728" s="172" t="n"/>
      <c r="P728" s="172" t="n"/>
    </row>
    <row r="729">
      <c r="B729" s="170" t="n"/>
      <c r="C729" s="199" t="n"/>
      <c r="D729" s="312" t="n"/>
      <c r="E729" s="312" t="n"/>
      <c r="F729" s="312" t="n"/>
      <c r="G729" s="312" t="n"/>
      <c r="H729" s="312" t="n"/>
      <c r="I729" s="313" t="n"/>
      <c r="J729" s="199" t="n"/>
      <c r="K729" s="314" t="n"/>
      <c r="L729" s="170" t="n"/>
      <c r="M729" s="170" t="n"/>
      <c r="N729" s="170" t="n"/>
      <c r="O729" s="172" t="n"/>
      <c r="P729" s="172" t="n"/>
    </row>
    <row r="730">
      <c r="B730" s="170" t="n"/>
      <c r="C730" s="199" t="n"/>
      <c r="D730" s="312" t="n"/>
      <c r="E730" s="312" t="n"/>
      <c r="F730" s="312" t="n"/>
      <c r="G730" s="312" t="n"/>
      <c r="H730" s="312" t="n"/>
      <c r="I730" s="313" t="n"/>
      <c r="J730" s="199" t="n"/>
      <c r="K730" s="314" t="n"/>
      <c r="L730" s="170" t="n"/>
      <c r="M730" s="170" t="n"/>
      <c r="N730" s="170" t="n"/>
      <c r="O730" s="172" t="n"/>
      <c r="P730" s="172" t="n"/>
    </row>
    <row r="731">
      <c r="B731" s="170" t="n"/>
      <c r="C731" s="199" t="n"/>
      <c r="D731" s="312" t="n"/>
      <c r="E731" s="312" t="n"/>
      <c r="F731" s="312" t="n"/>
      <c r="G731" s="312" t="n"/>
      <c r="H731" s="312" t="n"/>
      <c r="I731" s="313" t="n"/>
      <c r="J731" s="199" t="n"/>
      <c r="K731" s="314" t="n"/>
      <c r="L731" s="170" t="n"/>
      <c r="M731" s="170" t="n"/>
      <c r="N731" s="170" t="n"/>
      <c r="O731" s="172" t="n"/>
      <c r="P731" s="172" t="n"/>
    </row>
    <row r="732">
      <c r="B732" s="170" t="n"/>
      <c r="C732" s="199" t="n"/>
      <c r="D732" s="312" t="n"/>
      <c r="E732" s="312" t="n"/>
      <c r="F732" s="312" t="n"/>
      <c r="G732" s="312" t="n"/>
      <c r="H732" s="312" t="n"/>
      <c r="I732" s="313" t="n"/>
      <c r="J732" s="199" t="n"/>
      <c r="K732" s="314" t="n"/>
      <c r="L732" s="170" t="n"/>
      <c r="M732" s="170" t="n"/>
      <c r="N732" s="170" t="n"/>
      <c r="O732" s="172" t="n"/>
      <c r="P732" s="172" t="n"/>
    </row>
    <row r="733">
      <c r="B733" s="170" t="n"/>
      <c r="C733" s="199" t="n"/>
      <c r="D733" s="312" t="n"/>
      <c r="E733" s="312" t="n"/>
      <c r="F733" s="312" t="n"/>
      <c r="G733" s="312" t="n"/>
      <c r="H733" s="312" t="n"/>
      <c r="I733" s="313" t="n"/>
      <c r="J733" s="199" t="n"/>
      <c r="K733" s="314" t="n"/>
      <c r="L733" s="170" t="n"/>
      <c r="M733" s="170" t="n"/>
      <c r="N733" s="170" t="n"/>
      <c r="O733" s="172" t="n"/>
      <c r="P733" s="172" t="n"/>
    </row>
    <row r="734">
      <c r="B734" s="170" t="n"/>
      <c r="C734" s="199" t="n"/>
      <c r="D734" s="312" t="n"/>
      <c r="E734" s="312" t="n"/>
      <c r="F734" s="312" t="n"/>
      <c r="G734" s="312" t="n"/>
      <c r="H734" s="312" t="n"/>
      <c r="I734" s="313" t="n"/>
      <c r="J734" s="199" t="n"/>
      <c r="K734" s="314" t="n"/>
      <c r="L734" s="170" t="n"/>
      <c r="M734" s="170" t="n"/>
      <c r="N734" s="170" t="n"/>
      <c r="O734" s="172" t="n"/>
      <c r="P734" s="172" t="n"/>
    </row>
    <row r="735">
      <c r="B735" s="170" t="n"/>
      <c r="C735" s="199" t="n"/>
      <c r="D735" s="312" t="n"/>
      <c r="E735" s="312" t="n"/>
      <c r="F735" s="312" t="n"/>
      <c r="G735" s="312" t="n"/>
      <c r="H735" s="312" t="n"/>
      <c r="I735" s="313" t="n"/>
      <c r="J735" s="199" t="n"/>
      <c r="K735" s="314" t="n"/>
      <c r="L735" s="170" t="n"/>
      <c r="M735" s="170" t="n"/>
      <c r="N735" s="170" t="n"/>
      <c r="O735" s="172" t="n"/>
      <c r="P735" s="172" t="n"/>
    </row>
    <row r="736">
      <c r="B736" s="170" t="n"/>
      <c r="C736" s="199" t="n"/>
      <c r="D736" s="312" t="n"/>
      <c r="E736" s="312" t="n"/>
      <c r="F736" s="312" t="n"/>
      <c r="G736" s="312" t="n"/>
      <c r="H736" s="312" t="n"/>
      <c r="I736" s="313" t="n"/>
      <c r="J736" s="199" t="n"/>
      <c r="K736" s="314" t="n"/>
      <c r="L736" s="170" t="n"/>
      <c r="M736" s="170" t="n"/>
      <c r="N736" s="170" t="n"/>
      <c r="O736" s="172" t="n"/>
      <c r="P736" s="172" t="n"/>
    </row>
    <row r="737">
      <c r="B737" s="170" t="n"/>
      <c r="C737" s="199" t="n"/>
      <c r="D737" s="312" t="n"/>
      <c r="E737" s="312" t="n"/>
      <c r="F737" s="312" t="n"/>
      <c r="G737" s="312" t="n"/>
      <c r="H737" s="312" t="n"/>
      <c r="I737" s="313" t="n"/>
      <c r="J737" s="199" t="n"/>
      <c r="K737" s="314" t="n"/>
      <c r="L737" s="170" t="n"/>
      <c r="M737" s="170" t="n"/>
      <c r="N737" s="170" t="n"/>
      <c r="O737" s="172" t="n"/>
      <c r="P737" s="172" t="n"/>
    </row>
    <row r="738">
      <c r="B738" s="170" t="n"/>
      <c r="C738" s="199" t="n"/>
      <c r="D738" s="312" t="n"/>
      <c r="E738" s="312" t="n"/>
      <c r="F738" s="312" t="n"/>
      <c r="G738" s="312" t="n"/>
      <c r="H738" s="312" t="n"/>
      <c r="I738" s="313" t="n"/>
      <c r="J738" s="199" t="n"/>
      <c r="K738" s="314" t="n"/>
      <c r="L738" s="170" t="n"/>
      <c r="M738" s="170" t="n"/>
      <c r="N738" s="170" t="n"/>
      <c r="O738" s="172" t="n"/>
      <c r="P738" s="172" t="n"/>
    </row>
    <row r="739">
      <c r="B739" s="170" t="n"/>
      <c r="C739" s="199" t="n"/>
      <c r="D739" s="312" t="n"/>
      <c r="E739" s="312" t="n"/>
      <c r="F739" s="312" t="n"/>
      <c r="G739" s="312" t="n"/>
      <c r="H739" s="312" t="n"/>
      <c r="I739" s="313" t="n"/>
      <c r="J739" s="199" t="n"/>
      <c r="K739" s="314" t="n"/>
      <c r="L739" s="170" t="n"/>
      <c r="M739" s="170" t="n"/>
      <c r="N739" s="170" t="n"/>
      <c r="O739" s="172" t="n"/>
      <c r="P739" s="172" t="n"/>
    </row>
    <row r="740">
      <c r="B740" s="170" t="n"/>
      <c r="C740" s="199" t="n"/>
      <c r="D740" s="312" t="n"/>
      <c r="E740" s="312" t="n"/>
      <c r="F740" s="312" t="n"/>
      <c r="G740" s="312" t="n"/>
      <c r="H740" s="312" t="n"/>
      <c r="I740" s="313" t="n"/>
      <c r="J740" s="199" t="n"/>
      <c r="K740" s="314" t="n"/>
      <c r="L740" s="170" t="n"/>
      <c r="M740" s="170" t="n"/>
      <c r="N740" s="170" t="n"/>
      <c r="O740" s="172" t="n"/>
      <c r="P740" s="172" t="n"/>
    </row>
    <row r="741">
      <c r="B741" s="170" t="n"/>
      <c r="C741" s="199" t="n"/>
      <c r="D741" s="312" t="n"/>
      <c r="E741" s="312" t="n"/>
      <c r="F741" s="312" t="n"/>
      <c r="G741" s="312" t="n"/>
      <c r="H741" s="312" t="n"/>
      <c r="I741" s="313" t="n"/>
      <c r="J741" s="199" t="n"/>
      <c r="K741" s="314" t="n"/>
      <c r="L741" s="170" t="n"/>
      <c r="M741" s="170" t="n"/>
      <c r="N741" s="170" t="n"/>
      <c r="O741" s="172" t="n"/>
      <c r="P741" s="172" t="n"/>
    </row>
    <row r="742">
      <c r="B742" s="170" t="n"/>
      <c r="C742" s="199" t="n"/>
      <c r="D742" s="312" t="n"/>
      <c r="E742" s="312" t="n"/>
      <c r="F742" s="312" t="n"/>
      <c r="G742" s="312" t="n"/>
      <c r="H742" s="312" t="n"/>
      <c r="I742" s="313" t="n"/>
      <c r="J742" s="199" t="n"/>
      <c r="K742" s="314" t="n"/>
      <c r="L742" s="170" t="n"/>
      <c r="M742" s="170" t="n"/>
      <c r="N742" s="170" t="n"/>
      <c r="O742" s="172" t="n"/>
      <c r="P742" s="172" t="n"/>
    </row>
    <row r="743">
      <c r="B743" s="170" t="n"/>
      <c r="C743" s="199" t="n"/>
      <c r="D743" s="312" t="n"/>
      <c r="E743" s="312" t="n"/>
      <c r="F743" s="312" t="n"/>
      <c r="G743" s="312" t="n"/>
      <c r="H743" s="312" t="n"/>
      <c r="I743" s="313" t="n"/>
      <c r="J743" s="199" t="n"/>
      <c r="K743" s="314" t="n"/>
      <c r="L743" s="170" t="n"/>
      <c r="M743" s="170" t="n"/>
      <c r="N743" s="170" t="n"/>
      <c r="O743" s="172" t="n"/>
      <c r="P743" s="172" t="n"/>
    </row>
    <row r="744">
      <c r="B744" s="170" t="n"/>
      <c r="C744" s="199" t="n"/>
      <c r="D744" s="312" t="n"/>
      <c r="E744" s="312" t="n"/>
      <c r="F744" s="312" t="n"/>
      <c r="G744" s="312" t="n"/>
      <c r="H744" s="312" t="n"/>
      <c r="I744" s="313" t="n"/>
      <c r="J744" s="199" t="n"/>
      <c r="K744" s="314" t="n"/>
      <c r="L744" s="170" t="n"/>
      <c r="M744" s="170" t="n"/>
      <c r="N744" s="170" t="n"/>
      <c r="O744" s="172" t="n"/>
      <c r="P744" s="172" t="n"/>
    </row>
    <row r="745">
      <c r="B745" s="170" t="n"/>
      <c r="C745" s="199" t="n"/>
      <c r="D745" s="312" t="n"/>
      <c r="E745" s="312" t="n"/>
      <c r="F745" s="312" t="n"/>
      <c r="G745" s="312" t="n"/>
      <c r="H745" s="312" t="n"/>
      <c r="I745" s="313" t="n"/>
      <c r="J745" s="199" t="n"/>
      <c r="K745" s="314" t="n"/>
      <c r="L745" s="170" t="n"/>
      <c r="M745" s="170" t="n"/>
      <c r="N745" s="170" t="n"/>
      <c r="O745" s="172" t="n"/>
      <c r="P745" s="172" t="n"/>
    </row>
    <row r="746">
      <c r="B746" s="170" t="n"/>
      <c r="C746" s="199" t="n"/>
      <c r="D746" s="312" t="n"/>
      <c r="E746" s="312" t="n"/>
      <c r="F746" s="312" t="n"/>
      <c r="G746" s="312" t="n"/>
      <c r="H746" s="312" t="n"/>
      <c r="I746" s="313" t="n"/>
      <c r="J746" s="199" t="n"/>
      <c r="K746" s="314" t="n"/>
      <c r="L746" s="170" t="n"/>
      <c r="M746" s="170" t="n"/>
      <c r="N746" s="170" t="n"/>
      <c r="O746" s="172" t="n"/>
      <c r="P746" s="172" t="n"/>
    </row>
    <row r="747">
      <c r="B747" s="170" t="n"/>
      <c r="C747" s="199" t="n"/>
      <c r="D747" s="312" t="n"/>
      <c r="E747" s="312" t="n"/>
      <c r="F747" s="312" t="n"/>
      <c r="G747" s="312" t="n"/>
      <c r="H747" s="312" t="n"/>
      <c r="I747" s="313" t="n"/>
      <c r="J747" s="199" t="n"/>
      <c r="K747" s="314" t="n"/>
      <c r="L747" s="170" t="n"/>
      <c r="M747" s="170" t="n"/>
      <c r="N747" s="170" t="n"/>
      <c r="O747" s="172" t="n"/>
      <c r="P747" s="172" t="n"/>
    </row>
    <row r="748">
      <c r="B748" s="170" t="n"/>
      <c r="C748" s="199" t="n"/>
      <c r="D748" s="312" t="n"/>
      <c r="E748" s="312" t="n"/>
      <c r="F748" s="312" t="n"/>
      <c r="G748" s="312" t="n"/>
      <c r="H748" s="312" t="n"/>
      <c r="I748" s="313" t="n"/>
      <c r="J748" s="199" t="n"/>
      <c r="K748" s="314" t="n"/>
      <c r="L748" s="170" t="n"/>
      <c r="M748" s="170" t="n"/>
      <c r="N748" s="170" t="n"/>
      <c r="O748" s="172" t="n"/>
      <c r="P748" s="172" t="n"/>
    </row>
    <row r="749">
      <c r="B749" s="170" t="n"/>
      <c r="C749" s="199" t="n"/>
      <c r="D749" s="312" t="n"/>
      <c r="E749" s="312" t="n"/>
      <c r="F749" s="312" t="n"/>
      <c r="G749" s="312" t="n"/>
      <c r="H749" s="312" t="n"/>
      <c r="I749" s="313" t="n"/>
      <c r="J749" s="199" t="n"/>
      <c r="K749" s="314" t="n"/>
      <c r="L749" s="170" t="n"/>
      <c r="M749" s="170" t="n"/>
      <c r="N749" s="170" t="n"/>
      <c r="O749" s="172" t="n"/>
      <c r="P749" s="172" t="n"/>
    </row>
    <row r="750">
      <c r="B750" s="170" t="n"/>
      <c r="C750" s="199" t="n"/>
      <c r="D750" s="312" t="n"/>
      <c r="E750" s="312" t="n"/>
      <c r="F750" s="312" t="n"/>
      <c r="G750" s="312" t="n"/>
      <c r="H750" s="312" t="n"/>
      <c r="I750" s="313" t="n"/>
      <c r="J750" s="199" t="n"/>
      <c r="K750" s="314" t="n"/>
      <c r="L750" s="170" t="n"/>
      <c r="M750" s="170" t="n"/>
      <c r="N750" s="170" t="n"/>
      <c r="O750" s="172" t="n"/>
      <c r="P750" s="172" t="n"/>
    </row>
    <row r="751">
      <c r="B751" s="170" t="n"/>
      <c r="C751" s="199" t="n"/>
      <c r="D751" s="312" t="n"/>
      <c r="E751" s="312" t="n"/>
      <c r="F751" s="312" t="n"/>
      <c r="G751" s="312" t="n"/>
      <c r="H751" s="312" t="n"/>
      <c r="I751" s="313" t="n"/>
      <c r="J751" s="199" t="n"/>
      <c r="K751" s="314" t="n"/>
      <c r="L751" s="170" t="n"/>
      <c r="M751" s="170" t="n"/>
      <c r="N751" s="170" t="n"/>
      <c r="O751" s="172" t="n"/>
      <c r="P751" s="172" t="n"/>
    </row>
    <row r="752">
      <c r="B752" s="170" t="n"/>
      <c r="C752" s="199" t="n"/>
      <c r="D752" s="312" t="n"/>
      <c r="E752" s="312" t="n"/>
      <c r="F752" s="312" t="n"/>
      <c r="G752" s="312" t="n"/>
      <c r="H752" s="312" t="n"/>
      <c r="I752" s="313" t="n"/>
      <c r="J752" s="199" t="n"/>
      <c r="K752" s="314" t="n"/>
      <c r="L752" s="170" t="n"/>
      <c r="M752" s="170" t="n"/>
      <c r="N752" s="170" t="n"/>
      <c r="O752" s="172" t="n"/>
      <c r="P752" s="172" t="n"/>
    </row>
    <row r="753">
      <c r="B753" s="170" t="n"/>
      <c r="C753" s="199" t="n"/>
      <c r="D753" s="312" t="n"/>
      <c r="E753" s="312" t="n"/>
      <c r="F753" s="312" t="n"/>
      <c r="G753" s="312" t="n"/>
      <c r="H753" s="312" t="n"/>
      <c r="I753" s="313" t="n"/>
      <c r="J753" s="199" t="n"/>
      <c r="K753" s="314" t="n"/>
      <c r="L753" s="170" t="n"/>
      <c r="M753" s="170" t="n"/>
      <c r="N753" s="170" t="n"/>
      <c r="O753" s="172" t="n"/>
      <c r="P753" s="172" t="n"/>
    </row>
    <row r="754">
      <c r="B754" s="170" t="n"/>
      <c r="C754" s="199" t="n"/>
      <c r="D754" s="312" t="n"/>
      <c r="E754" s="312" t="n"/>
      <c r="F754" s="312" t="n"/>
      <c r="G754" s="312" t="n"/>
      <c r="H754" s="312" t="n"/>
      <c r="I754" s="313" t="n"/>
      <c r="J754" s="199" t="n"/>
      <c r="K754" s="314" t="n"/>
      <c r="L754" s="170" t="n"/>
      <c r="M754" s="170" t="n"/>
      <c r="N754" s="170" t="n"/>
      <c r="O754" s="172" t="n"/>
      <c r="P754" s="172" t="n"/>
    </row>
    <row r="755">
      <c r="B755" s="170" t="n"/>
      <c r="C755" s="199" t="n"/>
      <c r="D755" s="312" t="n"/>
      <c r="E755" s="312" t="n"/>
      <c r="F755" s="312" t="n"/>
      <c r="G755" s="312" t="n"/>
      <c r="H755" s="312" t="n"/>
      <c r="I755" s="313" t="n"/>
      <c r="J755" s="199" t="n"/>
      <c r="K755" s="314" t="n"/>
      <c r="L755" s="170" t="n"/>
      <c r="M755" s="170" t="n"/>
      <c r="N755" s="170" t="n"/>
      <c r="O755" s="172" t="n"/>
      <c r="P755" s="172" t="n"/>
    </row>
    <row r="756">
      <c r="B756" s="170" t="n"/>
      <c r="C756" s="199" t="n"/>
      <c r="D756" s="312" t="n"/>
      <c r="E756" s="312" t="n"/>
      <c r="F756" s="312" t="n"/>
      <c r="G756" s="312" t="n"/>
      <c r="H756" s="312" t="n"/>
      <c r="I756" s="313" t="n"/>
      <c r="J756" s="199" t="n"/>
      <c r="K756" s="314" t="n"/>
      <c r="L756" s="170" t="n"/>
      <c r="M756" s="170" t="n"/>
      <c r="N756" s="170" t="n"/>
      <c r="O756" s="172" t="n"/>
      <c r="P756" s="172" t="n"/>
    </row>
    <row r="757">
      <c r="B757" s="170" t="n"/>
      <c r="C757" s="199" t="n"/>
      <c r="D757" s="312" t="n"/>
      <c r="E757" s="312" t="n"/>
      <c r="F757" s="312" t="n"/>
      <c r="G757" s="312" t="n"/>
      <c r="H757" s="312" t="n"/>
      <c r="I757" s="313" t="n"/>
      <c r="J757" s="199" t="n"/>
      <c r="K757" s="314" t="n"/>
      <c r="L757" s="170" t="n"/>
      <c r="M757" s="170" t="n"/>
      <c r="N757" s="170" t="n"/>
      <c r="O757" s="172" t="n"/>
      <c r="P757" s="172" t="n"/>
    </row>
    <row r="758">
      <c r="B758" s="170" t="n"/>
      <c r="C758" s="199" t="n"/>
      <c r="D758" s="312" t="n"/>
      <c r="E758" s="312" t="n"/>
      <c r="F758" s="312" t="n"/>
      <c r="G758" s="312" t="n"/>
      <c r="H758" s="312" t="n"/>
      <c r="I758" s="313" t="n"/>
      <c r="J758" s="199" t="n"/>
      <c r="K758" s="314" t="n"/>
      <c r="L758" s="170" t="n"/>
      <c r="M758" s="170" t="n"/>
      <c r="N758" s="170" t="n"/>
      <c r="O758" s="172" t="n"/>
      <c r="P758" s="172" t="n"/>
    </row>
    <row r="759">
      <c r="B759" s="170" t="n"/>
      <c r="C759" s="199" t="n"/>
      <c r="D759" s="312" t="n"/>
      <c r="E759" s="312" t="n"/>
      <c r="F759" s="312" t="n"/>
      <c r="G759" s="312" t="n"/>
      <c r="H759" s="312" t="n"/>
      <c r="I759" s="313" t="n"/>
      <c r="J759" s="199" t="n"/>
      <c r="K759" s="314" t="n"/>
      <c r="L759" s="170" t="n"/>
      <c r="M759" s="170" t="n"/>
      <c r="N759" s="170" t="n"/>
      <c r="O759" s="172" t="n"/>
      <c r="P759" s="172" t="n"/>
    </row>
    <row r="760">
      <c r="B760" s="170" t="n"/>
      <c r="C760" s="199" t="n"/>
      <c r="D760" s="312" t="n"/>
      <c r="E760" s="312" t="n"/>
      <c r="F760" s="312" t="n"/>
      <c r="G760" s="312" t="n"/>
      <c r="H760" s="312" t="n"/>
      <c r="I760" s="313" t="n"/>
      <c r="J760" s="199" t="n"/>
      <c r="K760" s="314" t="n"/>
      <c r="L760" s="170" t="n"/>
      <c r="M760" s="170" t="n"/>
      <c r="N760" s="170" t="n"/>
      <c r="O760" s="172" t="n"/>
      <c r="P760" s="172" t="n"/>
    </row>
    <row r="761">
      <c r="B761" s="170" t="n"/>
      <c r="C761" s="199" t="n"/>
      <c r="D761" s="312" t="n"/>
      <c r="E761" s="312" t="n"/>
      <c r="F761" s="312" t="n"/>
      <c r="G761" s="312" t="n"/>
      <c r="H761" s="312" t="n"/>
      <c r="I761" s="313" t="n"/>
      <c r="J761" s="199" t="n"/>
      <c r="K761" s="314" t="n"/>
      <c r="L761" s="170" t="n"/>
      <c r="M761" s="170" t="n"/>
      <c r="N761" s="170" t="n"/>
      <c r="O761" s="172" t="n"/>
      <c r="P761" s="172" t="n"/>
    </row>
    <row r="762">
      <c r="B762" s="170" t="n"/>
      <c r="C762" s="199" t="n"/>
      <c r="D762" s="312" t="n"/>
      <c r="E762" s="312" t="n"/>
      <c r="F762" s="312" t="n"/>
      <c r="G762" s="312" t="n"/>
      <c r="H762" s="312" t="n"/>
      <c r="I762" s="313" t="n"/>
      <c r="J762" s="199" t="n"/>
      <c r="K762" s="314" t="n"/>
      <c r="L762" s="170" t="n"/>
      <c r="M762" s="170" t="n"/>
      <c r="N762" s="170" t="n"/>
      <c r="O762" s="172" t="n"/>
      <c r="P762" s="172" t="n"/>
    </row>
    <row r="763">
      <c r="B763" s="170" t="n"/>
      <c r="C763" s="199" t="n"/>
      <c r="D763" s="312" t="n"/>
      <c r="E763" s="312" t="n"/>
      <c r="F763" s="312" t="n"/>
      <c r="G763" s="312" t="n"/>
      <c r="H763" s="312" t="n"/>
      <c r="I763" s="313" t="n"/>
      <c r="J763" s="199" t="n"/>
      <c r="K763" s="314" t="n"/>
      <c r="L763" s="170" t="n"/>
      <c r="M763" s="170" t="n"/>
      <c r="N763" s="170" t="n"/>
      <c r="O763" s="172" t="n"/>
      <c r="P763" s="172" t="n"/>
    </row>
    <row r="764">
      <c r="B764" s="170" t="n"/>
      <c r="C764" s="199" t="n"/>
      <c r="D764" s="312" t="n"/>
      <c r="E764" s="312" t="n"/>
      <c r="F764" s="312" t="n"/>
      <c r="G764" s="312" t="n"/>
      <c r="H764" s="312" t="n"/>
      <c r="I764" s="313" t="n"/>
      <c r="J764" s="199" t="n"/>
      <c r="K764" s="314" t="n"/>
      <c r="L764" s="170" t="n"/>
      <c r="M764" s="170" t="n"/>
      <c r="N764" s="170" t="n"/>
      <c r="O764" s="172" t="n"/>
      <c r="P764" s="172" t="n"/>
    </row>
    <row r="765">
      <c r="B765" s="170" t="n"/>
      <c r="C765" s="199" t="n"/>
      <c r="D765" s="312" t="n"/>
      <c r="E765" s="312" t="n"/>
      <c r="F765" s="312" t="n"/>
      <c r="G765" s="312" t="n"/>
      <c r="H765" s="312" t="n"/>
      <c r="I765" s="313" t="n"/>
      <c r="J765" s="199" t="n"/>
      <c r="K765" s="314" t="n"/>
      <c r="L765" s="170" t="n"/>
      <c r="M765" s="170" t="n"/>
      <c r="N765" s="170" t="n"/>
      <c r="O765" s="172" t="n"/>
      <c r="P765" s="172" t="n"/>
    </row>
    <row r="766">
      <c r="B766" s="170" t="n"/>
      <c r="C766" s="199" t="n"/>
      <c r="D766" s="312" t="n"/>
      <c r="E766" s="312" t="n"/>
      <c r="F766" s="312" t="n"/>
      <c r="G766" s="312" t="n"/>
      <c r="H766" s="312" t="n"/>
      <c r="I766" s="313" t="n"/>
      <c r="J766" s="199" t="n"/>
      <c r="K766" s="314" t="n"/>
      <c r="L766" s="170" t="n"/>
      <c r="M766" s="170" t="n"/>
      <c r="N766" s="170" t="n"/>
      <c r="O766" s="172" t="n"/>
      <c r="P766" s="172" t="n"/>
    </row>
    <row r="767">
      <c r="B767" s="170" t="n"/>
      <c r="C767" s="199" t="n"/>
      <c r="D767" s="312" t="n"/>
      <c r="E767" s="312" t="n"/>
      <c r="F767" s="312" t="n"/>
      <c r="G767" s="312" t="n"/>
      <c r="H767" s="312" t="n"/>
      <c r="I767" s="313" t="n"/>
      <c r="J767" s="199" t="n"/>
      <c r="K767" s="314" t="n"/>
      <c r="L767" s="170" t="n"/>
      <c r="M767" s="170" t="n"/>
      <c r="N767" s="170" t="n"/>
      <c r="O767" s="172" t="n"/>
      <c r="P767" s="172" t="n"/>
    </row>
    <row r="768">
      <c r="B768" s="170" t="n"/>
      <c r="C768" s="199" t="n"/>
      <c r="D768" s="312" t="n"/>
      <c r="E768" s="312" t="n"/>
      <c r="F768" s="312" t="n"/>
      <c r="G768" s="312" t="n"/>
      <c r="H768" s="312" t="n"/>
      <c r="I768" s="313" t="n"/>
      <c r="J768" s="199" t="n"/>
      <c r="K768" s="314" t="n"/>
      <c r="L768" s="170" t="n"/>
      <c r="M768" s="170" t="n"/>
      <c r="N768" s="170" t="n"/>
      <c r="O768" s="172" t="n"/>
      <c r="P768" s="172" t="n"/>
    </row>
    <row r="769">
      <c r="B769" s="170" t="n"/>
      <c r="C769" s="199" t="n"/>
      <c r="D769" s="312" t="n"/>
      <c r="E769" s="312" t="n"/>
      <c r="F769" s="312" t="n"/>
      <c r="G769" s="312" t="n"/>
      <c r="H769" s="312" t="n"/>
      <c r="I769" s="313" t="n"/>
      <c r="J769" s="199" t="n"/>
      <c r="K769" s="314" t="n"/>
      <c r="L769" s="170" t="n"/>
      <c r="M769" s="170" t="n"/>
      <c r="N769" s="170" t="n"/>
      <c r="O769" s="172" t="n"/>
      <c r="P769" s="172" t="n"/>
    </row>
    <row r="770">
      <c r="B770" s="170" t="n"/>
      <c r="C770" s="199" t="n"/>
      <c r="D770" s="312" t="n"/>
      <c r="E770" s="312" t="n"/>
      <c r="F770" s="312" t="n"/>
      <c r="G770" s="312" t="n"/>
      <c r="H770" s="312" t="n"/>
      <c r="I770" s="313" t="n"/>
      <c r="J770" s="199" t="n"/>
      <c r="K770" s="314" t="n"/>
      <c r="L770" s="170" t="n"/>
      <c r="M770" s="170" t="n"/>
      <c r="N770" s="170" t="n"/>
      <c r="O770" s="172" t="n"/>
      <c r="P770" s="172" t="n"/>
    </row>
    <row r="771">
      <c r="B771" s="170" t="n"/>
      <c r="C771" s="199" t="n"/>
      <c r="D771" s="312" t="n"/>
      <c r="E771" s="312" t="n"/>
      <c r="F771" s="312" t="n"/>
      <c r="G771" s="312" t="n"/>
      <c r="H771" s="312" t="n"/>
      <c r="I771" s="313" t="n"/>
      <c r="J771" s="199" t="n"/>
      <c r="K771" s="314" t="n"/>
      <c r="L771" s="170" t="n"/>
      <c r="M771" s="170" t="n"/>
      <c r="N771" s="170" t="n"/>
      <c r="O771" s="172" t="n"/>
      <c r="P771" s="172" t="n"/>
    </row>
    <row r="772">
      <c r="B772" s="170" t="n"/>
      <c r="C772" s="199" t="n"/>
      <c r="D772" s="312" t="n"/>
      <c r="E772" s="312" t="n"/>
      <c r="F772" s="312" t="n"/>
      <c r="G772" s="312" t="n"/>
      <c r="H772" s="312" t="n"/>
      <c r="I772" s="313" t="n"/>
      <c r="J772" s="199" t="n"/>
      <c r="K772" s="314" t="n"/>
      <c r="L772" s="170" t="n"/>
      <c r="M772" s="170" t="n"/>
      <c r="N772" s="170" t="n"/>
      <c r="O772" s="172" t="n"/>
      <c r="P772" s="172" t="n"/>
    </row>
    <row r="773">
      <c r="B773" s="170" t="n"/>
      <c r="C773" s="199" t="n"/>
      <c r="D773" s="312" t="n"/>
      <c r="E773" s="312" t="n"/>
      <c r="F773" s="312" t="n"/>
      <c r="G773" s="312" t="n"/>
      <c r="H773" s="312" t="n"/>
      <c r="I773" s="313" t="n"/>
      <c r="J773" s="199" t="n"/>
      <c r="K773" s="314" t="n"/>
      <c r="L773" s="170" t="n"/>
      <c r="M773" s="170" t="n"/>
      <c r="N773" s="170" t="n"/>
      <c r="O773" s="172" t="n"/>
      <c r="P773" s="172" t="n"/>
    </row>
    <row r="774">
      <c r="B774" s="170" t="n"/>
      <c r="C774" s="199" t="n"/>
      <c r="D774" s="312" t="n"/>
      <c r="E774" s="312" t="n"/>
      <c r="F774" s="312" t="n"/>
      <c r="G774" s="312" t="n"/>
      <c r="H774" s="312" t="n"/>
      <c r="I774" s="313" t="n"/>
      <c r="J774" s="199" t="n"/>
      <c r="K774" s="314" t="n"/>
      <c r="L774" s="170" t="n"/>
      <c r="M774" s="170" t="n"/>
      <c r="N774" s="170" t="n"/>
      <c r="O774" s="172" t="n"/>
      <c r="P774" s="172" t="n"/>
    </row>
    <row r="775">
      <c r="B775" s="170" t="n"/>
      <c r="C775" s="199" t="n"/>
      <c r="D775" s="312" t="n"/>
      <c r="E775" s="312" t="n"/>
      <c r="F775" s="312" t="n"/>
      <c r="G775" s="312" t="n"/>
      <c r="H775" s="312" t="n"/>
      <c r="I775" s="313" t="n"/>
      <c r="J775" s="199" t="n"/>
      <c r="K775" s="314" t="n"/>
      <c r="L775" s="170" t="n"/>
      <c r="M775" s="170" t="n"/>
      <c r="N775" s="170" t="n"/>
      <c r="O775" s="172" t="n"/>
      <c r="P775" s="172" t="n"/>
    </row>
    <row r="776">
      <c r="B776" s="170" t="n"/>
      <c r="C776" s="199" t="n"/>
      <c r="D776" s="312" t="n"/>
      <c r="E776" s="312" t="n"/>
      <c r="F776" s="312" t="n"/>
      <c r="G776" s="312" t="n"/>
      <c r="H776" s="312" t="n"/>
      <c r="I776" s="313" t="n"/>
      <c r="J776" s="199" t="n"/>
      <c r="K776" s="314" t="n"/>
      <c r="L776" s="170" t="n"/>
      <c r="M776" s="170" t="n"/>
      <c r="N776" s="170" t="n"/>
      <c r="O776" s="172" t="n"/>
      <c r="P776" s="172" t="n"/>
    </row>
    <row r="777">
      <c r="B777" s="170" t="n"/>
      <c r="C777" s="199" t="n"/>
      <c r="D777" s="312" t="n"/>
      <c r="E777" s="312" t="n"/>
      <c r="F777" s="312" t="n"/>
      <c r="G777" s="312" t="n"/>
      <c r="H777" s="312" t="n"/>
      <c r="I777" s="313" t="n"/>
      <c r="J777" s="199" t="n"/>
      <c r="K777" s="314" t="n"/>
      <c r="L777" s="170" t="n"/>
      <c r="M777" s="170" t="n"/>
      <c r="N777" s="170" t="n"/>
      <c r="O777" s="172" t="n"/>
      <c r="P777" s="172" t="n"/>
    </row>
    <row r="778">
      <c r="B778" s="170" t="n"/>
      <c r="C778" s="199" t="n"/>
      <c r="D778" s="312" t="n"/>
      <c r="E778" s="312" t="n"/>
      <c r="F778" s="312" t="n"/>
      <c r="G778" s="312" t="n"/>
      <c r="H778" s="312" t="n"/>
      <c r="I778" s="313" t="n"/>
      <c r="J778" s="199" t="n"/>
      <c r="K778" s="314" t="n"/>
      <c r="L778" s="170" t="n"/>
      <c r="M778" s="170" t="n"/>
      <c r="N778" s="170" t="n"/>
      <c r="O778" s="172" t="n"/>
      <c r="P778" s="172" t="n"/>
    </row>
    <row r="779">
      <c r="B779" s="170" t="n"/>
      <c r="C779" s="199" t="n"/>
      <c r="D779" s="312" t="n"/>
      <c r="E779" s="312" t="n"/>
      <c r="F779" s="312" t="n"/>
      <c r="G779" s="312" t="n"/>
      <c r="H779" s="312" t="n"/>
      <c r="I779" s="313" t="n"/>
      <c r="J779" s="199" t="n"/>
      <c r="K779" s="314" t="n"/>
      <c r="L779" s="170" t="n"/>
      <c r="M779" s="170" t="n"/>
      <c r="N779" s="170" t="n"/>
      <c r="O779" s="172" t="n"/>
      <c r="P779" s="172" t="n"/>
    </row>
    <row r="780">
      <c r="B780" s="170" t="n"/>
      <c r="C780" s="199" t="n"/>
      <c r="D780" s="312" t="n"/>
      <c r="E780" s="312" t="n"/>
      <c r="F780" s="312" t="n"/>
      <c r="G780" s="312" t="n"/>
      <c r="H780" s="312" t="n"/>
      <c r="I780" s="313" t="n"/>
      <c r="J780" s="199" t="n"/>
      <c r="K780" s="314" t="n"/>
      <c r="L780" s="170" t="n"/>
      <c r="M780" s="170" t="n"/>
      <c r="N780" s="170" t="n"/>
      <c r="O780" s="172" t="n"/>
      <c r="P780" s="172" t="n"/>
    </row>
    <row r="781">
      <c r="B781" s="170" t="n"/>
      <c r="C781" s="199" t="n"/>
      <c r="D781" s="312" t="n"/>
      <c r="E781" s="312" t="n"/>
      <c r="F781" s="312" t="n"/>
      <c r="G781" s="312" t="n"/>
      <c r="H781" s="312" t="n"/>
      <c r="I781" s="313" t="n"/>
      <c r="J781" s="199" t="n"/>
      <c r="K781" s="314" t="n"/>
      <c r="L781" s="170" t="n"/>
      <c r="M781" s="170" t="n"/>
      <c r="N781" s="170" t="n"/>
      <c r="O781" s="172" t="n"/>
      <c r="P781" s="172" t="n"/>
    </row>
    <row r="782">
      <c r="B782" s="170" t="n"/>
      <c r="C782" s="199" t="n"/>
      <c r="D782" s="312" t="n"/>
      <c r="E782" s="312" t="n"/>
      <c r="F782" s="312" t="n"/>
      <c r="G782" s="312" t="n"/>
      <c r="H782" s="312" t="n"/>
      <c r="I782" s="313" t="n"/>
      <c r="J782" s="199" t="n"/>
      <c r="K782" s="314" t="n"/>
      <c r="L782" s="170" t="n"/>
      <c r="M782" s="170" t="n"/>
      <c r="N782" s="170" t="n"/>
      <c r="O782" s="172" t="n"/>
      <c r="P782" s="172" t="n"/>
    </row>
    <row r="783">
      <c r="B783" s="170" t="n"/>
      <c r="C783" s="199" t="n"/>
      <c r="D783" s="312" t="n"/>
      <c r="E783" s="312" t="n"/>
      <c r="F783" s="312" t="n"/>
      <c r="G783" s="312" t="n"/>
      <c r="H783" s="312" t="n"/>
      <c r="I783" s="313" t="n"/>
      <c r="J783" s="199" t="n"/>
      <c r="K783" s="314" t="n"/>
      <c r="L783" s="170" t="n"/>
      <c r="M783" s="170" t="n"/>
      <c r="N783" s="170" t="n"/>
      <c r="O783" s="172" t="n"/>
      <c r="P783" s="172" t="n"/>
    </row>
    <row r="784">
      <c r="B784" s="170" t="n"/>
      <c r="C784" s="199" t="n"/>
      <c r="D784" s="312" t="n"/>
      <c r="E784" s="312" t="n"/>
      <c r="F784" s="312" t="n"/>
      <c r="G784" s="312" t="n"/>
      <c r="H784" s="312" t="n"/>
      <c r="I784" s="313" t="n"/>
      <c r="J784" s="199" t="n"/>
      <c r="K784" s="314" t="n"/>
      <c r="L784" s="170" t="n"/>
      <c r="M784" s="170" t="n"/>
      <c r="N784" s="170" t="n"/>
      <c r="O784" s="172" t="n"/>
      <c r="P784" s="172" t="n"/>
    </row>
    <row r="785">
      <c r="B785" s="170" t="n"/>
      <c r="C785" s="199" t="n"/>
      <c r="D785" s="312" t="n"/>
      <c r="E785" s="312" t="n"/>
      <c r="F785" s="312" t="n"/>
      <c r="G785" s="312" t="n"/>
      <c r="H785" s="312" t="n"/>
      <c r="I785" s="313" t="n"/>
      <c r="J785" s="199" t="n"/>
      <c r="K785" s="314" t="n"/>
      <c r="L785" s="170" t="n"/>
      <c r="M785" s="170" t="n"/>
      <c r="N785" s="170" t="n"/>
      <c r="O785" s="172" t="n"/>
      <c r="P785" s="172" t="n"/>
    </row>
    <row r="786">
      <c r="B786" s="170" t="n"/>
      <c r="C786" s="199" t="n"/>
      <c r="D786" s="312" t="n"/>
      <c r="E786" s="312" t="n"/>
      <c r="F786" s="312" t="n"/>
      <c r="G786" s="312" t="n"/>
      <c r="H786" s="312" t="n"/>
      <c r="I786" s="313" t="n"/>
      <c r="J786" s="199" t="n"/>
      <c r="K786" s="314" t="n"/>
      <c r="L786" s="170" t="n"/>
      <c r="M786" s="170" t="n"/>
      <c r="N786" s="170" t="n"/>
      <c r="O786" s="172" t="n"/>
      <c r="P786" s="172" t="n"/>
    </row>
    <row r="787">
      <c r="B787" s="170" t="n"/>
      <c r="C787" s="199" t="n"/>
      <c r="D787" s="312" t="n"/>
      <c r="E787" s="312" t="n"/>
      <c r="F787" s="312" t="n"/>
      <c r="G787" s="312" t="n"/>
      <c r="H787" s="312" t="n"/>
      <c r="I787" s="313" t="n"/>
      <c r="J787" s="199" t="n"/>
      <c r="K787" s="314" t="n"/>
      <c r="L787" s="170" t="n"/>
      <c r="M787" s="170" t="n"/>
      <c r="N787" s="170" t="n"/>
      <c r="O787" s="172" t="n"/>
      <c r="P787" s="172" t="n"/>
    </row>
    <row r="788">
      <c r="B788" s="170" t="n"/>
      <c r="C788" s="199" t="n"/>
      <c r="D788" s="312" t="n"/>
      <c r="E788" s="312" t="n"/>
      <c r="F788" s="312" t="n"/>
      <c r="G788" s="312" t="n"/>
      <c r="H788" s="312" t="n"/>
      <c r="I788" s="313" t="n"/>
      <c r="J788" s="199" t="n"/>
      <c r="K788" s="314" t="n"/>
      <c r="L788" s="170" t="n"/>
      <c r="M788" s="170" t="n"/>
      <c r="N788" s="170" t="n"/>
      <c r="O788" s="172" t="n"/>
      <c r="P788" s="172" t="n"/>
    </row>
    <row r="789">
      <c r="B789" s="170" t="n"/>
      <c r="C789" s="199" t="n"/>
      <c r="D789" s="312" t="n"/>
      <c r="E789" s="312" t="n"/>
      <c r="F789" s="312" t="n"/>
      <c r="G789" s="312" t="n"/>
      <c r="H789" s="312" t="n"/>
      <c r="I789" s="313" t="n"/>
      <c r="J789" s="199" t="n"/>
      <c r="K789" s="314" t="n"/>
      <c r="L789" s="170" t="n"/>
      <c r="M789" s="170" t="n"/>
      <c r="N789" s="170" t="n"/>
      <c r="O789" s="172" t="n"/>
      <c r="P789" s="172" t="n"/>
    </row>
    <row r="790">
      <c r="B790" s="170" t="n"/>
      <c r="C790" s="199" t="n"/>
      <c r="D790" s="312" t="n"/>
      <c r="E790" s="312" t="n"/>
      <c r="F790" s="312" t="n"/>
      <c r="G790" s="312" t="n"/>
      <c r="H790" s="312" t="n"/>
      <c r="I790" s="313" t="n"/>
      <c r="J790" s="199" t="n"/>
      <c r="K790" s="314" t="n"/>
      <c r="L790" s="170" t="n"/>
      <c r="M790" s="170" t="n"/>
      <c r="N790" s="170" t="n"/>
      <c r="O790" s="172" t="n"/>
      <c r="P790" s="172" t="n"/>
    </row>
    <row r="791">
      <c r="B791" s="170" t="n"/>
      <c r="C791" s="199" t="n"/>
      <c r="D791" s="312" t="n"/>
      <c r="E791" s="312" t="n"/>
      <c r="F791" s="312" t="n"/>
      <c r="G791" s="312" t="n"/>
      <c r="H791" s="312" t="n"/>
      <c r="I791" s="313" t="n"/>
      <c r="J791" s="199" t="n"/>
      <c r="K791" s="314" t="n"/>
      <c r="L791" s="170" t="n"/>
      <c r="M791" s="170" t="n"/>
      <c r="N791" s="170" t="n"/>
      <c r="O791" s="172" t="n"/>
      <c r="P791" s="172" t="n"/>
    </row>
    <row r="792">
      <c r="B792" s="170" t="n"/>
      <c r="C792" s="199" t="n"/>
      <c r="D792" s="312" t="n"/>
      <c r="E792" s="312" t="n"/>
      <c r="F792" s="312" t="n"/>
      <c r="G792" s="312" t="n"/>
      <c r="H792" s="312" t="n"/>
      <c r="I792" s="313" t="n"/>
      <c r="J792" s="199" t="n"/>
      <c r="K792" s="314" t="n"/>
      <c r="L792" s="170" t="n"/>
      <c r="M792" s="170" t="n"/>
      <c r="N792" s="170" t="n"/>
      <c r="O792" s="172" t="n"/>
      <c r="P792" s="172" t="n"/>
    </row>
    <row r="793">
      <c r="B793" s="170" t="n"/>
      <c r="C793" s="199" t="n"/>
      <c r="D793" s="312" t="n"/>
      <c r="E793" s="312" t="n"/>
      <c r="F793" s="312" t="n"/>
      <c r="G793" s="312" t="n"/>
      <c r="H793" s="312" t="n"/>
      <c r="I793" s="313" t="n"/>
      <c r="J793" s="199" t="n"/>
      <c r="K793" s="314" t="n"/>
      <c r="L793" s="170" t="n"/>
      <c r="M793" s="170" t="n"/>
      <c r="N793" s="170" t="n"/>
      <c r="O793" s="172" t="n"/>
      <c r="P793" s="172" t="n"/>
    </row>
    <row r="794">
      <c r="B794" s="170" t="n"/>
      <c r="C794" s="199" t="n"/>
      <c r="D794" s="312" t="n"/>
      <c r="E794" s="312" t="n"/>
      <c r="F794" s="312" t="n"/>
      <c r="G794" s="312" t="n"/>
      <c r="H794" s="312" t="n"/>
      <c r="I794" s="313" t="n"/>
      <c r="J794" s="199" t="n"/>
      <c r="K794" s="314" t="n"/>
      <c r="L794" s="170" t="n"/>
      <c r="M794" s="170" t="n"/>
      <c r="N794" s="170" t="n"/>
      <c r="O794" s="172" t="n"/>
      <c r="P794" s="172" t="n"/>
    </row>
    <row r="795">
      <c r="B795" s="170" t="n"/>
      <c r="C795" s="199" t="n"/>
      <c r="D795" s="312" t="n"/>
      <c r="E795" s="312" t="n"/>
      <c r="F795" s="312" t="n"/>
      <c r="G795" s="312" t="n"/>
      <c r="H795" s="312" t="n"/>
      <c r="I795" s="313" t="n"/>
      <c r="J795" s="199" t="n"/>
      <c r="K795" s="314" t="n"/>
      <c r="L795" s="170" t="n"/>
      <c r="M795" s="170" t="n"/>
      <c r="N795" s="170" t="n"/>
      <c r="O795" s="172" t="n"/>
      <c r="P795" s="172" t="n"/>
    </row>
    <row r="796">
      <c r="B796" s="170" t="n"/>
      <c r="C796" s="199" t="n"/>
      <c r="D796" s="312" t="n"/>
      <c r="E796" s="312" t="n"/>
      <c r="F796" s="312" t="n"/>
      <c r="G796" s="312" t="n"/>
      <c r="H796" s="312" t="n"/>
      <c r="I796" s="313" t="n"/>
      <c r="J796" s="199" t="n"/>
      <c r="K796" s="314" t="n"/>
      <c r="L796" s="170" t="n"/>
      <c r="M796" s="170" t="n"/>
      <c r="N796" s="170" t="n"/>
      <c r="O796" s="172" t="n"/>
      <c r="P796" s="172" t="n"/>
    </row>
    <row r="797">
      <c r="B797" s="170" t="n"/>
      <c r="C797" s="199" t="n"/>
      <c r="D797" s="312" t="n"/>
      <c r="E797" s="312" t="n"/>
      <c r="F797" s="312" t="n"/>
      <c r="G797" s="312" t="n"/>
      <c r="H797" s="312" t="n"/>
      <c r="I797" s="313" t="n"/>
      <c r="J797" s="199" t="n"/>
      <c r="K797" s="314" t="n"/>
      <c r="L797" s="170" t="n"/>
      <c r="M797" s="170" t="n"/>
      <c r="N797" s="170" t="n"/>
      <c r="O797" s="172" t="n"/>
      <c r="P797" s="172" t="n"/>
    </row>
    <row r="798">
      <c r="B798" s="170" t="n"/>
      <c r="C798" s="199" t="n"/>
      <c r="D798" s="312" t="n"/>
      <c r="E798" s="312" t="n"/>
      <c r="F798" s="312" t="n"/>
      <c r="G798" s="312" t="n"/>
      <c r="H798" s="312" t="n"/>
      <c r="I798" s="313" t="n"/>
      <c r="J798" s="199" t="n"/>
      <c r="K798" s="314" t="n"/>
      <c r="L798" s="170" t="n"/>
      <c r="M798" s="170" t="n"/>
      <c r="N798" s="170" t="n"/>
      <c r="O798" s="172" t="n"/>
      <c r="P798" s="172" t="n"/>
    </row>
    <row r="799">
      <c r="B799" s="170" t="n"/>
      <c r="C799" s="199" t="n"/>
      <c r="D799" s="312" t="n"/>
      <c r="E799" s="312" t="n"/>
      <c r="F799" s="312" t="n"/>
      <c r="G799" s="312" t="n"/>
      <c r="H799" s="312" t="n"/>
      <c r="I799" s="313" t="n"/>
      <c r="J799" s="199" t="n"/>
      <c r="K799" s="314" t="n"/>
      <c r="L799" s="170" t="n"/>
      <c r="M799" s="170" t="n"/>
      <c r="N799" s="170" t="n"/>
      <c r="O799" s="172" t="n"/>
      <c r="P799" s="172" t="n"/>
    </row>
    <row r="800">
      <c r="B800" s="170" t="n"/>
      <c r="C800" s="199" t="n"/>
      <c r="D800" s="312" t="n"/>
      <c r="E800" s="312" t="n"/>
      <c r="F800" s="312" t="n"/>
      <c r="G800" s="312" t="n"/>
      <c r="H800" s="312" t="n"/>
      <c r="I800" s="313" t="n"/>
      <c r="J800" s="199" t="n"/>
      <c r="K800" s="314" t="n"/>
      <c r="L800" s="170" t="n"/>
      <c r="M800" s="170" t="n"/>
      <c r="N800" s="170" t="n"/>
      <c r="O800" s="172" t="n"/>
      <c r="P800" s="172" t="n"/>
    </row>
    <row r="801">
      <c r="B801" s="170" t="n"/>
      <c r="C801" s="199" t="n"/>
      <c r="D801" s="312" t="n"/>
      <c r="E801" s="312" t="n"/>
      <c r="F801" s="312" t="n"/>
      <c r="G801" s="312" t="n"/>
      <c r="H801" s="312" t="n"/>
      <c r="I801" s="313" t="n"/>
      <c r="J801" s="199" t="n"/>
      <c r="K801" s="314" t="n"/>
      <c r="L801" s="170" t="n"/>
      <c r="M801" s="170" t="n"/>
      <c r="N801" s="170" t="n"/>
      <c r="O801" s="172" t="n"/>
      <c r="P801" s="172" t="n"/>
    </row>
    <row r="802">
      <c r="B802" s="170" t="n"/>
      <c r="C802" s="199" t="n"/>
      <c r="D802" s="312" t="n"/>
      <c r="E802" s="312" t="n"/>
      <c r="F802" s="312" t="n"/>
      <c r="G802" s="312" t="n"/>
      <c r="H802" s="312" t="n"/>
      <c r="I802" s="313" t="n"/>
      <c r="J802" s="199" t="n"/>
      <c r="K802" s="314" t="n"/>
      <c r="L802" s="170" t="n"/>
      <c r="M802" s="170" t="n"/>
      <c r="N802" s="170" t="n"/>
      <c r="O802" s="172" t="n"/>
      <c r="P802" s="172" t="n"/>
    </row>
    <row r="803">
      <c r="B803" s="170" t="n"/>
      <c r="C803" s="199" t="n"/>
      <c r="D803" s="312" t="n"/>
      <c r="E803" s="312" t="n"/>
      <c r="F803" s="312" t="n"/>
      <c r="G803" s="312" t="n"/>
      <c r="H803" s="312" t="n"/>
      <c r="I803" s="313" t="n"/>
      <c r="J803" s="199" t="n"/>
      <c r="K803" s="314" t="n"/>
      <c r="L803" s="170" t="n"/>
      <c r="M803" s="170" t="n"/>
      <c r="N803" s="170" t="n"/>
      <c r="O803" s="172" t="n"/>
      <c r="P803" s="172" t="n"/>
    </row>
    <row r="804">
      <c r="B804" s="170" t="n"/>
      <c r="C804" s="199" t="n"/>
      <c r="D804" s="312" t="n"/>
      <c r="E804" s="312" t="n"/>
      <c r="F804" s="312" t="n"/>
      <c r="G804" s="312" t="n"/>
      <c r="H804" s="312" t="n"/>
      <c r="I804" s="313" t="n"/>
      <c r="J804" s="199" t="n"/>
      <c r="K804" s="314" t="n"/>
      <c r="L804" s="170" t="n"/>
      <c r="M804" s="170" t="n"/>
      <c r="N804" s="170" t="n"/>
      <c r="O804" s="172" t="n"/>
      <c r="P804" s="172" t="n"/>
    </row>
    <row r="805">
      <c r="B805" s="170" t="n"/>
      <c r="C805" s="199" t="n"/>
      <c r="D805" s="312" t="n"/>
      <c r="E805" s="312" t="n"/>
      <c r="F805" s="312" t="n"/>
      <c r="G805" s="312" t="n"/>
      <c r="H805" s="312" t="n"/>
      <c r="I805" s="313" t="n"/>
      <c r="J805" s="199" t="n"/>
      <c r="K805" s="314" t="n"/>
      <c r="L805" s="170" t="n"/>
      <c r="M805" s="170" t="n"/>
      <c r="N805" s="170" t="n"/>
      <c r="O805" s="172" t="n"/>
      <c r="P805" s="172" t="n"/>
    </row>
    <row r="806">
      <c r="B806" s="170" t="n"/>
      <c r="C806" s="199" t="n"/>
      <c r="D806" s="312" t="n"/>
      <c r="E806" s="312" t="n"/>
      <c r="F806" s="312" t="n"/>
      <c r="G806" s="312" t="n"/>
      <c r="H806" s="312" t="n"/>
      <c r="I806" s="313" t="n"/>
      <c r="J806" s="199" t="n"/>
      <c r="K806" s="314" t="n"/>
      <c r="L806" s="170" t="n"/>
      <c r="M806" s="170" t="n"/>
      <c r="N806" s="170" t="n"/>
      <c r="O806" s="172" t="n"/>
      <c r="P806" s="172" t="n"/>
    </row>
    <row r="807">
      <c r="B807" s="170" t="n"/>
      <c r="C807" s="199" t="n"/>
      <c r="D807" s="312" t="n"/>
      <c r="E807" s="312" t="n"/>
      <c r="F807" s="312" t="n"/>
      <c r="G807" s="312" t="n"/>
      <c r="H807" s="312" t="n"/>
      <c r="I807" s="313" t="n"/>
      <c r="J807" s="199" t="n"/>
      <c r="K807" s="314" t="n"/>
      <c r="L807" s="170" t="n"/>
      <c r="M807" s="170" t="n"/>
      <c r="N807" s="170" t="n"/>
      <c r="O807" s="172" t="n"/>
      <c r="P807" s="172" t="n"/>
    </row>
    <row r="808">
      <c r="B808" s="170" t="n"/>
      <c r="C808" s="199" t="n"/>
      <c r="D808" s="312" t="n"/>
      <c r="E808" s="312" t="n"/>
      <c r="F808" s="312" t="n"/>
      <c r="G808" s="312" t="n"/>
      <c r="H808" s="312" t="n"/>
      <c r="I808" s="313" t="n"/>
      <c r="J808" s="199" t="n"/>
      <c r="K808" s="314" t="n"/>
      <c r="L808" s="170" t="n"/>
      <c r="M808" s="170" t="n"/>
      <c r="N808" s="170" t="n"/>
      <c r="O808" s="172" t="n"/>
      <c r="P808" s="172" t="n"/>
    </row>
    <row r="809">
      <c r="B809" s="170" t="n"/>
      <c r="C809" s="199" t="n"/>
      <c r="D809" s="312" t="n"/>
      <c r="E809" s="312" t="n"/>
      <c r="F809" s="312" t="n"/>
      <c r="G809" s="312" t="n"/>
      <c r="H809" s="312" t="n"/>
      <c r="I809" s="313" t="n"/>
      <c r="J809" s="199" t="n"/>
      <c r="K809" s="314" t="n"/>
      <c r="L809" s="170" t="n"/>
      <c r="M809" s="170" t="n"/>
      <c r="N809" s="170" t="n"/>
      <c r="O809" s="172" t="n"/>
      <c r="P809" s="172" t="n"/>
    </row>
    <row r="810">
      <c r="B810" s="170" t="n"/>
      <c r="C810" s="199" t="n"/>
      <c r="D810" s="312" t="n"/>
      <c r="E810" s="312" t="n"/>
      <c r="F810" s="312" t="n"/>
      <c r="G810" s="312" t="n"/>
      <c r="H810" s="312" t="n"/>
      <c r="I810" s="313" t="n"/>
      <c r="J810" s="199" t="n"/>
      <c r="K810" s="314" t="n"/>
      <c r="L810" s="170" t="n"/>
      <c r="M810" s="170" t="n"/>
      <c r="N810" s="170" t="n"/>
      <c r="O810" s="172" t="n"/>
      <c r="P810" s="172" t="n"/>
    </row>
    <row r="811">
      <c r="B811" s="170" t="n"/>
      <c r="C811" s="199" t="n"/>
      <c r="D811" s="312" t="n"/>
      <c r="E811" s="312" t="n"/>
      <c r="F811" s="312" t="n"/>
      <c r="G811" s="312" t="n"/>
      <c r="H811" s="312" t="n"/>
      <c r="I811" s="313" t="n"/>
      <c r="J811" s="199" t="n"/>
      <c r="K811" s="314" t="n"/>
      <c r="L811" s="170" t="n"/>
      <c r="M811" s="170" t="n"/>
      <c r="N811" s="170" t="n"/>
      <c r="O811" s="172" t="n"/>
      <c r="P811" s="172" t="n"/>
    </row>
    <row r="812">
      <c r="B812" s="170" t="n"/>
      <c r="C812" s="199" t="n"/>
      <c r="D812" s="312" t="n"/>
      <c r="E812" s="312" t="n"/>
      <c r="F812" s="312" t="n"/>
      <c r="G812" s="312" t="n"/>
      <c r="H812" s="312" t="n"/>
      <c r="I812" s="313" t="n"/>
      <c r="J812" s="199" t="n"/>
      <c r="K812" s="314" t="n"/>
      <c r="L812" s="170" t="n"/>
      <c r="M812" s="170" t="n"/>
      <c r="N812" s="170" t="n"/>
      <c r="O812" s="172" t="n"/>
      <c r="P812" s="172" t="n"/>
    </row>
    <row r="813">
      <c r="B813" s="170" t="n"/>
      <c r="C813" s="199" t="n"/>
      <c r="D813" s="312" t="n"/>
      <c r="E813" s="312" t="n"/>
      <c r="F813" s="312" t="n"/>
      <c r="G813" s="312" t="n"/>
      <c r="H813" s="312" t="n"/>
      <c r="I813" s="313" t="n"/>
      <c r="J813" s="199" t="n"/>
      <c r="K813" s="314" t="n"/>
      <c r="L813" s="170" t="n"/>
      <c r="M813" s="170" t="n"/>
      <c r="N813" s="170" t="n"/>
      <c r="O813" s="172" t="n"/>
      <c r="P813" s="172" t="n"/>
    </row>
    <row r="814">
      <c r="B814" s="170" t="n"/>
      <c r="C814" s="199" t="n"/>
      <c r="D814" s="312" t="n"/>
      <c r="E814" s="312" t="n"/>
      <c r="F814" s="312" t="n"/>
      <c r="G814" s="312" t="n"/>
      <c r="H814" s="312" t="n"/>
      <c r="I814" s="313" t="n"/>
      <c r="J814" s="199" t="n"/>
      <c r="K814" s="314" t="n"/>
      <c r="L814" s="170" t="n"/>
      <c r="M814" s="170" t="n"/>
      <c r="N814" s="170" t="n"/>
      <c r="O814" s="172" t="n"/>
      <c r="P814" s="172" t="n"/>
    </row>
    <row r="815">
      <c r="B815" s="170" t="n"/>
      <c r="C815" s="199" t="n"/>
      <c r="D815" s="312" t="n"/>
      <c r="E815" s="312" t="n"/>
      <c r="F815" s="312" t="n"/>
      <c r="G815" s="312" t="n"/>
      <c r="H815" s="312" t="n"/>
      <c r="I815" s="313" t="n"/>
      <c r="J815" s="199" t="n"/>
      <c r="K815" s="314" t="n"/>
      <c r="L815" s="170" t="n"/>
      <c r="M815" s="170" t="n"/>
      <c r="N815" s="170" t="n"/>
      <c r="O815" s="172" t="n"/>
      <c r="P815" s="172" t="n"/>
    </row>
    <row r="816">
      <c r="B816" s="170" t="n"/>
      <c r="C816" s="199" t="n"/>
      <c r="D816" s="312" t="n"/>
      <c r="E816" s="312" t="n"/>
      <c r="F816" s="312" t="n"/>
      <c r="G816" s="312" t="n"/>
      <c r="H816" s="312" t="n"/>
      <c r="I816" s="313" t="n"/>
      <c r="J816" s="199" t="n"/>
      <c r="K816" s="314" t="n"/>
      <c r="L816" s="170" t="n"/>
      <c r="M816" s="170" t="n"/>
      <c r="N816" s="170" t="n"/>
      <c r="O816" s="172" t="n"/>
      <c r="P816" s="172" t="n"/>
    </row>
    <row r="817">
      <c r="B817" s="170" t="n"/>
      <c r="C817" s="199" t="n"/>
      <c r="D817" s="312" t="n"/>
      <c r="E817" s="312" t="n"/>
      <c r="F817" s="312" t="n"/>
      <c r="G817" s="312" t="n"/>
      <c r="H817" s="312" t="n"/>
      <c r="I817" s="313" t="n"/>
      <c r="J817" s="199" t="n"/>
      <c r="K817" s="314" t="n"/>
      <c r="L817" s="170" t="n"/>
      <c r="M817" s="170" t="n"/>
      <c r="N817" s="170" t="n"/>
      <c r="O817" s="172" t="n"/>
      <c r="P817" s="172" t="n"/>
    </row>
    <row r="818">
      <c r="B818" s="170" t="n"/>
      <c r="C818" s="199" t="n"/>
      <c r="D818" s="312" t="n"/>
      <c r="E818" s="312" t="n"/>
      <c r="F818" s="312" t="n"/>
      <c r="G818" s="312" t="n"/>
      <c r="H818" s="312" t="n"/>
      <c r="I818" s="313" t="n"/>
      <c r="J818" s="199" t="n"/>
      <c r="K818" s="314" t="n"/>
      <c r="L818" s="170" t="n"/>
      <c r="M818" s="170" t="n"/>
      <c r="N818" s="170" t="n"/>
      <c r="O818" s="172" t="n"/>
      <c r="P818" s="172" t="n"/>
    </row>
    <row r="819">
      <c r="B819" s="170" t="n"/>
      <c r="C819" s="199" t="n"/>
      <c r="D819" s="312" t="n"/>
      <c r="E819" s="312" t="n"/>
      <c r="F819" s="312" t="n"/>
      <c r="G819" s="312" t="n"/>
      <c r="H819" s="312" t="n"/>
      <c r="I819" s="313" t="n"/>
      <c r="J819" s="199" t="n"/>
      <c r="K819" s="314" t="n"/>
      <c r="L819" s="170" t="n"/>
      <c r="M819" s="170" t="n"/>
      <c r="N819" s="170" t="n"/>
      <c r="O819" s="172" t="n"/>
      <c r="P819" s="172" t="n"/>
    </row>
    <row r="820">
      <c r="B820" s="170" t="n"/>
      <c r="C820" s="199" t="n"/>
      <c r="D820" s="312" t="n"/>
      <c r="E820" s="312" t="n"/>
      <c r="F820" s="312" t="n"/>
      <c r="G820" s="312" t="n"/>
      <c r="H820" s="312" t="n"/>
      <c r="I820" s="313" t="n"/>
      <c r="J820" s="199" t="n"/>
      <c r="K820" s="314" t="n"/>
      <c r="L820" s="170" t="n"/>
      <c r="M820" s="170" t="n"/>
      <c r="N820" s="170" t="n"/>
      <c r="O820" s="172" t="n"/>
      <c r="P820" s="172" t="n"/>
    </row>
    <row r="821">
      <c r="B821" s="170" t="n"/>
      <c r="C821" s="199" t="n"/>
      <c r="D821" s="312" t="n"/>
      <c r="E821" s="312" t="n"/>
      <c r="F821" s="312" t="n"/>
      <c r="G821" s="312" t="n"/>
      <c r="H821" s="312" t="n"/>
      <c r="I821" s="313" t="n"/>
      <c r="J821" s="199" t="n"/>
      <c r="K821" s="314" t="n"/>
      <c r="L821" s="170" t="n"/>
      <c r="M821" s="170" t="n"/>
      <c r="N821" s="170" t="n"/>
      <c r="O821" s="172" t="n"/>
      <c r="P821" s="172" t="n"/>
    </row>
    <row r="822">
      <c r="B822" s="170" t="n"/>
      <c r="C822" s="199" t="n"/>
      <c r="D822" s="312" t="n"/>
      <c r="E822" s="312" t="n"/>
      <c r="F822" s="312" t="n"/>
      <c r="G822" s="312" t="n"/>
      <c r="H822" s="312" t="n"/>
      <c r="I822" s="313" t="n"/>
      <c r="J822" s="199" t="n"/>
      <c r="K822" s="314" t="n"/>
      <c r="L822" s="170" t="n"/>
      <c r="M822" s="170" t="n"/>
      <c r="N822" s="170" t="n"/>
      <c r="O822" s="172" t="n"/>
      <c r="P822" s="172" t="n"/>
    </row>
    <row r="823">
      <c r="B823" s="170" t="n"/>
      <c r="C823" s="199" t="n"/>
      <c r="D823" s="312" t="n"/>
      <c r="E823" s="312" t="n"/>
      <c r="F823" s="312" t="n"/>
      <c r="G823" s="312" t="n"/>
      <c r="H823" s="312" t="n"/>
      <c r="I823" s="313" t="n"/>
      <c r="J823" s="199" t="n"/>
      <c r="K823" s="314" t="n"/>
      <c r="L823" s="170" t="n"/>
      <c r="M823" s="170" t="n"/>
      <c r="N823" s="170" t="n"/>
      <c r="O823" s="172" t="n"/>
      <c r="P823" s="172" t="n"/>
    </row>
    <row r="824">
      <c r="B824" s="170" t="n"/>
      <c r="C824" s="199" t="n"/>
      <c r="D824" s="312" t="n"/>
      <c r="E824" s="312" t="n"/>
      <c r="F824" s="312" t="n"/>
      <c r="G824" s="312" t="n"/>
      <c r="H824" s="312" t="n"/>
      <c r="I824" s="313" t="n"/>
      <c r="J824" s="199" t="n"/>
      <c r="K824" s="314" t="n"/>
      <c r="L824" s="170" t="n"/>
      <c r="M824" s="170" t="n"/>
      <c r="N824" s="170" t="n"/>
      <c r="O824" s="172" t="n"/>
      <c r="P824" s="172" t="n"/>
    </row>
    <row r="825">
      <c r="B825" s="170" t="n"/>
      <c r="C825" s="199" t="n"/>
      <c r="D825" s="312" t="n"/>
      <c r="E825" s="312" t="n"/>
      <c r="F825" s="312" t="n"/>
      <c r="G825" s="312" t="n"/>
      <c r="H825" s="312" t="n"/>
      <c r="I825" s="313" t="n"/>
      <c r="J825" s="199" t="n"/>
      <c r="K825" s="314" t="n"/>
      <c r="L825" s="170" t="n"/>
      <c r="M825" s="170" t="n"/>
      <c r="N825" s="170" t="n"/>
      <c r="O825" s="172" t="n"/>
      <c r="P825" s="172" t="n"/>
    </row>
    <row r="826">
      <c r="B826" s="170" t="n"/>
      <c r="C826" s="199" t="n"/>
      <c r="D826" s="312" t="n"/>
      <c r="E826" s="312" t="n"/>
      <c r="F826" s="312" t="n"/>
      <c r="G826" s="312" t="n"/>
      <c r="H826" s="312" t="n"/>
      <c r="I826" s="313" t="n"/>
      <c r="J826" s="199" t="n"/>
      <c r="K826" s="314" t="n"/>
      <c r="L826" s="170" t="n"/>
      <c r="M826" s="170" t="n"/>
      <c r="N826" s="170" t="n"/>
      <c r="O826" s="172" t="n"/>
      <c r="P826" s="172" t="n"/>
    </row>
    <row r="827">
      <c r="B827" s="170" t="n"/>
      <c r="C827" s="199" t="n"/>
      <c r="D827" s="312" t="n"/>
      <c r="E827" s="312" t="n"/>
      <c r="F827" s="312" t="n"/>
      <c r="G827" s="312" t="n"/>
      <c r="H827" s="312" t="n"/>
      <c r="I827" s="313" t="n"/>
      <c r="J827" s="199" t="n"/>
      <c r="K827" s="314" t="n"/>
      <c r="L827" s="170" t="n"/>
      <c r="M827" s="170" t="n"/>
      <c r="N827" s="170" t="n"/>
      <c r="O827" s="172" t="n"/>
      <c r="P827" s="172" t="n"/>
    </row>
    <row r="828">
      <c r="B828" s="170" t="n"/>
      <c r="C828" s="199" t="n"/>
      <c r="D828" s="312" t="n"/>
      <c r="E828" s="312" t="n"/>
      <c r="F828" s="312" t="n"/>
      <c r="G828" s="312" t="n"/>
      <c r="H828" s="312" t="n"/>
      <c r="I828" s="313" t="n"/>
      <c r="J828" s="199" t="n"/>
      <c r="K828" s="314" t="n"/>
      <c r="L828" s="170" t="n"/>
      <c r="M828" s="170" t="n"/>
      <c r="N828" s="170" t="n"/>
      <c r="O828" s="172" t="n"/>
      <c r="P828" s="172" t="n"/>
    </row>
    <row r="829">
      <c r="B829" s="170" t="n"/>
      <c r="C829" s="199" t="n"/>
      <c r="D829" s="312" t="n"/>
      <c r="E829" s="312" t="n"/>
      <c r="F829" s="312" t="n"/>
      <c r="G829" s="312" t="n"/>
      <c r="H829" s="312" t="n"/>
      <c r="I829" s="313" t="n"/>
      <c r="J829" s="199" t="n"/>
      <c r="K829" s="314" t="n"/>
      <c r="L829" s="170" t="n"/>
      <c r="M829" s="170" t="n"/>
      <c r="N829" s="170" t="n"/>
      <c r="O829" s="172" t="n"/>
      <c r="P829" s="172" t="n"/>
    </row>
    <row r="830">
      <c r="B830" s="170" t="n"/>
      <c r="C830" s="199" t="n"/>
      <c r="D830" s="312" t="n"/>
      <c r="E830" s="312" t="n"/>
      <c r="F830" s="312" t="n"/>
      <c r="G830" s="312" t="n"/>
      <c r="H830" s="312" t="n"/>
      <c r="I830" s="313" t="n"/>
      <c r="J830" s="199" t="n"/>
      <c r="K830" s="314" t="n"/>
      <c r="L830" s="170" t="n"/>
      <c r="M830" s="170" t="n"/>
      <c r="N830" s="170" t="n"/>
      <c r="O830" s="172" t="n"/>
      <c r="P830" s="172" t="n"/>
    </row>
    <row r="831">
      <c r="B831" s="170" t="n"/>
      <c r="C831" s="199" t="n"/>
      <c r="D831" s="312" t="n"/>
      <c r="E831" s="312" t="n"/>
      <c r="F831" s="312" t="n"/>
      <c r="G831" s="312" t="n"/>
      <c r="H831" s="312" t="n"/>
      <c r="I831" s="313" t="n"/>
      <c r="J831" s="199" t="n"/>
      <c r="K831" s="314" t="n"/>
      <c r="L831" s="170" t="n"/>
      <c r="M831" s="170" t="n"/>
      <c r="N831" s="170" t="n"/>
      <c r="O831" s="172" t="n"/>
      <c r="P831" s="172" t="n"/>
    </row>
    <row r="832">
      <c r="B832" s="170" t="n"/>
      <c r="C832" s="199" t="n"/>
      <c r="D832" s="312" t="n"/>
      <c r="E832" s="312" t="n"/>
      <c r="F832" s="312" t="n"/>
      <c r="G832" s="312" t="n"/>
      <c r="H832" s="312" t="n"/>
      <c r="I832" s="313" t="n"/>
      <c r="J832" s="199" t="n"/>
      <c r="K832" s="314" t="n"/>
      <c r="L832" s="170" t="n"/>
      <c r="M832" s="170" t="n"/>
      <c r="N832" s="170" t="n"/>
      <c r="O832" s="172" t="n"/>
      <c r="P832" s="172" t="n"/>
    </row>
    <row r="833">
      <c r="B833" s="170" t="n"/>
      <c r="C833" s="199" t="n"/>
      <c r="D833" s="312" t="n"/>
      <c r="E833" s="312" t="n"/>
      <c r="F833" s="312" t="n"/>
      <c r="G833" s="312" t="n"/>
      <c r="H833" s="312" t="n"/>
      <c r="I833" s="313" t="n"/>
      <c r="J833" s="199" t="n"/>
      <c r="K833" s="314" t="n"/>
      <c r="L833" s="170" t="n"/>
      <c r="M833" s="170" t="n"/>
      <c r="N833" s="170" t="n"/>
      <c r="O833" s="172" t="n"/>
      <c r="P833" s="172" t="n"/>
    </row>
    <row r="834">
      <c r="B834" s="170" t="n"/>
      <c r="C834" s="199" t="n"/>
      <c r="D834" s="312" t="n"/>
      <c r="E834" s="312" t="n"/>
      <c r="F834" s="312" t="n"/>
      <c r="G834" s="312" t="n"/>
      <c r="H834" s="312" t="n"/>
      <c r="I834" s="313" t="n"/>
      <c r="J834" s="199" t="n"/>
      <c r="K834" s="314" t="n"/>
      <c r="L834" s="170" t="n"/>
      <c r="M834" s="170" t="n"/>
      <c r="N834" s="170" t="n"/>
      <c r="O834" s="172" t="n"/>
      <c r="P834" s="172" t="n"/>
    </row>
    <row r="835">
      <c r="B835" s="170" t="n"/>
      <c r="C835" s="199" t="n"/>
      <c r="D835" s="312" t="n"/>
      <c r="E835" s="312" t="n"/>
      <c r="F835" s="312" t="n"/>
      <c r="G835" s="312" t="n"/>
      <c r="H835" s="312" t="n"/>
      <c r="I835" s="313" t="n"/>
      <c r="J835" s="199" t="n"/>
      <c r="K835" s="314" t="n"/>
      <c r="L835" s="170" t="n"/>
      <c r="M835" s="170" t="n"/>
      <c r="N835" s="170" t="n"/>
      <c r="O835" s="172" t="n"/>
      <c r="P835" s="172" t="n"/>
    </row>
    <row r="836">
      <c r="B836" s="170" t="n"/>
      <c r="C836" s="199" t="n"/>
      <c r="D836" s="312" t="n"/>
      <c r="E836" s="312" t="n"/>
      <c r="F836" s="312" t="n"/>
      <c r="G836" s="312" t="n"/>
      <c r="H836" s="312" t="n"/>
      <c r="I836" s="313" t="n"/>
      <c r="J836" s="199" t="n"/>
      <c r="K836" s="314" t="n"/>
      <c r="L836" s="170" t="n"/>
      <c r="M836" s="170" t="n"/>
      <c r="N836" s="170" t="n"/>
      <c r="O836" s="172" t="n"/>
      <c r="P836" s="172" t="n"/>
    </row>
    <row r="837">
      <c r="B837" s="170" t="n"/>
      <c r="C837" s="199" t="n"/>
      <c r="D837" s="312" t="n"/>
      <c r="E837" s="312" t="n"/>
      <c r="F837" s="312" t="n"/>
      <c r="G837" s="312" t="n"/>
      <c r="H837" s="312" t="n"/>
      <c r="I837" s="313" t="n"/>
      <c r="J837" s="199" t="n"/>
      <c r="K837" s="314" t="n"/>
      <c r="L837" s="170" t="n"/>
      <c r="M837" s="170" t="n"/>
      <c r="N837" s="170" t="n"/>
      <c r="O837" s="172" t="n"/>
      <c r="P837" s="172" t="n"/>
    </row>
    <row r="838">
      <c r="B838" s="170" t="n"/>
      <c r="C838" s="199" t="n"/>
      <c r="D838" s="312" t="n"/>
      <c r="E838" s="312" t="n"/>
      <c r="F838" s="312" t="n"/>
      <c r="G838" s="312" t="n"/>
      <c r="H838" s="312" t="n"/>
      <c r="I838" s="313" t="n"/>
      <c r="J838" s="199" t="n"/>
      <c r="K838" s="314" t="n"/>
      <c r="L838" s="170" t="n"/>
      <c r="M838" s="170" t="n"/>
      <c r="N838" s="170" t="n"/>
      <c r="O838" s="172" t="n"/>
      <c r="P838" s="172" t="n"/>
    </row>
    <row r="839">
      <c r="B839" s="170" t="n"/>
      <c r="C839" s="199" t="n"/>
      <c r="D839" s="312" t="n"/>
      <c r="E839" s="312" t="n"/>
      <c r="F839" s="312" t="n"/>
      <c r="G839" s="312" t="n"/>
      <c r="H839" s="312" t="n"/>
      <c r="I839" s="313" t="n"/>
      <c r="J839" s="199" t="n"/>
      <c r="K839" s="314" t="n"/>
      <c r="L839" s="170" t="n"/>
      <c r="M839" s="170" t="n"/>
      <c r="N839" s="170" t="n"/>
      <c r="O839" s="172" t="n"/>
      <c r="P839" s="172" t="n"/>
    </row>
    <row r="840">
      <c r="B840" s="170" t="n"/>
      <c r="C840" s="199" t="n"/>
      <c r="D840" s="312" t="n"/>
      <c r="E840" s="312" t="n"/>
      <c r="F840" s="312" t="n"/>
      <c r="G840" s="312" t="n"/>
      <c r="H840" s="312" t="n"/>
      <c r="I840" s="313" t="n"/>
      <c r="J840" s="199" t="n"/>
      <c r="K840" s="314" t="n"/>
      <c r="L840" s="170" t="n"/>
      <c r="M840" s="170" t="n"/>
      <c r="N840" s="170" t="n"/>
      <c r="O840" s="172" t="n"/>
      <c r="P840" s="172" t="n"/>
    </row>
    <row r="841">
      <c r="B841" s="170" t="n"/>
      <c r="C841" s="199" t="n"/>
      <c r="D841" s="312" t="n"/>
      <c r="E841" s="312" t="n"/>
      <c r="F841" s="312" t="n"/>
      <c r="G841" s="312" t="n"/>
      <c r="H841" s="312" t="n"/>
      <c r="I841" s="313" t="n"/>
      <c r="J841" s="199" t="n"/>
      <c r="K841" s="314" t="n"/>
      <c r="L841" s="170" t="n"/>
      <c r="M841" s="170" t="n"/>
      <c r="N841" s="170" t="n"/>
      <c r="O841" s="172" t="n"/>
      <c r="P841" s="172" t="n"/>
    </row>
    <row r="842">
      <c r="B842" s="170" t="n"/>
      <c r="C842" s="199" t="n"/>
      <c r="D842" s="312" t="n"/>
      <c r="E842" s="312" t="n"/>
      <c r="F842" s="312" t="n"/>
      <c r="G842" s="312" t="n"/>
      <c r="H842" s="312" t="n"/>
      <c r="I842" s="313" t="n"/>
      <c r="J842" s="199" t="n"/>
      <c r="K842" s="314" t="n"/>
      <c r="L842" s="170" t="n"/>
      <c r="M842" s="170" t="n"/>
      <c r="N842" s="170" t="n"/>
      <c r="O842" s="172" t="n"/>
      <c r="P842" s="172" t="n"/>
    </row>
    <row r="843">
      <c r="B843" s="170" t="n"/>
      <c r="C843" s="199" t="n"/>
      <c r="D843" s="312" t="n"/>
      <c r="E843" s="312" t="n"/>
      <c r="F843" s="312" t="n"/>
      <c r="G843" s="312" t="n"/>
      <c r="H843" s="312" t="n"/>
      <c r="I843" s="313" t="n"/>
      <c r="J843" s="199" t="n"/>
      <c r="K843" s="314" t="n"/>
      <c r="L843" s="170" t="n"/>
      <c r="M843" s="170" t="n"/>
      <c r="N843" s="170" t="n"/>
      <c r="O843" s="172" t="n"/>
      <c r="P843" s="172" t="n"/>
    </row>
    <row r="844">
      <c r="B844" s="170" t="n"/>
      <c r="C844" s="199" t="n"/>
      <c r="D844" s="312" t="n"/>
      <c r="E844" s="312" t="n"/>
      <c r="F844" s="312" t="n"/>
      <c r="G844" s="312" t="n"/>
      <c r="H844" s="312" t="n"/>
      <c r="I844" s="313" t="n"/>
      <c r="J844" s="199" t="n"/>
      <c r="K844" s="314" t="n"/>
      <c r="L844" s="170" t="n"/>
      <c r="M844" s="170" t="n"/>
      <c r="N844" s="170" t="n"/>
      <c r="O844" s="172" t="n"/>
      <c r="P844" s="172" t="n"/>
    </row>
    <row r="845">
      <c r="B845" s="170" t="n"/>
      <c r="C845" s="199" t="n"/>
      <c r="D845" s="312" t="n"/>
      <c r="E845" s="312" t="n"/>
      <c r="F845" s="312" t="n"/>
      <c r="G845" s="312" t="n"/>
      <c r="H845" s="312" t="n"/>
      <c r="I845" s="313" t="n"/>
      <c r="J845" s="199" t="n"/>
      <c r="K845" s="314" t="n"/>
      <c r="L845" s="170" t="n"/>
      <c r="M845" s="170" t="n"/>
      <c r="N845" s="170" t="n"/>
      <c r="O845" s="172" t="n"/>
      <c r="P845" s="172" t="n"/>
    </row>
    <row r="846">
      <c r="B846" s="170" t="n"/>
      <c r="C846" s="199" t="n"/>
      <c r="D846" s="312" t="n"/>
      <c r="E846" s="312" t="n"/>
      <c r="F846" s="312" t="n"/>
      <c r="G846" s="312" t="n"/>
      <c r="H846" s="312" t="n"/>
      <c r="I846" s="313" t="n"/>
      <c r="J846" s="199" t="n"/>
      <c r="K846" s="314" t="n"/>
      <c r="L846" s="170" t="n"/>
      <c r="M846" s="170" t="n"/>
      <c r="N846" s="170" t="n"/>
      <c r="O846" s="172" t="n"/>
      <c r="P846" s="172" t="n"/>
    </row>
    <row r="847">
      <c r="B847" s="170" t="n"/>
      <c r="C847" s="199" t="n"/>
      <c r="D847" s="312" t="n"/>
      <c r="E847" s="312" t="n"/>
      <c r="F847" s="312" t="n"/>
      <c r="G847" s="312" t="n"/>
      <c r="H847" s="312" t="n"/>
      <c r="I847" s="313" t="n"/>
      <c r="J847" s="199" t="n"/>
      <c r="K847" s="314" t="n"/>
      <c r="L847" s="170" t="n"/>
      <c r="M847" s="170" t="n"/>
      <c r="N847" s="170" t="n"/>
      <c r="O847" s="172" t="n"/>
      <c r="P847" s="172" t="n"/>
    </row>
    <row r="848">
      <c r="B848" s="170" t="n"/>
      <c r="C848" s="199" t="n"/>
      <c r="D848" s="312" t="n"/>
      <c r="E848" s="312" t="n"/>
      <c r="F848" s="312" t="n"/>
      <c r="G848" s="312" t="n"/>
      <c r="H848" s="312" t="n"/>
      <c r="I848" s="313" t="n"/>
      <c r="J848" s="199" t="n"/>
      <c r="K848" s="314" t="n"/>
      <c r="L848" s="170" t="n"/>
      <c r="M848" s="170" t="n"/>
      <c r="N848" s="170" t="n"/>
      <c r="O848" s="172" t="n"/>
      <c r="P848" s="172" t="n"/>
    </row>
    <row r="849">
      <c r="B849" s="170" t="n"/>
      <c r="C849" s="199" t="n"/>
      <c r="D849" s="312" t="n"/>
      <c r="E849" s="312" t="n"/>
      <c r="F849" s="312" t="n"/>
      <c r="G849" s="312" t="n"/>
      <c r="H849" s="312" t="n"/>
      <c r="I849" s="313" t="n"/>
      <c r="J849" s="199" t="n"/>
      <c r="K849" s="314" t="n"/>
      <c r="L849" s="170" t="n"/>
      <c r="M849" s="170" t="n"/>
      <c r="N849" s="170" t="n"/>
      <c r="O849" s="172" t="n"/>
      <c r="P849" s="172" t="n"/>
    </row>
    <row r="850">
      <c r="B850" s="170" t="n"/>
      <c r="C850" s="199" t="n"/>
      <c r="D850" s="312" t="n"/>
      <c r="E850" s="312" t="n"/>
      <c r="F850" s="312" t="n"/>
      <c r="G850" s="312" t="n"/>
      <c r="H850" s="312" t="n"/>
      <c r="I850" s="313" t="n"/>
      <c r="J850" s="199" t="n"/>
      <c r="K850" s="314" t="n"/>
      <c r="L850" s="170" t="n"/>
      <c r="M850" s="170" t="n"/>
      <c r="N850" s="170" t="n"/>
      <c r="O850" s="172" t="n"/>
      <c r="P850" s="172" t="n"/>
    </row>
    <row r="851">
      <c r="B851" s="170" t="n"/>
      <c r="C851" s="199" t="n"/>
      <c r="D851" s="312" t="n"/>
      <c r="E851" s="312" t="n"/>
      <c r="F851" s="312" t="n"/>
      <c r="G851" s="312" t="n"/>
      <c r="H851" s="312" t="n"/>
      <c r="I851" s="313" t="n"/>
      <c r="J851" s="199" t="n"/>
      <c r="K851" s="314" t="n"/>
      <c r="L851" s="170" t="n"/>
      <c r="M851" s="170" t="n"/>
      <c r="N851" s="170" t="n"/>
      <c r="O851" s="172" t="n"/>
      <c r="P851" s="172" t="n"/>
    </row>
    <row r="852">
      <c r="B852" s="170" t="n"/>
      <c r="C852" s="199" t="n"/>
      <c r="D852" s="312" t="n"/>
      <c r="E852" s="312" t="n"/>
      <c r="F852" s="312" t="n"/>
      <c r="G852" s="312" t="n"/>
      <c r="H852" s="312" t="n"/>
      <c r="I852" s="313" t="n"/>
      <c r="J852" s="199" t="n"/>
      <c r="K852" s="314" t="n"/>
      <c r="L852" s="170" t="n"/>
      <c r="M852" s="170" t="n"/>
      <c r="N852" s="170" t="n"/>
      <c r="O852" s="172" t="n"/>
      <c r="P852" s="172" t="n"/>
    </row>
    <row r="853">
      <c r="B853" s="170" t="n"/>
      <c r="C853" s="199" t="n"/>
      <c r="D853" s="312" t="n"/>
      <c r="E853" s="312" t="n"/>
      <c r="F853" s="312" t="n"/>
      <c r="G853" s="312" t="n"/>
      <c r="H853" s="312" t="n"/>
      <c r="I853" s="313" t="n"/>
      <c r="J853" s="199" t="n"/>
      <c r="K853" s="314" t="n"/>
      <c r="L853" s="170" t="n"/>
      <c r="M853" s="170" t="n"/>
      <c r="N853" s="170" t="n"/>
      <c r="O853" s="172" t="n"/>
      <c r="P853" s="172" t="n"/>
    </row>
    <row r="854">
      <c r="B854" s="170" t="n"/>
      <c r="C854" s="199" t="n"/>
      <c r="D854" s="312" t="n"/>
      <c r="E854" s="312" t="n"/>
      <c r="F854" s="312" t="n"/>
      <c r="G854" s="312" t="n"/>
      <c r="H854" s="312" t="n"/>
      <c r="I854" s="313" t="n"/>
      <c r="J854" s="199" t="n"/>
      <c r="K854" s="314" t="n"/>
      <c r="L854" s="170" t="n"/>
      <c r="M854" s="170" t="n"/>
      <c r="N854" s="170" t="n"/>
      <c r="O854" s="172" t="n"/>
      <c r="P854" s="172" t="n"/>
    </row>
    <row r="855">
      <c r="B855" s="170" t="n"/>
      <c r="C855" s="199" t="n"/>
      <c r="D855" s="312" t="n"/>
      <c r="E855" s="312" t="n"/>
      <c r="F855" s="312" t="n"/>
      <c r="G855" s="312" t="n"/>
      <c r="H855" s="312" t="n"/>
      <c r="I855" s="313" t="n"/>
      <c r="J855" s="199" t="n"/>
      <c r="K855" s="314" t="n"/>
      <c r="L855" s="170" t="n"/>
      <c r="M855" s="170" t="n"/>
      <c r="N855" s="170" t="n"/>
      <c r="O855" s="172" t="n"/>
      <c r="P855" s="172" t="n"/>
    </row>
    <row r="856">
      <c r="B856" s="170" t="n"/>
      <c r="C856" s="199" t="n"/>
      <c r="D856" s="312" t="n"/>
      <c r="E856" s="312" t="n"/>
      <c r="F856" s="312" t="n"/>
      <c r="G856" s="312" t="n"/>
      <c r="H856" s="312" t="n"/>
      <c r="I856" s="313" t="n"/>
      <c r="J856" s="199" t="n"/>
      <c r="K856" s="314" t="n"/>
      <c r="L856" s="170" t="n"/>
      <c r="M856" s="170" t="n"/>
      <c r="N856" s="170" t="n"/>
      <c r="O856" s="172" t="n"/>
      <c r="P856" s="172" t="n"/>
    </row>
    <row r="857">
      <c r="B857" s="170" t="n"/>
      <c r="C857" s="199" t="n"/>
      <c r="D857" s="312" t="n"/>
      <c r="E857" s="312" t="n"/>
      <c r="F857" s="312" t="n"/>
      <c r="G857" s="312" t="n"/>
      <c r="H857" s="312" t="n"/>
      <c r="I857" s="313" t="n"/>
      <c r="J857" s="199" t="n"/>
      <c r="K857" s="314" t="n"/>
      <c r="L857" s="170" t="n"/>
      <c r="M857" s="170" t="n"/>
      <c r="N857" s="170" t="n"/>
      <c r="O857" s="172" t="n"/>
      <c r="P857" s="172" t="n"/>
    </row>
    <row r="858">
      <c r="B858" s="170" t="n"/>
      <c r="C858" s="199" t="n"/>
      <c r="D858" s="312" t="n"/>
      <c r="E858" s="312" t="n"/>
      <c r="F858" s="312" t="n"/>
      <c r="G858" s="312" t="n"/>
      <c r="H858" s="312" t="n"/>
      <c r="I858" s="313" t="n"/>
      <c r="J858" s="199" t="n"/>
      <c r="K858" s="314" t="n"/>
      <c r="L858" s="170" t="n"/>
      <c r="M858" s="170" t="n"/>
      <c r="N858" s="170" t="n"/>
      <c r="O858" s="172" t="n"/>
      <c r="P858" s="172" t="n"/>
    </row>
    <row r="859">
      <c r="B859" s="170" t="n"/>
      <c r="C859" s="199" t="n"/>
      <c r="D859" s="312" t="n"/>
      <c r="E859" s="312" t="n"/>
      <c r="F859" s="312" t="n"/>
      <c r="G859" s="312" t="n"/>
      <c r="H859" s="312" t="n"/>
      <c r="I859" s="313" t="n"/>
      <c r="J859" s="199" t="n"/>
      <c r="K859" s="314" t="n"/>
      <c r="L859" s="170" t="n"/>
      <c r="M859" s="170" t="n"/>
      <c r="N859" s="170" t="n"/>
      <c r="O859" s="172" t="n"/>
      <c r="P859" s="172" t="n"/>
    </row>
    <row r="860">
      <c r="B860" s="170" t="n"/>
      <c r="C860" s="199" t="n"/>
      <c r="D860" s="312" t="n"/>
      <c r="E860" s="312" t="n"/>
      <c r="F860" s="312" t="n"/>
      <c r="G860" s="312" t="n"/>
      <c r="H860" s="312" t="n"/>
      <c r="I860" s="313" t="n"/>
      <c r="J860" s="199" t="n"/>
      <c r="K860" s="314" t="n"/>
      <c r="L860" s="170" t="n"/>
      <c r="M860" s="170" t="n"/>
      <c r="N860" s="170" t="n"/>
      <c r="O860" s="172" t="n"/>
      <c r="P860" s="172" t="n"/>
    </row>
    <row r="861">
      <c r="B861" s="170" t="n"/>
      <c r="C861" s="199" t="n"/>
      <c r="D861" s="312" t="n"/>
      <c r="E861" s="312" t="n"/>
      <c r="F861" s="312" t="n"/>
      <c r="G861" s="312" t="n"/>
      <c r="H861" s="312" t="n"/>
      <c r="I861" s="313" t="n"/>
      <c r="J861" s="199" t="n"/>
      <c r="K861" s="314" t="n"/>
      <c r="L861" s="170" t="n"/>
      <c r="M861" s="170" t="n"/>
      <c r="N861" s="170" t="n"/>
      <c r="O861" s="172" t="n"/>
      <c r="P861" s="172" t="n"/>
    </row>
    <row r="862">
      <c r="B862" s="170" t="n"/>
      <c r="C862" s="199" t="n"/>
      <c r="D862" s="312" t="n"/>
      <c r="E862" s="312" t="n"/>
      <c r="F862" s="312" t="n"/>
      <c r="G862" s="312" t="n"/>
      <c r="H862" s="312" t="n"/>
      <c r="I862" s="313" t="n"/>
      <c r="J862" s="199" t="n"/>
      <c r="K862" s="314" t="n"/>
      <c r="L862" s="170" t="n"/>
      <c r="M862" s="170" t="n"/>
      <c r="N862" s="170" t="n"/>
      <c r="O862" s="172" t="n"/>
      <c r="P862" s="172" t="n"/>
    </row>
    <row r="863">
      <c r="B863" s="170" t="n"/>
      <c r="C863" s="199" t="n"/>
      <c r="D863" s="312" t="n"/>
      <c r="E863" s="312" t="n"/>
      <c r="F863" s="312" t="n"/>
      <c r="G863" s="312" t="n"/>
      <c r="H863" s="312" t="n"/>
      <c r="I863" s="313" t="n"/>
      <c r="J863" s="199" t="n"/>
      <c r="K863" s="314" t="n"/>
      <c r="L863" s="170" t="n"/>
      <c r="M863" s="170" t="n"/>
      <c r="N863" s="170" t="n"/>
      <c r="O863" s="172" t="n"/>
      <c r="P863" s="172" t="n"/>
    </row>
    <row r="864">
      <c r="B864" s="170" t="n"/>
      <c r="C864" s="199" t="n"/>
      <c r="D864" s="312" t="n"/>
      <c r="E864" s="312" t="n"/>
      <c r="F864" s="312" t="n"/>
      <c r="G864" s="312" t="n"/>
      <c r="H864" s="312" t="n"/>
      <c r="I864" s="313" t="n"/>
      <c r="J864" s="199" t="n"/>
      <c r="K864" s="314" t="n"/>
      <c r="L864" s="170" t="n"/>
      <c r="M864" s="170" t="n"/>
      <c r="N864" s="170" t="n"/>
      <c r="O864" s="172" t="n"/>
      <c r="P864" s="172" t="n"/>
    </row>
    <row r="865">
      <c r="B865" s="170" t="n"/>
      <c r="C865" s="199" t="n"/>
      <c r="D865" s="312" t="n"/>
      <c r="E865" s="312" t="n"/>
      <c r="F865" s="312" t="n"/>
      <c r="G865" s="312" t="n"/>
      <c r="H865" s="312" t="n"/>
      <c r="I865" s="313" t="n"/>
      <c r="J865" s="199" t="n"/>
      <c r="K865" s="314" t="n"/>
      <c r="L865" s="170" t="n"/>
      <c r="M865" s="170" t="n"/>
      <c r="N865" s="170" t="n"/>
      <c r="O865" s="172" t="n"/>
      <c r="P865" s="172" t="n"/>
    </row>
    <row r="866">
      <c r="B866" s="170" t="n"/>
      <c r="C866" s="199" t="n"/>
      <c r="D866" s="312" t="n"/>
      <c r="E866" s="312" t="n"/>
      <c r="F866" s="312" t="n"/>
      <c r="G866" s="312" t="n"/>
      <c r="H866" s="312" t="n"/>
      <c r="I866" s="313" t="n"/>
      <c r="J866" s="199" t="n"/>
      <c r="K866" s="314" t="n"/>
      <c r="L866" s="170" t="n"/>
      <c r="M866" s="170" t="n"/>
      <c r="N866" s="170" t="n"/>
      <c r="O866" s="172" t="n"/>
      <c r="P866" s="172" t="n"/>
    </row>
    <row r="867">
      <c r="B867" s="170" t="n"/>
      <c r="C867" s="199" t="n"/>
      <c r="D867" s="312" t="n"/>
      <c r="E867" s="312" t="n"/>
      <c r="F867" s="312" t="n"/>
      <c r="G867" s="312" t="n"/>
      <c r="H867" s="312" t="n"/>
      <c r="I867" s="313" t="n"/>
      <c r="J867" s="199" t="n"/>
      <c r="K867" s="314" t="n"/>
      <c r="L867" s="170" t="n"/>
      <c r="M867" s="170" t="n"/>
      <c r="N867" s="170" t="n"/>
      <c r="O867" s="172" t="n"/>
      <c r="P867" s="172" t="n"/>
    </row>
    <row r="868">
      <c r="B868" s="170" t="n"/>
      <c r="C868" s="199" t="n"/>
      <c r="D868" s="312" t="n"/>
      <c r="E868" s="312" t="n"/>
      <c r="F868" s="312" t="n"/>
      <c r="G868" s="312" t="n"/>
      <c r="H868" s="312" t="n"/>
      <c r="I868" s="313" t="n"/>
      <c r="J868" s="199" t="n"/>
      <c r="K868" s="314" t="n"/>
      <c r="L868" s="170" t="n"/>
      <c r="M868" s="170" t="n"/>
      <c r="N868" s="170" t="n"/>
      <c r="O868" s="172" t="n"/>
      <c r="P868" s="172" t="n"/>
    </row>
    <row r="869">
      <c r="B869" s="170" t="n"/>
      <c r="C869" s="199" t="n"/>
      <c r="D869" s="312" t="n"/>
      <c r="E869" s="312" t="n"/>
      <c r="F869" s="312" t="n"/>
      <c r="G869" s="312" t="n"/>
      <c r="H869" s="312" t="n"/>
      <c r="I869" s="313" t="n"/>
      <c r="J869" s="199" t="n"/>
      <c r="K869" s="314" t="n"/>
      <c r="L869" s="170" t="n"/>
      <c r="M869" s="170" t="n"/>
      <c r="N869" s="170" t="n"/>
      <c r="O869" s="172" t="n"/>
      <c r="P869" s="172" t="n"/>
    </row>
    <row r="870">
      <c r="B870" s="170" t="n"/>
      <c r="C870" s="199" t="n"/>
      <c r="D870" s="312" t="n"/>
      <c r="E870" s="312" t="n"/>
      <c r="F870" s="312" t="n"/>
      <c r="G870" s="312" t="n"/>
      <c r="H870" s="312" t="n"/>
      <c r="I870" s="313" t="n"/>
      <c r="J870" s="199" t="n"/>
      <c r="K870" s="314" t="n"/>
      <c r="L870" s="170" t="n"/>
      <c r="M870" s="170" t="n"/>
      <c r="N870" s="170" t="n"/>
      <c r="O870" s="172" t="n"/>
      <c r="P870" s="172" t="n"/>
    </row>
    <row r="871">
      <c r="B871" s="170" t="n"/>
      <c r="C871" s="199" t="n"/>
      <c r="D871" s="312" t="n"/>
      <c r="E871" s="312" t="n"/>
      <c r="F871" s="312" t="n"/>
      <c r="G871" s="312" t="n"/>
      <c r="H871" s="312" t="n"/>
      <c r="I871" s="313" t="n"/>
      <c r="J871" s="199" t="n"/>
      <c r="K871" s="314" t="n"/>
      <c r="L871" s="170" t="n"/>
      <c r="M871" s="170" t="n"/>
      <c r="N871" s="170" t="n"/>
      <c r="O871" s="172" t="n"/>
      <c r="P871" s="172" t="n"/>
    </row>
    <row r="872">
      <c r="B872" s="170" t="n"/>
      <c r="C872" s="199" t="n"/>
      <c r="D872" s="312" t="n"/>
      <c r="E872" s="312" t="n"/>
      <c r="F872" s="312" t="n"/>
      <c r="G872" s="312" t="n"/>
      <c r="H872" s="312" t="n"/>
      <c r="I872" s="313" t="n"/>
      <c r="J872" s="199" t="n"/>
      <c r="K872" s="314" t="n"/>
      <c r="L872" s="170" t="n"/>
      <c r="M872" s="170" t="n"/>
      <c r="N872" s="170" t="n"/>
      <c r="O872" s="172" t="n"/>
      <c r="P872" s="172" t="n"/>
    </row>
    <row r="873">
      <c r="B873" s="170" t="n"/>
      <c r="C873" s="199" t="n"/>
      <c r="D873" s="312" t="n"/>
      <c r="E873" s="312" t="n"/>
      <c r="F873" s="312" t="n"/>
      <c r="G873" s="312" t="n"/>
      <c r="H873" s="312" t="n"/>
      <c r="I873" s="313" t="n"/>
      <c r="J873" s="199" t="n"/>
      <c r="K873" s="314" t="n"/>
      <c r="L873" s="170" t="n"/>
      <c r="M873" s="170" t="n"/>
      <c r="N873" s="170" t="n"/>
      <c r="O873" s="172" t="n"/>
      <c r="P873" s="172" t="n"/>
    </row>
    <row r="874">
      <c r="B874" s="170" t="n"/>
      <c r="C874" s="199" t="n"/>
      <c r="D874" s="312" t="n"/>
      <c r="E874" s="312" t="n"/>
      <c r="F874" s="312" t="n"/>
      <c r="G874" s="312" t="n"/>
      <c r="H874" s="312" t="n"/>
      <c r="I874" s="313" t="n"/>
      <c r="J874" s="199" t="n"/>
      <c r="K874" s="314" t="n"/>
      <c r="L874" s="170" t="n"/>
      <c r="M874" s="170" t="n"/>
      <c r="N874" s="170" t="n"/>
      <c r="O874" s="172" t="n"/>
      <c r="P874" s="172" t="n"/>
    </row>
    <row r="875">
      <c r="B875" s="170" t="n"/>
      <c r="C875" s="199" t="n"/>
      <c r="D875" s="312" t="n"/>
      <c r="E875" s="312" t="n"/>
      <c r="F875" s="312" t="n"/>
      <c r="G875" s="312" t="n"/>
      <c r="H875" s="312" t="n"/>
      <c r="I875" s="313" t="n"/>
      <c r="J875" s="199" t="n"/>
      <c r="K875" s="314" t="n"/>
      <c r="L875" s="170" t="n"/>
      <c r="M875" s="170" t="n"/>
      <c r="N875" s="170" t="n"/>
      <c r="O875" s="172" t="n"/>
      <c r="P875" s="172" t="n"/>
    </row>
    <row r="876">
      <c r="B876" s="170" t="n"/>
      <c r="C876" s="199" t="n"/>
      <c r="D876" s="312" t="n"/>
      <c r="E876" s="312" t="n"/>
      <c r="F876" s="312" t="n"/>
      <c r="G876" s="312" t="n"/>
      <c r="H876" s="312" t="n"/>
      <c r="I876" s="313" t="n"/>
      <c r="J876" s="199" t="n"/>
      <c r="K876" s="314" t="n"/>
      <c r="L876" s="170" t="n"/>
      <c r="M876" s="170" t="n"/>
      <c r="N876" s="170" t="n"/>
      <c r="O876" s="172" t="n"/>
      <c r="P876" s="172" t="n"/>
    </row>
    <row r="877">
      <c r="B877" s="170" t="n"/>
      <c r="C877" s="199" t="n"/>
      <c r="D877" s="312" t="n"/>
      <c r="E877" s="312" t="n"/>
      <c r="F877" s="312" t="n"/>
      <c r="G877" s="312" t="n"/>
      <c r="H877" s="312" t="n"/>
      <c r="I877" s="313" t="n"/>
      <c r="J877" s="199" t="n"/>
      <c r="K877" s="314" t="n"/>
      <c r="L877" s="170" t="n"/>
      <c r="M877" s="170" t="n"/>
      <c r="N877" s="170" t="n"/>
      <c r="O877" s="172" t="n"/>
      <c r="P877" s="172" t="n"/>
    </row>
    <row r="878">
      <c r="B878" s="170" t="n"/>
      <c r="C878" s="199" t="n"/>
      <c r="D878" s="312" t="n"/>
      <c r="E878" s="312" t="n"/>
      <c r="F878" s="312" t="n"/>
      <c r="G878" s="312" t="n"/>
      <c r="H878" s="312" t="n"/>
      <c r="I878" s="313" t="n"/>
      <c r="J878" s="199" t="n"/>
      <c r="K878" s="314" t="n"/>
      <c r="L878" s="170" t="n"/>
      <c r="M878" s="170" t="n"/>
      <c r="N878" s="170" t="n"/>
      <c r="O878" s="172" t="n"/>
      <c r="P878" s="172" t="n"/>
    </row>
    <row r="879">
      <c r="B879" s="170" t="n"/>
      <c r="C879" s="199" t="n"/>
      <c r="D879" s="312" t="n"/>
      <c r="E879" s="312" t="n"/>
      <c r="F879" s="312" t="n"/>
      <c r="G879" s="312" t="n"/>
      <c r="H879" s="312" t="n"/>
      <c r="I879" s="313" t="n"/>
      <c r="J879" s="199" t="n"/>
      <c r="K879" s="314" t="n"/>
      <c r="L879" s="170" t="n"/>
      <c r="M879" s="170" t="n"/>
      <c r="N879" s="170" t="n"/>
      <c r="O879" s="172" t="n"/>
      <c r="P879" s="172" t="n"/>
    </row>
    <row r="880">
      <c r="B880" s="170" t="n"/>
      <c r="C880" s="199" t="n"/>
      <c r="D880" s="312" t="n"/>
      <c r="E880" s="312" t="n"/>
      <c r="F880" s="312" t="n"/>
      <c r="G880" s="312" t="n"/>
      <c r="H880" s="312" t="n"/>
      <c r="I880" s="313" t="n"/>
      <c r="J880" s="199" t="n"/>
      <c r="K880" s="314" t="n"/>
      <c r="L880" s="170" t="n"/>
      <c r="M880" s="170" t="n"/>
      <c r="N880" s="170" t="n"/>
      <c r="O880" s="172" t="n"/>
      <c r="P880" s="172" t="n"/>
    </row>
    <row r="881">
      <c r="B881" s="170" t="n"/>
      <c r="C881" s="199" t="n"/>
      <c r="D881" s="312" t="n"/>
      <c r="E881" s="312" t="n"/>
      <c r="F881" s="312" t="n"/>
      <c r="G881" s="312" t="n"/>
      <c r="H881" s="312" t="n"/>
      <c r="I881" s="313" t="n"/>
      <c r="J881" s="199" t="n"/>
      <c r="K881" s="314" t="n"/>
      <c r="L881" s="170" t="n"/>
      <c r="M881" s="170" t="n"/>
      <c r="N881" s="170" t="n"/>
      <c r="O881" s="172" t="n"/>
      <c r="P881" s="172" t="n"/>
    </row>
    <row r="882">
      <c r="B882" s="170" t="n"/>
      <c r="C882" s="199" t="n"/>
      <c r="D882" s="312" t="n"/>
      <c r="E882" s="312" t="n"/>
      <c r="F882" s="312" t="n"/>
      <c r="G882" s="312" t="n"/>
      <c r="H882" s="312" t="n"/>
      <c r="I882" s="313" t="n"/>
      <c r="J882" s="199" t="n"/>
      <c r="K882" s="314" t="n"/>
      <c r="L882" s="170" t="n"/>
      <c r="M882" s="170" t="n"/>
      <c r="N882" s="170" t="n"/>
      <c r="O882" s="172" t="n"/>
      <c r="P882" s="172" t="n"/>
    </row>
    <row r="883">
      <c r="B883" s="170" t="n"/>
      <c r="C883" s="199" t="n"/>
      <c r="D883" s="312" t="n"/>
      <c r="E883" s="312" t="n"/>
      <c r="F883" s="312" t="n"/>
      <c r="G883" s="312" t="n"/>
      <c r="H883" s="312" t="n"/>
      <c r="I883" s="313" t="n"/>
      <c r="J883" s="199" t="n"/>
      <c r="K883" s="314" t="n"/>
      <c r="L883" s="170" t="n"/>
      <c r="M883" s="170" t="n"/>
      <c r="N883" s="170" t="n"/>
      <c r="O883" s="172" t="n"/>
      <c r="P883" s="172" t="n"/>
    </row>
    <row r="884">
      <c r="B884" s="170" t="n"/>
      <c r="C884" s="199" t="n"/>
      <c r="D884" s="312" t="n"/>
      <c r="E884" s="312" t="n"/>
      <c r="F884" s="312" t="n"/>
      <c r="G884" s="312" t="n"/>
      <c r="H884" s="312" t="n"/>
      <c r="I884" s="313" t="n"/>
      <c r="J884" s="199" t="n"/>
      <c r="K884" s="314" t="n"/>
      <c r="L884" s="170" t="n"/>
      <c r="M884" s="170" t="n"/>
      <c r="N884" s="170" t="n"/>
      <c r="O884" s="172" t="n"/>
      <c r="P884" s="172" t="n"/>
    </row>
    <row r="885">
      <c r="B885" s="170" t="n"/>
      <c r="C885" s="199" t="n"/>
      <c r="D885" s="312" t="n"/>
      <c r="E885" s="312" t="n"/>
      <c r="F885" s="312" t="n"/>
      <c r="G885" s="312" t="n"/>
      <c r="H885" s="312" t="n"/>
      <c r="I885" s="313" t="n"/>
      <c r="J885" s="199" t="n"/>
      <c r="K885" s="314" t="n"/>
      <c r="L885" s="170" t="n"/>
      <c r="M885" s="170" t="n"/>
      <c r="N885" s="170" t="n"/>
      <c r="O885" s="172" t="n"/>
      <c r="P885" s="172" t="n"/>
    </row>
    <row r="886">
      <c r="B886" s="170" t="n"/>
      <c r="C886" s="199" t="n"/>
      <c r="D886" s="312" t="n"/>
      <c r="E886" s="312" t="n"/>
      <c r="F886" s="312" t="n"/>
      <c r="G886" s="312" t="n"/>
      <c r="H886" s="312" t="n"/>
      <c r="I886" s="313" t="n"/>
      <c r="J886" s="199" t="n"/>
      <c r="K886" s="314" t="n"/>
      <c r="L886" s="170" t="n"/>
      <c r="M886" s="170" t="n"/>
      <c r="N886" s="170" t="n"/>
      <c r="O886" s="172" t="n"/>
      <c r="P886" s="172" t="n"/>
    </row>
    <row r="887">
      <c r="B887" s="170" t="n"/>
      <c r="C887" s="199" t="n"/>
      <c r="D887" s="312" t="n"/>
      <c r="E887" s="312" t="n"/>
      <c r="F887" s="312" t="n"/>
      <c r="G887" s="312" t="n"/>
      <c r="H887" s="312" t="n"/>
      <c r="I887" s="313" t="n"/>
      <c r="J887" s="199" t="n"/>
      <c r="K887" s="314" t="n"/>
      <c r="L887" s="170" t="n"/>
      <c r="M887" s="170" t="n"/>
      <c r="N887" s="170" t="n"/>
      <c r="O887" s="172" t="n"/>
      <c r="P887" s="172" t="n"/>
    </row>
    <row r="888">
      <c r="B888" s="170" t="n"/>
      <c r="C888" s="199" t="n"/>
      <c r="D888" s="312" t="n"/>
      <c r="E888" s="312" t="n"/>
      <c r="F888" s="312" t="n"/>
      <c r="G888" s="312" t="n"/>
      <c r="H888" s="312" t="n"/>
      <c r="I888" s="313" t="n"/>
      <c r="J888" s="199" t="n"/>
      <c r="K888" s="314" t="n"/>
      <c r="L888" s="170" t="n"/>
      <c r="M888" s="170" t="n"/>
      <c r="N888" s="170" t="n"/>
      <c r="O888" s="172" t="n"/>
      <c r="P888" s="172" t="n"/>
    </row>
    <row r="889">
      <c r="B889" s="170" t="n"/>
      <c r="C889" s="199" t="n"/>
      <c r="D889" s="312" t="n"/>
      <c r="E889" s="312" t="n"/>
      <c r="F889" s="312" t="n"/>
      <c r="G889" s="312" t="n"/>
      <c r="H889" s="312" t="n"/>
      <c r="I889" s="313" t="n"/>
      <c r="J889" s="199" t="n"/>
      <c r="K889" s="314" t="n"/>
      <c r="L889" s="170" t="n"/>
      <c r="M889" s="170" t="n"/>
      <c r="N889" s="170" t="n"/>
      <c r="O889" s="172" t="n"/>
      <c r="P889" s="172" t="n"/>
    </row>
    <row r="890">
      <c r="B890" s="170" t="n"/>
      <c r="C890" s="199" t="n"/>
      <c r="D890" s="312" t="n"/>
      <c r="E890" s="312" t="n"/>
      <c r="F890" s="312" t="n"/>
      <c r="G890" s="312" t="n"/>
      <c r="H890" s="312" t="n"/>
      <c r="I890" s="313" t="n"/>
      <c r="J890" s="199" t="n"/>
      <c r="K890" s="314" t="n"/>
      <c r="L890" s="170" t="n"/>
      <c r="M890" s="170" t="n"/>
      <c r="N890" s="170" t="n"/>
      <c r="O890" s="172" t="n"/>
      <c r="P890" s="172" t="n"/>
    </row>
    <row r="891">
      <c r="B891" s="170" t="n"/>
      <c r="C891" s="199" t="n"/>
      <c r="D891" s="312" t="n"/>
      <c r="E891" s="312" t="n"/>
      <c r="F891" s="312" t="n"/>
      <c r="G891" s="312" t="n"/>
      <c r="H891" s="312" t="n"/>
      <c r="I891" s="313" t="n"/>
      <c r="J891" s="199" t="n"/>
      <c r="K891" s="314" t="n"/>
      <c r="L891" s="170" t="n"/>
      <c r="M891" s="170" t="n"/>
      <c r="N891" s="170" t="n"/>
      <c r="O891" s="172" t="n"/>
      <c r="P891" s="172" t="n"/>
    </row>
    <row r="892">
      <c r="B892" s="170" t="n"/>
      <c r="C892" s="199" t="n"/>
      <c r="D892" s="312" t="n"/>
      <c r="E892" s="312" t="n"/>
      <c r="F892" s="312" t="n"/>
      <c r="G892" s="312" t="n"/>
      <c r="H892" s="312" t="n"/>
      <c r="I892" s="313" t="n"/>
      <c r="J892" s="199" t="n"/>
      <c r="K892" s="314" t="n"/>
      <c r="L892" s="170" t="n"/>
      <c r="M892" s="170" t="n"/>
      <c r="N892" s="170" t="n"/>
      <c r="O892" s="172" t="n"/>
      <c r="P892" s="172" t="n"/>
    </row>
    <row r="893">
      <c r="B893" s="170" t="n"/>
      <c r="C893" s="199" t="n"/>
      <c r="D893" s="312" t="n"/>
      <c r="E893" s="312" t="n"/>
      <c r="F893" s="312" t="n"/>
      <c r="G893" s="312" t="n"/>
      <c r="H893" s="312" t="n"/>
      <c r="I893" s="313" t="n"/>
      <c r="J893" s="199" t="n"/>
      <c r="K893" s="314" t="n"/>
      <c r="L893" s="170" t="n"/>
      <c r="M893" s="170" t="n"/>
      <c r="N893" s="170" t="n"/>
      <c r="O893" s="172" t="n"/>
      <c r="P893" s="172" t="n"/>
    </row>
    <row r="894">
      <c r="B894" s="170" t="n"/>
      <c r="C894" s="199" t="n"/>
      <c r="D894" s="312" t="n"/>
      <c r="E894" s="312" t="n"/>
      <c r="F894" s="312" t="n"/>
      <c r="G894" s="312" t="n"/>
      <c r="H894" s="312" t="n"/>
      <c r="I894" s="313" t="n"/>
      <c r="J894" s="199" t="n"/>
      <c r="K894" s="314" t="n"/>
      <c r="L894" s="170" t="n"/>
      <c r="M894" s="170" t="n"/>
      <c r="N894" s="170" t="n"/>
      <c r="O894" s="172" t="n"/>
      <c r="P894" s="172" t="n"/>
    </row>
    <row r="895">
      <c r="B895" s="170" t="n"/>
      <c r="C895" s="199" t="n"/>
      <c r="D895" s="312" t="n"/>
      <c r="E895" s="312" t="n"/>
      <c r="F895" s="312" t="n"/>
      <c r="G895" s="312" t="n"/>
      <c r="H895" s="312" t="n"/>
      <c r="I895" s="313" t="n"/>
      <c r="J895" s="199" t="n"/>
      <c r="K895" s="314" t="n"/>
      <c r="L895" s="170" t="n"/>
      <c r="M895" s="170" t="n"/>
      <c r="N895" s="170" t="n"/>
      <c r="O895" s="172" t="n"/>
      <c r="P895" s="172" t="n"/>
    </row>
    <row r="896">
      <c r="B896" s="170" t="n"/>
      <c r="C896" s="199" t="n"/>
      <c r="D896" s="312" t="n"/>
      <c r="E896" s="312" t="n"/>
      <c r="F896" s="312" t="n"/>
      <c r="G896" s="312" t="n"/>
      <c r="H896" s="312" t="n"/>
      <c r="I896" s="313" t="n"/>
      <c r="J896" s="199" t="n"/>
      <c r="K896" s="314" t="n"/>
      <c r="L896" s="170" t="n"/>
      <c r="M896" s="170" t="n"/>
      <c r="N896" s="170" t="n"/>
      <c r="O896" s="172" t="n"/>
      <c r="P896" s="172" t="n"/>
    </row>
    <row r="897">
      <c r="B897" s="170" t="n"/>
      <c r="C897" s="199" t="n"/>
      <c r="D897" s="312" t="n"/>
      <c r="E897" s="312" t="n"/>
      <c r="F897" s="312" t="n"/>
      <c r="G897" s="312" t="n"/>
      <c r="H897" s="312" t="n"/>
      <c r="I897" s="313" t="n"/>
      <c r="J897" s="199" t="n"/>
      <c r="K897" s="314" t="n"/>
      <c r="L897" s="170" t="n"/>
      <c r="M897" s="170" t="n"/>
      <c r="N897" s="170" t="n"/>
      <c r="O897" s="172" t="n"/>
      <c r="P897" s="172" t="n"/>
    </row>
    <row r="898">
      <c r="B898" s="170" t="n"/>
      <c r="C898" s="199" t="n"/>
      <c r="D898" s="312" t="n"/>
      <c r="E898" s="312" t="n"/>
      <c r="F898" s="312" t="n"/>
      <c r="G898" s="312" t="n"/>
      <c r="H898" s="312" t="n"/>
      <c r="I898" s="313" t="n"/>
      <c r="J898" s="199" t="n"/>
      <c r="K898" s="314" t="n"/>
      <c r="L898" s="170" t="n"/>
      <c r="M898" s="170" t="n"/>
      <c r="N898" s="170" t="n"/>
      <c r="O898" s="172" t="n"/>
      <c r="P898" s="172" t="n"/>
    </row>
    <row r="899">
      <c r="B899" s="170" t="n"/>
      <c r="C899" s="199" t="n"/>
      <c r="D899" s="312" t="n"/>
      <c r="E899" s="312" t="n"/>
      <c r="F899" s="312" t="n"/>
      <c r="G899" s="312" t="n"/>
      <c r="H899" s="312" t="n"/>
      <c r="I899" s="313" t="n"/>
      <c r="J899" s="199" t="n"/>
      <c r="K899" s="314" t="n"/>
      <c r="L899" s="170" t="n"/>
      <c r="M899" s="170" t="n"/>
      <c r="N899" s="170" t="n"/>
      <c r="O899" s="172" t="n"/>
      <c r="P899" s="172" t="n"/>
    </row>
    <row r="900">
      <c r="B900" s="170" t="n"/>
      <c r="C900" s="199" t="n"/>
      <c r="D900" s="312" t="n"/>
      <c r="E900" s="312" t="n"/>
      <c r="F900" s="312" t="n"/>
      <c r="G900" s="312" t="n"/>
      <c r="H900" s="312" t="n"/>
      <c r="I900" s="313" t="n"/>
      <c r="J900" s="199" t="n"/>
      <c r="K900" s="314" t="n"/>
      <c r="L900" s="170" t="n"/>
      <c r="M900" s="170" t="n"/>
      <c r="N900" s="170" t="n"/>
      <c r="O900" s="172" t="n"/>
      <c r="P900" s="172" t="n"/>
    </row>
    <row r="901">
      <c r="B901" s="170" t="n"/>
      <c r="C901" s="199" t="n"/>
      <c r="D901" s="312" t="n"/>
      <c r="E901" s="312" t="n"/>
      <c r="F901" s="312" t="n"/>
      <c r="G901" s="312" t="n"/>
      <c r="H901" s="312" t="n"/>
      <c r="I901" s="313" t="n"/>
      <c r="J901" s="199" t="n"/>
      <c r="K901" s="314" t="n"/>
      <c r="L901" s="170" t="n"/>
      <c r="M901" s="170" t="n"/>
      <c r="N901" s="170" t="n"/>
      <c r="O901" s="172" t="n"/>
      <c r="P901" s="172" t="n"/>
    </row>
    <row r="902">
      <c r="B902" s="170" t="n"/>
      <c r="C902" s="199" t="n"/>
      <c r="D902" s="312" t="n"/>
      <c r="E902" s="312" t="n"/>
      <c r="F902" s="312" t="n"/>
      <c r="G902" s="312" t="n"/>
      <c r="H902" s="312" t="n"/>
      <c r="I902" s="313" t="n"/>
      <c r="J902" s="199" t="n"/>
      <c r="K902" s="314" t="n"/>
      <c r="L902" s="170" t="n"/>
      <c r="M902" s="170" t="n"/>
      <c r="N902" s="170" t="n"/>
      <c r="O902" s="172" t="n"/>
      <c r="P902" s="172" t="n"/>
    </row>
    <row r="903">
      <c r="B903" s="170" t="n"/>
      <c r="C903" s="199" t="n"/>
      <c r="D903" s="312" t="n"/>
      <c r="E903" s="312" t="n"/>
      <c r="F903" s="312" t="n"/>
      <c r="G903" s="312" t="n"/>
      <c r="H903" s="312" t="n"/>
      <c r="I903" s="313" t="n"/>
      <c r="J903" s="199" t="n"/>
      <c r="K903" s="314" t="n"/>
      <c r="L903" s="170" t="n"/>
      <c r="M903" s="170" t="n"/>
      <c r="N903" s="170" t="n"/>
      <c r="O903" s="172" t="n"/>
      <c r="P903" s="172" t="n"/>
    </row>
    <row r="904">
      <c r="B904" s="170" t="n"/>
      <c r="C904" s="199" t="n"/>
      <c r="D904" s="312" t="n"/>
      <c r="E904" s="312" t="n"/>
      <c r="F904" s="312" t="n"/>
      <c r="G904" s="312" t="n"/>
      <c r="H904" s="312" t="n"/>
      <c r="I904" s="313" t="n"/>
      <c r="J904" s="199" t="n"/>
      <c r="K904" s="314" t="n"/>
      <c r="L904" s="170" t="n"/>
      <c r="M904" s="170" t="n"/>
      <c r="N904" s="170" t="n"/>
      <c r="O904" s="172" t="n"/>
      <c r="P904" s="172" t="n"/>
    </row>
    <row r="905">
      <c r="B905" s="170" t="n"/>
      <c r="C905" s="199" t="n"/>
      <c r="D905" s="312" t="n"/>
      <c r="E905" s="312" t="n"/>
      <c r="F905" s="312" t="n"/>
      <c r="G905" s="312" t="n"/>
      <c r="H905" s="312" t="n"/>
      <c r="I905" s="313" t="n"/>
      <c r="J905" s="199" t="n"/>
      <c r="K905" s="314" t="n"/>
      <c r="L905" s="170" t="n"/>
      <c r="M905" s="170" t="n"/>
      <c r="N905" s="170" t="n"/>
      <c r="O905" s="172" t="n"/>
      <c r="P905" s="172" t="n"/>
    </row>
    <row r="906">
      <c r="B906" s="170" t="n"/>
      <c r="C906" s="199" t="n"/>
      <c r="D906" s="312" t="n"/>
      <c r="E906" s="312" t="n"/>
      <c r="F906" s="312" t="n"/>
      <c r="G906" s="312" t="n"/>
      <c r="H906" s="312" t="n"/>
      <c r="I906" s="313" t="n"/>
      <c r="J906" s="199" t="n"/>
      <c r="K906" s="314" t="n"/>
      <c r="L906" s="170" t="n"/>
      <c r="M906" s="170" t="n"/>
      <c r="N906" s="170" t="n"/>
      <c r="O906" s="172" t="n"/>
      <c r="P906" s="172" t="n"/>
    </row>
    <row r="907">
      <c r="B907" s="170" t="n"/>
      <c r="C907" s="199" t="n"/>
      <c r="D907" s="312" t="n"/>
      <c r="E907" s="312" t="n"/>
      <c r="F907" s="312" t="n"/>
      <c r="G907" s="312" t="n"/>
      <c r="H907" s="312" t="n"/>
      <c r="I907" s="313" t="n"/>
      <c r="J907" s="199" t="n"/>
      <c r="K907" s="314" t="n"/>
      <c r="L907" s="170" t="n"/>
      <c r="M907" s="170" t="n"/>
      <c r="N907" s="170" t="n"/>
      <c r="O907" s="172" t="n"/>
      <c r="P907" s="172" t="n"/>
    </row>
    <row r="908">
      <c r="B908" s="170" t="n"/>
      <c r="C908" s="199" t="n"/>
      <c r="D908" s="312" t="n"/>
      <c r="E908" s="312" t="n"/>
      <c r="F908" s="312" t="n"/>
      <c r="G908" s="312" t="n"/>
      <c r="H908" s="312" t="n"/>
      <c r="I908" s="313" t="n"/>
      <c r="J908" s="199" t="n"/>
      <c r="K908" s="314" t="n"/>
      <c r="L908" s="170" t="n"/>
      <c r="M908" s="170" t="n"/>
      <c r="N908" s="170" t="n"/>
      <c r="O908" s="172" t="n"/>
      <c r="P908" s="172" t="n"/>
    </row>
    <row r="909">
      <c r="B909" s="170" t="n"/>
      <c r="C909" s="199" t="n"/>
      <c r="D909" s="312" t="n"/>
      <c r="E909" s="312" t="n"/>
      <c r="F909" s="312" t="n"/>
      <c r="G909" s="312" t="n"/>
      <c r="H909" s="312" t="n"/>
      <c r="I909" s="313" t="n"/>
      <c r="J909" s="199" t="n"/>
      <c r="K909" s="314" t="n"/>
      <c r="L909" s="170" t="n"/>
      <c r="M909" s="170" t="n"/>
      <c r="N909" s="170" t="n"/>
      <c r="O909" s="172" t="n"/>
      <c r="P909" s="172" t="n"/>
    </row>
    <row r="910">
      <c r="B910" s="170" t="n"/>
      <c r="C910" s="199" t="n"/>
      <c r="D910" s="312" t="n"/>
      <c r="E910" s="312" t="n"/>
      <c r="F910" s="312" t="n"/>
      <c r="G910" s="312" t="n"/>
      <c r="H910" s="312" t="n"/>
      <c r="I910" s="313" t="n"/>
      <c r="J910" s="199" t="n"/>
      <c r="K910" s="314" t="n"/>
      <c r="L910" s="170" t="n"/>
      <c r="M910" s="170" t="n"/>
      <c r="N910" s="170" t="n"/>
      <c r="O910" s="172" t="n"/>
      <c r="P910" s="172" t="n"/>
    </row>
    <row r="911">
      <c r="B911" s="170" t="n"/>
      <c r="C911" s="199" t="n"/>
      <c r="D911" s="312" t="n"/>
      <c r="E911" s="312" t="n"/>
      <c r="F911" s="312" t="n"/>
      <c r="G911" s="312" t="n"/>
      <c r="H911" s="312" t="n"/>
      <c r="I911" s="313" t="n"/>
      <c r="J911" s="199" t="n"/>
      <c r="K911" s="314" t="n"/>
      <c r="L911" s="170" t="n"/>
      <c r="M911" s="170" t="n"/>
      <c r="N911" s="170" t="n"/>
      <c r="O911" s="172" t="n"/>
      <c r="P911" s="172" t="n"/>
    </row>
    <row r="912">
      <c r="B912" s="170" t="n"/>
      <c r="C912" s="199" t="n"/>
      <c r="D912" s="312" t="n"/>
      <c r="E912" s="312" t="n"/>
      <c r="F912" s="312" t="n"/>
      <c r="G912" s="312" t="n"/>
      <c r="H912" s="312" t="n"/>
      <c r="I912" s="313" t="n"/>
      <c r="J912" s="199" t="n"/>
      <c r="K912" s="314" t="n"/>
      <c r="L912" s="170" t="n"/>
      <c r="M912" s="170" t="n"/>
      <c r="N912" s="170" t="n"/>
      <c r="O912" s="172" t="n"/>
      <c r="P912" s="172" t="n"/>
    </row>
    <row r="913">
      <c r="B913" s="170" t="n"/>
      <c r="C913" s="199" t="n"/>
      <c r="D913" s="312" t="n"/>
      <c r="E913" s="312" t="n"/>
      <c r="F913" s="312" t="n"/>
      <c r="G913" s="312" t="n"/>
      <c r="H913" s="312" t="n"/>
      <c r="I913" s="313" t="n"/>
      <c r="J913" s="199" t="n"/>
      <c r="K913" s="314" t="n"/>
      <c r="L913" s="170" t="n"/>
      <c r="M913" s="170" t="n"/>
      <c r="N913" s="170" t="n"/>
      <c r="O913" s="172" t="n"/>
      <c r="P913" s="172" t="n"/>
    </row>
    <row r="914">
      <c r="B914" s="170" t="n"/>
      <c r="C914" s="199" t="n"/>
      <c r="D914" s="312" t="n"/>
      <c r="E914" s="312" t="n"/>
      <c r="F914" s="312" t="n"/>
      <c r="G914" s="312" t="n"/>
      <c r="H914" s="312" t="n"/>
      <c r="I914" s="313" t="n"/>
      <c r="J914" s="199" t="n"/>
      <c r="K914" s="314" t="n"/>
      <c r="L914" s="170" t="n"/>
      <c r="M914" s="170" t="n"/>
      <c r="N914" s="170" t="n"/>
      <c r="O914" s="172" t="n"/>
      <c r="P914" s="172" t="n"/>
    </row>
    <row r="915">
      <c r="B915" s="170" t="n"/>
      <c r="C915" s="199" t="n"/>
      <c r="D915" s="312" t="n"/>
      <c r="E915" s="312" t="n"/>
      <c r="F915" s="312" t="n"/>
      <c r="G915" s="312" t="n"/>
      <c r="H915" s="312" t="n"/>
      <c r="I915" s="313" t="n"/>
      <c r="J915" s="199" t="n"/>
      <c r="K915" s="314" t="n"/>
      <c r="L915" s="170" t="n"/>
      <c r="M915" s="170" t="n"/>
      <c r="N915" s="170" t="n"/>
      <c r="O915" s="172" t="n"/>
      <c r="P915" s="172" t="n"/>
    </row>
    <row r="916">
      <c r="B916" s="170" t="n"/>
      <c r="C916" s="199" t="n"/>
      <c r="D916" s="312" t="n"/>
      <c r="E916" s="312" t="n"/>
      <c r="F916" s="312" t="n"/>
      <c r="G916" s="312" t="n"/>
      <c r="H916" s="312" t="n"/>
      <c r="I916" s="313" t="n"/>
      <c r="J916" s="199" t="n"/>
      <c r="K916" s="314" t="n"/>
      <c r="L916" s="170" t="n"/>
      <c r="M916" s="170" t="n"/>
      <c r="N916" s="170" t="n"/>
      <c r="O916" s="172" t="n"/>
      <c r="P916" s="172" t="n"/>
    </row>
    <row r="917">
      <c r="B917" s="170" t="n"/>
      <c r="C917" s="199" t="n"/>
      <c r="D917" s="312" t="n"/>
      <c r="E917" s="312" t="n"/>
      <c r="F917" s="312" t="n"/>
      <c r="G917" s="312" t="n"/>
      <c r="H917" s="312" t="n"/>
      <c r="I917" s="313" t="n"/>
      <c r="J917" s="199" t="n"/>
      <c r="K917" s="314" t="n"/>
      <c r="L917" s="170" t="n"/>
      <c r="M917" s="170" t="n"/>
      <c r="N917" s="170" t="n"/>
      <c r="O917" s="172" t="n"/>
      <c r="P917" s="172" t="n"/>
    </row>
    <row r="918">
      <c r="B918" s="170" t="n"/>
      <c r="C918" s="199" t="n"/>
      <c r="D918" s="312" t="n"/>
      <c r="E918" s="312" t="n"/>
      <c r="F918" s="312" t="n"/>
      <c r="G918" s="312" t="n"/>
      <c r="H918" s="312" t="n"/>
      <c r="I918" s="313" t="n"/>
      <c r="J918" s="199" t="n"/>
      <c r="K918" s="314" t="n"/>
      <c r="L918" s="170" t="n"/>
      <c r="M918" s="170" t="n"/>
      <c r="N918" s="170" t="n"/>
      <c r="O918" s="172" t="n"/>
      <c r="P918" s="172" t="n"/>
    </row>
    <row r="919">
      <c r="B919" s="170" t="n"/>
      <c r="C919" s="199" t="n"/>
      <c r="D919" s="312" t="n"/>
      <c r="E919" s="312" t="n"/>
      <c r="F919" s="312" t="n"/>
      <c r="G919" s="312" t="n"/>
      <c r="H919" s="312" t="n"/>
      <c r="I919" s="313" t="n"/>
      <c r="J919" s="199" t="n"/>
      <c r="K919" s="314" t="n"/>
      <c r="L919" s="170" t="n"/>
      <c r="M919" s="170" t="n"/>
      <c r="N919" s="170" t="n"/>
      <c r="O919" s="172" t="n"/>
      <c r="P919" s="172" t="n"/>
    </row>
    <row r="920">
      <c r="B920" s="170" t="n"/>
      <c r="C920" s="199" t="n"/>
      <c r="D920" s="312" t="n"/>
      <c r="E920" s="312" t="n"/>
      <c r="F920" s="312" t="n"/>
      <c r="G920" s="312" t="n"/>
      <c r="H920" s="312" t="n"/>
      <c r="I920" s="313" t="n"/>
      <c r="J920" s="199" t="n"/>
      <c r="K920" s="314" t="n"/>
      <c r="L920" s="170" t="n"/>
      <c r="M920" s="170" t="n"/>
      <c r="N920" s="170" t="n"/>
      <c r="O920" s="172" t="n"/>
      <c r="P920" s="172" t="n"/>
    </row>
    <row r="921">
      <c r="B921" s="170" t="n"/>
      <c r="C921" s="199" t="n"/>
      <c r="D921" s="312" t="n"/>
      <c r="E921" s="312" t="n"/>
      <c r="F921" s="312" t="n"/>
      <c r="G921" s="312" t="n"/>
      <c r="H921" s="312" t="n"/>
      <c r="I921" s="313" t="n"/>
      <c r="J921" s="199" t="n"/>
      <c r="K921" s="314" t="n"/>
      <c r="L921" s="170" t="n"/>
      <c r="M921" s="170" t="n"/>
      <c r="N921" s="170" t="n"/>
      <c r="O921" s="172" t="n"/>
      <c r="P921" s="172" t="n"/>
    </row>
    <row r="922">
      <c r="B922" s="170" t="n"/>
      <c r="C922" s="199" t="n"/>
      <c r="D922" s="312" t="n"/>
      <c r="E922" s="312" t="n"/>
      <c r="F922" s="312" t="n"/>
      <c r="G922" s="312" t="n"/>
      <c r="H922" s="312" t="n"/>
      <c r="I922" s="313" t="n"/>
      <c r="J922" s="199" t="n"/>
      <c r="K922" s="314" t="n"/>
      <c r="L922" s="170" t="n"/>
      <c r="M922" s="170" t="n"/>
      <c r="N922" s="170" t="n"/>
      <c r="O922" s="172" t="n"/>
      <c r="P922" s="172" t="n"/>
    </row>
    <row r="923">
      <c r="B923" s="170" t="n"/>
      <c r="C923" s="199" t="n"/>
      <c r="D923" s="312" t="n"/>
      <c r="E923" s="312" t="n"/>
      <c r="F923" s="312" t="n"/>
      <c r="G923" s="312" t="n"/>
      <c r="H923" s="312" t="n"/>
      <c r="I923" s="313" t="n"/>
      <c r="J923" s="199" t="n"/>
      <c r="K923" s="314" t="n"/>
      <c r="L923" s="170" t="n"/>
      <c r="M923" s="170" t="n"/>
      <c r="N923" s="170" t="n"/>
      <c r="O923" s="172" t="n"/>
      <c r="P923" s="172" t="n"/>
    </row>
    <row r="924">
      <c r="B924" s="170" t="n"/>
      <c r="C924" s="199" t="n"/>
      <c r="D924" s="312" t="n"/>
      <c r="E924" s="312" t="n"/>
      <c r="F924" s="312" t="n"/>
      <c r="G924" s="312" t="n"/>
      <c r="H924" s="312" t="n"/>
      <c r="I924" s="313" t="n"/>
      <c r="J924" s="199" t="n"/>
      <c r="K924" s="314" t="n"/>
      <c r="L924" s="170" t="n"/>
      <c r="M924" s="170" t="n"/>
      <c r="N924" s="170" t="n"/>
      <c r="O924" s="172" t="n"/>
      <c r="P924" s="172" t="n"/>
    </row>
    <row r="925">
      <c r="B925" s="170" t="n"/>
      <c r="C925" s="199" t="n"/>
      <c r="D925" s="312" t="n"/>
      <c r="E925" s="312" t="n"/>
      <c r="F925" s="312" t="n"/>
      <c r="G925" s="312" t="n"/>
      <c r="H925" s="312" t="n"/>
      <c r="I925" s="313" t="n"/>
      <c r="J925" s="199" t="n"/>
      <c r="K925" s="314" t="n"/>
      <c r="L925" s="170" t="n"/>
      <c r="M925" s="170" t="n"/>
      <c r="N925" s="170" t="n"/>
      <c r="O925" s="172" t="n"/>
      <c r="P925" s="172" t="n"/>
    </row>
    <row r="926">
      <c r="B926" s="170" t="n"/>
      <c r="C926" s="199" t="n"/>
      <c r="D926" s="312" t="n"/>
      <c r="E926" s="312" t="n"/>
      <c r="F926" s="312" t="n"/>
      <c r="G926" s="312" t="n"/>
      <c r="H926" s="312" t="n"/>
      <c r="I926" s="313" t="n"/>
      <c r="J926" s="199" t="n"/>
      <c r="K926" s="314" t="n"/>
      <c r="L926" s="170" t="n"/>
      <c r="M926" s="170" t="n"/>
      <c r="N926" s="170" t="n"/>
      <c r="O926" s="172" t="n"/>
      <c r="P926" s="172" t="n"/>
    </row>
    <row r="927">
      <c r="B927" s="170" t="n"/>
      <c r="C927" s="199" t="n"/>
      <c r="D927" s="312" t="n"/>
      <c r="E927" s="312" t="n"/>
      <c r="F927" s="312" t="n"/>
      <c r="G927" s="312" t="n"/>
      <c r="H927" s="312" t="n"/>
      <c r="I927" s="313" t="n"/>
      <c r="J927" s="199" t="n"/>
      <c r="K927" s="314" t="n"/>
      <c r="L927" s="170" t="n"/>
      <c r="M927" s="170" t="n"/>
      <c r="N927" s="170" t="n"/>
      <c r="O927" s="172" t="n"/>
      <c r="P927" s="172" t="n"/>
    </row>
    <row r="928">
      <c r="B928" s="170" t="n"/>
      <c r="C928" s="199" t="n"/>
      <c r="D928" s="312" t="n"/>
      <c r="E928" s="312" t="n"/>
      <c r="F928" s="312" t="n"/>
      <c r="G928" s="312" t="n"/>
      <c r="H928" s="312" t="n"/>
      <c r="I928" s="313" t="n"/>
      <c r="J928" s="199" t="n"/>
      <c r="K928" s="314" t="n"/>
      <c r="L928" s="170" t="n"/>
      <c r="M928" s="170" t="n"/>
      <c r="N928" s="170" t="n"/>
      <c r="O928" s="172" t="n"/>
      <c r="P928" s="172" t="n"/>
    </row>
    <row r="929">
      <c r="B929" s="170" t="n"/>
      <c r="C929" s="199" t="n"/>
      <c r="D929" s="312" t="n"/>
      <c r="E929" s="312" t="n"/>
      <c r="F929" s="312" t="n"/>
      <c r="G929" s="312" t="n"/>
      <c r="H929" s="312" t="n"/>
      <c r="I929" s="313" t="n"/>
      <c r="J929" s="199" t="n"/>
      <c r="K929" s="314" t="n"/>
      <c r="L929" s="170" t="n"/>
      <c r="M929" s="170" t="n"/>
      <c r="N929" s="170" t="n"/>
      <c r="O929" s="172" t="n"/>
      <c r="P929" s="172" t="n"/>
    </row>
    <row r="930">
      <c r="B930" s="170" t="n"/>
      <c r="C930" s="199" t="n"/>
      <c r="D930" s="312" t="n"/>
      <c r="E930" s="312" t="n"/>
      <c r="F930" s="312" t="n"/>
      <c r="G930" s="312" t="n"/>
      <c r="H930" s="312" t="n"/>
      <c r="I930" s="313" t="n"/>
      <c r="J930" s="199" t="n"/>
      <c r="K930" s="314" t="n"/>
      <c r="L930" s="170" t="n"/>
      <c r="M930" s="170" t="n"/>
      <c r="N930" s="170" t="n"/>
      <c r="O930" s="172" t="n"/>
      <c r="P930" s="172" t="n"/>
    </row>
    <row r="931">
      <c r="B931" s="170" t="n"/>
      <c r="C931" s="199" t="n"/>
      <c r="D931" s="312" t="n"/>
      <c r="E931" s="312" t="n"/>
      <c r="F931" s="312" t="n"/>
      <c r="G931" s="312" t="n"/>
      <c r="H931" s="312" t="n"/>
      <c r="I931" s="313" t="n"/>
      <c r="J931" s="199" t="n"/>
      <c r="K931" s="314" t="n"/>
      <c r="L931" s="170" t="n"/>
      <c r="M931" s="170" t="n"/>
      <c r="N931" s="170" t="n"/>
      <c r="O931" s="172" t="n"/>
      <c r="P931" s="172" t="n"/>
    </row>
    <row r="932">
      <c r="B932" s="170" t="n"/>
      <c r="C932" s="199" t="n"/>
      <c r="D932" s="312" t="n"/>
      <c r="E932" s="312" t="n"/>
      <c r="F932" s="312" t="n"/>
      <c r="G932" s="312" t="n"/>
      <c r="H932" s="312" t="n"/>
      <c r="I932" s="313" t="n"/>
      <c r="J932" s="199" t="n"/>
      <c r="K932" s="314" t="n"/>
      <c r="L932" s="170" t="n"/>
      <c r="M932" s="170" t="n"/>
      <c r="N932" s="170" t="n"/>
      <c r="O932" s="172" t="n"/>
      <c r="P932" s="172" t="n"/>
    </row>
    <row r="933">
      <c r="B933" s="170" t="n"/>
      <c r="C933" s="199" t="n"/>
      <c r="D933" s="312" t="n"/>
      <c r="E933" s="312" t="n"/>
      <c r="F933" s="312" t="n"/>
      <c r="G933" s="312" t="n"/>
      <c r="H933" s="312" t="n"/>
      <c r="I933" s="313" t="n"/>
      <c r="J933" s="199" t="n"/>
      <c r="K933" s="314" t="n"/>
      <c r="L933" s="170" t="n"/>
      <c r="M933" s="170" t="n"/>
      <c r="N933" s="170" t="n"/>
      <c r="O933" s="172" t="n"/>
      <c r="P933" s="172" t="n"/>
    </row>
    <row r="934">
      <c r="B934" s="170" t="n"/>
      <c r="C934" s="199" t="n"/>
      <c r="D934" s="312" t="n"/>
      <c r="E934" s="312" t="n"/>
      <c r="F934" s="312" t="n"/>
      <c r="G934" s="312" t="n"/>
      <c r="H934" s="312" t="n"/>
      <c r="I934" s="313" t="n"/>
      <c r="J934" s="199" t="n"/>
      <c r="K934" s="314" t="n"/>
      <c r="L934" s="170" t="n"/>
      <c r="M934" s="170" t="n"/>
      <c r="N934" s="170" t="n"/>
      <c r="O934" s="172" t="n"/>
      <c r="P934" s="172" t="n"/>
    </row>
    <row r="935">
      <c r="B935" s="170" t="n"/>
      <c r="C935" s="199" t="n"/>
      <c r="D935" s="312" t="n"/>
      <c r="E935" s="312" t="n"/>
      <c r="F935" s="312" t="n"/>
      <c r="G935" s="312" t="n"/>
      <c r="H935" s="312" t="n"/>
      <c r="I935" s="313" t="n"/>
      <c r="J935" s="199" t="n"/>
      <c r="K935" s="314" t="n"/>
      <c r="L935" s="170" t="n"/>
      <c r="M935" s="170" t="n"/>
      <c r="N935" s="170" t="n"/>
      <c r="O935" s="172" t="n"/>
      <c r="P935" s="172" t="n"/>
    </row>
    <row r="936">
      <c r="B936" s="170" t="n"/>
      <c r="C936" s="199" t="n"/>
      <c r="D936" s="312" t="n"/>
      <c r="E936" s="312" t="n"/>
      <c r="F936" s="312" t="n"/>
      <c r="G936" s="312" t="n"/>
      <c r="H936" s="312" t="n"/>
      <c r="I936" s="313" t="n"/>
      <c r="J936" s="199" t="n"/>
      <c r="K936" s="314" t="n"/>
      <c r="L936" s="170" t="n"/>
      <c r="M936" s="170" t="n"/>
      <c r="N936" s="170" t="n"/>
      <c r="O936" s="172" t="n"/>
      <c r="P936" s="172" t="n"/>
    </row>
    <row r="937">
      <c r="B937" s="170" t="n"/>
      <c r="C937" s="199" t="n"/>
      <c r="D937" s="312" t="n"/>
      <c r="E937" s="312" t="n"/>
      <c r="F937" s="312" t="n"/>
      <c r="G937" s="312" t="n"/>
      <c r="H937" s="312" t="n"/>
      <c r="I937" s="313" t="n"/>
      <c r="J937" s="199" t="n"/>
      <c r="K937" s="314" t="n"/>
      <c r="L937" s="170" t="n"/>
      <c r="M937" s="170" t="n"/>
      <c r="N937" s="170" t="n"/>
      <c r="O937" s="172" t="n"/>
      <c r="P937" s="172" t="n"/>
    </row>
    <row r="938">
      <c r="B938" s="170" t="n"/>
      <c r="C938" s="199" t="n"/>
      <c r="D938" s="312" t="n"/>
      <c r="E938" s="312" t="n"/>
      <c r="F938" s="312" t="n"/>
      <c r="G938" s="312" t="n"/>
      <c r="H938" s="312" t="n"/>
      <c r="I938" s="313" t="n"/>
      <c r="J938" s="199" t="n"/>
      <c r="K938" s="314" t="n"/>
      <c r="L938" s="170" t="n"/>
      <c r="M938" s="170" t="n"/>
      <c r="N938" s="170" t="n"/>
      <c r="O938" s="172" t="n"/>
      <c r="P938" s="172" t="n"/>
    </row>
    <row r="939">
      <c r="B939" s="170" t="n"/>
      <c r="C939" s="199" t="n"/>
      <c r="D939" s="312" t="n"/>
      <c r="E939" s="312" t="n"/>
      <c r="F939" s="312" t="n"/>
      <c r="G939" s="312" t="n"/>
      <c r="H939" s="312" t="n"/>
      <c r="I939" s="313" t="n"/>
      <c r="J939" s="199" t="n"/>
      <c r="K939" s="314" t="n"/>
      <c r="L939" s="170" t="n"/>
      <c r="M939" s="170" t="n"/>
      <c r="N939" s="170" t="n"/>
      <c r="O939" s="172" t="n"/>
      <c r="P939" s="172" t="n"/>
    </row>
    <row r="940">
      <c r="B940" s="170" t="n"/>
      <c r="C940" s="199" t="n"/>
      <c r="D940" s="312" t="n"/>
      <c r="E940" s="312" t="n"/>
      <c r="F940" s="312" t="n"/>
      <c r="G940" s="312" t="n"/>
      <c r="H940" s="312" t="n"/>
      <c r="I940" s="313" t="n"/>
      <c r="J940" s="199" t="n"/>
      <c r="K940" s="314" t="n"/>
      <c r="L940" s="170" t="n"/>
      <c r="M940" s="170" t="n"/>
      <c r="N940" s="170" t="n"/>
      <c r="O940" s="172" t="n"/>
      <c r="P940" s="172" t="n"/>
    </row>
    <row r="941">
      <c r="B941" s="170" t="n"/>
      <c r="C941" s="199" t="n"/>
      <c r="D941" s="312" t="n"/>
      <c r="E941" s="312" t="n"/>
      <c r="F941" s="312" t="n"/>
      <c r="G941" s="312" t="n"/>
      <c r="H941" s="312" t="n"/>
      <c r="I941" s="313" t="n"/>
      <c r="J941" s="199" t="n"/>
      <c r="K941" s="314" t="n"/>
      <c r="L941" s="170" t="n"/>
      <c r="M941" s="170" t="n"/>
      <c r="N941" s="170" t="n"/>
      <c r="O941" s="172" t="n"/>
      <c r="P941" s="172" t="n"/>
    </row>
    <row r="942">
      <c r="B942" s="170" t="n"/>
      <c r="C942" s="199" t="n"/>
      <c r="D942" s="312" t="n"/>
      <c r="E942" s="312" t="n"/>
      <c r="F942" s="312" t="n"/>
      <c r="G942" s="312" t="n"/>
      <c r="H942" s="312" t="n"/>
      <c r="I942" s="313" t="n"/>
      <c r="J942" s="199" t="n"/>
      <c r="K942" s="314" t="n"/>
      <c r="L942" s="170" t="n"/>
      <c r="M942" s="170" t="n"/>
      <c r="N942" s="170" t="n"/>
      <c r="O942" s="172" t="n"/>
      <c r="P942" s="172" t="n"/>
    </row>
    <row r="943">
      <c r="B943" s="170" t="n"/>
      <c r="C943" s="199" t="n"/>
      <c r="D943" s="312" t="n"/>
      <c r="E943" s="312" t="n"/>
      <c r="F943" s="312" t="n"/>
      <c r="G943" s="312" t="n"/>
      <c r="H943" s="312" t="n"/>
      <c r="I943" s="313" t="n"/>
      <c r="J943" s="199" t="n"/>
      <c r="K943" s="314" t="n"/>
      <c r="L943" s="170" t="n"/>
      <c r="M943" s="170" t="n"/>
      <c r="N943" s="170" t="n"/>
      <c r="O943" s="172" t="n"/>
      <c r="P943" s="172" t="n"/>
    </row>
    <row r="944">
      <c r="B944" s="170" t="n"/>
      <c r="C944" s="199" t="n"/>
      <c r="D944" s="312" t="n"/>
      <c r="E944" s="312" t="n"/>
      <c r="F944" s="312" t="n"/>
      <c r="G944" s="312" t="n"/>
      <c r="H944" s="312" t="n"/>
      <c r="I944" s="313" t="n"/>
      <c r="J944" s="199" t="n"/>
      <c r="K944" s="314" t="n"/>
      <c r="L944" s="170" t="n"/>
      <c r="M944" s="170" t="n"/>
      <c r="N944" s="170" t="n"/>
      <c r="O944" s="172" t="n"/>
      <c r="P944" s="172" t="n"/>
    </row>
    <row r="945">
      <c r="B945" s="170" t="n"/>
      <c r="C945" s="199" t="n"/>
      <c r="D945" s="312" t="n"/>
      <c r="E945" s="312" t="n"/>
      <c r="F945" s="312" t="n"/>
      <c r="G945" s="312" t="n"/>
      <c r="H945" s="312" t="n"/>
      <c r="I945" s="313" t="n"/>
      <c r="J945" s="199" t="n"/>
      <c r="K945" s="314" t="n"/>
      <c r="L945" s="170" t="n"/>
      <c r="M945" s="170" t="n"/>
      <c r="N945" s="170" t="n"/>
      <c r="O945" s="172" t="n"/>
      <c r="P945" s="172" t="n"/>
    </row>
    <row r="946">
      <c r="B946" s="170" t="n"/>
      <c r="C946" s="199" t="n"/>
      <c r="D946" s="312" t="n"/>
      <c r="E946" s="312" t="n"/>
      <c r="F946" s="312" t="n"/>
      <c r="G946" s="312" t="n"/>
      <c r="H946" s="312" t="n"/>
      <c r="I946" s="313" t="n"/>
      <c r="J946" s="199" t="n"/>
      <c r="K946" s="314" t="n"/>
      <c r="L946" s="170" t="n"/>
      <c r="M946" s="170" t="n"/>
      <c r="N946" s="170" t="n"/>
      <c r="O946" s="172" t="n"/>
      <c r="P946" s="172" t="n"/>
    </row>
    <row r="947">
      <c r="B947" s="170" t="n"/>
      <c r="C947" s="199" t="n"/>
      <c r="D947" s="312" t="n"/>
      <c r="E947" s="312" t="n"/>
      <c r="F947" s="312" t="n"/>
      <c r="G947" s="312" t="n"/>
      <c r="H947" s="312" t="n"/>
      <c r="I947" s="313" t="n"/>
      <c r="J947" s="199" t="n"/>
      <c r="K947" s="314" t="n"/>
      <c r="L947" s="170" t="n"/>
      <c r="M947" s="170" t="n"/>
      <c r="N947" s="170" t="n"/>
      <c r="O947" s="172" t="n"/>
      <c r="P947" s="172" t="n"/>
    </row>
    <row r="948">
      <c r="B948" s="170" t="n"/>
      <c r="C948" s="199" t="n"/>
      <c r="D948" s="312" t="n"/>
      <c r="E948" s="312" t="n"/>
      <c r="F948" s="312" t="n"/>
      <c r="G948" s="312" t="n"/>
      <c r="H948" s="312" t="n"/>
      <c r="I948" s="313" t="n"/>
      <c r="J948" s="199" t="n"/>
      <c r="K948" s="314" t="n"/>
      <c r="L948" s="170" t="n"/>
      <c r="M948" s="170" t="n"/>
      <c r="N948" s="170" t="n"/>
      <c r="O948" s="172" t="n"/>
      <c r="P948" s="172" t="n"/>
    </row>
    <row r="949">
      <c r="B949" s="170" t="n"/>
      <c r="C949" s="199" t="n"/>
      <c r="D949" s="312" t="n"/>
      <c r="E949" s="312" t="n"/>
      <c r="F949" s="312" t="n"/>
      <c r="G949" s="312" t="n"/>
      <c r="H949" s="312" t="n"/>
      <c r="I949" s="313" t="n"/>
      <c r="J949" s="199" t="n"/>
      <c r="K949" s="314" t="n"/>
      <c r="L949" s="170" t="n"/>
      <c r="M949" s="170" t="n"/>
      <c r="N949" s="170" t="n"/>
      <c r="O949" s="172" t="n"/>
      <c r="P949" s="172" t="n"/>
    </row>
    <row r="950">
      <c r="B950" s="170" t="n"/>
      <c r="C950" s="199" t="n"/>
      <c r="D950" s="312" t="n"/>
      <c r="E950" s="312" t="n"/>
      <c r="F950" s="312" t="n"/>
      <c r="G950" s="312" t="n"/>
      <c r="H950" s="312" t="n"/>
      <c r="I950" s="313" t="n"/>
      <c r="J950" s="199" t="n"/>
      <c r="K950" s="314" t="n"/>
      <c r="L950" s="170" t="n"/>
      <c r="M950" s="170" t="n"/>
      <c r="N950" s="170" t="n"/>
      <c r="O950" s="172" t="n"/>
      <c r="P950" s="172" t="n"/>
    </row>
    <row r="951">
      <c r="B951" s="170" t="n"/>
      <c r="C951" s="199" t="n"/>
      <c r="D951" s="312" t="n"/>
      <c r="E951" s="312" t="n"/>
      <c r="F951" s="312" t="n"/>
      <c r="G951" s="312" t="n"/>
      <c r="H951" s="312" t="n"/>
      <c r="I951" s="313" t="n"/>
      <c r="J951" s="199" t="n"/>
      <c r="K951" s="314" t="n"/>
      <c r="L951" s="170" t="n"/>
      <c r="M951" s="170" t="n"/>
      <c r="N951" s="170" t="n"/>
      <c r="O951" s="172" t="n"/>
      <c r="P951" s="172" t="n"/>
    </row>
    <row r="952">
      <c r="B952" s="170" t="n"/>
      <c r="C952" s="199" t="n"/>
      <c r="D952" s="312" t="n"/>
      <c r="E952" s="312" t="n"/>
      <c r="F952" s="312" t="n"/>
      <c r="G952" s="312" t="n"/>
      <c r="H952" s="312" t="n"/>
      <c r="I952" s="313" t="n"/>
      <c r="J952" s="199" t="n"/>
      <c r="K952" s="314" t="n"/>
      <c r="L952" s="170" t="n"/>
      <c r="M952" s="170" t="n"/>
      <c r="N952" s="170" t="n"/>
      <c r="O952" s="172" t="n"/>
      <c r="P952" s="172" t="n"/>
    </row>
    <row r="953">
      <c r="B953" s="170" t="n"/>
      <c r="C953" s="199" t="n"/>
      <c r="D953" s="312" t="n"/>
      <c r="E953" s="312" t="n"/>
      <c r="F953" s="312" t="n"/>
      <c r="G953" s="312" t="n"/>
      <c r="H953" s="312" t="n"/>
      <c r="I953" s="313" t="n"/>
      <c r="J953" s="199" t="n"/>
      <c r="K953" s="314" t="n"/>
      <c r="L953" s="170" t="n"/>
      <c r="M953" s="170" t="n"/>
      <c r="N953" s="170" t="n"/>
      <c r="O953" s="172" t="n"/>
      <c r="P953" s="172" t="n"/>
    </row>
    <row r="954">
      <c r="B954" s="170" t="n"/>
      <c r="C954" s="199" t="n"/>
      <c r="D954" s="312" t="n"/>
      <c r="E954" s="312" t="n"/>
      <c r="F954" s="312" t="n"/>
      <c r="G954" s="312" t="n"/>
      <c r="H954" s="312" t="n"/>
      <c r="I954" s="313" t="n"/>
      <c r="J954" s="199" t="n"/>
      <c r="K954" s="314" t="n"/>
      <c r="L954" s="170" t="n"/>
      <c r="M954" s="170" t="n"/>
      <c r="N954" s="170" t="n"/>
      <c r="O954" s="172" t="n"/>
      <c r="P954" s="172" t="n"/>
    </row>
    <row r="955">
      <c r="B955" s="170" t="n"/>
      <c r="C955" s="199" t="n"/>
      <c r="D955" s="312" t="n"/>
      <c r="E955" s="312" t="n"/>
      <c r="F955" s="312" t="n"/>
      <c r="G955" s="312" t="n"/>
      <c r="H955" s="312" t="n"/>
      <c r="I955" s="313" t="n"/>
      <c r="J955" s="199" t="n"/>
      <c r="K955" s="314" t="n"/>
      <c r="L955" s="170" t="n"/>
      <c r="M955" s="170" t="n"/>
      <c r="N955" s="170" t="n"/>
      <c r="O955" s="172" t="n"/>
      <c r="P955" s="172" t="n"/>
    </row>
    <row r="956">
      <c r="B956" s="170" t="n"/>
      <c r="C956" s="199" t="n"/>
      <c r="D956" s="312" t="n"/>
      <c r="E956" s="312" t="n"/>
      <c r="F956" s="312" t="n"/>
      <c r="G956" s="312" t="n"/>
      <c r="H956" s="312" t="n"/>
      <c r="I956" s="313" t="n"/>
      <c r="J956" s="199" t="n"/>
      <c r="K956" s="314" t="n"/>
      <c r="L956" s="170" t="n"/>
      <c r="M956" s="170" t="n"/>
      <c r="N956" s="170" t="n"/>
      <c r="O956" s="172" t="n"/>
      <c r="P956" s="172" t="n"/>
    </row>
    <row r="957">
      <c r="B957" s="170" t="n"/>
      <c r="C957" s="199" t="n"/>
      <c r="D957" s="312" t="n"/>
      <c r="E957" s="312" t="n"/>
      <c r="F957" s="312" t="n"/>
      <c r="G957" s="312" t="n"/>
      <c r="H957" s="312" t="n"/>
      <c r="I957" s="313" t="n"/>
      <c r="J957" s="199" t="n"/>
      <c r="K957" s="314" t="n"/>
      <c r="L957" s="170" t="n"/>
      <c r="M957" s="170" t="n"/>
      <c r="N957" s="170" t="n"/>
      <c r="O957" s="172" t="n"/>
      <c r="P957" s="172" t="n"/>
    </row>
    <row r="958">
      <c r="B958" s="170" t="n"/>
      <c r="C958" s="199" t="n"/>
      <c r="D958" s="312" t="n"/>
      <c r="E958" s="312" t="n"/>
      <c r="F958" s="312" t="n"/>
      <c r="G958" s="312" t="n"/>
      <c r="H958" s="312" t="n"/>
      <c r="I958" s="313" t="n"/>
      <c r="J958" s="199" t="n"/>
      <c r="K958" s="314" t="n"/>
      <c r="L958" s="170" t="n"/>
      <c r="M958" s="170" t="n"/>
      <c r="N958" s="170" t="n"/>
      <c r="O958" s="172" t="n"/>
      <c r="P958" s="172" t="n"/>
    </row>
    <row r="959">
      <c r="B959" s="170" t="n"/>
      <c r="C959" s="199" t="n"/>
      <c r="D959" s="312" t="n"/>
      <c r="E959" s="312" t="n"/>
      <c r="F959" s="312" t="n"/>
      <c r="G959" s="312" t="n"/>
      <c r="H959" s="312" t="n"/>
      <c r="I959" s="313" t="n"/>
      <c r="J959" s="199" t="n"/>
      <c r="K959" s="314" t="n"/>
      <c r="L959" s="170" t="n"/>
      <c r="M959" s="170" t="n"/>
      <c r="N959" s="170" t="n"/>
      <c r="O959" s="172" t="n"/>
      <c r="P959" s="172" t="n"/>
    </row>
    <row r="960">
      <c r="B960" s="170" t="n"/>
      <c r="C960" s="199" t="n"/>
      <c r="D960" s="312" t="n"/>
      <c r="E960" s="312" t="n"/>
      <c r="F960" s="312" t="n"/>
      <c r="G960" s="312" t="n"/>
      <c r="H960" s="312" t="n"/>
      <c r="I960" s="313" t="n"/>
      <c r="J960" s="199" t="n"/>
      <c r="K960" s="314" t="n"/>
      <c r="L960" s="170" t="n"/>
      <c r="M960" s="170" t="n"/>
      <c r="N960" s="170" t="n"/>
      <c r="O960" s="172" t="n"/>
      <c r="P960" s="172" t="n"/>
    </row>
    <row r="961">
      <c r="B961" s="170" t="n"/>
      <c r="C961" s="199" t="n"/>
      <c r="D961" s="312" t="n"/>
      <c r="E961" s="312" t="n"/>
      <c r="F961" s="312" t="n"/>
      <c r="G961" s="312" t="n"/>
      <c r="H961" s="312" t="n"/>
      <c r="I961" s="313" t="n"/>
      <c r="J961" s="199" t="n"/>
      <c r="K961" s="314" t="n"/>
      <c r="L961" s="170" t="n"/>
      <c r="M961" s="170" t="n"/>
      <c r="N961" s="170" t="n"/>
      <c r="O961" s="172" t="n"/>
      <c r="P961" s="172" t="n"/>
    </row>
    <row r="962">
      <c r="B962" s="170" t="n"/>
      <c r="C962" s="199" t="n"/>
      <c r="D962" s="312" t="n"/>
      <c r="E962" s="312" t="n"/>
      <c r="F962" s="312" t="n"/>
      <c r="G962" s="312" t="n"/>
      <c r="H962" s="312" t="n"/>
      <c r="I962" s="313" t="n"/>
      <c r="J962" s="199" t="n"/>
      <c r="K962" s="314" t="n"/>
      <c r="L962" s="170" t="n"/>
      <c r="M962" s="170" t="n"/>
      <c r="N962" s="170" t="n"/>
      <c r="O962" s="172" t="n"/>
      <c r="P962" s="172" t="n"/>
    </row>
    <row r="963">
      <c r="B963" s="170" t="n"/>
      <c r="C963" s="199" t="n"/>
      <c r="D963" s="312" t="n"/>
      <c r="E963" s="312" t="n"/>
      <c r="F963" s="312" t="n"/>
      <c r="G963" s="312" t="n"/>
      <c r="H963" s="312" t="n"/>
      <c r="I963" s="313" t="n"/>
      <c r="J963" s="199" t="n"/>
      <c r="K963" s="314" t="n"/>
      <c r="L963" s="170" t="n"/>
      <c r="M963" s="170" t="n"/>
      <c r="N963" s="170" t="n"/>
      <c r="O963" s="172" t="n"/>
      <c r="P963" s="172" t="n"/>
    </row>
    <row r="964">
      <c r="B964" s="170" t="n"/>
      <c r="C964" s="199" t="n"/>
      <c r="D964" s="312" t="n"/>
      <c r="E964" s="312" t="n"/>
      <c r="F964" s="312" t="n"/>
      <c r="G964" s="312" t="n"/>
      <c r="H964" s="312" t="n"/>
      <c r="I964" s="313" t="n"/>
      <c r="J964" s="199" t="n"/>
      <c r="K964" s="314" t="n"/>
      <c r="L964" s="170" t="n"/>
      <c r="M964" s="170" t="n"/>
      <c r="N964" s="170" t="n"/>
      <c r="O964" s="172" t="n"/>
      <c r="P964" s="172" t="n"/>
    </row>
    <row r="965">
      <c r="B965" s="170" t="n"/>
      <c r="C965" s="199" t="n"/>
      <c r="D965" s="312" t="n"/>
      <c r="E965" s="312" t="n"/>
      <c r="F965" s="312" t="n"/>
      <c r="G965" s="312" t="n"/>
      <c r="H965" s="312" t="n"/>
      <c r="I965" s="313" t="n"/>
      <c r="J965" s="199" t="n"/>
      <c r="K965" s="314" t="n"/>
      <c r="L965" s="170" t="n"/>
      <c r="M965" s="170" t="n"/>
      <c r="N965" s="170" t="n"/>
      <c r="O965" s="172" t="n"/>
      <c r="P965" s="172" t="n"/>
    </row>
    <row r="966">
      <c r="B966" s="170" t="n"/>
      <c r="C966" s="199" t="n"/>
      <c r="D966" s="312" t="n"/>
      <c r="E966" s="312" t="n"/>
      <c r="F966" s="312" t="n"/>
      <c r="G966" s="312" t="n"/>
      <c r="H966" s="312" t="n"/>
      <c r="I966" s="313" t="n"/>
      <c r="J966" s="199" t="n"/>
      <c r="K966" s="314" t="n"/>
      <c r="L966" s="170" t="n"/>
      <c r="M966" s="170" t="n"/>
      <c r="N966" s="170" t="n"/>
      <c r="O966" s="172" t="n"/>
      <c r="P966" s="172" t="n"/>
    </row>
    <row r="967">
      <c r="B967" s="170" t="n"/>
      <c r="C967" s="199" t="n"/>
      <c r="D967" s="312" t="n"/>
      <c r="E967" s="312" t="n"/>
      <c r="F967" s="312" t="n"/>
      <c r="G967" s="312" t="n"/>
      <c r="H967" s="312" t="n"/>
      <c r="I967" s="313" t="n"/>
      <c r="J967" s="199" t="n"/>
      <c r="K967" s="314" t="n"/>
      <c r="L967" s="170" t="n"/>
      <c r="M967" s="170" t="n"/>
      <c r="N967" s="170" t="n"/>
      <c r="O967" s="172" t="n"/>
      <c r="P967" s="172" t="n"/>
    </row>
    <row r="968">
      <c r="B968" s="170" t="n"/>
      <c r="C968" s="199" t="n"/>
      <c r="D968" s="312" t="n"/>
      <c r="E968" s="312" t="n"/>
      <c r="F968" s="312" t="n"/>
      <c r="G968" s="312" t="n"/>
      <c r="H968" s="312" t="n"/>
      <c r="I968" s="313" t="n"/>
      <c r="J968" s="199" t="n"/>
      <c r="K968" s="314" t="n"/>
      <c r="L968" s="170" t="n"/>
      <c r="M968" s="170" t="n"/>
      <c r="N968" s="170" t="n"/>
      <c r="O968" s="172" t="n"/>
      <c r="P968" s="172" t="n"/>
    </row>
    <row r="969">
      <c r="B969" s="170" t="n"/>
      <c r="C969" s="199" t="n"/>
      <c r="D969" s="312" t="n"/>
      <c r="E969" s="312" t="n"/>
      <c r="F969" s="312" t="n"/>
      <c r="G969" s="312" t="n"/>
      <c r="H969" s="312" t="n"/>
      <c r="I969" s="313" t="n"/>
      <c r="J969" s="199" t="n"/>
      <c r="K969" s="314" t="n"/>
      <c r="L969" s="170" t="n"/>
      <c r="M969" s="170" t="n"/>
      <c r="N969" s="170" t="n"/>
      <c r="O969" s="172" t="n"/>
      <c r="P969" s="172" t="n"/>
    </row>
    <row r="970">
      <c r="B970" s="170" t="n"/>
      <c r="C970" s="199" t="n"/>
      <c r="D970" s="312" t="n"/>
      <c r="E970" s="312" t="n"/>
      <c r="F970" s="312" t="n"/>
      <c r="G970" s="312" t="n"/>
      <c r="H970" s="312" t="n"/>
      <c r="I970" s="313" t="n"/>
      <c r="J970" s="199" t="n"/>
      <c r="K970" s="314" t="n"/>
      <c r="L970" s="170" t="n"/>
      <c r="M970" s="170" t="n"/>
      <c r="N970" s="170" t="n"/>
      <c r="O970" s="172" t="n"/>
      <c r="P970" s="172" t="n"/>
    </row>
    <row r="971">
      <c r="B971" s="170" t="n"/>
      <c r="C971" s="199" t="n"/>
      <c r="D971" s="312" t="n"/>
      <c r="E971" s="312" t="n"/>
      <c r="F971" s="312" t="n"/>
      <c r="G971" s="312" t="n"/>
      <c r="H971" s="312" t="n"/>
      <c r="I971" s="313" t="n"/>
      <c r="J971" s="199" t="n"/>
      <c r="K971" s="314" t="n"/>
      <c r="L971" s="170" t="n"/>
      <c r="M971" s="170" t="n"/>
      <c r="N971" s="170" t="n"/>
      <c r="O971" s="172" t="n"/>
      <c r="P971" s="172" t="n"/>
    </row>
    <row r="972">
      <c r="B972" s="170" t="n"/>
      <c r="C972" s="199" t="n"/>
      <c r="D972" s="312" t="n"/>
      <c r="E972" s="312" t="n"/>
      <c r="F972" s="312" t="n"/>
      <c r="G972" s="312" t="n"/>
      <c r="H972" s="312" t="n"/>
      <c r="I972" s="313" t="n"/>
      <c r="J972" s="199" t="n"/>
      <c r="K972" s="314" t="n"/>
      <c r="L972" s="170" t="n"/>
      <c r="M972" s="170" t="n"/>
      <c r="N972" s="170" t="n"/>
      <c r="O972" s="172" t="n"/>
      <c r="P972" s="172" t="n"/>
    </row>
    <row r="973">
      <c r="B973" s="170" t="n"/>
      <c r="C973" s="199" t="n"/>
      <c r="D973" s="312" t="n"/>
      <c r="E973" s="312" t="n"/>
      <c r="F973" s="312" t="n"/>
      <c r="G973" s="312" t="n"/>
      <c r="H973" s="312" t="n"/>
      <c r="I973" s="313" t="n"/>
      <c r="J973" s="199" t="n"/>
      <c r="K973" s="314" t="n"/>
      <c r="L973" s="170" t="n"/>
      <c r="M973" s="170" t="n"/>
      <c r="N973" s="170" t="n"/>
      <c r="O973" s="172" t="n"/>
      <c r="P973" s="172" t="n"/>
    </row>
    <row r="974">
      <c r="B974" s="170" t="n"/>
      <c r="C974" s="199" t="n"/>
      <c r="D974" s="312" t="n"/>
      <c r="E974" s="312" t="n"/>
      <c r="F974" s="312" t="n"/>
      <c r="G974" s="312" t="n"/>
      <c r="H974" s="312" t="n"/>
      <c r="I974" s="313" t="n"/>
      <c r="J974" s="199" t="n"/>
      <c r="K974" s="314" t="n"/>
      <c r="L974" s="170" t="n"/>
      <c r="M974" s="170" t="n"/>
      <c r="N974" s="170" t="n"/>
      <c r="O974" s="172" t="n"/>
      <c r="P974" s="172" t="n"/>
    </row>
    <row r="975">
      <c r="B975" s="170" t="n"/>
      <c r="C975" s="199" t="n"/>
      <c r="D975" s="312" t="n"/>
      <c r="E975" s="312" t="n"/>
      <c r="F975" s="312" t="n"/>
      <c r="G975" s="312" t="n"/>
      <c r="H975" s="312" t="n"/>
      <c r="I975" s="313" t="n"/>
      <c r="J975" s="199" t="n"/>
      <c r="K975" s="314" t="n"/>
      <c r="L975" s="170" t="n"/>
      <c r="M975" s="170" t="n"/>
      <c r="N975" s="170" t="n"/>
      <c r="O975" s="172" t="n"/>
      <c r="P975" s="172" t="n"/>
    </row>
    <row r="976">
      <c r="B976" s="170" t="n"/>
      <c r="C976" s="199" t="n"/>
      <c r="D976" s="312" t="n"/>
      <c r="E976" s="312" t="n"/>
      <c r="F976" s="312" t="n"/>
      <c r="G976" s="312" t="n"/>
      <c r="H976" s="312" t="n"/>
      <c r="I976" s="313" t="n"/>
      <c r="J976" s="199" t="n"/>
      <c r="K976" s="314" t="n"/>
      <c r="L976" s="170" t="n"/>
      <c r="M976" s="170" t="n"/>
      <c r="N976" s="170" t="n"/>
      <c r="O976" s="172" t="n"/>
      <c r="P976" s="172" t="n"/>
    </row>
    <row r="977">
      <c r="B977" s="170" t="n"/>
      <c r="C977" s="199" t="n"/>
      <c r="D977" s="312" t="n"/>
      <c r="E977" s="312" t="n"/>
      <c r="F977" s="312" t="n"/>
      <c r="G977" s="312" t="n"/>
      <c r="H977" s="312" t="n"/>
      <c r="I977" s="313" t="n"/>
      <c r="J977" s="199" t="n"/>
      <c r="K977" s="314" t="n"/>
      <c r="L977" s="170" t="n"/>
      <c r="M977" s="170" t="n"/>
      <c r="N977" s="170" t="n"/>
      <c r="O977" s="172" t="n"/>
      <c r="P977" s="172" t="n"/>
    </row>
    <row r="978">
      <c r="B978" s="170" t="n"/>
      <c r="C978" s="199" t="n"/>
      <c r="D978" s="312" t="n"/>
      <c r="E978" s="312" t="n"/>
      <c r="F978" s="312" t="n"/>
      <c r="G978" s="312" t="n"/>
      <c r="H978" s="312" t="n"/>
      <c r="I978" s="313" t="n"/>
      <c r="J978" s="199" t="n"/>
      <c r="K978" s="314" t="n"/>
      <c r="L978" s="170" t="n"/>
      <c r="M978" s="170" t="n"/>
      <c r="N978" s="170" t="n"/>
      <c r="O978" s="172" t="n"/>
      <c r="P978" s="172" t="n"/>
    </row>
    <row r="979">
      <c r="B979" s="170" t="n"/>
      <c r="C979" s="199" t="n"/>
      <c r="D979" s="312" t="n"/>
      <c r="E979" s="312" t="n"/>
      <c r="F979" s="312" t="n"/>
      <c r="G979" s="312" t="n"/>
      <c r="H979" s="312" t="n"/>
      <c r="I979" s="313" t="n"/>
      <c r="J979" s="199" t="n"/>
      <c r="K979" s="314" t="n"/>
      <c r="L979" s="170" t="n"/>
      <c r="M979" s="170" t="n"/>
      <c r="N979" s="170" t="n"/>
      <c r="O979" s="172" t="n"/>
      <c r="P979" s="172" t="n"/>
    </row>
    <row r="980">
      <c r="B980" s="170" t="n"/>
      <c r="C980" s="199" t="n"/>
      <c r="D980" s="312" t="n"/>
      <c r="E980" s="312" t="n"/>
      <c r="F980" s="312" t="n"/>
      <c r="G980" s="312" t="n"/>
      <c r="H980" s="312" t="n"/>
      <c r="I980" s="313" t="n"/>
      <c r="J980" s="199" t="n"/>
      <c r="K980" s="314" t="n"/>
      <c r="L980" s="170" t="n"/>
      <c r="M980" s="170" t="n"/>
      <c r="N980" s="170" t="n"/>
      <c r="O980" s="172" t="n"/>
      <c r="P980" s="172" t="n"/>
    </row>
    <row r="981">
      <c r="B981" s="170" t="n"/>
      <c r="C981" s="199" t="n"/>
      <c r="D981" s="312" t="n"/>
      <c r="E981" s="312" t="n"/>
      <c r="F981" s="312" t="n"/>
      <c r="G981" s="312" t="n"/>
      <c r="H981" s="312" t="n"/>
      <c r="I981" s="313" t="n"/>
      <c r="J981" s="199" t="n"/>
      <c r="K981" s="314" t="n"/>
      <c r="L981" s="170" t="n"/>
      <c r="M981" s="170" t="n"/>
      <c r="N981" s="170" t="n"/>
      <c r="O981" s="172" t="n"/>
      <c r="P981" s="172" t="n"/>
    </row>
    <row r="982">
      <c r="B982" s="170" t="n"/>
      <c r="C982" s="199" t="n"/>
      <c r="D982" s="312" t="n"/>
      <c r="E982" s="312" t="n"/>
      <c r="F982" s="312" t="n"/>
      <c r="G982" s="312" t="n"/>
      <c r="H982" s="312" t="n"/>
      <c r="I982" s="313" t="n"/>
      <c r="J982" s="199" t="n"/>
      <c r="K982" s="314" t="n"/>
      <c r="L982" s="170" t="n"/>
      <c r="M982" s="170" t="n"/>
      <c r="N982" s="170" t="n"/>
      <c r="O982" s="172" t="n"/>
      <c r="P982" s="172" t="n"/>
    </row>
    <row r="983">
      <c r="B983" s="170" t="n"/>
      <c r="C983" s="199" t="n"/>
      <c r="D983" s="312" t="n"/>
      <c r="E983" s="312" t="n"/>
      <c r="F983" s="312" t="n"/>
      <c r="G983" s="312" t="n"/>
      <c r="H983" s="312" t="n"/>
      <c r="I983" s="313" t="n"/>
      <c r="J983" s="199" t="n"/>
      <c r="K983" s="314" t="n"/>
      <c r="L983" s="170" t="n"/>
      <c r="M983" s="170" t="n"/>
      <c r="N983" s="170" t="n"/>
      <c r="O983" s="172" t="n"/>
      <c r="P983" s="172" t="n"/>
    </row>
    <row r="984">
      <c r="B984" s="170" t="n"/>
      <c r="C984" s="199" t="n"/>
      <c r="D984" s="312" t="n"/>
      <c r="E984" s="312" t="n"/>
      <c r="F984" s="312" t="n"/>
      <c r="G984" s="312" t="n"/>
      <c r="H984" s="312" t="n"/>
      <c r="I984" s="313" t="n"/>
      <c r="J984" s="199" t="n"/>
      <c r="K984" s="314" t="n"/>
      <c r="L984" s="170" t="n"/>
      <c r="M984" s="170" t="n"/>
      <c r="N984" s="170" t="n"/>
      <c r="O984" s="172" t="n"/>
      <c r="P984" s="172" t="n"/>
    </row>
    <row r="985">
      <c r="B985" s="170" t="n"/>
      <c r="C985" s="199" t="n"/>
      <c r="D985" s="312" t="n"/>
      <c r="E985" s="312" t="n"/>
      <c r="F985" s="312" t="n"/>
      <c r="G985" s="312" t="n"/>
      <c r="H985" s="312" t="n"/>
      <c r="I985" s="313" t="n"/>
      <c r="J985" s="199" t="n"/>
      <c r="K985" s="314" t="n"/>
      <c r="L985" s="170" t="n"/>
      <c r="M985" s="170" t="n"/>
      <c r="N985" s="170" t="n"/>
      <c r="O985" s="172" t="n"/>
      <c r="P985" s="172" t="n"/>
    </row>
    <row r="986">
      <c r="B986" s="170" t="n"/>
      <c r="C986" s="199" t="n"/>
      <c r="D986" s="312" t="n"/>
      <c r="E986" s="312" t="n"/>
      <c r="F986" s="312" t="n"/>
      <c r="G986" s="312" t="n"/>
      <c r="H986" s="312" t="n"/>
      <c r="I986" s="313" t="n"/>
      <c r="J986" s="199" t="n"/>
      <c r="K986" s="314" t="n"/>
      <c r="L986" s="170" t="n"/>
      <c r="M986" s="170" t="n"/>
      <c r="N986" s="170" t="n"/>
      <c r="O986" s="172" t="n"/>
      <c r="P986" s="172" t="n"/>
    </row>
    <row r="987">
      <c r="B987" s="170" t="n"/>
      <c r="C987" s="199" t="n"/>
      <c r="D987" s="312" t="n"/>
      <c r="E987" s="312" t="n"/>
      <c r="F987" s="312" t="n"/>
      <c r="G987" s="312" t="n"/>
      <c r="H987" s="312" t="n"/>
      <c r="I987" s="313" t="n"/>
      <c r="J987" s="199" t="n"/>
      <c r="K987" s="314" t="n"/>
      <c r="L987" s="170" t="n"/>
      <c r="M987" s="170" t="n"/>
      <c r="N987" s="170" t="n"/>
      <c r="O987" s="172" t="n"/>
      <c r="P987" s="172" t="n"/>
    </row>
    <row r="988">
      <c r="B988" s="170" t="n"/>
      <c r="C988" s="199" t="n"/>
      <c r="D988" s="312" t="n"/>
      <c r="E988" s="312" t="n"/>
      <c r="F988" s="312" t="n"/>
      <c r="G988" s="312" t="n"/>
      <c r="H988" s="312" t="n"/>
      <c r="I988" s="313" t="n"/>
      <c r="J988" s="199" t="n"/>
      <c r="K988" s="314" t="n"/>
      <c r="L988" s="170" t="n"/>
      <c r="M988" s="170" t="n"/>
      <c r="N988" s="170" t="n"/>
      <c r="O988" s="172" t="n"/>
      <c r="P988" s="172" t="n"/>
    </row>
    <row r="989">
      <c r="B989" s="170" t="n"/>
      <c r="C989" s="199" t="n"/>
      <c r="D989" s="312" t="n"/>
      <c r="E989" s="312" t="n"/>
      <c r="F989" s="312" t="n"/>
      <c r="G989" s="312" t="n"/>
      <c r="H989" s="312" t="n"/>
      <c r="I989" s="313" t="n"/>
      <c r="J989" s="199" t="n"/>
      <c r="K989" s="314" t="n"/>
      <c r="L989" s="170" t="n"/>
      <c r="M989" s="170" t="n"/>
      <c r="N989" s="170" t="n"/>
      <c r="O989" s="172" t="n"/>
      <c r="P989" s="172" t="n"/>
    </row>
    <row r="990">
      <c r="B990" s="170" t="n"/>
      <c r="C990" s="199" t="n"/>
      <c r="D990" s="312" t="n"/>
      <c r="E990" s="312" t="n"/>
      <c r="F990" s="312" t="n"/>
      <c r="G990" s="312" t="n"/>
      <c r="H990" s="312" t="n"/>
      <c r="I990" s="313" t="n"/>
      <c r="J990" s="199" t="n"/>
      <c r="K990" s="314" t="n"/>
      <c r="L990" s="170" t="n"/>
      <c r="M990" s="170" t="n"/>
      <c r="N990" s="170" t="n"/>
      <c r="O990" s="172" t="n"/>
      <c r="P990" s="172" t="n"/>
    </row>
    <row r="991">
      <c r="B991" s="170" t="n"/>
      <c r="C991" s="199" t="n"/>
      <c r="D991" s="312" t="n"/>
      <c r="E991" s="312" t="n"/>
      <c r="F991" s="312" t="n"/>
      <c r="G991" s="312" t="n"/>
      <c r="H991" s="312" t="n"/>
      <c r="I991" s="313" t="n"/>
      <c r="J991" s="199" t="n"/>
      <c r="K991" s="314" t="n"/>
      <c r="L991" s="170" t="n"/>
      <c r="M991" s="170" t="n"/>
      <c r="N991" s="170" t="n"/>
      <c r="O991" s="172" t="n"/>
      <c r="P991" s="172" t="n"/>
    </row>
    <row r="992">
      <c r="B992" s="170" t="n"/>
      <c r="C992" s="199" t="n"/>
      <c r="D992" s="312" t="n"/>
      <c r="E992" s="312" t="n"/>
      <c r="F992" s="312" t="n"/>
      <c r="G992" s="312" t="n"/>
      <c r="H992" s="312" t="n"/>
      <c r="I992" s="313" t="n"/>
      <c r="J992" s="199" t="n"/>
      <c r="K992" s="314" t="n"/>
      <c r="L992" s="170" t="n"/>
      <c r="M992" s="170" t="n"/>
      <c r="N992" s="170" t="n"/>
      <c r="O992" s="172" t="n"/>
      <c r="P992" s="172" t="n"/>
    </row>
    <row r="993">
      <c r="B993" s="170" t="n"/>
      <c r="C993" s="199" t="n"/>
      <c r="D993" s="312" t="n"/>
      <c r="E993" s="312" t="n"/>
      <c r="F993" s="312" t="n"/>
      <c r="G993" s="312" t="n"/>
      <c r="H993" s="312" t="n"/>
      <c r="I993" s="313" t="n"/>
      <c r="J993" s="199" t="n"/>
      <c r="K993" s="314" t="n"/>
      <c r="L993" s="170" t="n"/>
      <c r="M993" s="170" t="n"/>
      <c r="N993" s="170" t="n"/>
      <c r="O993" s="172" t="n"/>
      <c r="P993" s="172" t="n"/>
    </row>
    <row r="994">
      <c r="B994" s="170" t="n"/>
      <c r="C994" s="199" t="n"/>
      <c r="D994" s="312" t="n"/>
      <c r="E994" s="312" t="n"/>
      <c r="F994" s="312" t="n"/>
      <c r="G994" s="312" t="n"/>
      <c r="H994" s="312" t="n"/>
      <c r="I994" s="313" t="n"/>
      <c r="J994" s="199" t="n"/>
      <c r="K994" s="314" t="n"/>
      <c r="L994" s="170" t="n"/>
      <c r="M994" s="170" t="n"/>
      <c r="N994" s="170" t="n"/>
      <c r="O994" s="172" t="n"/>
      <c r="P994" s="172" t="n"/>
    </row>
    <row r="995">
      <c r="B995" s="170" t="n"/>
      <c r="C995" s="199" t="n"/>
      <c r="D995" s="312" t="n"/>
      <c r="E995" s="312" t="n"/>
      <c r="F995" s="312" t="n"/>
      <c r="G995" s="312" t="n"/>
      <c r="H995" s="312" t="n"/>
      <c r="I995" s="313" t="n"/>
      <c r="J995" s="199" t="n"/>
      <c r="K995" s="314" t="n"/>
      <c r="L995" s="170" t="n"/>
      <c r="M995" s="170" t="n"/>
      <c r="N995" s="170" t="n"/>
      <c r="O995" s="172" t="n"/>
      <c r="P995" s="172" t="n"/>
    </row>
    <row r="996">
      <c r="B996" s="170" t="n"/>
      <c r="C996" s="199" t="n"/>
      <c r="D996" s="312" t="n"/>
      <c r="E996" s="312" t="n"/>
      <c r="F996" s="312" t="n"/>
      <c r="G996" s="312" t="n"/>
      <c r="H996" s="312" t="n"/>
      <c r="I996" s="313" t="n"/>
      <c r="J996" s="199" t="n"/>
      <c r="K996" s="314" t="n"/>
      <c r="L996" s="170" t="n"/>
      <c r="M996" s="170" t="n"/>
      <c r="N996" s="170" t="n"/>
      <c r="O996" s="172" t="n"/>
      <c r="P996" s="172" t="n"/>
    </row>
    <row r="997">
      <c r="B997" s="170" t="n"/>
      <c r="C997" s="199" t="n"/>
      <c r="D997" s="312" t="n"/>
      <c r="E997" s="312" t="n"/>
      <c r="F997" s="312" t="n"/>
      <c r="G997" s="312" t="n"/>
      <c r="H997" s="312" t="n"/>
      <c r="I997" s="313" t="n"/>
      <c r="J997" s="199" t="n"/>
      <c r="K997" s="314" t="n"/>
      <c r="L997" s="170" t="n"/>
      <c r="M997" s="170" t="n"/>
      <c r="N997" s="170" t="n"/>
      <c r="O997" s="172" t="n"/>
      <c r="P997" s="172" t="n"/>
    </row>
    <row r="998">
      <c r="B998" s="170" t="n"/>
      <c r="C998" s="199" t="n"/>
      <c r="D998" s="312" t="n"/>
      <c r="E998" s="312" t="n"/>
      <c r="F998" s="312" t="n"/>
      <c r="G998" s="312" t="n"/>
      <c r="H998" s="312" t="n"/>
      <c r="I998" s="313" t="n"/>
      <c r="J998" s="199" t="n"/>
      <c r="K998" s="314" t="n"/>
      <c r="L998" s="170" t="n"/>
      <c r="M998" s="170" t="n"/>
      <c r="N998" s="170" t="n"/>
      <c r="O998" s="172" t="n"/>
      <c r="P998" s="172" t="n"/>
    </row>
    <row r="999">
      <c r="B999" s="170" t="n"/>
      <c r="C999" s="199" t="n"/>
      <c r="D999" s="312" t="n"/>
      <c r="E999" s="312" t="n"/>
      <c r="F999" s="312" t="n"/>
      <c r="G999" s="312" t="n"/>
      <c r="H999" s="312" t="n"/>
      <c r="I999" s="313" t="n"/>
      <c r="J999" s="199" t="n"/>
      <c r="K999" s="314" t="n"/>
      <c r="L999" s="170" t="n"/>
      <c r="M999" s="170" t="n"/>
      <c r="N999" s="170" t="n"/>
      <c r="O999" s="172" t="n"/>
      <c r="P999" s="172" t="n"/>
    </row>
    <row r="1000">
      <c r="B1000" s="170" t="n"/>
      <c r="C1000" s="199" t="n"/>
      <c r="D1000" s="312" t="n"/>
      <c r="E1000" s="312" t="n"/>
      <c r="F1000" s="312" t="n"/>
      <c r="G1000" s="312" t="n"/>
      <c r="H1000" s="312" t="n"/>
      <c r="I1000" s="313" t="n"/>
      <c r="J1000" s="199" t="n"/>
      <c r="K1000" s="314" t="n"/>
      <c r="L1000" s="170" t="n"/>
      <c r="M1000" s="170" t="n"/>
      <c r="N1000" s="170" t="n"/>
      <c r="O1000" s="172" t="n"/>
      <c r="P1000" s="172" t="n"/>
    </row>
    <row r="1001">
      <c r="B1001" s="170" t="n"/>
      <c r="C1001" s="199" t="n"/>
      <c r="D1001" s="312" t="n"/>
      <c r="E1001" s="312" t="n"/>
      <c r="F1001" s="312" t="n"/>
      <c r="G1001" s="312" t="n"/>
      <c r="H1001" s="312" t="n"/>
      <c r="I1001" s="313" t="n"/>
      <c r="J1001" s="199" t="n"/>
      <c r="K1001" s="314" t="n"/>
      <c r="L1001" s="170" t="n"/>
      <c r="M1001" s="170" t="n"/>
      <c r="N1001" s="170" t="n"/>
      <c r="O1001" s="172" t="n"/>
      <c r="P1001" s="172" t="n"/>
    </row>
    <row r="1002">
      <c r="B1002" s="170" t="n"/>
      <c r="C1002" s="199" t="n"/>
      <c r="D1002" s="312" t="n"/>
      <c r="E1002" s="312" t="n"/>
      <c r="F1002" s="312" t="n"/>
      <c r="G1002" s="312" t="n"/>
      <c r="H1002" s="312" t="n"/>
      <c r="I1002" s="313" t="n"/>
      <c r="J1002" s="199" t="n"/>
      <c r="K1002" s="314" t="n"/>
      <c r="L1002" s="170" t="n"/>
      <c r="M1002" s="170" t="n"/>
      <c r="N1002" s="170" t="n"/>
      <c r="O1002" s="172" t="n"/>
      <c r="P1002" s="172" t="n"/>
    </row>
    <row r="1003">
      <c r="B1003" s="170" t="n"/>
      <c r="C1003" s="199" t="n"/>
      <c r="D1003" s="312" t="n"/>
      <c r="E1003" s="312" t="n"/>
      <c r="F1003" s="312" t="n"/>
      <c r="G1003" s="312" t="n"/>
      <c r="H1003" s="312" t="n"/>
      <c r="I1003" s="313" t="n"/>
      <c r="J1003" s="199" t="n"/>
      <c r="K1003" s="314" t="n"/>
      <c r="L1003" s="170" t="n"/>
      <c r="M1003" s="170" t="n"/>
      <c r="N1003" s="170" t="n"/>
      <c r="O1003" s="172" t="n"/>
      <c r="P1003" s="172" t="n"/>
    </row>
    <row r="1004">
      <c r="B1004" s="170" t="n"/>
      <c r="C1004" s="199" t="n"/>
      <c r="D1004" s="312" t="n"/>
      <c r="E1004" s="312" t="n"/>
      <c r="F1004" s="312" t="n"/>
      <c r="G1004" s="312" t="n"/>
      <c r="H1004" s="312" t="n"/>
      <c r="I1004" s="313" t="n"/>
      <c r="J1004" s="199" t="n"/>
      <c r="K1004" s="314" t="n"/>
      <c r="L1004" s="170" t="n"/>
      <c r="M1004" s="170" t="n"/>
      <c r="N1004" s="170" t="n"/>
      <c r="O1004" s="172" t="n"/>
      <c r="P1004" s="172" t="n"/>
    </row>
    <row r="1005">
      <c r="B1005" s="170" t="n"/>
      <c r="C1005" s="199" t="n"/>
      <c r="D1005" s="312" t="n"/>
      <c r="E1005" s="312" t="n"/>
      <c r="F1005" s="312" t="n"/>
      <c r="G1005" s="312" t="n"/>
      <c r="H1005" s="312" t="n"/>
      <c r="I1005" s="313" t="n"/>
      <c r="J1005" s="199" t="n"/>
      <c r="K1005" s="314" t="n"/>
      <c r="L1005" s="170" t="n"/>
      <c r="M1005" s="170" t="n"/>
      <c r="N1005" s="170" t="n"/>
      <c r="O1005" s="172" t="n"/>
      <c r="P1005" s="172" t="n"/>
    </row>
    <row r="1006">
      <c r="B1006" s="170" t="n"/>
      <c r="C1006" s="199" t="n"/>
      <c r="D1006" s="312" t="n"/>
      <c r="E1006" s="312" t="n"/>
      <c r="F1006" s="312" t="n"/>
      <c r="G1006" s="312" t="n"/>
      <c r="H1006" s="312" t="n"/>
      <c r="I1006" s="313" t="n"/>
      <c r="J1006" s="199" t="n"/>
      <c r="K1006" s="314" t="n"/>
      <c r="L1006" s="170" t="n"/>
      <c r="M1006" s="170" t="n"/>
      <c r="N1006" s="170" t="n"/>
      <c r="O1006" s="172" t="n"/>
      <c r="P1006" s="172" t="n"/>
    </row>
    <row r="1007">
      <c r="B1007" s="170" t="n"/>
      <c r="C1007" s="199" t="n"/>
      <c r="D1007" s="312" t="n"/>
      <c r="E1007" s="312" t="n"/>
      <c r="F1007" s="312" t="n"/>
      <c r="G1007" s="312" t="n"/>
      <c r="H1007" s="312" t="n"/>
      <c r="I1007" s="313" t="n"/>
      <c r="J1007" s="199" t="n"/>
      <c r="K1007" s="314" t="n"/>
      <c r="L1007" s="170" t="n"/>
      <c r="M1007" s="170" t="n"/>
      <c r="N1007" s="170" t="n"/>
      <c r="O1007" s="172" t="n"/>
      <c r="P1007" s="172" t="n"/>
    </row>
    <row r="1008">
      <c r="B1008" s="170" t="n"/>
      <c r="C1008" s="199" t="n"/>
      <c r="D1008" s="312" t="n"/>
      <c r="E1008" s="312" t="n"/>
      <c r="F1008" s="312" t="n"/>
      <c r="G1008" s="312" t="n"/>
      <c r="H1008" s="312" t="n"/>
      <c r="I1008" s="313" t="n"/>
      <c r="J1008" s="199" t="n"/>
      <c r="K1008" s="314" t="n"/>
      <c r="L1008" s="170" t="n"/>
      <c r="M1008" s="170" t="n"/>
      <c r="N1008" s="170" t="n"/>
      <c r="O1008" s="172" t="n"/>
      <c r="P1008" s="172" t="n"/>
    </row>
    <row r="1009">
      <c r="B1009" s="170" t="n"/>
      <c r="C1009" s="199" t="n"/>
      <c r="D1009" s="312" t="n"/>
      <c r="E1009" s="312" t="n"/>
      <c r="F1009" s="312" t="n"/>
      <c r="G1009" s="312" t="n"/>
      <c r="H1009" s="312" t="n"/>
      <c r="I1009" s="313" t="n"/>
      <c r="J1009" s="199" t="n"/>
      <c r="K1009" s="314" t="n"/>
      <c r="L1009" s="170" t="n"/>
      <c r="M1009" s="170" t="n"/>
      <c r="N1009" s="170" t="n"/>
      <c r="O1009" s="172" t="n"/>
      <c r="P1009" s="172" t="n"/>
    </row>
    <row r="1010">
      <c r="B1010" s="170" t="n"/>
      <c r="C1010" s="199" t="n"/>
      <c r="D1010" s="312" t="n"/>
      <c r="E1010" s="312" t="n"/>
      <c r="F1010" s="312" t="n"/>
      <c r="G1010" s="312" t="n"/>
      <c r="H1010" s="312" t="n"/>
      <c r="I1010" s="313" t="n"/>
      <c r="J1010" s="199" t="n"/>
      <c r="K1010" s="314" t="n"/>
      <c r="L1010" s="170" t="n"/>
      <c r="M1010" s="170" t="n"/>
      <c r="N1010" s="170" t="n"/>
      <c r="O1010" s="172" t="n"/>
      <c r="P1010" s="172" t="n"/>
    </row>
    <row r="1011">
      <c r="B1011" s="170" t="n"/>
      <c r="C1011" s="199" t="n"/>
      <c r="D1011" s="312" t="n"/>
      <c r="E1011" s="312" t="n"/>
      <c r="F1011" s="312" t="n"/>
      <c r="G1011" s="312" t="n"/>
      <c r="H1011" s="312" t="n"/>
      <c r="I1011" s="313" t="n"/>
      <c r="J1011" s="199" t="n"/>
      <c r="K1011" s="314" t="n"/>
      <c r="L1011" s="170" t="n"/>
      <c r="M1011" s="170" t="n"/>
      <c r="N1011" s="170" t="n"/>
      <c r="O1011" s="172" t="n"/>
      <c r="P1011" s="172" t="n"/>
    </row>
    <row r="1012">
      <c r="B1012" s="170" t="n"/>
      <c r="C1012" s="199" t="n"/>
      <c r="D1012" s="312" t="n"/>
      <c r="E1012" s="312" t="n"/>
      <c r="F1012" s="312" t="n"/>
      <c r="G1012" s="312" t="n"/>
      <c r="H1012" s="312" t="n"/>
      <c r="I1012" s="313" t="n"/>
      <c r="J1012" s="199" t="n"/>
      <c r="K1012" s="314" t="n"/>
      <c r="L1012" s="170" t="n"/>
      <c r="M1012" s="170" t="n"/>
      <c r="N1012" s="170" t="n"/>
      <c r="O1012" s="172" t="n"/>
      <c r="P1012" s="172" t="n"/>
    </row>
    <row r="1013">
      <c r="B1013" s="170" t="n"/>
      <c r="C1013" s="199" t="n"/>
      <c r="D1013" s="312" t="n"/>
      <c r="E1013" s="312" t="n"/>
      <c r="F1013" s="312" t="n"/>
      <c r="G1013" s="312" t="n"/>
      <c r="H1013" s="312" t="n"/>
      <c r="I1013" s="313" t="n"/>
      <c r="J1013" s="199" t="n"/>
      <c r="K1013" s="314" t="n"/>
      <c r="L1013" s="170" t="n"/>
      <c r="M1013" s="170" t="n"/>
      <c r="N1013" s="170" t="n"/>
      <c r="O1013" s="172" t="n"/>
      <c r="P1013" s="172" t="n"/>
    </row>
    <row r="1014">
      <c r="B1014" s="171" t="n"/>
      <c r="C1014" s="232" t="n"/>
      <c r="J1014" s="232" t="n"/>
      <c r="K1014" s="171" t="n"/>
      <c r="L1014" s="170" t="n"/>
      <c r="M1014" s="171" t="n"/>
      <c r="N1014" s="171" t="n"/>
    </row>
    <row r="1015">
      <c r="L1015" s="171" t="n"/>
    </row>
  </sheetData>
  <mergeCells count="1013">
    <mergeCell ref="C852:I852"/>
    <mergeCell ref="C262:I262"/>
    <mergeCell ref="C700:I700"/>
    <mergeCell ref="C529:I529"/>
    <mergeCell ref="C827:I827"/>
    <mergeCell ref="C802:I802"/>
    <mergeCell ref="C765:I765"/>
    <mergeCell ref="C998:I998"/>
    <mergeCell ref="C237:I237"/>
    <mergeCell ref="C547:I547"/>
    <mergeCell ref="C53:I53"/>
    <mergeCell ref="C28:I28"/>
    <mergeCell ref="C783:I783"/>
    <mergeCell ref="C351:I351"/>
    <mergeCell ref="C326:I326"/>
    <mergeCell ref="C593:I593"/>
    <mergeCell ref="C829:I829"/>
    <mergeCell ref="C1000:I1000"/>
    <mergeCell ref="C239:I239"/>
    <mergeCell ref="C310:I310"/>
    <mergeCell ref="C847:I847"/>
    <mergeCell ref="C92:I92"/>
    <mergeCell ref="C608:I608"/>
    <mergeCell ref="C30:I30"/>
    <mergeCell ref="C524:I524"/>
    <mergeCell ref="C695:I695"/>
    <mergeCell ref="C595:I595"/>
    <mergeCell ref="C766:I766"/>
    <mergeCell ref="C893:I893"/>
    <mergeCell ref="C97:I97"/>
    <mergeCell ref="C290:I290"/>
    <mergeCell ref="C384:I384"/>
    <mergeCell ref="C624:I624"/>
    <mergeCell ref="C918:I918"/>
    <mergeCell ref="C321:I321"/>
    <mergeCell ref="C255:I255"/>
    <mergeCell ref="C242:I242"/>
    <mergeCell ref="C413:I413"/>
    <mergeCell ref="C684:I684"/>
    <mergeCell ref="C982:I982"/>
    <mergeCell ref="C478:I478"/>
    <mergeCell ref="C842:I842"/>
    <mergeCell ref="C776:I776"/>
    <mergeCell ref="C21:I21"/>
    <mergeCell ref="C192:I192"/>
    <mergeCell ref="C252:I252"/>
    <mergeCell ref="C969:I969"/>
    <mergeCell ref="C379:I379"/>
    <mergeCell ref="C550:I550"/>
    <mergeCell ref="C621:I621"/>
    <mergeCell ref="C615:I615"/>
    <mergeCell ref="C415:I415"/>
    <mergeCell ref="C244:I244"/>
    <mergeCell ref="C857:I857"/>
    <mergeCell ref="C664:I664"/>
    <mergeCell ref="C713:I713"/>
    <mergeCell ref="C542:I542"/>
    <mergeCell ref="C840:I840"/>
    <mergeCell ref="C123:I123"/>
    <mergeCell ref="J10:J11"/>
    <mergeCell ref="C23:I23"/>
    <mergeCell ref="C194:I194"/>
    <mergeCell ref="C316:I316"/>
    <mergeCell ref="C492:I492"/>
    <mergeCell ref="C110:I110"/>
    <mergeCell ref="C552:I552"/>
    <mergeCell ref="C181:I181"/>
    <mergeCell ref="C408:I408"/>
    <mergeCell ref="C623:I623"/>
    <mergeCell ref="C479:I479"/>
    <mergeCell ref="C650:I650"/>
    <mergeCell ref="C679:I679"/>
    <mergeCell ref="C473:I473"/>
    <mergeCell ref="C606:I606"/>
    <mergeCell ref="C544:I544"/>
    <mergeCell ref="C777:I777"/>
    <mergeCell ref="C715:I715"/>
    <mergeCell ref="C850:I850"/>
    <mergeCell ref="C921:I921"/>
    <mergeCell ref="C908:I908"/>
    <mergeCell ref="C1013:I1013"/>
    <mergeCell ref="C423:I423"/>
    <mergeCell ref="C10:I11"/>
    <mergeCell ref="C174:I174"/>
    <mergeCell ref="C616:I616"/>
    <mergeCell ref="C410:I410"/>
    <mergeCell ref="C481:I481"/>
    <mergeCell ref="C779:I779"/>
    <mergeCell ref="C950:I950"/>
    <mergeCell ref="C18:I18"/>
    <mergeCell ref="C189:I189"/>
    <mergeCell ref="C456:I456"/>
    <mergeCell ref="C34:I34"/>
    <mergeCell ref="C397:I397"/>
    <mergeCell ref="C568:I568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29:I29"/>
    <mergeCell ref="C855:I855"/>
    <mergeCell ref="C100:I100"/>
    <mergeCell ref="C205:I205"/>
    <mergeCell ref="C94:I94"/>
    <mergeCell ref="C65:I65"/>
    <mergeCell ref="C265:I265"/>
    <mergeCell ref="C336:I336"/>
    <mergeCell ref="C563:I563"/>
    <mergeCell ref="C634:I634"/>
    <mergeCell ref="C830:I830"/>
    <mergeCell ref="C901:I901"/>
    <mergeCell ref="C44:I44"/>
    <mergeCell ref="C311:I311"/>
    <mergeCell ref="C428:I428"/>
    <mergeCell ref="C167:I167"/>
    <mergeCell ref="C142:I142"/>
    <mergeCell ref="C609:I609"/>
    <mergeCell ref="C80:I80"/>
    <mergeCell ref="C403:I403"/>
    <mergeCell ref="C129:I129"/>
    <mergeCell ref="C645:I645"/>
    <mergeCell ref="C701:I701"/>
    <mergeCell ref="C365:I365"/>
    <mergeCell ref="C832:I832"/>
    <mergeCell ref="C1003:I1003"/>
    <mergeCell ref="C924:I924"/>
    <mergeCell ref="C169:I169"/>
    <mergeCell ref="C611:I611"/>
    <mergeCell ref="C467:I467"/>
    <mergeCell ref="C598:I598"/>
    <mergeCell ref="C703:I703"/>
    <mergeCell ref="C896:I896"/>
    <mergeCell ref="C665:I665"/>
    <mergeCell ref="C233:I233"/>
    <mergeCell ref="C469:I469"/>
    <mergeCell ref="C640:I640"/>
    <mergeCell ref="C710:I710"/>
    <mergeCell ref="C848:I848"/>
    <mergeCell ref="C131:I131"/>
    <mergeCell ref="C258:I258"/>
    <mergeCell ref="C500:I500"/>
    <mergeCell ref="C556:I556"/>
    <mergeCell ref="C494:I494"/>
    <mergeCell ref="C245:I245"/>
    <mergeCell ref="C49:I49"/>
    <mergeCell ref="C858:I858"/>
    <mergeCell ref="C543:I543"/>
    <mergeCell ref="C714:I714"/>
    <mergeCell ref="C614:I614"/>
    <mergeCell ref="C785:I785"/>
    <mergeCell ref="C24:I24"/>
    <mergeCell ref="C195:I195"/>
    <mergeCell ref="C266:I266"/>
    <mergeCell ref="C322:I322"/>
    <mergeCell ref="C493:I493"/>
    <mergeCell ref="C260:I260"/>
    <mergeCell ref="C431:I431"/>
    <mergeCell ref="C116:I116"/>
    <mergeCell ref="C558:I558"/>
    <mergeCell ref="C800:I800"/>
    <mergeCell ref="C922:I922"/>
    <mergeCell ref="C545:I545"/>
    <mergeCell ref="C716:I716"/>
    <mergeCell ref="C787:I787"/>
    <mergeCell ref="C843:I843"/>
    <mergeCell ref="C88:I88"/>
    <mergeCell ref="C126:I126"/>
    <mergeCell ref="C26:I26"/>
    <mergeCell ref="C197:I197"/>
    <mergeCell ref="C259:I259"/>
    <mergeCell ref="C324:I324"/>
    <mergeCell ref="C495:I495"/>
    <mergeCell ref="C914:I914"/>
    <mergeCell ref="C1014:I1014"/>
    <mergeCell ref="C482:I482"/>
    <mergeCell ref="C416:I416"/>
    <mergeCell ref="C780:I780"/>
    <mergeCell ref="C845:I845"/>
    <mergeCell ref="C261:I261"/>
    <mergeCell ref="C432:I432"/>
    <mergeCell ref="C117:I117"/>
    <mergeCell ref="K10:K11"/>
    <mergeCell ref="C55:I55"/>
    <mergeCell ref="C795:I795"/>
    <mergeCell ref="C546:I546"/>
    <mergeCell ref="C782:I782"/>
    <mergeCell ref="C447:I447"/>
    <mergeCell ref="C115:I115"/>
    <mergeCell ref="C213:I213"/>
    <mergeCell ref="C273:I273"/>
    <mergeCell ref="C400:I400"/>
    <mergeCell ref="C571:I571"/>
    <mergeCell ref="C698:I698"/>
    <mergeCell ref="C869:I869"/>
    <mergeCell ref="C940:I940"/>
    <mergeCell ref="C52:I52"/>
    <mergeCell ref="C734:I734"/>
    <mergeCell ref="C150:I150"/>
    <mergeCell ref="C927:I927"/>
    <mergeCell ref="C39:I39"/>
    <mergeCell ref="C144:I144"/>
    <mergeCell ref="C337:I337"/>
    <mergeCell ref="C442:I442"/>
    <mergeCell ref="C513:I513"/>
    <mergeCell ref="C635:I635"/>
    <mergeCell ref="C573:I573"/>
    <mergeCell ref="C877:I877"/>
    <mergeCell ref="C429:I429"/>
    <mergeCell ref="C871:I871"/>
    <mergeCell ref="C671:I671"/>
    <mergeCell ref="C727:I727"/>
    <mergeCell ref="C942:I942"/>
    <mergeCell ref="C414:I414"/>
    <mergeCell ref="C81:I81"/>
    <mergeCell ref="C352:I352"/>
    <mergeCell ref="C548:I548"/>
    <mergeCell ref="C37:I37"/>
    <mergeCell ref="C208:I208"/>
    <mergeCell ref="C798:I798"/>
    <mergeCell ref="C917:I917"/>
    <mergeCell ref="C339:I339"/>
    <mergeCell ref="C932:I932"/>
    <mergeCell ref="C637:I637"/>
    <mergeCell ref="C437:I437"/>
    <mergeCell ref="C686:I686"/>
    <mergeCell ref="C935:I935"/>
    <mergeCell ref="C735:I735"/>
    <mergeCell ref="C419:I419"/>
    <mergeCell ref="C729:I729"/>
    <mergeCell ref="C145:I145"/>
    <mergeCell ref="C971:I971"/>
    <mergeCell ref="C406:I406"/>
    <mergeCell ref="C210:I210"/>
    <mergeCell ref="C381:I381"/>
    <mergeCell ref="C946:I946"/>
    <mergeCell ref="C185:I185"/>
    <mergeCell ref="C937:I937"/>
    <mergeCell ref="C949:I949"/>
    <mergeCell ref="C63:I63"/>
    <mergeCell ref="C330:I330"/>
    <mergeCell ref="C305:I305"/>
    <mergeCell ref="C134:I134"/>
    <mergeCell ref="C50:I50"/>
    <mergeCell ref="C566:I566"/>
    <mergeCell ref="C864:I864"/>
    <mergeCell ref="C286:I286"/>
    <mergeCell ref="C553:I553"/>
    <mergeCell ref="C584:I584"/>
    <mergeCell ref="C851:I851"/>
    <mergeCell ref="C826:I826"/>
    <mergeCell ref="C90:I90"/>
    <mergeCell ref="C332:I332"/>
    <mergeCell ref="C388:I388"/>
    <mergeCell ref="C503:I503"/>
    <mergeCell ref="C163:I163"/>
    <mergeCell ref="C630:I630"/>
    <mergeCell ref="C801:I801"/>
    <mergeCell ref="C861:I861"/>
    <mergeCell ref="C866:I866"/>
    <mergeCell ref="C350:I350"/>
    <mergeCell ref="C617:I617"/>
    <mergeCell ref="C138:I138"/>
    <mergeCell ref="C915:I915"/>
    <mergeCell ref="C76:I76"/>
    <mergeCell ref="C853:I853"/>
    <mergeCell ref="C27:I27"/>
    <mergeCell ref="C132:I132"/>
    <mergeCell ref="C567:I567"/>
    <mergeCell ref="C119:I119"/>
    <mergeCell ref="C561:I561"/>
    <mergeCell ref="C361:I361"/>
    <mergeCell ref="C632:I632"/>
    <mergeCell ref="C732:I732"/>
    <mergeCell ref="C803:I803"/>
    <mergeCell ref="C865:I865"/>
    <mergeCell ref="C930:I930"/>
    <mergeCell ref="C790:I790"/>
    <mergeCell ref="C327:I327"/>
    <mergeCell ref="C498:I498"/>
    <mergeCell ref="C425:I425"/>
    <mergeCell ref="C723:I723"/>
    <mergeCell ref="C661:I661"/>
    <mergeCell ref="C264:I264"/>
    <mergeCell ref="C279:I279"/>
    <mergeCell ref="C450:I450"/>
    <mergeCell ref="C643:I643"/>
    <mergeCell ref="C748:I748"/>
    <mergeCell ref="C819:I819"/>
    <mergeCell ref="C879:I879"/>
    <mergeCell ref="C45:I45"/>
    <mergeCell ref="C216:I216"/>
    <mergeCell ref="C387:I387"/>
    <mergeCell ref="C343:I343"/>
    <mergeCell ref="C514:I514"/>
    <mergeCell ref="C281:I281"/>
    <mergeCell ref="C452:I452"/>
    <mergeCell ref="C685:I685"/>
    <mergeCell ref="C756:I756"/>
    <mergeCell ref="C501:I501"/>
    <mergeCell ref="C750:I750"/>
    <mergeCell ref="C943:I943"/>
    <mergeCell ref="C353:I353"/>
    <mergeCell ref="C737:I737"/>
    <mergeCell ref="C109:I109"/>
    <mergeCell ref="C147:I147"/>
    <mergeCell ref="C47:I47"/>
    <mergeCell ref="C218:I218"/>
    <mergeCell ref="C274:I274"/>
    <mergeCell ref="C280:I280"/>
    <mergeCell ref="C345:I345"/>
    <mergeCell ref="C451:I451"/>
    <mergeCell ref="C445:I445"/>
    <mergeCell ref="C516:I516"/>
    <mergeCell ref="C687:I687"/>
    <mergeCell ref="C814:I814"/>
    <mergeCell ref="C985:I985"/>
    <mergeCell ref="C1010:I1010"/>
    <mergeCell ref="C972:I972"/>
    <mergeCell ref="C958:I958"/>
    <mergeCell ref="C40:I40"/>
    <mergeCell ref="C211:I211"/>
    <mergeCell ref="C282:I282"/>
    <mergeCell ref="C453:I453"/>
    <mergeCell ref="C580:I580"/>
    <mergeCell ref="C751:I751"/>
    <mergeCell ref="C1012:I1012"/>
    <mergeCell ref="C987:I987"/>
    <mergeCell ref="C974:I974"/>
    <mergeCell ref="C71:I71"/>
    <mergeCell ref="C778:I778"/>
    <mergeCell ref="C592:I592"/>
    <mergeCell ref="C890:I890"/>
    <mergeCell ref="C371:I371"/>
    <mergeCell ref="C165:I165"/>
    <mergeCell ref="C358:I358"/>
    <mergeCell ref="C656:I656"/>
    <mergeCell ref="C66:I66"/>
    <mergeCell ref="C892:I892"/>
    <mergeCell ref="C308:I308"/>
    <mergeCell ref="C631:I631"/>
    <mergeCell ref="C990:I990"/>
    <mergeCell ref="C102:I102"/>
    <mergeCell ref="C569:I569"/>
    <mergeCell ref="C229:I229"/>
    <mergeCell ref="C867:I867"/>
    <mergeCell ref="C965:I965"/>
    <mergeCell ref="C77:I77"/>
    <mergeCell ref="C658:I658"/>
    <mergeCell ref="C375:I375"/>
    <mergeCell ref="C179:I179"/>
    <mergeCell ref="C446:I446"/>
    <mergeCell ref="C68:I68"/>
    <mergeCell ref="C956:I956"/>
    <mergeCell ref="C166:I166"/>
    <mergeCell ref="C633:I633"/>
    <mergeCell ref="C489:I489"/>
    <mergeCell ref="C160:I160"/>
    <mergeCell ref="C427:I427"/>
    <mergeCell ref="C402:I402"/>
    <mergeCell ref="C464:I464"/>
    <mergeCell ref="C682:I682"/>
    <mergeCell ref="C141:I141"/>
    <mergeCell ref="C725:I725"/>
    <mergeCell ref="C967:I967"/>
    <mergeCell ref="C206:I206"/>
    <mergeCell ref="C377:I377"/>
    <mergeCell ref="C662:I662"/>
    <mergeCell ref="C933:I933"/>
    <mergeCell ref="C143:I143"/>
    <mergeCell ref="C270:I270"/>
    <mergeCell ref="C441:I441"/>
    <mergeCell ref="C506:I506"/>
    <mergeCell ref="C870:I870"/>
    <mergeCell ref="C522:I522"/>
    <mergeCell ref="C59:I59"/>
    <mergeCell ref="C295:I295"/>
    <mergeCell ref="C46:I46"/>
    <mergeCell ref="C380:I380"/>
    <mergeCell ref="C822:I822"/>
    <mergeCell ref="P10:P11"/>
    <mergeCell ref="C882:I882"/>
    <mergeCell ref="C61:I61"/>
    <mergeCell ref="C359:I359"/>
    <mergeCell ref="C159:I159"/>
    <mergeCell ref="C48:I48"/>
    <mergeCell ref="C153:I153"/>
    <mergeCell ref="C219:I219"/>
    <mergeCell ref="C346:I346"/>
    <mergeCell ref="C395:I395"/>
    <mergeCell ref="C517:I517"/>
    <mergeCell ref="C588:I588"/>
    <mergeCell ref="C688:I688"/>
    <mergeCell ref="C582:I582"/>
    <mergeCell ref="C759:I759"/>
    <mergeCell ref="C653:I653"/>
    <mergeCell ref="C753:I753"/>
    <mergeCell ref="C125:I125"/>
    <mergeCell ref="C296:I296"/>
    <mergeCell ref="C680:I680"/>
    <mergeCell ref="C740:I740"/>
    <mergeCell ref="C824:I824"/>
    <mergeCell ref="C995:I995"/>
    <mergeCell ref="C161:I161"/>
    <mergeCell ref="C217:I217"/>
    <mergeCell ref="C283:I283"/>
    <mergeCell ref="C348:I348"/>
    <mergeCell ref="C519:I519"/>
    <mergeCell ref="C690:I690"/>
    <mergeCell ref="C646:I646"/>
    <mergeCell ref="C817:I817"/>
    <mergeCell ref="C988:I988"/>
    <mergeCell ref="C298:I298"/>
    <mergeCell ref="C154:I154"/>
    <mergeCell ref="C980:I980"/>
    <mergeCell ref="C285:I285"/>
    <mergeCell ref="C390:I390"/>
    <mergeCell ref="C583:I583"/>
    <mergeCell ref="C754:I754"/>
    <mergeCell ref="C648:I648"/>
    <mergeCell ref="C677:I677"/>
    <mergeCell ref="C906:I906"/>
    <mergeCell ref="C156:I156"/>
    <mergeCell ref="C769:I769"/>
    <mergeCell ref="C74:I74"/>
    <mergeCell ref="C250:I250"/>
    <mergeCell ref="C372:I372"/>
    <mergeCell ref="C875:I875"/>
    <mergeCell ref="C535:I535"/>
    <mergeCell ref="C706:I706"/>
    <mergeCell ref="C16:I16"/>
    <mergeCell ref="C964:I964"/>
    <mergeCell ref="C374:I374"/>
    <mergeCell ref="C230:I230"/>
    <mergeCell ref="C401:I401"/>
    <mergeCell ref="C168:I168"/>
    <mergeCell ref="C301:I301"/>
    <mergeCell ref="C472:I472"/>
    <mergeCell ref="C466:I466"/>
    <mergeCell ref="C672:I672"/>
    <mergeCell ref="C537:I537"/>
    <mergeCell ref="C659:I659"/>
    <mergeCell ref="C180:I180"/>
    <mergeCell ref="C708:I708"/>
    <mergeCell ref="C118:I118"/>
    <mergeCell ref="C764:I764"/>
    <mergeCell ref="C895:I895"/>
    <mergeCell ref="C1006:I1006"/>
    <mergeCell ref="C993:I993"/>
    <mergeCell ref="C238:I238"/>
    <mergeCell ref="C232:I232"/>
    <mergeCell ref="C674:I674"/>
    <mergeCell ref="C303:I303"/>
    <mergeCell ref="C474:I474"/>
    <mergeCell ref="C530:I530"/>
    <mergeCell ref="C601:I601"/>
    <mergeCell ref="C772:I772"/>
    <mergeCell ref="C207:I207"/>
    <mergeCell ref="C182:I182"/>
    <mergeCell ref="C959:I959"/>
    <mergeCell ref="C1008:I1008"/>
    <mergeCell ref="C747:I747"/>
    <mergeCell ref="C983:I983"/>
    <mergeCell ref="C532:I532"/>
    <mergeCell ref="C799:I799"/>
    <mergeCell ref="C970:I970"/>
    <mergeCell ref="C911:I911"/>
    <mergeCell ref="C69:I69"/>
    <mergeCell ref="C96:I96"/>
    <mergeCell ref="C87:I87"/>
    <mergeCell ref="C354:I354"/>
    <mergeCell ref="C652:I652"/>
    <mergeCell ref="C627:I627"/>
    <mergeCell ref="C590:I590"/>
    <mergeCell ref="C761:I761"/>
    <mergeCell ref="C62:I62"/>
    <mergeCell ref="C421:I421"/>
    <mergeCell ref="C823:I823"/>
    <mergeCell ref="C894:I894"/>
    <mergeCell ref="C888:I888"/>
    <mergeCell ref="C986:I986"/>
    <mergeCell ref="C98:I98"/>
    <mergeCell ref="C369:I369"/>
    <mergeCell ref="C396:I396"/>
    <mergeCell ref="C667:I667"/>
    <mergeCell ref="C89:I89"/>
    <mergeCell ref="C527:I527"/>
    <mergeCell ref="C825:I825"/>
    <mergeCell ref="C996:I996"/>
    <mergeCell ref="C187:I187"/>
    <mergeCell ref="C629:I629"/>
    <mergeCell ref="C654:I654"/>
    <mergeCell ref="C485:I485"/>
    <mergeCell ref="C64:I64"/>
    <mergeCell ref="C368:I368"/>
    <mergeCell ref="C306:I306"/>
    <mergeCell ref="C619:I619"/>
    <mergeCell ref="C162:I162"/>
    <mergeCell ref="C681:I681"/>
    <mergeCell ref="C752:I752"/>
    <mergeCell ref="C460:I460"/>
    <mergeCell ref="C349:I349"/>
    <mergeCell ref="C398:I398"/>
    <mergeCell ref="C591:I591"/>
    <mergeCell ref="C696:I696"/>
    <mergeCell ref="C889:I889"/>
    <mergeCell ref="C177:I177"/>
    <mergeCell ref="C683:I683"/>
    <mergeCell ref="C954:I954"/>
    <mergeCell ref="C981:I981"/>
    <mergeCell ref="C93:I93"/>
    <mergeCell ref="C226:I226"/>
    <mergeCell ref="C164:I164"/>
    <mergeCell ref="C335:I335"/>
    <mergeCell ref="C364:I364"/>
    <mergeCell ref="C462:I462"/>
    <mergeCell ref="C760:I760"/>
    <mergeCell ref="C891:I891"/>
    <mergeCell ref="C222:I222"/>
    <mergeCell ref="C251:I251"/>
    <mergeCell ref="C487:I487"/>
    <mergeCell ref="C920:I920"/>
    <mergeCell ref="C916:I916"/>
    <mergeCell ref="C17:I17"/>
    <mergeCell ref="C903:I903"/>
    <mergeCell ref="C82:I82"/>
    <mergeCell ref="C253:I253"/>
    <mergeCell ref="C551:I551"/>
    <mergeCell ref="C622:I622"/>
    <mergeCell ref="C240:I240"/>
    <mergeCell ref="C411:I411"/>
    <mergeCell ref="C538:I538"/>
    <mergeCell ref="C709:I709"/>
    <mergeCell ref="C1007:I1007"/>
    <mergeCell ref="C774:I774"/>
    <mergeCell ref="C19:I19"/>
    <mergeCell ref="E2:P9"/>
    <mergeCell ref="C190:I190"/>
    <mergeCell ref="C317:I317"/>
    <mergeCell ref="C945:I945"/>
    <mergeCell ref="C111:I111"/>
    <mergeCell ref="C304:I304"/>
    <mergeCell ref="C480:I480"/>
    <mergeCell ref="C602:I602"/>
    <mergeCell ref="C540:I540"/>
    <mergeCell ref="C711:I711"/>
    <mergeCell ref="C773:I773"/>
    <mergeCell ref="C838:I838"/>
    <mergeCell ref="C83:I83"/>
    <mergeCell ref="C254:I254"/>
    <mergeCell ref="C1009:I1009"/>
    <mergeCell ref="C248:I248"/>
    <mergeCell ref="C515:I515"/>
    <mergeCell ref="C319:I319"/>
    <mergeCell ref="C490:I490"/>
    <mergeCell ref="C175:I175"/>
    <mergeCell ref="C804:I804"/>
    <mergeCell ref="C235:I235"/>
    <mergeCell ref="C477:I477"/>
    <mergeCell ref="C604:I604"/>
    <mergeCell ref="C775:I775"/>
    <mergeCell ref="C902:I902"/>
    <mergeCell ref="C14:I14"/>
    <mergeCell ref="C579:I579"/>
    <mergeCell ref="C815:I815"/>
    <mergeCell ref="C475:I475"/>
    <mergeCell ref="C393:I393"/>
    <mergeCell ref="C137:I137"/>
    <mergeCell ref="B2:D9"/>
    <mergeCell ref="C702:I702"/>
    <mergeCell ref="C124:I124"/>
    <mergeCell ref="C422:I422"/>
    <mergeCell ref="C693:I693"/>
    <mergeCell ref="C925:I925"/>
    <mergeCell ref="C201:I201"/>
    <mergeCell ref="C668:I668"/>
    <mergeCell ref="C139:I139"/>
    <mergeCell ref="C188:I188"/>
    <mergeCell ref="C704:I704"/>
    <mergeCell ref="C1002:I1002"/>
    <mergeCell ref="C424:I424"/>
    <mergeCell ref="C722:I722"/>
    <mergeCell ref="C793:I793"/>
    <mergeCell ref="C228:I228"/>
    <mergeCell ref="C203:I203"/>
    <mergeCell ref="C399:I399"/>
    <mergeCell ref="C470:I470"/>
    <mergeCell ref="C526:I526"/>
    <mergeCell ref="C768:I768"/>
    <mergeCell ref="C939:I939"/>
    <mergeCell ref="C762:I762"/>
    <mergeCell ref="C488:I488"/>
    <mergeCell ref="C1004:I1004"/>
    <mergeCell ref="C724:I724"/>
    <mergeCell ref="C607:I607"/>
    <mergeCell ref="C991:I991"/>
    <mergeCell ref="C292:I292"/>
    <mergeCell ref="C528:I528"/>
    <mergeCell ref="C699:I699"/>
    <mergeCell ref="C941:I941"/>
    <mergeCell ref="C788:I788"/>
    <mergeCell ref="C465:I465"/>
    <mergeCell ref="C636:I636"/>
    <mergeCell ref="C907:I907"/>
    <mergeCell ref="C828:I828"/>
    <mergeCell ref="C559:I559"/>
    <mergeCell ref="C108:I108"/>
    <mergeCell ref="C844:I844"/>
    <mergeCell ref="C909:I909"/>
    <mergeCell ref="C325:I325"/>
    <mergeCell ref="C417:I417"/>
    <mergeCell ref="C859:I859"/>
    <mergeCell ref="C20:I20"/>
    <mergeCell ref="C846:I846"/>
    <mergeCell ref="C196:I196"/>
    <mergeCell ref="C973:I973"/>
    <mergeCell ref="C318:I318"/>
    <mergeCell ref="C85:I85"/>
    <mergeCell ref="C256:I256"/>
    <mergeCell ref="C112:I112"/>
    <mergeCell ref="C389:I389"/>
    <mergeCell ref="C183:I183"/>
    <mergeCell ref="C383:I383"/>
    <mergeCell ref="C560:I560"/>
    <mergeCell ref="C923:I923"/>
    <mergeCell ref="C554:I554"/>
    <mergeCell ref="C625:I625"/>
    <mergeCell ref="C541:I541"/>
    <mergeCell ref="C839:I839"/>
    <mergeCell ref="C612:I612"/>
    <mergeCell ref="C910:I910"/>
    <mergeCell ref="C717:I717"/>
    <mergeCell ref="C84:I84"/>
    <mergeCell ref="C133:I133"/>
    <mergeCell ref="C22:I22"/>
    <mergeCell ref="O10:O11"/>
    <mergeCell ref="C127:I127"/>
    <mergeCell ref="C198:I198"/>
    <mergeCell ref="C193:I193"/>
    <mergeCell ref="C176:I176"/>
    <mergeCell ref="C320:I320"/>
    <mergeCell ref="C114:I114"/>
    <mergeCell ref="C247:I247"/>
    <mergeCell ref="C356:I356"/>
    <mergeCell ref="C418:I418"/>
    <mergeCell ref="C412:I412"/>
    <mergeCell ref="C483:I483"/>
    <mergeCell ref="C491:I491"/>
    <mergeCell ref="C605:I605"/>
    <mergeCell ref="C781:I781"/>
    <mergeCell ref="C854:I854"/>
    <mergeCell ref="C719:I719"/>
    <mergeCell ref="C257:I257"/>
    <mergeCell ref="C841:I841"/>
    <mergeCell ref="C912:I912"/>
    <mergeCell ref="C51:I51"/>
    <mergeCell ref="C178:I178"/>
    <mergeCell ref="C620:I620"/>
    <mergeCell ref="C791:I791"/>
    <mergeCell ref="C1011:I1011"/>
    <mergeCell ref="C272:I272"/>
    <mergeCell ref="C443:I443"/>
    <mergeCell ref="C872:I872"/>
    <mergeCell ref="C38:I38"/>
    <mergeCell ref="C209:I209"/>
    <mergeCell ref="C743:I743"/>
    <mergeCell ref="C936:I936"/>
    <mergeCell ref="C730:I730"/>
    <mergeCell ref="C140:I140"/>
    <mergeCell ref="C267:I267"/>
    <mergeCell ref="C438:I438"/>
    <mergeCell ref="C338:I338"/>
    <mergeCell ref="C509:I509"/>
    <mergeCell ref="C496:I496"/>
    <mergeCell ref="C938:I938"/>
    <mergeCell ref="C994:I994"/>
    <mergeCell ref="C794:I794"/>
    <mergeCell ref="C33:I33"/>
    <mergeCell ref="C204:I204"/>
    <mergeCell ref="C104:I104"/>
    <mergeCell ref="C275:I275"/>
    <mergeCell ref="C269:I269"/>
    <mergeCell ref="C440:I440"/>
    <mergeCell ref="C340:I340"/>
    <mergeCell ref="C511:I511"/>
    <mergeCell ref="C707:I707"/>
    <mergeCell ref="C738:I738"/>
    <mergeCell ref="C809:I809"/>
    <mergeCell ref="C1005:I1005"/>
    <mergeCell ref="C796:I796"/>
    <mergeCell ref="C231:I231"/>
    <mergeCell ref="C35:I35"/>
    <mergeCell ref="C333:I333"/>
    <mergeCell ref="C504:I504"/>
    <mergeCell ref="C771:I771"/>
    <mergeCell ref="C99:I99"/>
    <mergeCell ref="C835:I835"/>
    <mergeCell ref="C885:I885"/>
    <mergeCell ref="C130:I130"/>
    <mergeCell ref="C562:I562"/>
    <mergeCell ref="C689:I689"/>
    <mergeCell ref="C860:I860"/>
    <mergeCell ref="C931:I931"/>
    <mergeCell ref="C409:I409"/>
    <mergeCell ref="C651:I651"/>
    <mergeCell ref="C135:I135"/>
    <mergeCell ref="C328:I328"/>
    <mergeCell ref="C433:I433"/>
    <mergeCell ref="C626:I626"/>
    <mergeCell ref="C122:I122"/>
    <mergeCell ref="C430:I430"/>
    <mergeCell ref="C420:I420"/>
    <mergeCell ref="C224:I224"/>
    <mergeCell ref="C862:I862"/>
    <mergeCell ref="C718:I718"/>
    <mergeCell ref="C989:I989"/>
    <mergeCell ref="C789:I789"/>
    <mergeCell ref="C72:I72"/>
    <mergeCell ref="C849:I849"/>
    <mergeCell ref="C960:I960"/>
    <mergeCell ref="C199:I199"/>
    <mergeCell ref="C497:I497"/>
    <mergeCell ref="C435:I435"/>
    <mergeCell ref="C186:I186"/>
    <mergeCell ref="C557:I557"/>
    <mergeCell ref="C628:I628"/>
    <mergeCell ref="C484:I484"/>
    <mergeCell ref="C655:I655"/>
    <mergeCell ref="C926:I926"/>
    <mergeCell ref="C720:I720"/>
    <mergeCell ref="C136:I136"/>
    <mergeCell ref="C913:I913"/>
    <mergeCell ref="C962:I962"/>
    <mergeCell ref="C263:I263"/>
    <mergeCell ref="C434:I434"/>
    <mergeCell ref="C323:I323"/>
    <mergeCell ref="C499:I499"/>
    <mergeCell ref="C863:I863"/>
    <mergeCell ref="C486:I486"/>
    <mergeCell ref="C657:I657"/>
    <mergeCell ref="C928:I928"/>
    <mergeCell ref="C784:I784"/>
    <mergeCell ref="C955:I955"/>
    <mergeCell ref="L10:L11"/>
    <mergeCell ref="N10:N11"/>
    <mergeCell ref="C952:I952"/>
    <mergeCell ref="C786:I786"/>
    <mergeCell ref="C957:I957"/>
    <mergeCell ref="C54:I54"/>
    <mergeCell ref="C41:I41"/>
    <mergeCell ref="C146:I146"/>
    <mergeCell ref="C212:I212"/>
    <mergeCell ref="C510:I510"/>
    <mergeCell ref="C277:I277"/>
    <mergeCell ref="C448:I448"/>
    <mergeCell ref="C581:I581"/>
    <mergeCell ref="C404:I404"/>
    <mergeCell ref="C575:I575"/>
    <mergeCell ref="C746:I746"/>
    <mergeCell ref="C873:I873"/>
    <mergeCell ref="C944:I944"/>
    <mergeCell ref="C56:I56"/>
    <mergeCell ref="C733:I733"/>
    <mergeCell ref="C105:I105"/>
    <mergeCell ref="C276:I276"/>
    <mergeCell ref="C43:I43"/>
    <mergeCell ref="C214:I214"/>
    <mergeCell ref="C341:I341"/>
    <mergeCell ref="C512:I512"/>
    <mergeCell ref="C639:I639"/>
    <mergeCell ref="C439:I439"/>
    <mergeCell ref="C577:I577"/>
    <mergeCell ref="C810:I810"/>
    <mergeCell ref="C120:I120"/>
    <mergeCell ref="C675:I675"/>
    <mergeCell ref="C731:I731"/>
    <mergeCell ref="C797:I797"/>
    <mergeCell ref="C36:I36"/>
    <mergeCell ref="C278:I278"/>
    <mergeCell ref="C405:I405"/>
    <mergeCell ref="C576:I576"/>
    <mergeCell ref="C370:I370"/>
    <mergeCell ref="C641:I641"/>
    <mergeCell ref="C812:I812"/>
    <mergeCell ref="C837:I837"/>
    <mergeCell ref="C149:I149"/>
    <mergeCell ref="C385:I385"/>
    <mergeCell ref="C67:I67"/>
    <mergeCell ref="C670:I670"/>
    <mergeCell ref="C367:I367"/>
    <mergeCell ref="C603:I603"/>
    <mergeCell ref="C288:I288"/>
    <mergeCell ref="C459:I459"/>
    <mergeCell ref="C726:I726"/>
    <mergeCell ref="C505:I505"/>
    <mergeCell ref="C225:I225"/>
    <mergeCell ref="C741:I741"/>
    <mergeCell ref="C461:I461"/>
    <mergeCell ref="C728:I728"/>
    <mergeCell ref="C200:I200"/>
    <mergeCell ref="C271:I271"/>
    <mergeCell ref="C1001:I1001"/>
    <mergeCell ref="C436:I436"/>
    <mergeCell ref="C507:I507"/>
    <mergeCell ref="C805:I805"/>
    <mergeCell ref="C227:I227"/>
    <mergeCell ref="C721:I721"/>
    <mergeCell ref="C525:I525"/>
    <mergeCell ref="C792:I792"/>
    <mergeCell ref="C31:I31"/>
    <mergeCell ref="C202:I202"/>
    <mergeCell ref="C373:I373"/>
    <mergeCell ref="C329:I329"/>
    <mergeCell ref="C444:I444"/>
    <mergeCell ref="C904:I904"/>
    <mergeCell ref="C565:I565"/>
    <mergeCell ref="C736:I736"/>
    <mergeCell ref="C291:I291"/>
    <mergeCell ref="C807:I807"/>
    <mergeCell ref="C589:I589"/>
    <mergeCell ref="C856:I856"/>
    <mergeCell ref="C95:I95"/>
    <mergeCell ref="C60:I60"/>
    <mergeCell ref="C331:I331"/>
    <mergeCell ref="C502:I502"/>
    <mergeCell ref="C673:I673"/>
    <mergeCell ref="C347:I347"/>
    <mergeCell ref="C268:I268"/>
    <mergeCell ref="C881:I881"/>
    <mergeCell ref="C360:I360"/>
    <mergeCell ref="C91:I91"/>
    <mergeCell ref="C362:I362"/>
    <mergeCell ref="C868:I868"/>
    <mergeCell ref="C454:I454"/>
    <mergeCell ref="C647:I647"/>
    <mergeCell ref="C818:I818"/>
    <mergeCell ref="C57:I57"/>
    <mergeCell ref="M10:M11"/>
    <mergeCell ref="C883:I883"/>
    <mergeCell ref="C355:I355"/>
    <mergeCell ref="C155:I155"/>
    <mergeCell ref="C293:I293"/>
    <mergeCell ref="C739:I739"/>
    <mergeCell ref="C975:I975"/>
    <mergeCell ref="C220:I220"/>
    <mergeCell ref="C342:I342"/>
    <mergeCell ref="C391:I391"/>
    <mergeCell ref="C518:I518"/>
    <mergeCell ref="C578:I578"/>
    <mergeCell ref="C749:I749"/>
    <mergeCell ref="C649:I649"/>
    <mergeCell ref="C820:I820"/>
    <mergeCell ref="C676:I676"/>
    <mergeCell ref="C876:I876"/>
    <mergeCell ref="C947:I947"/>
    <mergeCell ref="C86:I86"/>
    <mergeCell ref="C357:I357"/>
    <mergeCell ref="C157:I157"/>
    <mergeCell ref="C42:I42"/>
    <mergeCell ref="C151:I151"/>
    <mergeCell ref="C284:I284"/>
    <mergeCell ref="C344:I344"/>
    <mergeCell ref="C449:I449"/>
    <mergeCell ref="C455:I455"/>
    <mergeCell ref="C520:I520"/>
    <mergeCell ref="C58:I58"/>
    <mergeCell ref="C586:I586"/>
    <mergeCell ref="C642:I642"/>
    <mergeCell ref="C691:I691"/>
    <mergeCell ref="C813:I813"/>
    <mergeCell ref="C294:I294"/>
    <mergeCell ref="C678:I678"/>
    <mergeCell ref="C884:I884"/>
    <mergeCell ref="C878:I878"/>
    <mergeCell ref="C976:I976"/>
    <mergeCell ref="C215:I215"/>
    <mergeCell ref="C386:I386"/>
    <mergeCell ref="C951:I951"/>
    <mergeCell ref="C644:I644"/>
    <mergeCell ref="C152:I152"/>
    <mergeCell ref="C978:I978"/>
    <mergeCell ref="C75:I75"/>
    <mergeCell ref="C953:I953"/>
    <mergeCell ref="C531:I531"/>
    <mergeCell ref="C596:I596"/>
    <mergeCell ref="C767:I767"/>
    <mergeCell ref="C297:I297"/>
    <mergeCell ref="C533:I533"/>
    <mergeCell ref="C660:I660"/>
    <mergeCell ref="C831:I831"/>
    <mergeCell ref="C70:I70"/>
    <mergeCell ref="C241:I241"/>
    <mergeCell ref="C312:I312"/>
    <mergeCell ref="C508:I508"/>
    <mergeCell ref="C806:I806"/>
    <mergeCell ref="C610:I610"/>
    <mergeCell ref="C106:I106"/>
    <mergeCell ref="C744:I744"/>
    <mergeCell ref="C299:I299"/>
    <mergeCell ref="C597:I597"/>
    <mergeCell ref="C32:I32"/>
    <mergeCell ref="C833:I833"/>
    <mergeCell ref="C572:I572"/>
    <mergeCell ref="C243:I243"/>
    <mergeCell ref="C366:I366"/>
    <mergeCell ref="C170:I170"/>
    <mergeCell ref="C808:I808"/>
    <mergeCell ref="C468:I468"/>
    <mergeCell ref="C307:I307"/>
    <mergeCell ref="C574:I574"/>
    <mergeCell ref="C745:I745"/>
    <mergeCell ref="C101:I101"/>
    <mergeCell ref="C666:I666"/>
    <mergeCell ref="C966:I966"/>
    <mergeCell ref="C697:I697"/>
    <mergeCell ref="C246:I246"/>
    <mergeCell ref="C221:I221"/>
    <mergeCell ref="C25:I25"/>
    <mergeCell ref="C392:I392"/>
    <mergeCell ref="C463:I463"/>
    <mergeCell ref="C457:I457"/>
    <mergeCell ref="C755:I755"/>
    <mergeCell ref="C948:I948"/>
    <mergeCell ref="C997:I997"/>
    <mergeCell ref="C886:I886"/>
    <mergeCell ref="C236:I236"/>
    <mergeCell ref="C742:I742"/>
    <mergeCell ref="C984:I984"/>
    <mergeCell ref="C594:I594"/>
    <mergeCell ref="C223:I223"/>
    <mergeCell ref="C394:I394"/>
    <mergeCell ref="C521:I521"/>
    <mergeCell ref="C692:I692"/>
    <mergeCell ref="C763:I763"/>
    <mergeCell ref="C963:I963"/>
    <mergeCell ref="C757:I757"/>
    <mergeCell ref="C999:I999"/>
    <mergeCell ref="C300:I300"/>
    <mergeCell ref="C977:I977"/>
    <mergeCell ref="B12:M12"/>
    <mergeCell ref="C287:I287"/>
    <mergeCell ref="C458:I458"/>
    <mergeCell ref="C585:I585"/>
    <mergeCell ref="C523:I523"/>
    <mergeCell ref="C694:I694"/>
    <mergeCell ref="C887:I887"/>
    <mergeCell ref="C821:I821"/>
    <mergeCell ref="C992:I992"/>
    <mergeCell ref="C979:I979"/>
    <mergeCell ref="C158:I158"/>
    <mergeCell ref="C289:I289"/>
    <mergeCell ref="C587:I587"/>
    <mergeCell ref="C758:I758"/>
    <mergeCell ref="C929:I929"/>
    <mergeCell ref="C919:I919"/>
    <mergeCell ref="C13:I13"/>
    <mergeCell ref="C78:I78"/>
    <mergeCell ref="C249:I249"/>
    <mergeCell ref="C376:I376"/>
    <mergeCell ref="C314:I314"/>
    <mergeCell ref="C618:I618"/>
    <mergeCell ref="C363:I363"/>
    <mergeCell ref="C534:I534"/>
    <mergeCell ref="C539:I539"/>
    <mergeCell ref="C599:I599"/>
    <mergeCell ref="B10:B11"/>
    <mergeCell ref="C15:I15"/>
    <mergeCell ref="C770:I770"/>
    <mergeCell ref="C191:I191"/>
    <mergeCell ref="C313:I313"/>
    <mergeCell ref="C897:I897"/>
    <mergeCell ref="C968:I968"/>
    <mergeCell ref="C107:I107"/>
    <mergeCell ref="C378:I378"/>
    <mergeCell ref="C549:I549"/>
    <mergeCell ref="C234:I234"/>
    <mergeCell ref="C816:I816"/>
    <mergeCell ref="C172:I172"/>
    <mergeCell ref="C476:I476"/>
    <mergeCell ref="C536:I536"/>
    <mergeCell ref="C663:I663"/>
    <mergeCell ref="C79:I79"/>
    <mergeCell ref="C905:I905"/>
    <mergeCell ref="C961:I961"/>
    <mergeCell ref="C184:I184"/>
    <mergeCell ref="C712:I712"/>
    <mergeCell ref="C73:I73"/>
    <mergeCell ref="C834:I834"/>
    <mergeCell ref="C315:I315"/>
    <mergeCell ref="C899:I899"/>
    <mergeCell ref="C171:I171"/>
    <mergeCell ref="C613:I613"/>
    <mergeCell ref="C638:I638"/>
    <mergeCell ref="C880:I880"/>
    <mergeCell ref="C302:I302"/>
    <mergeCell ref="C407:I407"/>
    <mergeCell ref="C874:I874"/>
    <mergeCell ref="C600:I600"/>
    <mergeCell ref="C705:I705"/>
    <mergeCell ref="C121:I121"/>
    <mergeCell ref="C898:I898"/>
    <mergeCell ref="C836:I836"/>
    <mergeCell ref="C382:I382"/>
    <mergeCell ref="C934:I934"/>
    <mergeCell ref="C173:I173"/>
    <mergeCell ref="C811:I811"/>
    <mergeCell ref="C471:I471"/>
    <mergeCell ref="C148:I148"/>
    <mergeCell ref="C900:I900"/>
    <mergeCell ref="C669:I669"/>
  </mergeCells>
  <hyperlinks>
    <hyperlink xmlns:r="http://schemas.openxmlformats.org/officeDocument/2006/relationships" ref="P13" r:id="rId1"/>
    <hyperlink xmlns:r="http://schemas.openxmlformats.org/officeDocument/2006/relationships" ref="P14" r:id="rId2"/>
    <hyperlink xmlns:r="http://schemas.openxmlformats.org/officeDocument/2006/relationships" ref="P15" r:id="rId3"/>
    <hyperlink xmlns:r="http://schemas.openxmlformats.org/officeDocument/2006/relationships" ref="P16" r:id="rId4"/>
    <hyperlink xmlns:r="http://schemas.openxmlformats.org/officeDocument/2006/relationships" ref="P17" r:id="rId5"/>
    <hyperlink xmlns:r="http://schemas.openxmlformats.org/officeDocument/2006/relationships" ref="P18" r:id="rId6"/>
    <hyperlink xmlns:r="http://schemas.openxmlformats.org/officeDocument/2006/relationships" ref="P19" r:id="rId7"/>
    <hyperlink xmlns:r="http://schemas.openxmlformats.org/officeDocument/2006/relationships" ref="P20" r:id="rId8"/>
    <hyperlink xmlns:r="http://schemas.openxmlformats.org/officeDocument/2006/relationships" ref="P21" r:id="rId9"/>
    <hyperlink xmlns:r="http://schemas.openxmlformats.org/officeDocument/2006/relationships" ref="P22" r:id="rId10"/>
    <hyperlink xmlns:r="http://schemas.openxmlformats.org/officeDocument/2006/relationships" ref="P23" r:id="rId11"/>
    <hyperlink xmlns:r="http://schemas.openxmlformats.org/officeDocument/2006/relationships" ref="P24" r:id="rId12"/>
    <hyperlink xmlns:r="http://schemas.openxmlformats.org/officeDocument/2006/relationships" ref="P25" r:id="rId13"/>
    <hyperlink xmlns:r="http://schemas.openxmlformats.org/officeDocument/2006/relationships" ref="P26" r:id="rId14"/>
    <hyperlink xmlns:r="http://schemas.openxmlformats.org/officeDocument/2006/relationships" ref="P27" r:id="rId15"/>
    <hyperlink xmlns:r="http://schemas.openxmlformats.org/officeDocument/2006/relationships" ref="P28" r:id="rId16"/>
    <hyperlink xmlns:r="http://schemas.openxmlformats.org/officeDocument/2006/relationships" ref="P29" r:id="rId17"/>
    <hyperlink xmlns:r="http://schemas.openxmlformats.org/officeDocument/2006/relationships" ref="P30" r:id="rId18"/>
    <hyperlink xmlns:r="http://schemas.openxmlformats.org/officeDocument/2006/relationships" ref="P31" r:id="rId19"/>
    <hyperlink xmlns:r="http://schemas.openxmlformats.org/officeDocument/2006/relationships" ref="P32" r:id="rId20"/>
    <hyperlink xmlns:r="http://schemas.openxmlformats.org/officeDocument/2006/relationships" ref="P33" r:id="rId21"/>
    <hyperlink xmlns:r="http://schemas.openxmlformats.org/officeDocument/2006/relationships" ref="P34" r:id="rId22"/>
    <hyperlink xmlns:r="http://schemas.openxmlformats.org/officeDocument/2006/relationships" ref="P35" r:id="rId23"/>
    <hyperlink xmlns:r="http://schemas.openxmlformats.org/officeDocument/2006/relationships" ref="P36" r:id="rId24"/>
    <hyperlink xmlns:r="http://schemas.openxmlformats.org/officeDocument/2006/relationships" ref="P37" r:id="rId25"/>
    <hyperlink xmlns:r="http://schemas.openxmlformats.org/officeDocument/2006/relationships" ref="P38" r:id="rId26"/>
    <hyperlink xmlns:r="http://schemas.openxmlformats.org/officeDocument/2006/relationships" ref="P39" r:id="rId27"/>
    <hyperlink xmlns:r="http://schemas.openxmlformats.org/officeDocument/2006/relationships" ref="P40" r:id="rId28"/>
    <hyperlink xmlns:r="http://schemas.openxmlformats.org/officeDocument/2006/relationships" ref="P41" r:id="rId29"/>
    <hyperlink xmlns:r="http://schemas.openxmlformats.org/officeDocument/2006/relationships" ref="P42" r:id="rId30"/>
    <hyperlink xmlns:r="http://schemas.openxmlformats.org/officeDocument/2006/relationships" ref="P43" r:id="rId31"/>
    <hyperlink xmlns:r="http://schemas.openxmlformats.org/officeDocument/2006/relationships" ref="P44" r:id="rId32"/>
    <hyperlink xmlns:r="http://schemas.openxmlformats.org/officeDocument/2006/relationships" ref="P45" r:id="rId33"/>
    <hyperlink xmlns:r="http://schemas.openxmlformats.org/officeDocument/2006/relationships" ref="P46" r:id="rId34"/>
    <hyperlink xmlns:r="http://schemas.openxmlformats.org/officeDocument/2006/relationships" ref="P47" r:id="rId35"/>
    <hyperlink xmlns:r="http://schemas.openxmlformats.org/officeDocument/2006/relationships" ref="P48" r:id="rId36"/>
    <hyperlink xmlns:r="http://schemas.openxmlformats.org/officeDocument/2006/relationships" ref="P49" r:id="rId37"/>
    <hyperlink xmlns:r="http://schemas.openxmlformats.org/officeDocument/2006/relationships" ref="P50" r:id="rId38"/>
    <hyperlink xmlns:r="http://schemas.openxmlformats.org/officeDocument/2006/relationships" ref="P51" r:id="rId39"/>
    <hyperlink xmlns:r="http://schemas.openxmlformats.org/officeDocument/2006/relationships" ref="P52" r:id="rId40"/>
    <hyperlink xmlns:r="http://schemas.openxmlformats.org/officeDocument/2006/relationships" ref="P53" r:id="rId41"/>
    <hyperlink xmlns:r="http://schemas.openxmlformats.org/officeDocument/2006/relationships" ref="P54" r:id="rId42"/>
    <hyperlink xmlns:r="http://schemas.openxmlformats.org/officeDocument/2006/relationships" ref="O55" display="jzapata@contex.com.co" r:id="rId43"/>
    <hyperlink xmlns:r="http://schemas.openxmlformats.org/officeDocument/2006/relationships" ref="P55" r:id="rId44"/>
    <hyperlink xmlns:r="http://schemas.openxmlformats.org/officeDocument/2006/relationships" ref="P56" r:id="rId45"/>
    <hyperlink xmlns:r="http://schemas.openxmlformats.org/officeDocument/2006/relationships" ref="P57" r:id="rId46"/>
    <hyperlink xmlns:r="http://schemas.openxmlformats.org/officeDocument/2006/relationships" ref="P58" r:id="rId47"/>
    <hyperlink xmlns:r="http://schemas.openxmlformats.org/officeDocument/2006/relationships" ref="P59" r:id="rId48"/>
    <hyperlink xmlns:r="http://schemas.openxmlformats.org/officeDocument/2006/relationships" ref="P60" r:id="rId49"/>
    <hyperlink xmlns:r="http://schemas.openxmlformats.org/officeDocument/2006/relationships" ref="P61" r:id="rId50"/>
    <hyperlink xmlns:r="http://schemas.openxmlformats.org/officeDocument/2006/relationships" ref="P62" r:id="rId51"/>
    <hyperlink xmlns:r="http://schemas.openxmlformats.org/officeDocument/2006/relationships" ref="P63" r:id="rId52"/>
    <hyperlink xmlns:r="http://schemas.openxmlformats.org/officeDocument/2006/relationships" ref="P64" r:id="rId53"/>
    <hyperlink xmlns:r="http://schemas.openxmlformats.org/officeDocument/2006/relationships" ref="P65" r:id="rId54"/>
    <hyperlink xmlns:r="http://schemas.openxmlformats.org/officeDocument/2006/relationships" ref="P66" r:id="rId55"/>
    <hyperlink xmlns:r="http://schemas.openxmlformats.org/officeDocument/2006/relationships" ref="P67" r:id="rId56"/>
    <hyperlink xmlns:r="http://schemas.openxmlformats.org/officeDocument/2006/relationships" ref="P68" r:id="rId57"/>
    <hyperlink xmlns:r="http://schemas.openxmlformats.org/officeDocument/2006/relationships" ref="P69" r:id="rId58"/>
    <hyperlink xmlns:r="http://schemas.openxmlformats.org/officeDocument/2006/relationships" ref="P70" r:id="rId59"/>
    <hyperlink xmlns:r="http://schemas.openxmlformats.org/officeDocument/2006/relationships" ref="P71" r:id="rId60"/>
    <hyperlink xmlns:r="http://schemas.openxmlformats.org/officeDocument/2006/relationships" ref="P72" r:id="rId61"/>
    <hyperlink xmlns:r="http://schemas.openxmlformats.org/officeDocument/2006/relationships" ref="P73" r:id="rId62"/>
    <hyperlink xmlns:r="http://schemas.openxmlformats.org/officeDocument/2006/relationships" ref="P74" r:id="rId63"/>
    <hyperlink xmlns:r="http://schemas.openxmlformats.org/officeDocument/2006/relationships" ref="P75" r:id="rId64"/>
    <hyperlink xmlns:r="http://schemas.openxmlformats.org/officeDocument/2006/relationships" ref="P76" r:id="rId65"/>
    <hyperlink xmlns:r="http://schemas.openxmlformats.org/officeDocument/2006/relationships" ref="P77" r:id="rId66"/>
    <hyperlink xmlns:r="http://schemas.openxmlformats.org/officeDocument/2006/relationships" ref="P78" r:id="rId67"/>
    <hyperlink xmlns:r="http://schemas.openxmlformats.org/officeDocument/2006/relationships" ref="P79" r:id="rId68"/>
    <hyperlink xmlns:r="http://schemas.openxmlformats.org/officeDocument/2006/relationships" ref="P80" r:id="rId69"/>
    <hyperlink xmlns:r="http://schemas.openxmlformats.org/officeDocument/2006/relationships" ref="P81" r:id="rId70"/>
    <hyperlink xmlns:r="http://schemas.openxmlformats.org/officeDocument/2006/relationships" ref="P82" r:id="rId71"/>
    <hyperlink xmlns:r="http://schemas.openxmlformats.org/officeDocument/2006/relationships" ref="P83" r:id="rId72"/>
    <hyperlink xmlns:r="http://schemas.openxmlformats.org/officeDocument/2006/relationships" ref="P84" r:id="rId73"/>
    <hyperlink xmlns:r="http://schemas.openxmlformats.org/officeDocument/2006/relationships" ref="P85" r:id="rId74"/>
    <hyperlink xmlns:r="http://schemas.openxmlformats.org/officeDocument/2006/relationships" ref="P86" r:id="rId75"/>
    <hyperlink xmlns:r="http://schemas.openxmlformats.org/officeDocument/2006/relationships" ref="P87" r:id="rId76"/>
    <hyperlink xmlns:r="http://schemas.openxmlformats.org/officeDocument/2006/relationships" ref="P88" r:id="rId77"/>
    <hyperlink xmlns:r="http://schemas.openxmlformats.org/officeDocument/2006/relationships" ref="P89" r:id="rId78"/>
    <hyperlink xmlns:r="http://schemas.openxmlformats.org/officeDocument/2006/relationships" ref="P90" r:id="rId79"/>
    <hyperlink xmlns:r="http://schemas.openxmlformats.org/officeDocument/2006/relationships" ref="P91" r:id="rId80"/>
    <hyperlink xmlns:r="http://schemas.openxmlformats.org/officeDocument/2006/relationships" ref="P92" r:id="rId81"/>
    <hyperlink xmlns:r="http://schemas.openxmlformats.org/officeDocument/2006/relationships" ref="P93" r:id="rId82"/>
    <hyperlink xmlns:r="http://schemas.openxmlformats.org/officeDocument/2006/relationships" ref="P94" r:id="rId83"/>
    <hyperlink xmlns:r="http://schemas.openxmlformats.org/officeDocument/2006/relationships" ref="P95" r:id="rId84"/>
    <hyperlink xmlns:r="http://schemas.openxmlformats.org/officeDocument/2006/relationships" ref="P96" r:id="rId85"/>
    <hyperlink xmlns:r="http://schemas.openxmlformats.org/officeDocument/2006/relationships" ref="P97" r:id="rId86"/>
    <hyperlink xmlns:r="http://schemas.openxmlformats.org/officeDocument/2006/relationships" ref="P98" r:id="rId87"/>
    <hyperlink xmlns:r="http://schemas.openxmlformats.org/officeDocument/2006/relationships" ref="P102" r:id="rId88"/>
    <hyperlink xmlns:r="http://schemas.openxmlformats.org/officeDocument/2006/relationships" ref="P103" r:id="rId89"/>
    <hyperlink xmlns:r="http://schemas.openxmlformats.org/officeDocument/2006/relationships" ref="P104" r:id="rId90"/>
    <hyperlink xmlns:r="http://schemas.openxmlformats.org/officeDocument/2006/relationships" ref="P105" r:id="rId91"/>
    <hyperlink xmlns:r="http://schemas.openxmlformats.org/officeDocument/2006/relationships" ref="P106" r:id="rId92"/>
    <hyperlink xmlns:r="http://schemas.openxmlformats.org/officeDocument/2006/relationships" ref="P107" r:id="rId93"/>
    <hyperlink xmlns:r="http://schemas.openxmlformats.org/officeDocument/2006/relationships" ref="P108" r:id="rId94"/>
    <hyperlink xmlns:r="http://schemas.openxmlformats.org/officeDocument/2006/relationships" ref="P109" r:id="rId95"/>
    <hyperlink xmlns:r="http://schemas.openxmlformats.org/officeDocument/2006/relationships" ref="P110" r:id="rId96"/>
    <hyperlink xmlns:r="http://schemas.openxmlformats.org/officeDocument/2006/relationships" ref="P111" r:id="rId97"/>
    <hyperlink xmlns:r="http://schemas.openxmlformats.org/officeDocument/2006/relationships" ref="P112" r:id="rId98"/>
    <hyperlink xmlns:r="http://schemas.openxmlformats.org/officeDocument/2006/relationships" ref="P113" r:id="rId99"/>
    <hyperlink xmlns:r="http://schemas.openxmlformats.org/officeDocument/2006/relationships" ref="P114" r:id="rId100"/>
    <hyperlink xmlns:r="http://schemas.openxmlformats.org/officeDocument/2006/relationships" ref="P115" r:id="rId101"/>
    <hyperlink xmlns:r="http://schemas.openxmlformats.org/officeDocument/2006/relationships" ref="P116" r:id="rId102"/>
    <hyperlink xmlns:r="http://schemas.openxmlformats.org/officeDocument/2006/relationships" ref="P117" r:id="rId103"/>
    <hyperlink xmlns:r="http://schemas.openxmlformats.org/officeDocument/2006/relationships" ref="P118" r:id="rId104"/>
    <hyperlink xmlns:r="http://schemas.openxmlformats.org/officeDocument/2006/relationships" ref="P119" r:id="rId105"/>
    <hyperlink xmlns:r="http://schemas.openxmlformats.org/officeDocument/2006/relationships" ref="P120" r:id="rId106"/>
    <hyperlink xmlns:r="http://schemas.openxmlformats.org/officeDocument/2006/relationships" ref="P121" r:id="rId107"/>
    <hyperlink xmlns:r="http://schemas.openxmlformats.org/officeDocument/2006/relationships" ref="P122" r:id="rId108"/>
    <hyperlink xmlns:r="http://schemas.openxmlformats.org/officeDocument/2006/relationships" ref="P123" r:id="rId109"/>
    <hyperlink xmlns:r="http://schemas.openxmlformats.org/officeDocument/2006/relationships" ref="P124" r:id="rId110"/>
    <hyperlink xmlns:r="http://schemas.openxmlformats.org/officeDocument/2006/relationships" ref="P125" display="david.lopera@socomes.com" r:id="rId111"/>
    <hyperlink xmlns:r="http://schemas.openxmlformats.org/officeDocument/2006/relationships" ref="P126" r:id="rId112"/>
    <hyperlink xmlns:r="http://schemas.openxmlformats.org/officeDocument/2006/relationships" ref="P127" r:id="rId113"/>
    <hyperlink xmlns:r="http://schemas.openxmlformats.org/officeDocument/2006/relationships" ref="P128" r:id="rId114"/>
    <hyperlink xmlns:r="http://schemas.openxmlformats.org/officeDocument/2006/relationships" ref="P129" r:id="rId115"/>
    <hyperlink xmlns:r="http://schemas.openxmlformats.org/officeDocument/2006/relationships" ref="P130" r:id="rId116"/>
    <hyperlink xmlns:r="http://schemas.openxmlformats.org/officeDocument/2006/relationships" ref="P131" r:id="rId117"/>
    <hyperlink xmlns:r="http://schemas.openxmlformats.org/officeDocument/2006/relationships" ref="P132" r:id="rId118"/>
    <hyperlink xmlns:r="http://schemas.openxmlformats.org/officeDocument/2006/relationships" ref="P134" r:id="rId119"/>
    <hyperlink xmlns:r="http://schemas.openxmlformats.org/officeDocument/2006/relationships" ref="P135" r:id="rId120"/>
    <hyperlink xmlns:r="http://schemas.openxmlformats.org/officeDocument/2006/relationships" ref="P136" r:id="rId121"/>
    <hyperlink xmlns:r="http://schemas.openxmlformats.org/officeDocument/2006/relationships" ref="P137" r:id="rId122"/>
    <hyperlink xmlns:r="http://schemas.openxmlformats.org/officeDocument/2006/relationships" ref="P138" r:id="rId123"/>
    <hyperlink xmlns:r="http://schemas.openxmlformats.org/officeDocument/2006/relationships" ref="P139" r:id="rId124"/>
    <hyperlink xmlns:r="http://schemas.openxmlformats.org/officeDocument/2006/relationships" ref="P140" r:id="rId125"/>
    <hyperlink xmlns:r="http://schemas.openxmlformats.org/officeDocument/2006/relationships" ref="P141" r:id="rId126"/>
    <hyperlink xmlns:r="http://schemas.openxmlformats.org/officeDocument/2006/relationships" ref="P142" r:id="rId127"/>
    <hyperlink xmlns:r="http://schemas.openxmlformats.org/officeDocument/2006/relationships" ref="P144" r:id="rId128"/>
    <hyperlink xmlns:r="http://schemas.openxmlformats.org/officeDocument/2006/relationships" ref="P145" r:id="rId129"/>
    <hyperlink xmlns:r="http://schemas.openxmlformats.org/officeDocument/2006/relationships" ref="P148" r:id="rId130"/>
    <hyperlink xmlns:r="http://schemas.openxmlformats.org/officeDocument/2006/relationships" ref="P149" r:id="rId131"/>
    <hyperlink xmlns:r="http://schemas.openxmlformats.org/officeDocument/2006/relationships" ref="P150" r:id="rId132"/>
    <hyperlink xmlns:r="http://schemas.openxmlformats.org/officeDocument/2006/relationships" ref="P152" r:id="rId133"/>
    <hyperlink xmlns:r="http://schemas.openxmlformats.org/officeDocument/2006/relationships" ref="P153" r:id="rId134"/>
    <hyperlink xmlns:r="http://schemas.openxmlformats.org/officeDocument/2006/relationships" ref="P154" r:id="rId135"/>
    <hyperlink xmlns:r="http://schemas.openxmlformats.org/officeDocument/2006/relationships" ref="P155" r:id="rId136"/>
    <hyperlink xmlns:r="http://schemas.openxmlformats.org/officeDocument/2006/relationships" ref="P156" r:id="rId137"/>
    <hyperlink xmlns:r="http://schemas.openxmlformats.org/officeDocument/2006/relationships" ref="P157" r:id="rId138"/>
    <hyperlink xmlns:r="http://schemas.openxmlformats.org/officeDocument/2006/relationships" ref="P158" r:id="rId139"/>
    <hyperlink xmlns:r="http://schemas.openxmlformats.org/officeDocument/2006/relationships" ref="P159" r:id="rId140"/>
    <hyperlink xmlns:r="http://schemas.openxmlformats.org/officeDocument/2006/relationships" ref="P160" r:id="rId141"/>
    <hyperlink xmlns:r="http://schemas.openxmlformats.org/officeDocument/2006/relationships" ref="P161" r:id="rId142"/>
    <hyperlink xmlns:r="http://schemas.openxmlformats.org/officeDocument/2006/relationships" ref="P162" r:id="rId143"/>
    <hyperlink xmlns:r="http://schemas.openxmlformats.org/officeDocument/2006/relationships" ref="P163" r:id="rId144"/>
    <hyperlink xmlns:r="http://schemas.openxmlformats.org/officeDocument/2006/relationships" ref="P164" r:id="rId145"/>
    <hyperlink xmlns:r="http://schemas.openxmlformats.org/officeDocument/2006/relationships" ref="P165" r:id="rId146"/>
    <hyperlink xmlns:r="http://schemas.openxmlformats.org/officeDocument/2006/relationships" ref="P166" r:id="rId147"/>
    <hyperlink xmlns:r="http://schemas.openxmlformats.org/officeDocument/2006/relationships" ref="P169" r:id="rId148"/>
    <hyperlink xmlns:r="http://schemas.openxmlformats.org/officeDocument/2006/relationships" ref="P170" r:id="rId149"/>
    <hyperlink xmlns:r="http://schemas.openxmlformats.org/officeDocument/2006/relationships" ref="P171" r:id="rId150"/>
    <hyperlink xmlns:r="http://schemas.openxmlformats.org/officeDocument/2006/relationships" ref="P172" r:id="rId151"/>
    <hyperlink xmlns:r="http://schemas.openxmlformats.org/officeDocument/2006/relationships" ref="P173" r:id="rId152"/>
    <hyperlink xmlns:r="http://schemas.openxmlformats.org/officeDocument/2006/relationships" ref="P174" r:id="rId153"/>
    <hyperlink xmlns:r="http://schemas.openxmlformats.org/officeDocument/2006/relationships" ref="P175" r:id="rId154"/>
    <hyperlink xmlns:r="http://schemas.openxmlformats.org/officeDocument/2006/relationships" ref="P176" r:id="rId155"/>
    <hyperlink xmlns:r="http://schemas.openxmlformats.org/officeDocument/2006/relationships" ref="P177" r:id="rId156"/>
    <hyperlink xmlns:r="http://schemas.openxmlformats.org/officeDocument/2006/relationships" ref="P178" r:id="rId157"/>
    <hyperlink xmlns:r="http://schemas.openxmlformats.org/officeDocument/2006/relationships" ref="P180" r:id="rId158"/>
    <hyperlink xmlns:r="http://schemas.openxmlformats.org/officeDocument/2006/relationships" ref="P181" r:id="rId159"/>
    <hyperlink xmlns:r="http://schemas.openxmlformats.org/officeDocument/2006/relationships" ref="P182" r:id="rId160"/>
    <hyperlink xmlns:r="http://schemas.openxmlformats.org/officeDocument/2006/relationships" ref="P183" r:id="rId161"/>
    <hyperlink xmlns:r="http://schemas.openxmlformats.org/officeDocument/2006/relationships" ref="P184" r:id="rId162"/>
    <hyperlink xmlns:r="http://schemas.openxmlformats.org/officeDocument/2006/relationships" ref="P185" r:id="rId163"/>
    <hyperlink xmlns:r="http://schemas.openxmlformats.org/officeDocument/2006/relationships" ref="P186" r:id="rId164"/>
    <hyperlink xmlns:r="http://schemas.openxmlformats.org/officeDocument/2006/relationships" ref="P188" r:id="rId165"/>
    <hyperlink xmlns:r="http://schemas.openxmlformats.org/officeDocument/2006/relationships" ref="P190" r:id="rId166"/>
    <hyperlink xmlns:r="http://schemas.openxmlformats.org/officeDocument/2006/relationships" ref="P191" display="david.lopera@socomes.com" r:id="rId167"/>
    <hyperlink xmlns:r="http://schemas.openxmlformats.org/officeDocument/2006/relationships" ref="P192" r:id="rId168"/>
    <hyperlink xmlns:r="http://schemas.openxmlformats.org/officeDocument/2006/relationships" ref="P193" r:id="rId169"/>
    <hyperlink xmlns:r="http://schemas.openxmlformats.org/officeDocument/2006/relationships" ref="P194" r:id="rId170"/>
    <hyperlink xmlns:r="http://schemas.openxmlformats.org/officeDocument/2006/relationships" ref="P196" r:id="rId171"/>
    <hyperlink xmlns:r="http://schemas.openxmlformats.org/officeDocument/2006/relationships" ref="P197" r:id="rId172"/>
    <hyperlink xmlns:r="http://schemas.openxmlformats.org/officeDocument/2006/relationships" ref="P198" r:id="rId173"/>
    <hyperlink xmlns:r="http://schemas.openxmlformats.org/officeDocument/2006/relationships" ref="P199" r:id="rId174"/>
    <hyperlink xmlns:r="http://schemas.openxmlformats.org/officeDocument/2006/relationships" ref="P200" r:id="rId175"/>
    <hyperlink xmlns:r="http://schemas.openxmlformats.org/officeDocument/2006/relationships" ref="P201" r:id="rId176"/>
    <hyperlink xmlns:r="http://schemas.openxmlformats.org/officeDocument/2006/relationships" ref="P202" r:id="rId177"/>
    <hyperlink xmlns:r="http://schemas.openxmlformats.org/officeDocument/2006/relationships" ref="P203" r:id="rId178"/>
    <hyperlink xmlns:r="http://schemas.openxmlformats.org/officeDocument/2006/relationships" ref="P204" r:id="rId179"/>
    <hyperlink xmlns:r="http://schemas.openxmlformats.org/officeDocument/2006/relationships" ref="P205" r:id="rId180"/>
    <hyperlink xmlns:r="http://schemas.openxmlformats.org/officeDocument/2006/relationships" ref="P206" r:id="rId181"/>
    <hyperlink xmlns:r="http://schemas.openxmlformats.org/officeDocument/2006/relationships" ref="P207" r:id="rId182"/>
    <hyperlink xmlns:r="http://schemas.openxmlformats.org/officeDocument/2006/relationships" ref="P208" r:id="rId183"/>
    <hyperlink xmlns:r="http://schemas.openxmlformats.org/officeDocument/2006/relationships" ref="P209" r:id="rId184"/>
    <hyperlink xmlns:r="http://schemas.openxmlformats.org/officeDocument/2006/relationships" ref="P210" r:id="rId185"/>
    <hyperlink xmlns:r="http://schemas.openxmlformats.org/officeDocument/2006/relationships" ref="P211" r:id="rId186"/>
    <hyperlink xmlns:r="http://schemas.openxmlformats.org/officeDocument/2006/relationships" ref="P212" r:id="rId187"/>
    <hyperlink xmlns:r="http://schemas.openxmlformats.org/officeDocument/2006/relationships" ref="P213" r:id="rId188"/>
    <hyperlink xmlns:r="http://schemas.openxmlformats.org/officeDocument/2006/relationships" ref="P214" r:id="rId189"/>
    <hyperlink xmlns:r="http://schemas.openxmlformats.org/officeDocument/2006/relationships" ref="P215" r:id="rId190"/>
    <hyperlink xmlns:r="http://schemas.openxmlformats.org/officeDocument/2006/relationships" ref="P216" r:id="rId191"/>
    <hyperlink xmlns:r="http://schemas.openxmlformats.org/officeDocument/2006/relationships" ref="P217" r:id="rId192"/>
    <hyperlink xmlns:r="http://schemas.openxmlformats.org/officeDocument/2006/relationships" ref="P218" r:id="rId193"/>
    <hyperlink xmlns:r="http://schemas.openxmlformats.org/officeDocument/2006/relationships" ref="P219" r:id="rId194"/>
    <hyperlink xmlns:r="http://schemas.openxmlformats.org/officeDocument/2006/relationships" ref="P220" r:id="rId195"/>
    <hyperlink xmlns:r="http://schemas.openxmlformats.org/officeDocument/2006/relationships" ref="P221" r:id="rId196"/>
    <hyperlink xmlns:r="http://schemas.openxmlformats.org/officeDocument/2006/relationships" ref="P222" r:id="rId197"/>
    <hyperlink xmlns:r="http://schemas.openxmlformats.org/officeDocument/2006/relationships" ref="P223" r:id="rId198"/>
    <hyperlink xmlns:r="http://schemas.openxmlformats.org/officeDocument/2006/relationships" ref="P224" r:id="rId199"/>
    <hyperlink xmlns:r="http://schemas.openxmlformats.org/officeDocument/2006/relationships" ref="P225" r:id="rId200"/>
    <hyperlink xmlns:r="http://schemas.openxmlformats.org/officeDocument/2006/relationships" ref="P226" r:id="rId201"/>
    <hyperlink xmlns:r="http://schemas.openxmlformats.org/officeDocument/2006/relationships" ref="P227" r:id="rId202"/>
    <hyperlink xmlns:r="http://schemas.openxmlformats.org/officeDocument/2006/relationships" ref="P228" r:id="rId203"/>
    <hyperlink xmlns:r="http://schemas.openxmlformats.org/officeDocument/2006/relationships" ref="P229" r:id="rId204"/>
    <hyperlink xmlns:r="http://schemas.openxmlformats.org/officeDocument/2006/relationships" ref="P231" r:id="rId205"/>
    <hyperlink xmlns:r="http://schemas.openxmlformats.org/officeDocument/2006/relationships" ref="P232" r:id="rId206"/>
    <hyperlink xmlns:r="http://schemas.openxmlformats.org/officeDocument/2006/relationships" ref="P233" r:id="rId207"/>
    <hyperlink xmlns:r="http://schemas.openxmlformats.org/officeDocument/2006/relationships" ref="P234" r:id="rId208"/>
    <hyperlink xmlns:r="http://schemas.openxmlformats.org/officeDocument/2006/relationships" ref="P235" r:id="rId209"/>
    <hyperlink xmlns:r="http://schemas.openxmlformats.org/officeDocument/2006/relationships" ref="P236" r:id="rId210"/>
    <hyperlink xmlns:r="http://schemas.openxmlformats.org/officeDocument/2006/relationships" ref="P237" r:id="rId211"/>
    <hyperlink xmlns:r="http://schemas.openxmlformats.org/officeDocument/2006/relationships" ref="P238" r:id="rId212"/>
    <hyperlink xmlns:r="http://schemas.openxmlformats.org/officeDocument/2006/relationships" ref="P239" r:id="rId213"/>
    <hyperlink xmlns:r="http://schemas.openxmlformats.org/officeDocument/2006/relationships" ref="P240" r:id="rId214"/>
    <hyperlink xmlns:r="http://schemas.openxmlformats.org/officeDocument/2006/relationships" ref="P241" r:id="rId215"/>
    <hyperlink xmlns:r="http://schemas.openxmlformats.org/officeDocument/2006/relationships" ref="P242" r:id="rId216"/>
    <hyperlink xmlns:r="http://schemas.openxmlformats.org/officeDocument/2006/relationships" ref="P243" r:id="rId217"/>
    <hyperlink xmlns:r="http://schemas.openxmlformats.org/officeDocument/2006/relationships" ref="P244" r:id="rId218"/>
    <hyperlink xmlns:r="http://schemas.openxmlformats.org/officeDocument/2006/relationships" ref="P245" r:id="rId219"/>
    <hyperlink xmlns:r="http://schemas.openxmlformats.org/officeDocument/2006/relationships" ref="P246" r:id="rId220"/>
    <hyperlink xmlns:r="http://schemas.openxmlformats.org/officeDocument/2006/relationships" ref="P247" r:id="rId221"/>
    <hyperlink xmlns:r="http://schemas.openxmlformats.org/officeDocument/2006/relationships" ref="P248" r:id="rId222"/>
    <hyperlink xmlns:r="http://schemas.openxmlformats.org/officeDocument/2006/relationships" ref="P249" r:id="rId223"/>
    <hyperlink xmlns:r="http://schemas.openxmlformats.org/officeDocument/2006/relationships" ref="P250" r:id="rId224"/>
    <hyperlink xmlns:r="http://schemas.openxmlformats.org/officeDocument/2006/relationships" ref="P251" r:id="rId225"/>
    <hyperlink xmlns:r="http://schemas.openxmlformats.org/officeDocument/2006/relationships" ref="P252" r:id="rId226"/>
    <hyperlink xmlns:r="http://schemas.openxmlformats.org/officeDocument/2006/relationships" ref="P253" r:id="rId227"/>
    <hyperlink xmlns:r="http://schemas.openxmlformats.org/officeDocument/2006/relationships" ref="P254" r:id="rId228"/>
    <hyperlink xmlns:r="http://schemas.openxmlformats.org/officeDocument/2006/relationships" ref="P255" r:id="rId229"/>
    <hyperlink xmlns:r="http://schemas.openxmlformats.org/officeDocument/2006/relationships" ref="P256" r:id="rId230"/>
    <hyperlink xmlns:r="http://schemas.openxmlformats.org/officeDocument/2006/relationships" ref="P257" r:id="rId231"/>
    <hyperlink xmlns:r="http://schemas.openxmlformats.org/officeDocument/2006/relationships" ref="P258" r:id="rId232"/>
    <hyperlink xmlns:r="http://schemas.openxmlformats.org/officeDocument/2006/relationships" ref="P259" r:id="rId233"/>
    <hyperlink xmlns:r="http://schemas.openxmlformats.org/officeDocument/2006/relationships" ref="P260" r:id="rId234"/>
    <hyperlink xmlns:r="http://schemas.openxmlformats.org/officeDocument/2006/relationships" ref="P261" r:id="rId235"/>
    <hyperlink xmlns:r="http://schemas.openxmlformats.org/officeDocument/2006/relationships" ref="P262" r:id="rId236"/>
    <hyperlink xmlns:r="http://schemas.openxmlformats.org/officeDocument/2006/relationships" ref="P263" r:id="rId237"/>
    <hyperlink xmlns:r="http://schemas.openxmlformats.org/officeDocument/2006/relationships" ref="P264" r:id="rId238"/>
    <hyperlink xmlns:r="http://schemas.openxmlformats.org/officeDocument/2006/relationships" ref="P265" r:id="rId239"/>
    <hyperlink xmlns:r="http://schemas.openxmlformats.org/officeDocument/2006/relationships" ref="P266" r:id="rId240"/>
    <hyperlink xmlns:r="http://schemas.openxmlformats.org/officeDocument/2006/relationships" ref="P267" r:id="rId241"/>
    <hyperlink xmlns:r="http://schemas.openxmlformats.org/officeDocument/2006/relationships" ref="P269" r:id="rId242"/>
    <hyperlink xmlns:r="http://schemas.openxmlformats.org/officeDocument/2006/relationships" ref="P270" r:id="rId243"/>
    <hyperlink xmlns:r="http://schemas.openxmlformats.org/officeDocument/2006/relationships" ref="P271" r:id="rId244"/>
    <hyperlink xmlns:r="http://schemas.openxmlformats.org/officeDocument/2006/relationships" ref="P272" r:id="rId245"/>
    <hyperlink xmlns:r="http://schemas.openxmlformats.org/officeDocument/2006/relationships" ref="P273" r:id="rId246"/>
    <hyperlink xmlns:r="http://schemas.openxmlformats.org/officeDocument/2006/relationships" ref="P274" r:id="rId247"/>
    <hyperlink xmlns:r="http://schemas.openxmlformats.org/officeDocument/2006/relationships" ref="P275" r:id="rId248"/>
    <hyperlink xmlns:r="http://schemas.openxmlformats.org/officeDocument/2006/relationships" ref="P276" r:id="rId249"/>
    <hyperlink xmlns:r="http://schemas.openxmlformats.org/officeDocument/2006/relationships" ref="P277" r:id="rId250"/>
    <hyperlink xmlns:r="http://schemas.openxmlformats.org/officeDocument/2006/relationships" ref="P278" r:id="rId251"/>
    <hyperlink xmlns:r="http://schemas.openxmlformats.org/officeDocument/2006/relationships" ref="P279" r:id="rId252"/>
    <hyperlink xmlns:r="http://schemas.openxmlformats.org/officeDocument/2006/relationships" ref="P280" r:id="rId253"/>
    <hyperlink xmlns:r="http://schemas.openxmlformats.org/officeDocument/2006/relationships" ref="P281" r:id="rId254"/>
    <hyperlink xmlns:r="http://schemas.openxmlformats.org/officeDocument/2006/relationships" ref="P282" r:id="rId255"/>
    <hyperlink xmlns:r="http://schemas.openxmlformats.org/officeDocument/2006/relationships" ref="P283" r:id="rId256"/>
    <hyperlink xmlns:r="http://schemas.openxmlformats.org/officeDocument/2006/relationships" ref="P284" r:id="rId257"/>
    <hyperlink xmlns:r="http://schemas.openxmlformats.org/officeDocument/2006/relationships" ref="P285" r:id="rId258"/>
    <hyperlink xmlns:r="http://schemas.openxmlformats.org/officeDocument/2006/relationships" ref="P287" r:id="rId259"/>
    <hyperlink xmlns:r="http://schemas.openxmlformats.org/officeDocument/2006/relationships" ref="P288" r:id="rId260"/>
    <hyperlink xmlns:r="http://schemas.openxmlformats.org/officeDocument/2006/relationships" ref="P289" r:id="rId261"/>
    <hyperlink xmlns:r="http://schemas.openxmlformats.org/officeDocument/2006/relationships" ref="P290" r:id="rId262"/>
    <hyperlink xmlns:r="http://schemas.openxmlformats.org/officeDocument/2006/relationships" ref="P291" r:id="rId263"/>
    <hyperlink xmlns:r="http://schemas.openxmlformats.org/officeDocument/2006/relationships" ref="P292" r:id="rId264"/>
    <hyperlink xmlns:r="http://schemas.openxmlformats.org/officeDocument/2006/relationships" ref="P293" r:id="rId265"/>
    <hyperlink xmlns:r="http://schemas.openxmlformats.org/officeDocument/2006/relationships" ref="P294" r:id="rId266"/>
    <hyperlink xmlns:r="http://schemas.openxmlformats.org/officeDocument/2006/relationships" ref="P295" r:id="rId267"/>
    <hyperlink xmlns:r="http://schemas.openxmlformats.org/officeDocument/2006/relationships" ref="P296" r:id="rId268"/>
    <hyperlink xmlns:r="http://schemas.openxmlformats.org/officeDocument/2006/relationships" ref="P297" r:id="rId269"/>
    <hyperlink xmlns:r="http://schemas.openxmlformats.org/officeDocument/2006/relationships" ref="P299" r:id="rId270"/>
    <hyperlink xmlns:r="http://schemas.openxmlformats.org/officeDocument/2006/relationships" ref="P300" r:id="rId271"/>
    <hyperlink xmlns:r="http://schemas.openxmlformats.org/officeDocument/2006/relationships" ref="P301" r:id="rId272"/>
    <hyperlink xmlns:r="http://schemas.openxmlformats.org/officeDocument/2006/relationships" ref="P302" r:id="rId273"/>
    <hyperlink xmlns:r="http://schemas.openxmlformats.org/officeDocument/2006/relationships" ref="P304" r:id="rId274"/>
    <hyperlink xmlns:r="http://schemas.openxmlformats.org/officeDocument/2006/relationships" ref="P305" r:id="rId275"/>
    <hyperlink xmlns:r="http://schemas.openxmlformats.org/officeDocument/2006/relationships" ref="P306" r:id="rId276"/>
    <hyperlink xmlns:r="http://schemas.openxmlformats.org/officeDocument/2006/relationships" ref="P307" r:id="rId277"/>
    <hyperlink xmlns:r="http://schemas.openxmlformats.org/officeDocument/2006/relationships" ref="P308" r:id="rId278"/>
    <hyperlink xmlns:r="http://schemas.openxmlformats.org/officeDocument/2006/relationships" ref="P309" r:id="rId279"/>
    <hyperlink xmlns:r="http://schemas.openxmlformats.org/officeDocument/2006/relationships" ref="P310" r:id="rId280"/>
    <hyperlink xmlns:r="http://schemas.openxmlformats.org/officeDocument/2006/relationships" ref="P312" r:id="rId281"/>
    <hyperlink xmlns:r="http://schemas.openxmlformats.org/officeDocument/2006/relationships" ref="P314" r:id="rId282"/>
    <hyperlink xmlns:r="http://schemas.openxmlformats.org/officeDocument/2006/relationships" ref="P315" display="mailto:cristianlondono@mensulaingenieros.com" r:id="rId283"/>
    <hyperlink xmlns:r="http://schemas.openxmlformats.org/officeDocument/2006/relationships" ref="P316" display="mailto:juan.grajales@spci.com.co" r:id="rId284"/>
    <hyperlink xmlns:r="http://schemas.openxmlformats.org/officeDocument/2006/relationships" ref="P317" display="mailto:e.rodriguez@constelec.com" r:id="rId285"/>
    <hyperlink xmlns:r="http://schemas.openxmlformats.org/officeDocument/2006/relationships" ref="P318" r:id="rId286"/>
    <hyperlink xmlns:r="http://schemas.openxmlformats.org/officeDocument/2006/relationships" ref="P319" display="mailto:juan.grajales@spci.com.co" r:id="rId287"/>
    <hyperlink xmlns:r="http://schemas.openxmlformats.org/officeDocument/2006/relationships" ref="P320" display="mailto:costosypresupuestos1@spcisas.com.co" r:id="rId288"/>
    <hyperlink xmlns:r="http://schemas.openxmlformats.org/officeDocument/2006/relationships" ref="P321" display="mailto:juan.grajales@spci.com.co" r:id="rId289"/>
    <hyperlink xmlns:r="http://schemas.openxmlformats.org/officeDocument/2006/relationships" ref="P322" display="mailto:clrobayo@sura.com.co" r:id="rId290"/>
    <hyperlink xmlns:r="http://schemas.openxmlformats.org/officeDocument/2006/relationships" ref="P323" r:id="rId291"/>
    <hyperlink xmlns:r="http://schemas.openxmlformats.org/officeDocument/2006/relationships" ref="P324" r:id="rId292"/>
    <hyperlink xmlns:r="http://schemas.openxmlformats.org/officeDocument/2006/relationships" ref="P325" r:id="rId293"/>
    <hyperlink xmlns:r="http://schemas.openxmlformats.org/officeDocument/2006/relationships" ref="P326" r:id="rId294"/>
    <hyperlink xmlns:r="http://schemas.openxmlformats.org/officeDocument/2006/relationships" ref="P327" r:id="rId295"/>
    <hyperlink xmlns:r="http://schemas.openxmlformats.org/officeDocument/2006/relationships" ref="P328" r:id="rId296"/>
    <hyperlink xmlns:r="http://schemas.openxmlformats.org/officeDocument/2006/relationships" ref="P329" r:id="rId297"/>
    <hyperlink xmlns:r="http://schemas.openxmlformats.org/officeDocument/2006/relationships" ref="P330" r:id="rId298"/>
    <hyperlink xmlns:r="http://schemas.openxmlformats.org/officeDocument/2006/relationships" ref="P331" r:id="rId299"/>
    <hyperlink xmlns:r="http://schemas.openxmlformats.org/officeDocument/2006/relationships" ref="P332" r:id="rId300"/>
    <hyperlink xmlns:r="http://schemas.openxmlformats.org/officeDocument/2006/relationships" ref="P333" display="mailto:juan.grajales@spci.com.co" r:id="rId301"/>
    <hyperlink xmlns:r="http://schemas.openxmlformats.org/officeDocument/2006/relationships" ref="P334" r:id="rId302"/>
    <hyperlink xmlns:r="http://schemas.openxmlformats.org/officeDocument/2006/relationships" ref="P335" r:id="rId303"/>
    <hyperlink xmlns:r="http://schemas.openxmlformats.org/officeDocument/2006/relationships" ref="P336" r:id="rId304"/>
    <hyperlink xmlns:r="http://schemas.openxmlformats.org/officeDocument/2006/relationships" ref="P337" r:id="rId305"/>
    <hyperlink xmlns:r="http://schemas.openxmlformats.org/officeDocument/2006/relationships" ref="P338" display="mailto:claudia.ramirez@edyfica.co" r:id="rId306"/>
    <hyperlink xmlns:r="http://schemas.openxmlformats.org/officeDocument/2006/relationships" ref="P339" r:id="rId307"/>
    <hyperlink xmlns:r="http://schemas.openxmlformats.org/officeDocument/2006/relationships" ref="P340" r:id="rId308"/>
    <hyperlink xmlns:r="http://schemas.openxmlformats.org/officeDocument/2006/relationships" ref="P341" r:id="rId309"/>
    <hyperlink xmlns:r="http://schemas.openxmlformats.org/officeDocument/2006/relationships" ref="P343" r:id="rId310"/>
    <hyperlink xmlns:r="http://schemas.openxmlformats.org/officeDocument/2006/relationships" ref="P345" display="mailto:claudia.ramirez@edyfica.co" r:id="rId311"/>
    <hyperlink xmlns:r="http://schemas.openxmlformats.org/officeDocument/2006/relationships" ref="P346" r:id="rId312"/>
    <hyperlink xmlns:r="http://schemas.openxmlformats.org/officeDocument/2006/relationships" ref="P347" r:id="rId313"/>
    <hyperlink xmlns:r="http://schemas.openxmlformats.org/officeDocument/2006/relationships" ref="P348" r:id="rId314"/>
    <hyperlink xmlns:r="http://schemas.openxmlformats.org/officeDocument/2006/relationships" ref="P349" r:id="rId315"/>
    <hyperlink xmlns:r="http://schemas.openxmlformats.org/officeDocument/2006/relationships" ref="P350" r:id="rId316"/>
    <hyperlink xmlns:r="http://schemas.openxmlformats.org/officeDocument/2006/relationships" ref="P351" r:id="rId317"/>
    <hyperlink xmlns:r="http://schemas.openxmlformats.org/officeDocument/2006/relationships" ref="P352" r:id="rId318"/>
    <hyperlink xmlns:r="http://schemas.openxmlformats.org/officeDocument/2006/relationships" ref="P353" r:id="rId319"/>
    <hyperlink xmlns:r="http://schemas.openxmlformats.org/officeDocument/2006/relationships" ref="P354" r:id="rId320"/>
    <hyperlink xmlns:r="http://schemas.openxmlformats.org/officeDocument/2006/relationships" ref="P355" r:id="rId321"/>
    <hyperlink xmlns:r="http://schemas.openxmlformats.org/officeDocument/2006/relationships" ref="P356" r:id="rId322"/>
    <hyperlink xmlns:r="http://schemas.openxmlformats.org/officeDocument/2006/relationships" ref="P357" r:id="rId323"/>
    <hyperlink xmlns:r="http://schemas.openxmlformats.org/officeDocument/2006/relationships" ref="P358" r:id="rId324"/>
    <hyperlink xmlns:r="http://schemas.openxmlformats.org/officeDocument/2006/relationships" ref="P359" r:id="rId325"/>
    <hyperlink xmlns:r="http://schemas.openxmlformats.org/officeDocument/2006/relationships" ref="P360" r:id="rId326"/>
    <hyperlink xmlns:r="http://schemas.openxmlformats.org/officeDocument/2006/relationships" ref="P361" r:id="rId327"/>
    <hyperlink xmlns:r="http://schemas.openxmlformats.org/officeDocument/2006/relationships" ref="P362" r:id="rId328"/>
    <hyperlink xmlns:r="http://schemas.openxmlformats.org/officeDocument/2006/relationships" ref="P363" r:id="rId329"/>
    <hyperlink xmlns:r="http://schemas.openxmlformats.org/officeDocument/2006/relationships" ref="P364" r:id="rId330"/>
    <hyperlink xmlns:r="http://schemas.openxmlformats.org/officeDocument/2006/relationships" ref="P365" r:id="rId331"/>
    <hyperlink xmlns:r="http://schemas.openxmlformats.org/officeDocument/2006/relationships" ref="P366" r:id="rId332"/>
    <hyperlink xmlns:r="http://schemas.openxmlformats.org/officeDocument/2006/relationships" ref="P367" r:id="rId333"/>
    <hyperlink xmlns:r="http://schemas.openxmlformats.org/officeDocument/2006/relationships" ref="P368" r:id="rId334"/>
    <hyperlink xmlns:r="http://schemas.openxmlformats.org/officeDocument/2006/relationships" ref="P369" r:id="rId335"/>
    <hyperlink xmlns:r="http://schemas.openxmlformats.org/officeDocument/2006/relationships" ref="P370" r:id="rId336"/>
    <hyperlink xmlns:r="http://schemas.openxmlformats.org/officeDocument/2006/relationships" ref="P371" r:id="rId337"/>
    <hyperlink xmlns:r="http://schemas.openxmlformats.org/officeDocument/2006/relationships" ref="P372" r:id="rId338"/>
    <hyperlink xmlns:r="http://schemas.openxmlformats.org/officeDocument/2006/relationships" ref="P373" r:id="rId339"/>
    <hyperlink xmlns:r="http://schemas.openxmlformats.org/officeDocument/2006/relationships" ref="P374" r:id="rId340"/>
    <hyperlink xmlns:r="http://schemas.openxmlformats.org/officeDocument/2006/relationships" ref="P375" r:id="rId341"/>
    <hyperlink xmlns:r="http://schemas.openxmlformats.org/officeDocument/2006/relationships" ref="P376" r:id="rId342"/>
    <hyperlink xmlns:r="http://schemas.openxmlformats.org/officeDocument/2006/relationships" ref="P377" r:id="rId343"/>
    <hyperlink xmlns:r="http://schemas.openxmlformats.org/officeDocument/2006/relationships" ref="P378" r:id="rId344"/>
    <hyperlink xmlns:r="http://schemas.openxmlformats.org/officeDocument/2006/relationships" ref="P379" r:id="rId345"/>
    <hyperlink xmlns:r="http://schemas.openxmlformats.org/officeDocument/2006/relationships" ref="P380" r:id="rId346"/>
    <hyperlink xmlns:r="http://schemas.openxmlformats.org/officeDocument/2006/relationships" ref="P381" r:id="rId347"/>
    <hyperlink xmlns:r="http://schemas.openxmlformats.org/officeDocument/2006/relationships" ref="P382" r:id="rId348"/>
    <hyperlink xmlns:r="http://schemas.openxmlformats.org/officeDocument/2006/relationships" ref="P383" r:id="rId349"/>
    <hyperlink xmlns:r="http://schemas.openxmlformats.org/officeDocument/2006/relationships" ref="P384" r:id="rId350"/>
    <hyperlink xmlns:r="http://schemas.openxmlformats.org/officeDocument/2006/relationships" ref="P385" r:id="rId351"/>
    <hyperlink xmlns:r="http://schemas.openxmlformats.org/officeDocument/2006/relationships" ref="P386" r:id="rId352"/>
    <hyperlink xmlns:r="http://schemas.openxmlformats.org/officeDocument/2006/relationships" ref="P387" r:id="rId353"/>
    <hyperlink xmlns:r="http://schemas.openxmlformats.org/officeDocument/2006/relationships" ref="P388" r:id="rId354"/>
    <hyperlink xmlns:r="http://schemas.openxmlformats.org/officeDocument/2006/relationships" ref="P389" r:id="rId355"/>
    <hyperlink xmlns:r="http://schemas.openxmlformats.org/officeDocument/2006/relationships" ref="P391" r:id="rId356"/>
    <hyperlink xmlns:r="http://schemas.openxmlformats.org/officeDocument/2006/relationships" ref="P392" r:id="rId357"/>
    <hyperlink xmlns:r="http://schemas.openxmlformats.org/officeDocument/2006/relationships" ref="P393" r:id="rId358"/>
    <hyperlink xmlns:r="http://schemas.openxmlformats.org/officeDocument/2006/relationships" ref="P394" r:id="rId359"/>
    <hyperlink xmlns:r="http://schemas.openxmlformats.org/officeDocument/2006/relationships" ref="P395" r:id="rId360"/>
    <hyperlink xmlns:r="http://schemas.openxmlformats.org/officeDocument/2006/relationships" ref="P396" r:id="rId361"/>
    <hyperlink xmlns:r="http://schemas.openxmlformats.org/officeDocument/2006/relationships" ref="P397" r:id="rId362"/>
    <hyperlink xmlns:r="http://schemas.openxmlformats.org/officeDocument/2006/relationships" ref="P398" r:id="rId363"/>
    <hyperlink xmlns:r="http://schemas.openxmlformats.org/officeDocument/2006/relationships" ref="P399" r:id="rId364"/>
    <hyperlink xmlns:r="http://schemas.openxmlformats.org/officeDocument/2006/relationships" ref="N400" display="tel:321 636 8440" r:id="rId365"/>
    <hyperlink xmlns:r="http://schemas.openxmlformats.org/officeDocument/2006/relationships" ref="P400" r:id="rId366"/>
    <hyperlink xmlns:r="http://schemas.openxmlformats.org/officeDocument/2006/relationships" ref="P401" r:id="rId367"/>
    <hyperlink xmlns:r="http://schemas.openxmlformats.org/officeDocument/2006/relationships" ref="P402" r:id="rId368"/>
    <hyperlink xmlns:r="http://schemas.openxmlformats.org/officeDocument/2006/relationships" ref="P403" r:id="rId369"/>
    <hyperlink xmlns:r="http://schemas.openxmlformats.org/officeDocument/2006/relationships" ref="P404" r:id="rId370"/>
    <hyperlink xmlns:r="http://schemas.openxmlformats.org/officeDocument/2006/relationships" ref="J405" display="admobra@fundacioncompartir.org" r:id="rId371"/>
    <hyperlink xmlns:r="http://schemas.openxmlformats.org/officeDocument/2006/relationships" ref="P405" r:id="rId372"/>
    <hyperlink xmlns:r="http://schemas.openxmlformats.org/officeDocument/2006/relationships" ref="P406" r:id="rId373"/>
    <hyperlink xmlns:r="http://schemas.openxmlformats.org/officeDocument/2006/relationships" ref="P407" r:id="rId374"/>
    <hyperlink xmlns:r="http://schemas.openxmlformats.org/officeDocument/2006/relationships" ref="P408" r:id="rId375"/>
    <hyperlink xmlns:r="http://schemas.openxmlformats.org/officeDocument/2006/relationships" ref="P409" r:id="rId376"/>
    <hyperlink xmlns:r="http://schemas.openxmlformats.org/officeDocument/2006/relationships" ref="P410" r:id="rId377"/>
    <hyperlink xmlns:r="http://schemas.openxmlformats.org/officeDocument/2006/relationships" ref="P411" r:id="rId378"/>
    <hyperlink xmlns:r="http://schemas.openxmlformats.org/officeDocument/2006/relationships" ref="P412" r:id="rId379"/>
    <hyperlink xmlns:r="http://schemas.openxmlformats.org/officeDocument/2006/relationships" ref="P413" r:id="rId380"/>
    <hyperlink xmlns:r="http://schemas.openxmlformats.org/officeDocument/2006/relationships" ref="P414" r:id="rId381"/>
    <hyperlink xmlns:r="http://schemas.openxmlformats.org/officeDocument/2006/relationships" ref="P415" r:id="rId382"/>
    <hyperlink xmlns:r="http://schemas.openxmlformats.org/officeDocument/2006/relationships" ref="P416" r:id="rId383"/>
    <hyperlink xmlns:r="http://schemas.openxmlformats.org/officeDocument/2006/relationships" ref="P417" r:id="rId384"/>
    <hyperlink xmlns:r="http://schemas.openxmlformats.org/officeDocument/2006/relationships" ref="P418" r:id="rId385"/>
    <hyperlink xmlns:r="http://schemas.openxmlformats.org/officeDocument/2006/relationships" ref="P419" r:id="rId386"/>
    <hyperlink xmlns:r="http://schemas.openxmlformats.org/officeDocument/2006/relationships" ref="P420" r:id="rId387"/>
    <hyperlink xmlns:r="http://schemas.openxmlformats.org/officeDocument/2006/relationships" ref="P421" r:id="rId388"/>
    <hyperlink xmlns:r="http://schemas.openxmlformats.org/officeDocument/2006/relationships" ref="P422" r:id="rId389"/>
    <hyperlink xmlns:r="http://schemas.openxmlformats.org/officeDocument/2006/relationships" ref="P423" r:id="rId390"/>
    <hyperlink xmlns:r="http://schemas.openxmlformats.org/officeDocument/2006/relationships" ref="P424" r:id="rId391"/>
    <hyperlink xmlns:r="http://schemas.openxmlformats.org/officeDocument/2006/relationships" ref="P425" r:id="rId392"/>
    <hyperlink xmlns:r="http://schemas.openxmlformats.org/officeDocument/2006/relationships" ref="P426" r:id="rId393"/>
    <hyperlink xmlns:r="http://schemas.openxmlformats.org/officeDocument/2006/relationships" ref="P427" r:id="rId394"/>
    <hyperlink xmlns:r="http://schemas.openxmlformats.org/officeDocument/2006/relationships" ref="P428" r:id="rId395"/>
    <hyperlink xmlns:r="http://schemas.openxmlformats.org/officeDocument/2006/relationships" ref="P429" r:id="rId396"/>
    <hyperlink xmlns:r="http://schemas.openxmlformats.org/officeDocument/2006/relationships" ref="P430" r:id="rId397"/>
    <hyperlink xmlns:r="http://schemas.openxmlformats.org/officeDocument/2006/relationships" ref="P431" r:id="rId398"/>
    <hyperlink xmlns:r="http://schemas.openxmlformats.org/officeDocument/2006/relationships" ref="P432" r:id="rId399"/>
    <hyperlink xmlns:r="http://schemas.openxmlformats.org/officeDocument/2006/relationships" ref="P433" r:id="rId400"/>
    <hyperlink xmlns:r="http://schemas.openxmlformats.org/officeDocument/2006/relationships" ref="P434" r:id="rId401"/>
    <hyperlink xmlns:r="http://schemas.openxmlformats.org/officeDocument/2006/relationships" ref="P435" r:id="rId402"/>
    <hyperlink xmlns:r="http://schemas.openxmlformats.org/officeDocument/2006/relationships" ref="P436" r:id="rId403"/>
    <hyperlink xmlns:r="http://schemas.openxmlformats.org/officeDocument/2006/relationships" ref="P437" r:id="rId404"/>
    <hyperlink xmlns:r="http://schemas.openxmlformats.org/officeDocument/2006/relationships" ref="P438" r:id="rId405"/>
    <hyperlink xmlns:r="http://schemas.openxmlformats.org/officeDocument/2006/relationships" ref="P439" r:id="rId406"/>
    <hyperlink xmlns:r="http://schemas.openxmlformats.org/officeDocument/2006/relationships" ref="P440" r:id="rId407"/>
    <hyperlink xmlns:r="http://schemas.openxmlformats.org/officeDocument/2006/relationships" ref="P441" r:id="rId408"/>
    <hyperlink xmlns:r="http://schemas.openxmlformats.org/officeDocument/2006/relationships" ref="P442" r:id="rId409"/>
    <hyperlink xmlns:r="http://schemas.openxmlformats.org/officeDocument/2006/relationships" ref="P443" r:id="rId410"/>
    <hyperlink xmlns:r="http://schemas.openxmlformats.org/officeDocument/2006/relationships" ref="P444" r:id="rId411"/>
    <hyperlink xmlns:r="http://schemas.openxmlformats.org/officeDocument/2006/relationships" ref="P448" r:id="rId412"/>
    <hyperlink xmlns:r="http://schemas.openxmlformats.org/officeDocument/2006/relationships" ref="P449" r:id="rId413"/>
    <hyperlink xmlns:r="http://schemas.openxmlformats.org/officeDocument/2006/relationships" ref="P450" r:id="rId414"/>
    <hyperlink xmlns:r="http://schemas.openxmlformats.org/officeDocument/2006/relationships" ref="P451" r:id="rId415"/>
    <hyperlink xmlns:r="http://schemas.openxmlformats.org/officeDocument/2006/relationships" ref="P452" r:id="rId416"/>
    <hyperlink xmlns:r="http://schemas.openxmlformats.org/officeDocument/2006/relationships" ref="P453" r:id="rId417"/>
    <hyperlink xmlns:r="http://schemas.openxmlformats.org/officeDocument/2006/relationships" ref="P454" r:id="rId418"/>
    <hyperlink xmlns:r="http://schemas.openxmlformats.org/officeDocument/2006/relationships" ref="P455" r:id="rId419"/>
    <hyperlink xmlns:r="http://schemas.openxmlformats.org/officeDocument/2006/relationships" ref="P456" r:id="rId420"/>
    <hyperlink xmlns:r="http://schemas.openxmlformats.org/officeDocument/2006/relationships" ref="P457" r:id="rId421"/>
    <hyperlink xmlns:r="http://schemas.openxmlformats.org/officeDocument/2006/relationships" ref="P458" r:id="rId422"/>
    <hyperlink xmlns:r="http://schemas.openxmlformats.org/officeDocument/2006/relationships" ref="P459" r:id="rId423"/>
    <hyperlink xmlns:r="http://schemas.openxmlformats.org/officeDocument/2006/relationships" ref="P460" r:id="rId424"/>
    <hyperlink xmlns:r="http://schemas.openxmlformats.org/officeDocument/2006/relationships" ref="P461" r:id="rId425"/>
    <hyperlink xmlns:r="http://schemas.openxmlformats.org/officeDocument/2006/relationships" ref="P462" r:id="rId426"/>
    <hyperlink xmlns:r="http://schemas.openxmlformats.org/officeDocument/2006/relationships" ref="P463" r:id="rId427"/>
    <hyperlink xmlns:r="http://schemas.openxmlformats.org/officeDocument/2006/relationships" ref="P464" r:id="rId428"/>
    <hyperlink xmlns:r="http://schemas.openxmlformats.org/officeDocument/2006/relationships" ref="P465" r:id="rId429"/>
    <hyperlink xmlns:r="http://schemas.openxmlformats.org/officeDocument/2006/relationships" ref="P466" r:id="rId430"/>
    <hyperlink xmlns:r="http://schemas.openxmlformats.org/officeDocument/2006/relationships" ref="P467" r:id="rId431"/>
    <hyperlink xmlns:r="http://schemas.openxmlformats.org/officeDocument/2006/relationships" ref="P468" r:id="rId432"/>
    <hyperlink xmlns:r="http://schemas.openxmlformats.org/officeDocument/2006/relationships" ref="P469" r:id="rId433"/>
    <hyperlink xmlns:r="http://schemas.openxmlformats.org/officeDocument/2006/relationships" ref="P470" r:id="rId434"/>
    <hyperlink xmlns:r="http://schemas.openxmlformats.org/officeDocument/2006/relationships" ref="P471" r:id="rId435"/>
    <hyperlink xmlns:r="http://schemas.openxmlformats.org/officeDocument/2006/relationships" ref="P472" r:id="rId436"/>
    <hyperlink xmlns:r="http://schemas.openxmlformats.org/officeDocument/2006/relationships" ref="P473" r:id="rId437"/>
    <hyperlink xmlns:r="http://schemas.openxmlformats.org/officeDocument/2006/relationships" ref="P474" r:id="rId438"/>
    <hyperlink xmlns:r="http://schemas.openxmlformats.org/officeDocument/2006/relationships" ref="P475" r:id="rId439"/>
    <hyperlink xmlns:r="http://schemas.openxmlformats.org/officeDocument/2006/relationships" ref="P476" r:id="rId440"/>
    <hyperlink xmlns:r="http://schemas.openxmlformats.org/officeDocument/2006/relationships" ref="P477" r:id="rId441"/>
    <hyperlink xmlns:r="http://schemas.openxmlformats.org/officeDocument/2006/relationships" ref="P478" r:id="rId442"/>
    <hyperlink xmlns:r="http://schemas.openxmlformats.org/officeDocument/2006/relationships" ref="P479" r:id="rId443"/>
    <hyperlink xmlns:r="http://schemas.openxmlformats.org/officeDocument/2006/relationships" ref="P480" r:id="rId444"/>
    <hyperlink xmlns:r="http://schemas.openxmlformats.org/officeDocument/2006/relationships" ref="P481" r:id="rId445"/>
    <hyperlink xmlns:r="http://schemas.openxmlformats.org/officeDocument/2006/relationships" ref="P482" r:id="rId446"/>
    <hyperlink xmlns:r="http://schemas.openxmlformats.org/officeDocument/2006/relationships" ref="P483" r:id="rId447"/>
    <hyperlink xmlns:r="http://schemas.openxmlformats.org/officeDocument/2006/relationships" ref="P484" r:id="rId448"/>
    <hyperlink xmlns:r="http://schemas.openxmlformats.org/officeDocument/2006/relationships" ref="P485" r:id="rId449"/>
    <hyperlink xmlns:r="http://schemas.openxmlformats.org/officeDocument/2006/relationships" ref="P491" r:id="rId450"/>
    <hyperlink xmlns:r="http://schemas.openxmlformats.org/officeDocument/2006/relationships" ref="P492" r:id="rId451"/>
    <hyperlink xmlns:r="http://schemas.openxmlformats.org/officeDocument/2006/relationships" ref="P493" r:id="rId452"/>
    <hyperlink xmlns:r="http://schemas.openxmlformats.org/officeDocument/2006/relationships" ref="P494" r:id="rId453"/>
    <hyperlink xmlns:r="http://schemas.openxmlformats.org/officeDocument/2006/relationships" ref="P495" r:id="rId454"/>
    <hyperlink xmlns:r="http://schemas.openxmlformats.org/officeDocument/2006/relationships" ref="P496" r:id="rId455"/>
    <hyperlink xmlns:r="http://schemas.openxmlformats.org/officeDocument/2006/relationships" ref="P497" r:id="rId456"/>
    <hyperlink xmlns:r="http://schemas.openxmlformats.org/officeDocument/2006/relationships" ref="P498" r:id="rId457"/>
    <hyperlink xmlns:r="http://schemas.openxmlformats.org/officeDocument/2006/relationships" ref="P499" r:id="rId458"/>
    <hyperlink xmlns:r="http://schemas.openxmlformats.org/officeDocument/2006/relationships" ref="P500" display="mailto:info@ambitotaller.com" r:id="rId459"/>
    <hyperlink xmlns:r="http://schemas.openxmlformats.org/officeDocument/2006/relationships" ref="P501" r:id="rId460"/>
    <hyperlink xmlns:r="http://schemas.openxmlformats.org/officeDocument/2006/relationships" ref="P502" r:id="rId461"/>
    <hyperlink xmlns:r="http://schemas.openxmlformats.org/officeDocument/2006/relationships" ref="P503" r:id="rId462"/>
    <hyperlink xmlns:r="http://schemas.openxmlformats.org/officeDocument/2006/relationships" ref="P504" r:id="rId463"/>
    <hyperlink xmlns:r="http://schemas.openxmlformats.org/officeDocument/2006/relationships" ref="P505" r:id="rId464"/>
    <hyperlink xmlns:r="http://schemas.openxmlformats.org/officeDocument/2006/relationships" ref="P506" r:id="rId465"/>
    <hyperlink xmlns:r="http://schemas.openxmlformats.org/officeDocument/2006/relationships" ref="P507" r:id="rId466"/>
    <hyperlink xmlns:r="http://schemas.openxmlformats.org/officeDocument/2006/relationships" ref="P508" r:id="rId467"/>
    <hyperlink xmlns:r="http://schemas.openxmlformats.org/officeDocument/2006/relationships" ref="P509" r:id="rId468"/>
    <hyperlink xmlns:r="http://schemas.openxmlformats.org/officeDocument/2006/relationships" ref="P510" r:id="rId469"/>
    <hyperlink xmlns:r="http://schemas.openxmlformats.org/officeDocument/2006/relationships" ref="P511" r:id="rId470"/>
    <hyperlink xmlns:r="http://schemas.openxmlformats.org/officeDocument/2006/relationships" ref="P512" r:id="rId471"/>
    <hyperlink xmlns:r="http://schemas.openxmlformats.org/officeDocument/2006/relationships" ref="P513" r:id="rId472"/>
    <hyperlink xmlns:r="http://schemas.openxmlformats.org/officeDocument/2006/relationships" ref="P514" r:id="rId473"/>
    <hyperlink xmlns:r="http://schemas.openxmlformats.org/officeDocument/2006/relationships" ref="P515" r:id="rId474"/>
    <hyperlink xmlns:r="http://schemas.openxmlformats.org/officeDocument/2006/relationships" ref="P516" r:id="rId475"/>
    <hyperlink xmlns:r="http://schemas.openxmlformats.org/officeDocument/2006/relationships" ref="P517" r:id="rId476"/>
    <hyperlink xmlns:r="http://schemas.openxmlformats.org/officeDocument/2006/relationships" ref="P518" display="mailto:Jorge.rodriguez@ospinas.com.co" r:id="rId477"/>
    <hyperlink xmlns:r="http://schemas.openxmlformats.org/officeDocument/2006/relationships" ref="P519" r:id="rId478"/>
    <hyperlink xmlns:r="http://schemas.openxmlformats.org/officeDocument/2006/relationships" ref="P520" display="mailto:epantoja@contex.com.co" r:id="rId479"/>
    <hyperlink xmlns:r="http://schemas.openxmlformats.org/officeDocument/2006/relationships" ref="P521" r:id="rId480"/>
    <hyperlink xmlns:r="http://schemas.openxmlformats.org/officeDocument/2006/relationships" ref="P522" r:id="rId481"/>
    <hyperlink xmlns:r="http://schemas.openxmlformats.org/officeDocument/2006/relationships" ref="P523" r:id="rId482"/>
    <hyperlink xmlns:r="http://schemas.openxmlformats.org/officeDocument/2006/relationships" ref="P524" r:id="rId483"/>
    <hyperlink xmlns:r="http://schemas.openxmlformats.org/officeDocument/2006/relationships" ref="P525" r:id="rId484"/>
    <hyperlink xmlns:r="http://schemas.openxmlformats.org/officeDocument/2006/relationships" ref="P526" r:id="rId485"/>
    <hyperlink xmlns:r="http://schemas.openxmlformats.org/officeDocument/2006/relationships" ref="P527" r:id="rId486"/>
    <hyperlink xmlns:r="http://schemas.openxmlformats.org/officeDocument/2006/relationships" ref="P528" r:id="rId487"/>
    <hyperlink xmlns:r="http://schemas.openxmlformats.org/officeDocument/2006/relationships" ref="P529" r:id="rId488"/>
    <hyperlink xmlns:r="http://schemas.openxmlformats.org/officeDocument/2006/relationships" ref="P530" r:id="rId489"/>
    <hyperlink xmlns:r="http://schemas.openxmlformats.org/officeDocument/2006/relationships" ref="P531" r:id="rId490"/>
    <hyperlink xmlns:r="http://schemas.openxmlformats.org/officeDocument/2006/relationships" ref="P532" r:id="rId491"/>
    <hyperlink xmlns:r="http://schemas.openxmlformats.org/officeDocument/2006/relationships" ref="P533" r:id="rId492"/>
    <hyperlink xmlns:r="http://schemas.openxmlformats.org/officeDocument/2006/relationships" ref="P534" r:id="rId493"/>
    <hyperlink xmlns:r="http://schemas.openxmlformats.org/officeDocument/2006/relationships" ref="P535" r:id="rId494"/>
    <hyperlink xmlns:r="http://schemas.openxmlformats.org/officeDocument/2006/relationships" ref="P536" r:id="rId495"/>
    <hyperlink xmlns:r="http://schemas.openxmlformats.org/officeDocument/2006/relationships" ref="P537" r:id="rId496"/>
    <hyperlink xmlns:r="http://schemas.openxmlformats.org/officeDocument/2006/relationships" ref="P539" r:id="rId497"/>
    <hyperlink xmlns:r="http://schemas.openxmlformats.org/officeDocument/2006/relationships" ref="P540" r:id="rId498"/>
    <hyperlink xmlns:r="http://schemas.openxmlformats.org/officeDocument/2006/relationships" ref="P541" r:id="rId499"/>
    <hyperlink xmlns:r="http://schemas.openxmlformats.org/officeDocument/2006/relationships" ref="P542" r:id="rId500"/>
    <hyperlink xmlns:r="http://schemas.openxmlformats.org/officeDocument/2006/relationships" ref="P544" r:id="rId501"/>
    <hyperlink xmlns:r="http://schemas.openxmlformats.org/officeDocument/2006/relationships" ref="P545" r:id="rId502"/>
    <hyperlink xmlns:r="http://schemas.openxmlformats.org/officeDocument/2006/relationships" ref="P546" r:id="rId503"/>
    <hyperlink xmlns:r="http://schemas.openxmlformats.org/officeDocument/2006/relationships" ref="P547" r:id="rId504"/>
    <hyperlink xmlns:r="http://schemas.openxmlformats.org/officeDocument/2006/relationships" ref="P548" r:id="rId505"/>
    <hyperlink xmlns:r="http://schemas.openxmlformats.org/officeDocument/2006/relationships" ref="P549" r:id="rId506"/>
    <hyperlink xmlns:r="http://schemas.openxmlformats.org/officeDocument/2006/relationships" ref="P550" r:id="rId507"/>
    <hyperlink xmlns:r="http://schemas.openxmlformats.org/officeDocument/2006/relationships" ref="P551" r:id="rId508"/>
    <hyperlink xmlns:r="http://schemas.openxmlformats.org/officeDocument/2006/relationships" ref="P552" r:id="rId509"/>
    <hyperlink xmlns:r="http://schemas.openxmlformats.org/officeDocument/2006/relationships" ref="P553" r:id="rId510"/>
    <hyperlink xmlns:r="http://schemas.openxmlformats.org/officeDocument/2006/relationships" ref="P554" r:id="rId511"/>
    <hyperlink xmlns:r="http://schemas.openxmlformats.org/officeDocument/2006/relationships" ref="P555" r:id="rId512"/>
    <hyperlink xmlns:r="http://schemas.openxmlformats.org/officeDocument/2006/relationships" ref="P556" r:id="rId513"/>
    <hyperlink xmlns:r="http://schemas.openxmlformats.org/officeDocument/2006/relationships" ref="P557" r:id="rId514"/>
    <hyperlink xmlns:r="http://schemas.openxmlformats.org/officeDocument/2006/relationships" ref="P558" r:id="rId515"/>
    <hyperlink xmlns:r="http://schemas.openxmlformats.org/officeDocument/2006/relationships" ref="P559" r:id="rId516"/>
    <hyperlink xmlns:r="http://schemas.openxmlformats.org/officeDocument/2006/relationships" ref="P560" r:id="rId517"/>
    <hyperlink xmlns:r="http://schemas.openxmlformats.org/officeDocument/2006/relationships" ref="P561" r:id="rId518"/>
    <hyperlink xmlns:r="http://schemas.openxmlformats.org/officeDocument/2006/relationships" ref="P562" r:id="rId519"/>
    <hyperlink xmlns:r="http://schemas.openxmlformats.org/officeDocument/2006/relationships" ref="P563" r:id="rId520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P762"/>
  <sheetViews>
    <sheetView topLeftCell="A260" zoomScale="85" zoomScaleNormal="85" workbookViewId="0">
      <selection activeCell="C287" sqref="C287:I287"/>
    </sheetView>
  </sheetViews>
  <sheetFormatPr baseColWidth="10" defaultColWidth="11.44140625" defaultRowHeight="14.4"/>
  <cols>
    <col width="3.109375" customWidth="1" min="1" max="1"/>
    <col width="12.44140625" customWidth="1" min="2" max="2"/>
    <col width="73.109375" customWidth="1" min="9" max="9"/>
    <col width="47.88671875" bestFit="1" customWidth="1" min="10" max="10"/>
    <col width="17.109375" bestFit="1" customWidth="1" min="11" max="11"/>
    <col width="20.5546875" bestFit="1" customWidth="1" min="12" max="12"/>
    <col width="12.44140625" bestFit="1" customWidth="1" min="13" max="13"/>
    <col width="12.88671875" bestFit="1" customWidth="1" min="14" max="14"/>
    <col width="33.109375" bestFit="1" customWidth="1" min="15" max="15"/>
    <col width="37.109375" customWidth="1" min="16" max="16"/>
  </cols>
  <sheetData>
    <row r="2" ht="15" customHeight="1" thickBot="1">
      <c r="B2" s="176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176" t="n"/>
      <c r="L2" s="176" t="n"/>
      <c r="M2" s="176" t="n"/>
      <c r="N2" s="176" t="n"/>
      <c r="O2" s="176" t="n"/>
      <c r="P2" s="176" t="n"/>
    </row>
    <row r="3">
      <c r="B3" s="318" t="n"/>
      <c r="C3" s="296" t="n"/>
      <c r="D3" s="296" t="n"/>
      <c r="E3" s="331" t="inlineStr">
        <is>
          <t>SEGUIMIENTO A COTIZACIONES</t>
        </is>
      </c>
      <c r="F3" s="296" t="n"/>
      <c r="G3" s="296" t="n"/>
      <c r="H3" s="296" t="n"/>
      <c r="I3" s="296" t="n"/>
      <c r="J3" s="296" t="n"/>
      <c r="K3" s="296" t="n"/>
      <c r="L3" s="296" t="n"/>
      <c r="M3" s="296" t="n"/>
      <c r="N3" s="296" t="n"/>
      <c r="O3" s="296" t="n"/>
      <c r="P3" s="298" t="n"/>
    </row>
    <row r="4">
      <c r="B4" s="299" t="n"/>
      <c r="E4" s="299" t="n"/>
      <c r="P4" s="300" t="n"/>
    </row>
    <row r="5">
      <c r="B5" s="299" t="n"/>
      <c r="E5" s="299" t="n"/>
      <c r="P5" s="300" t="n"/>
    </row>
    <row r="6">
      <c r="B6" s="299" t="n"/>
      <c r="E6" s="299" t="n"/>
      <c r="P6" s="300" t="n"/>
    </row>
    <row r="7">
      <c r="B7" s="299" t="n"/>
      <c r="E7" s="299" t="n"/>
      <c r="P7" s="300" t="n"/>
    </row>
    <row r="8">
      <c r="B8" s="299" t="n"/>
      <c r="E8" s="299" t="n"/>
      <c r="P8" s="300" t="n"/>
    </row>
    <row r="9">
      <c r="B9" s="299" t="n"/>
      <c r="E9" s="299" t="n"/>
      <c r="P9" s="300" t="n"/>
    </row>
    <row r="10" ht="15" customHeight="1" thickBot="1">
      <c r="B10" s="301" t="n"/>
      <c r="C10" s="302" t="n"/>
      <c r="D10" s="302" t="n"/>
      <c r="E10" s="301" t="n"/>
      <c r="F10" s="302" t="n"/>
      <c r="G10" s="302" t="n"/>
      <c r="H10" s="302" t="n"/>
      <c r="I10" s="302" t="n"/>
      <c r="J10" s="302" t="n"/>
      <c r="K10" s="302" t="n"/>
      <c r="L10" s="302" t="n"/>
      <c r="M10" s="302" t="n"/>
      <c r="N10" s="302" t="n"/>
      <c r="O10" s="302" t="n"/>
      <c r="P10" s="303" t="n"/>
    </row>
    <row r="11" ht="27.6" customHeight="1">
      <c r="B11" s="195" t="inlineStr">
        <is>
          <t>Número de cotización</t>
        </is>
      </c>
      <c r="C11" s="236" t="inlineStr">
        <is>
          <t>Descripción de la cotización</t>
        </is>
      </c>
      <c r="D11" s="332" t="n"/>
      <c r="E11" s="332" t="n"/>
      <c r="F11" s="332" t="n"/>
      <c r="G11" s="332" t="n"/>
      <c r="H11" s="332" t="n"/>
      <c r="I11" s="333" t="n"/>
      <c r="J11" s="159" t="inlineStr">
        <is>
          <t>Cliente</t>
        </is>
      </c>
      <c r="K11" s="124" t="inlineStr">
        <is>
          <t>Valor sin IVA</t>
        </is>
      </c>
      <c r="L11" s="195" t="inlineStr">
        <is>
          <t>Fecha de cotización</t>
        </is>
      </c>
      <c r="M11" s="195" t="inlineStr">
        <is>
          <t>Aprobado</t>
        </is>
      </c>
      <c r="N11" s="195" t="inlineStr">
        <is>
          <t>Telefono</t>
        </is>
      </c>
      <c r="O11" s="195" t="inlineStr">
        <is>
          <t>Persona Encargada</t>
        </is>
      </c>
      <c r="P11" s="195" t="inlineStr">
        <is>
          <t>Correo</t>
        </is>
      </c>
    </row>
    <row r="12">
      <c r="B12" s="170" t="n">
        <v>1</v>
      </c>
      <c r="C12" s="199" t="inlineStr">
        <is>
          <t>COTIZACION DEL DISEÑO DE EXTINCIÓN DE INCENDIOS PARA EL PROYECTO KOAJ ALEGRA</t>
        </is>
      </c>
      <c r="D12" s="312" t="n"/>
      <c r="E12" s="312" t="n"/>
      <c r="F12" s="312" t="n"/>
      <c r="G12" s="312" t="n"/>
      <c r="H12" s="312" t="n"/>
      <c r="I12" s="313" t="n"/>
      <c r="J12" s="199" t="inlineStr">
        <is>
          <t>JOMARK SEGURIDAD</t>
        </is>
      </c>
      <c r="K12" s="314" t="n">
        <v>2800000</v>
      </c>
      <c r="L12" s="2" t="n">
        <v>44568</v>
      </c>
      <c r="M12" s="170" t="inlineStr">
        <is>
          <t>X</t>
        </is>
      </c>
      <c r="N12" s="170" t="n">
        <v>3167344808</v>
      </c>
      <c r="O12" s="172" t="inlineStr">
        <is>
          <t>Daniel Echeverry Pérez</t>
        </is>
      </c>
      <c r="P12" s="52" t="inlineStr">
        <is>
          <t>proyectos3@jomarkseguridad.com</t>
        </is>
      </c>
    </row>
    <row r="13">
      <c r="B13" s="170" t="n">
        <v>2</v>
      </c>
      <c r="C13" s="199" t="inlineStr">
        <is>
          <t>COTIZACION DE LOS DISEÑOS DE SEGURIDAD HUMANA Y PROTECCIÓN CONTRA  INCENDIOS - PROYECTO 23 LIVING</t>
        </is>
      </c>
      <c r="D13" s="312" t="n"/>
      <c r="E13" s="312" t="n"/>
      <c r="F13" s="312" t="n"/>
      <c r="G13" s="312" t="n"/>
      <c r="H13" s="312" t="n"/>
      <c r="I13" s="313" t="n"/>
      <c r="J13" s="199" t="inlineStr">
        <is>
          <t>MENSULA</t>
        </is>
      </c>
      <c r="K13" s="314" t="n">
        <v>18550000</v>
      </c>
      <c r="L13" s="2" t="n">
        <v>44573</v>
      </c>
      <c r="M13" s="170" t="n"/>
      <c r="N13" s="170" t="inlineStr">
        <is>
          <t>300 864 37 10</t>
        </is>
      </c>
      <c r="O13" s="172" t="inlineStr">
        <is>
          <t>Cristina Palacio Pérez</t>
        </is>
      </c>
      <c r="P13" s="52" t="inlineStr">
        <is>
          <t>cristinapalacio@mensulaingenieros.com</t>
        </is>
      </c>
    </row>
    <row r="14">
      <c r="B14" s="170" t="n">
        <v>3</v>
      </c>
      <c r="C14" s="199" t="inlineStr">
        <is>
          <t>COTIZACION DEL DISEÑO DE EXTINCIÓN DE INCENDIOS - IBC CALDAS</t>
        </is>
      </c>
      <c r="D14" s="312" t="n"/>
      <c r="E14" s="312" t="n"/>
      <c r="F14" s="312" t="n"/>
      <c r="G14" s="312" t="n"/>
      <c r="H14" s="312" t="n"/>
      <c r="I14" s="313" t="n"/>
      <c r="J14" s="199" t="inlineStr">
        <is>
          <t>SPCI</t>
        </is>
      </c>
      <c r="K14" s="314" t="n">
        <v>9950000</v>
      </c>
      <c r="L14" s="2" t="n">
        <v>44573</v>
      </c>
      <c r="M14" s="170" t="n"/>
      <c r="N14" s="170" t="n">
        <v>3104680508</v>
      </c>
      <c r="O14" s="172" t="inlineStr">
        <is>
          <t>Juan Pablo Grajales</t>
        </is>
      </c>
      <c r="P14" s="52" t="inlineStr">
        <is>
          <t>juan.grajales@spci.com.co</t>
        </is>
      </c>
    </row>
    <row r="15">
      <c r="B15" s="170" t="n">
        <v>4</v>
      </c>
      <c r="C15" s="199" t="inlineStr">
        <is>
          <t>COTIZACION DEL DISEÑO DE DETECCIÓN DE INCENDIOS - ATENEA FAMLIA SANCELA</t>
        </is>
      </c>
      <c r="D15" s="312" t="n"/>
      <c r="E15" s="312" t="n"/>
      <c r="F15" s="312" t="n"/>
      <c r="G15" s="312" t="n"/>
      <c r="H15" s="312" t="n"/>
      <c r="I15" s="313" t="n"/>
      <c r="J15" s="199" t="inlineStr">
        <is>
          <t>SERIINCO</t>
        </is>
      </c>
      <c r="K15" s="314" t="n">
        <v>4500000</v>
      </c>
      <c r="L15" s="2" t="n">
        <v>44573</v>
      </c>
      <c r="M15" s="170" t="inlineStr">
        <is>
          <t>X</t>
        </is>
      </c>
      <c r="N15" s="170" t="n">
        <v>4442074</v>
      </c>
      <c r="O15" s="172" t="inlineStr">
        <is>
          <t>Francisco Unda</t>
        </is>
      </c>
      <c r="P15" s="52" t="inlineStr">
        <is>
          <t>francisco.unda@seriinco.com</t>
        </is>
      </c>
    </row>
    <row r="16">
      <c r="B16" s="170" t="n">
        <v>5</v>
      </c>
      <c r="C16" s="233" t="inlineStr">
        <is>
          <t>COTIZACION DEL DISEÑO DE DETECCIÓN DE INCENDIOS PARA EL PROYECTO LOCAL FRISBY VIVA PALMA</t>
        </is>
      </c>
      <c r="D16" s="312" t="n"/>
      <c r="E16" s="312" t="n"/>
      <c r="F16" s="312" t="n"/>
      <c r="G16" s="312" t="n"/>
      <c r="H16" s="312" t="n"/>
      <c r="I16" s="313" t="n"/>
      <c r="J16" s="199" t="inlineStr">
        <is>
          <t>SPCI</t>
        </is>
      </c>
      <c r="K16" s="314" t="n">
        <v>950000</v>
      </c>
      <c r="L16" s="2" t="n">
        <v>44574</v>
      </c>
      <c r="M16" s="170" t="n"/>
      <c r="N16" s="170" t="n">
        <v>3137546144</v>
      </c>
      <c r="O16" s="172" t="inlineStr">
        <is>
          <t>Juan Camilo Quintero Bedoya</t>
        </is>
      </c>
      <c r="P16" s="52" t="inlineStr">
        <is>
          <t>camilo.quintero@spci.com.co</t>
        </is>
      </c>
    </row>
    <row r="17">
      <c r="B17" s="170" t="n">
        <v>6</v>
      </c>
      <c r="C17" s="199" t="inlineStr">
        <is>
          <t>COTIZACION DE LOS DISEÑOS DE PROTECCIÓN CONTRA INCENDIOS Y SEGURIDAD HUMANA PARA EL PROYECTO PLANTA Mr BONO</t>
        </is>
      </c>
      <c r="D17" s="312" t="n"/>
      <c r="E17" s="312" t="n"/>
      <c r="F17" s="312" t="n"/>
      <c r="G17" s="312" t="n"/>
      <c r="H17" s="312" t="n"/>
      <c r="I17" s="313" t="n"/>
      <c r="J17" s="199" t="inlineStr">
        <is>
          <t>SERVICIO IPM</t>
        </is>
      </c>
      <c r="K17" s="314" t="n">
        <v>22750000</v>
      </c>
      <c r="L17" s="2" t="n">
        <v>44574</v>
      </c>
      <c r="M17" s="170" t="n"/>
      <c r="N17" s="170" t="inlineStr">
        <is>
          <t>301 542 1412</t>
        </is>
      </c>
      <c r="O17" s="172" t="inlineStr">
        <is>
          <t>Juan Santiago Londoño Quiceno</t>
        </is>
      </c>
      <c r="P17" s="52" t="inlineStr">
        <is>
          <t>juan.londono@serviciosipm.com</t>
        </is>
      </c>
    </row>
    <row r="18">
      <c r="B18" s="170" t="n">
        <v>7</v>
      </c>
      <c r="C18" s="199" t="inlineStr">
        <is>
          <t>COTIZACION DE LOS DISEÑOS DE PROTECCIÓN CONTRA INCENDIOS PARA EL PROYECTO CAMINO DEL VIENTO TORRE 4</t>
        </is>
      </c>
      <c r="D18" s="312" t="n"/>
      <c r="E18" s="312" t="n"/>
      <c r="F18" s="312" t="n"/>
      <c r="G18" s="312" t="n"/>
      <c r="H18" s="312" t="n"/>
      <c r="I18" s="313" t="n"/>
      <c r="J18" s="199" t="inlineStr">
        <is>
          <t>BIENES Y BIENES</t>
        </is>
      </c>
      <c r="K18" s="314" t="n">
        <v>11800000</v>
      </c>
      <c r="L18" s="2" t="n">
        <v>44575</v>
      </c>
      <c r="M18" s="2" t="inlineStr">
        <is>
          <t>X</t>
        </is>
      </c>
      <c r="N18" s="170" t="inlineStr">
        <is>
          <t xml:space="preserve"> 311 - 8500 Ext.187</t>
        </is>
      </c>
      <c r="O18" s="172" t="inlineStr">
        <is>
          <t>Jazzmín Restrepo Ortiz</t>
        </is>
      </c>
      <c r="P18" s="52" t="inlineStr">
        <is>
          <t>jrestrepo@bienesybienes.com.co</t>
        </is>
      </c>
    </row>
    <row r="19">
      <c r="B19" s="170" t="n">
        <v>8</v>
      </c>
      <c r="C19" s="199" t="inlineStr">
        <is>
          <t>COTIZACION DEL DISEÑO SOPORTES SISMORRESISTENTE ZENÚ SPCI</t>
        </is>
      </c>
      <c r="D19" s="312" t="n"/>
      <c r="E19" s="312" t="n"/>
      <c r="F19" s="312" t="n"/>
      <c r="G19" s="312" t="n"/>
      <c r="H19" s="312" t="n"/>
      <c r="I19" s="313" t="n"/>
      <c r="J19" s="199" t="inlineStr">
        <is>
          <t>SPCI</t>
        </is>
      </c>
      <c r="K19" s="314" t="n">
        <v>690000</v>
      </c>
      <c r="L19" s="2" t="n">
        <v>44578</v>
      </c>
      <c r="M19" s="170" t="inlineStr">
        <is>
          <t>X</t>
        </is>
      </c>
      <c r="N19" s="170" t="n">
        <v>3104278593</v>
      </c>
      <c r="O19" s="172" t="inlineStr">
        <is>
          <t>Daniel Uribe</t>
        </is>
      </c>
      <c r="P19" s="52" t="inlineStr">
        <is>
          <t>dir.tecnico@spcisas.com.co</t>
        </is>
      </c>
    </row>
    <row r="20">
      <c r="B20" s="170" t="n">
        <v>9</v>
      </c>
      <c r="C20" s="199" t="inlineStr">
        <is>
          <t>COTIZACION DE LOS DISEÑOS DE PROTECCIÓN CONTRA INCENDIOS Y SEGURIDAD HUMANA PARA EL PROYECTO HOTEL LA CASTELLANA</t>
        </is>
      </c>
      <c r="D20" s="312" t="n"/>
      <c r="E20" s="312" t="n"/>
      <c r="F20" s="312" t="n"/>
      <c r="G20" s="312" t="n"/>
      <c r="H20" s="312" t="n"/>
      <c r="I20" s="313" t="n"/>
      <c r="J20" s="199" t="inlineStr">
        <is>
          <t>RRP ARQUITECTOS</t>
        </is>
      </c>
      <c r="K20" s="314" t="n">
        <v>9400000</v>
      </c>
      <c r="L20" s="2" t="n">
        <v>44579</v>
      </c>
      <c r="M20" s="35" t="n"/>
      <c r="N20" s="170" t="n"/>
      <c r="O20" s="172" t="inlineStr">
        <is>
          <t>Gustavo Canchila</t>
        </is>
      </c>
      <c r="P20" s="52" t="inlineStr">
        <is>
          <t>gustavo.canchila@udea.edu.co</t>
        </is>
      </c>
    </row>
    <row r="21">
      <c r="B21" s="170" t="n">
        <v>10</v>
      </c>
      <c r="C21" s="246" t="inlineStr">
        <is>
          <t>COTIZACION DEL DISEÑO DE EXTINCIÓN DE INCENDIOS PARA EL PROYECTO LOCAL VIVA ENVIGADO- QBANO</t>
        </is>
      </c>
      <c r="D21" s="312" t="n"/>
      <c r="E21" s="312" t="n"/>
      <c r="F21" s="312" t="n"/>
      <c r="G21" s="312" t="n"/>
      <c r="H21" s="312" t="n"/>
      <c r="I21" s="313" t="n"/>
      <c r="J21" s="199" t="inlineStr">
        <is>
          <t>SPCI</t>
        </is>
      </c>
      <c r="K21" s="314" t="n">
        <v>1000000</v>
      </c>
      <c r="L21" s="2" t="n">
        <v>44579</v>
      </c>
      <c r="M21" s="170" t="inlineStr">
        <is>
          <t>X</t>
        </is>
      </c>
      <c r="N21" s="170" t="n"/>
      <c r="O21" s="172" t="inlineStr">
        <is>
          <t>Ana Maria Restrepo Mayo</t>
        </is>
      </c>
      <c r="P21" s="52" t="inlineStr">
        <is>
          <t>ana.restrepo@spci.com.co</t>
        </is>
      </c>
    </row>
    <row r="22">
      <c r="B22" s="170" t="n">
        <v>11</v>
      </c>
      <c r="C22" s="199" t="inlineStr">
        <is>
          <t>COTIZACION DE LOS DISEÑOS DE PROTECCIÓN CONTRA INCENDIOS PARA EL PROYECTO PLANTA COOLFOOD</t>
        </is>
      </c>
      <c r="D22" s="312" t="n"/>
      <c r="E22" s="312" t="n"/>
      <c r="F22" s="312" t="n"/>
      <c r="G22" s="312" t="n"/>
      <c r="H22" s="312" t="n"/>
      <c r="I22" s="313" t="n"/>
      <c r="J22" s="199" t="inlineStr">
        <is>
          <t>INGENIO BIM</t>
        </is>
      </c>
      <c r="K22" s="314" t="n">
        <v>7450000</v>
      </c>
      <c r="L22" s="2" t="n">
        <v>44581</v>
      </c>
      <c r="M22" s="170" t="n"/>
      <c r="N22" s="170" t="n">
        <v>3012311524</v>
      </c>
      <c r="O22" s="172" t="inlineStr">
        <is>
          <t>Luisa Fernanda Londoño Ciro</t>
        </is>
      </c>
      <c r="P22" s="52" t="inlineStr">
        <is>
          <t xml:space="preserve">luisa.londono@ingeniobim.co </t>
        </is>
      </c>
    </row>
    <row r="23">
      <c r="B23" s="170" t="n">
        <v>12</v>
      </c>
      <c r="C23" s="199" t="inlineStr">
        <is>
          <t>COTIZACION DE REVISIÓN Y PRUEBAS DE LOS SISTEMAS DE PROTECCIÓN CONTRA INCENDIOS INSTALADOS Y LA SEGURIDAD HUMANA PARA EL PROYECTO BIO26</t>
        </is>
      </c>
      <c r="D23" s="312" t="n"/>
      <c r="E23" s="312" t="n"/>
      <c r="F23" s="312" t="n"/>
      <c r="G23" s="312" t="n"/>
      <c r="H23" s="312" t="n"/>
      <c r="I23" s="313" t="n"/>
      <c r="J23" s="199" t="inlineStr">
        <is>
          <t>GERENCIA INTEGRAL</t>
        </is>
      </c>
      <c r="K23" s="314" t="n">
        <v>11750000</v>
      </c>
      <c r="L23" s="2" t="n">
        <v>44580</v>
      </c>
      <c r="M23" s="2" t="n"/>
      <c r="N23" s="170" t="inlineStr">
        <is>
          <t>57 312 2967935</t>
        </is>
      </c>
      <c r="O23" s="172" t="inlineStr">
        <is>
          <t>Maria Teresa</t>
        </is>
      </c>
      <c r="P23" s="52" t="inlineStr">
        <is>
          <t>mlopez@hdgerenciaintegral.com</t>
        </is>
      </c>
    </row>
    <row r="24">
      <c r="B24" s="170" t="n">
        <v>13</v>
      </c>
      <c r="C24" s="199" t="inlineStr">
        <is>
          <t>COTIZACION DE LOS DISEÑOS DE EXTINCIÓN DE INCENDIOS Y SEGURIDAD HUMANA PARA EL PROYECTO LOCAL COMFAMA CIS PLAZA FABRICATO</t>
        </is>
      </c>
      <c r="D24" s="312" t="n"/>
      <c r="E24" s="312" t="n"/>
      <c r="F24" s="312" t="n"/>
      <c r="G24" s="312" t="n"/>
      <c r="H24" s="312" t="n"/>
      <c r="I24" s="313" t="n"/>
      <c r="J24" s="199" t="inlineStr">
        <is>
          <t>INTERVE</t>
        </is>
      </c>
      <c r="K24" s="314" t="n">
        <v>5850000</v>
      </c>
      <c r="L24" s="2" t="n">
        <v>44580</v>
      </c>
      <c r="M24" s="2" t="inlineStr">
        <is>
          <t>X</t>
        </is>
      </c>
      <c r="N24" s="170" t="inlineStr">
        <is>
          <t>310 386 17 63</t>
        </is>
      </c>
      <c r="O24" s="172" t="inlineStr">
        <is>
          <t>Dario Antonio Saldarriaga Ramirez</t>
        </is>
      </c>
      <c r="P24" s="52" t="inlineStr">
        <is>
          <t>dsaldarriaga@interve.co</t>
        </is>
      </c>
    </row>
    <row r="25">
      <c r="B25" s="170" t="n">
        <v>14</v>
      </c>
      <c r="C25" s="199" t="inlineStr">
        <is>
          <t>COTIZACION DEL DISEÑO DE EXTINCIÓN DE INCENDIOS - VORTEX AEROCAFE</t>
        </is>
      </c>
      <c r="D25" s="312" t="n"/>
      <c r="E25" s="312" t="n"/>
      <c r="F25" s="312" t="n"/>
      <c r="G25" s="312" t="n"/>
      <c r="H25" s="312" t="n"/>
      <c r="I25" s="313" t="n"/>
      <c r="J25" s="199" t="inlineStr">
        <is>
          <t>SFIRE</t>
        </is>
      </c>
      <c r="K25" s="314" t="n">
        <v>3150000</v>
      </c>
      <c r="L25" s="2" t="n">
        <v>44581</v>
      </c>
      <c r="M25" s="2" t="n"/>
      <c r="N25" s="2" t="inlineStr">
        <is>
          <t>(57) 3108227462</t>
        </is>
      </c>
      <c r="O25" s="172" t="inlineStr">
        <is>
          <t>Alvaro Manosalva</t>
        </is>
      </c>
      <c r="P25" s="52" t="inlineStr">
        <is>
          <t>alvaromanosalva@sfiregroup.com</t>
        </is>
      </c>
    </row>
    <row r="26">
      <c r="B26" s="170" t="n">
        <v>15</v>
      </c>
      <c r="C26" s="254" t="inlineStr">
        <is>
          <t>COTIZACION DE LOS DISEÑOS DE PROTECCIÓN CONTRA INCENDIOS PARA EL PROYECTO FELICITY TORRE 3 Y 4</t>
        </is>
      </c>
      <c r="D26" s="312" t="n"/>
      <c r="E26" s="312" t="n"/>
      <c r="F26" s="312" t="n"/>
      <c r="G26" s="312" t="n"/>
      <c r="H26" s="312" t="n"/>
      <c r="I26" s="313" t="n"/>
      <c r="J26" s="254" t="inlineStr">
        <is>
          <t>GINO</t>
        </is>
      </c>
      <c r="K26" s="330" t="inlineStr">
        <is>
          <t>No se cotizó</t>
        </is>
      </c>
      <c r="L26" s="2" t="n">
        <v>44581</v>
      </c>
      <c r="M26" s="2" t="n"/>
      <c r="N26" s="170" t="n"/>
      <c r="O26" s="172" t="inlineStr">
        <is>
          <t>Gino Montoya</t>
        </is>
      </c>
      <c r="P26" s="52" t="inlineStr">
        <is>
          <t>gino1037@hotmail.com</t>
        </is>
      </c>
    </row>
    <row r="27">
      <c r="B27" s="170" t="n">
        <v>16</v>
      </c>
      <c r="C27" s="199" t="inlineStr">
        <is>
          <t>COTIZACION DE LOS DISEÑOS DE PROTECCIÓN CONTRA INCENDIOS PARA EL PROYECTO URBANIZACION SAN MIGUEL</t>
        </is>
      </c>
      <c r="D27" s="312" t="n"/>
      <c r="E27" s="312" t="n"/>
      <c r="F27" s="312" t="n"/>
      <c r="G27" s="312" t="n"/>
      <c r="H27" s="312" t="n"/>
      <c r="I27" s="313" t="n"/>
      <c r="J27" s="199" t="inlineStr">
        <is>
          <t>GINO</t>
        </is>
      </c>
      <c r="K27" s="314" t="n">
        <v>25930000</v>
      </c>
      <c r="L27" s="2" t="n">
        <v>44582</v>
      </c>
      <c r="M27" s="170" t="n"/>
      <c r="N27" s="170" t="n"/>
      <c r="O27" s="172" t="inlineStr">
        <is>
          <t>Gino Montoya</t>
        </is>
      </c>
      <c r="P27" s="52" t="inlineStr">
        <is>
          <t>gino1037@hotmail.com</t>
        </is>
      </c>
    </row>
    <row r="28">
      <c r="B28" s="170" t="n">
        <v>17</v>
      </c>
      <c r="C28" s="199" t="inlineStr">
        <is>
          <t>COTIZACION DEL DISEÑO DE EXTINCIÓN DE INCENDIOS PARA EL PROYECTO OFICINA JOMARK</t>
        </is>
      </c>
      <c r="D28" s="312" t="n"/>
      <c r="E28" s="312" t="n"/>
      <c r="F28" s="312" t="n"/>
      <c r="G28" s="312" t="n"/>
      <c r="H28" s="312" t="n"/>
      <c r="I28" s="313" t="n"/>
      <c r="J28" s="199" t="inlineStr">
        <is>
          <t>JOMARK SEGURIDAD</t>
        </is>
      </c>
      <c r="K28" s="314" t="n">
        <v>1350000</v>
      </c>
      <c r="L28" s="2" t="n">
        <v>44582</v>
      </c>
      <c r="M28" s="2" t="n"/>
      <c r="N28" s="170" t="n">
        <v>3147943785</v>
      </c>
      <c r="O28" s="172" t="inlineStr">
        <is>
          <t>Laura Duque Betancur</t>
        </is>
      </c>
      <c r="P28" s="52" t="inlineStr">
        <is>
          <t>proyectos2@jomarkseguridad.com</t>
        </is>
      </c>
    </row>
    <row r="29">
      <c r="B29" s="170" t="n">
        <v>18</v>
      </c>
      <c r="C29" s="199" t="inlineStr">
        <is>
          <t>COTIZACION DEL DISEÑO DE EXTINCIÓN DE INCENDIOS PARA EL PROYECTO TANQUES SUR Y NORTE</t>
        </is>
      </c>
      <c r="D29" s="312" t="n"/>
      <c r="E29" s="312" t="n"/>
      <c r="F29" s="312" t="n"/>
      <c r="G29" s="312" t="n"/>
      <c r="H29" s="312" t="n"/>
      <c r="I29" s="313" t="n"/>
      <c r="J29" s="199" t="inlineStr">
        <is>
          <t>SERIINCO</t>
        </is>
      </c>
      <c r="K29" s="314" t="n">
        <v>11290000</v>
      </c>
      <c r="L29" s="2" t="n">
        <v>44586</v>
      </c>
      <c r="M29" s="2" t="n"/>
      <c r="N29" s="170" t="n">
        <v>3113391008</v>
      </c>
      <c r="O29" s="235" t="inlineStr">
        <is>
          <t>Carlos Enrique Henao</t>
        </is>
      </c>
      <c r="P29" s="52" t="inlineStr">
        <is>
          <t>carlos.henao@seriinco.com</t>
        </is>
      </c>
    </row>
    <row r="30">
      <c r="B30" s="170" t="n">
        <v>19</v>
      </c>
      <c r="C30" s="199" t="inlineStr">
        <is>
          <t>COTIZACION DE LOS DISEÑOS DE PROTECCIÓN CONTRA INCENDIOS PARA EL PROYECTO NOMBRE PROYECTO OFICINA JOMARK</t>
        </is>
      </c>
      <c r="D30" s="312" t="n"/>
      <c r="E30" s="312" t="n"/>
      <c r="F30" s="312" t="n"/>
      <c r="G30" s="312" t="n"/>
      <c r="H30" s="312" t="n"/>
      <c r="I30" s="313" t="n"/>
      <c r="J30" s="199" t="inlineStr">
        <is>
          <t>JOMARK SEGURIDAD</t>
        </is>
      </c>
      <c r="K30" s="314" t="n">
        <v>2025000</v>
      </c>
      <c r="L30" s="2" t="n">
        <v>44582</v>
      </c>
      <c r="M30" s="2" t="n"/>
      <c r="N30" s="170" t="n">
        <v>3147943785</v>
      </c>
      <c r="O30" s="172" t="inlineStr">
        <is>
          <t>Laura Duque Betancur</t>
        </is>
      </c>
      <c r="P30" s="52" t="inlineStr">
        <is>
          <t>proyectos2@jomarkseguridad.com</t>
        </is>
      </c>
    </row>
    <row r="31">
      <c r="B31" s="170" t="n">
        <v>20</v>
      </c>
      <c r="C31" s="199" t="inlineStr">
        <is>
          <t>COTIZACION DEL DISEÑO DE EXTINCIÓN DE INCENDIOS PARA EL PROYECTO VIVACE TORRE 3</t>
        </is>
      </c>
      <c r="D31" s="312" t="n"/>
      <c r="E31" s="312" t="n"/>
      <c r="F31" s="312" t="n"/>
      <c r="G31" s="312" t="n"/>
      <c r="H31" s="312" t="n"/>
      <c r="I31" s="313" t="n"/>
      <c r="J31" s="199" t="inlineStr">
        <is>
          <t>SPCI</t>
        </is>
      </c>
      <c r="K31" s="314" t="n">
        <v>3135000</v>
      </c>
      <c r="L31" s="2" t="n">
        <v>44586</v>
      </c>
      <c r="M31" s="170" t="inlineStr">
        <is>
          <t>X</t>
        </is>
      </c>
      <c r="N31" s="170" t="inlineStr">
        <is>
          <t>310 420 3649</t>
        </is>
      </c>
      <c r="O31" s="170" t="inlineStr">
        <is>
          <t>Mauricio Guzmán Urrea</t>
        </is>
      </c>
      <c r="P31" s="52" t="inlineStr">
        <is>
          <t>mauricio.guzman@spci.com.co</t>
        </is>
      </c>
    </row>
    <row r="32">
      <c r="B32" s="170" t="n">
        <v>21</v>
      </c>
      <c r="C32" s="199" t="inlineStr">
        <is>
          <t xml:space="preserve">
COTIZACION DEL DISEÑO DE EXTINCIÓN DE INCENDIOS PARA EL PROYECTO LOCAL GLOW PARTY 11</t>
        </is>
      </c>
      <c r="D32" s="312" t="n"/>
      <c r="E32" s="312" t="n"/>
      <c r="F32" s="312" t="n"/>
      <c r="G32" s="312" t="n"/>
      <c r="H32" s="312" t="n"/>
      <c r="I32" s="313" t="n"/>
      <c r="J32" s="199" t="inlineStr">
        <is>
          <t>SPCI</t>
        </is>
      </c>
      <c r="K32" s="314" t="n">
        <v>1000000</v>
      </c>
      <c r="L32" s="2" t="n">
        <v>44586</v>
      </c>
      <c r="M32" s="170" t="n"/>
      <c r="N32" s="170" t="n">
        <v>3104680508</v>
      </c>
      <c r="O32" s="170" t="inlineStr">
        <is>
          <t>Juan Pablo Grajales</t>
        </is>
      </c>
      <c r="P32" s="52" t="inlineStr">
        <is>
          <t>juan.grajales@spci.com.co</t>
        </is>
      </c>
    </row>
    <row r="33">
      <c r="B33" s="170" t="n">
        <v>22</v>
      </c>
      <c r="C33" s="199" t="inlineStr">
        <is>
          <t>COTIZACION DEL DISEÑO DE EXTINCIÓN DE INCENDIOS PARA EL PROYECTO LOCAL KUBIKA 7</t>
        </is>
      </c>
      <c r="D33" s="312" t="n"/>
      <c r="E33" s="312" t="n"/>
      <c r="F33" s="312" t="n"/>
      <c r="G33" s="312" t="n"/>
      <c r="H33" s="312" t="n"/>
      <c r="I33" s="313" t="n"/>
      <c r="J33" s="199" t="inlineStr">
        <is>
          <t>SPCI</t>
        </is>
      </c>
      <c r="K33" s="314" t="n">
        <v>1000000</v>
      </c>
      <c r="L33" s="2" t="n">
        <v>44586</v>
      </c>
      <c r="M33" s="170" t="n"/>
      <c r="N33" s="170" t="n">
        <v>3104680508</v>
      </c>
      <c r="O33" s="170" t="inlineStr">
        <is>
          <t>Juan Pablo Grajales</t>
        </is>
      </c>
      <c r="P33" s="52" t="inlineStr">
        <is>
          <t>juan.grajales@spci.com.co</t>
        </is>
      </c>
    </row>
    <row r="34">
      <c r="B34" s="170" t="n">
        <v>23</v>
      </c>
      <c r="C34" s="199" t="inlineStr">
        <is>
          <t>COTIZACION DE LOS DISEÑOS DE PROTECCIÓN CONTRA INCENDIOS PARA EL PROYECTO MALL ZONA SUR</t>
        </is>
      </c>
      <c r="D34" s="312" t="n"/>
      <c r="E34" s="312" t="n"/>
      <c r="F34" s="312" t="n"/>
      <c r="G34" s="312" t="n"/>
      <c r="H34" s="312" t="n"/>
      <c r="I34" s="313" t="n"/>
      <c r="J34" s="199" t="inlineStr">
        <is>
          <t>PROJECT&amp;SOLUCTION</t>
        </is>
      </c>
      <c r="K34" s="314" t="n">
        <v>9970000</v>
      </c>
      <c r="L34" s="2" t="n">
        <v>44586</v>
      </c>
      <c r="M34" s="170" t="n"/>
      <c r="N34" s="170" t="n"/>
      <c r="O34" s="172" t="inlineStr">
        <is>
          <t>Sebastián López Duque</t>
        </is>
      </c>
      <c r="P34" s="52" t="inlineStr">
        <is>
          <t>gerencia@projectsolutions.com.co</t>
        </is>
      </c>
    </row>
    <row r="35">
      <c r="B35" s="170" t="n">
        <v>24</v>
      </c>
      <c r="C35" s="233" t="inlineStr">
        <is>
          <t xml:space="preserve">COTIZACION DE LOS DISEÑOS DE PROTECCIÓN CONTRA INCENDIOS PARA EL PROYECTO CES CENTRO AMBULATORIO CONSULTA EXTERNA CLINICA
</t>
        </is>
      </c>
      <c r="D35" s="312" t="n"/>
      <c r="E35" s="312" t="n"/>
      <c r="F35" s="312" t="n"/>
      <c r="G35" s="312" t="n"/>
      <c r="H35" s="312" t="n"/>
      <c r="I35" s="313" t="n"/>
      <c r="J35" s="199" t="inlineStr">
        <is>
          <t>JOMARK SEGURIDAD</t>
        </is>
      </c>
      <c r="K35" s="314" t="n">
        <v>8150000</v>
      </c>
      <c r="L35" s="2" t="n">
        <v>44586</v>
      </c>
      <c r="M35" s="170" t="inlineStr">
        <is>
          <t>X</t>
        </is>
      </c>
      <c r="N35" s="170" t="n">
        <v>3147943785</v>
      </c>
      <c r="O35" s="170" t="inlineStr">
        <is>
          <t>Laura Duque Betancur</t>
        </is>
      </c>
      <c r="P35" s="52" t="inlineStr">
        <is>
          <t>proyectos2@jomarkseguridad.com</t>
        </is>
      </c>
    </row>
    <row r="36">
      <c r="B36" s="170" t="n">
        <v>25</v>
      </c>
      <c r="C36" s="233" t="inlineStr">
        <is>
          <t xml:space="preserve">COTIZACION DEL ANÁLISIS DE SEGURIDAD HUMANA PARA EL PROYECTO COLSANITAS CARTAGENA DEL MAR
</t>
        </is>
      </c>
      <c r="D36" s="312" t="n"/>
      <c r="E36" s="312" t="n"/>
      <c r="F36" s="312" t="n"/>
      <c r="G36" s="312" t="n"/>
      <c r="H36" s="312" t="n"/>
      <c r="I36" s="313" t="n"/>
      <c r="J36" s="199" t="inlineStr">
        <is>
          <t>CONDISEÑO</t>
        </is>
      </c>
      <c r="K36" s="314" t="n">
        <v>5500000</v>
      </c>
      <c r="L36" s="2" t="n">
        <v>44586</v>
      </c>
      <c r="M36" s="170" t="n"/>
      <c r="N36" s="170" t="n">
        <v>3175594091</v>
      </c>
      <c r="O36" s="170" t="inlineStr">
        <is>
          <t>Nakary García Romero</t>
        </is>
      </c>
      <c r="P36" s="52" t="inlineStr">
        <is>
          <t>n.garcia@condiseno.co</t>
        </is>
      </c>
    </row>
    <row r="37">
      <c r="B37" s="170" t="n">
        <v>26</v>
      </c>
      <c r="C37" s="199" t="inlineStr">
        <is>
          <t>COTIZACION DE LOS RE-DISEÑOS DE PROTECCIÓN CONTRA INCENDIOS Y SEGURIDAD HUMANA PARA EL PROYECTO MAZANTI ETAPA 1 Y 2</t>
        </is>
      </c>
      <c r="D37" s="312" t="n"/>
      <c r="E37" s="312" t="n"/>
      <c r="F37" s="312" t="n"/>
      <c r="G37" s="312" t="n"/>
      <c r="H37" s="312" t="n"/>
      <c r="I37" s="313" t="n"/>
      <c r="J37" s="199" t="inlineStr">
        <is>
          <t>CONSTRUIR OBRAS CIVILES</t>
        </is>
      </c>
      <c r="K37" s="314" t="n">
        <v>6590000</v>
      </c>
      <c r="L37" s="2" t="n">
        <v>44593</v>
      </c>
      <c r="M37" s="170" t="inlineStr">
        <is>
          <t>X</t>
        </is>
      </c>
      <c r="N37" s="170" t="n">
        <v>3206284446</v>
      </c>
      <c r="O37" s="170" t="inlineStr">
        <is>
          <t>Diana Marcela Cardona Lopez</t>
        </is>
      </c>
      <c r="P37" s="52" t="inlineStr">
        <is>
          <t>direccionmazanti@gmail.com</t>
        </is>
      </c>
    </row>
    <row r="38">
      <c r="B38" s="170" t="n">
        <v>27</v>
      </c>
      <c r="C38" s="199" t="inlineStr">
        <is>
          <t>COTIZACION DE LOS DISEÑOS DE SEGURIDAD HUMANA Y PROTECCIÓN CONTRA  INCENDIOS - BANREP BOGOTA</t>
        </is>
      </c>
      <c r="D38" s="312" t="n"/>
      <c r="E38" s="312" t="n"/>
      <c r="F38" s="312" t="n"/>
      <c r="G38" s="312" t="n"/>
      <c r="H38" s="312" t="n"/>
      <c r="I38" s="313" t="n"/>
      <c r="J38" s="199" t="inlineStr">
        <is>
          <t>CONVEL</t>
        </is>
      </c>
      <c r="K38" s="314" t="n">
        <v>6590000</v>
      </c>
      <c r="L38" s="2" t="n">
        <v>44587</v>
      </c>
      <c r="M38" s="170" t="n"/>
      <c r="N38" s="170" t="inlineStr">
        <is>
          <t>300 258 90 33</t>
        </is>
      </c>
      <c r="O38" s="170" t="inlineStr">
        <is>
          <t>Diana Perez</t>
        </is>
      </c>
      <c r="P38" s="52" t="inlineStr">
        <is>
          <t xml:space="preserve">dianaperez@convel.co </t>
        </is>
      </c>
    </row>
    <row r="39">
      <c r="B39" s="170" t="n">
        <v>28</v>
      </c>
      <c r="C39" s="199" t="inlineStr">
        <is>
          <t>COTIZACION DE REVISIÓN DE LOS DISEÑOS DE PROTECCIÓN CONTRA INCENDIO - PROYECTO DV</t>
        </is>
      </c>
      <c r="D39" s="312" t="n"/>
      <c r="E39" s="312" t="n"/>
      <c r="F39" s="312" t="n"/>
      <c r="G39" s="312" t="n"/>
      <c r="H39" s="312" t="n"/>
      <c r="I39" s="313" t="n"/>
      <c r="J39" s="199" t="inlineStr">
        <is>
          <t>MENSULA</t>
        </is>
      </c>
      <c r="K39" s="314" t="n">
        <v>5400000</v>
      </c>
      <c r="L39" s="2" t="n">
        <v>44465</v>
      </c>
      <c r="M39" s="170" t="inlineStr">
        <is>
          <t>X</t>
        </is>
      </c>
      <c r="N39" s="170" t="inlineStr">
        <is>
          <t>57 314 619 81 44</t>
        </is>
      </c>
      <c r="O39" s="170" t="inlineStr">
        <is>
          <t>Angela Bravo</t>
        </is>
      </c>
      <c r="P39" s="52" t="inlineStr">
        <is>
          <t>angelabravo@mensulaingenieros.com</t>
        </is>
      </c>
    </row>
    <row r="40">
      <c r="B40" s="170" t="n">
        <v>29</v>
      </c>
      <c r="C40" s="233" t="inlineStr">
        <is>
          <t xml:space="preserve">COTIZACION DEL ANÁLISIS DE SEGURIDAD HUMANA PARA EL PROYECTO PISCINAS DEL COMPLEJO ACUATICO
</t>
        </is>
      </c>
      <c r="D40" s="312" t="n"/>
      <c r="E40" s="312" t="n"/>
      <c r="F40" s="312" t="n"/>
      <c r="G40" s="312" t="n"/>
      <c r="H40" s="312" t="n"/>
      <c r="I40" s="313" t="n"/>
      <c r="J40" s="199" t="inlineStr">
        <is>
          <t>DESUR</t>
        </is>
      </c>
      <c r="K40" s="314" t="n">
        <v>2500000</v>
      </c>
      <c r="L40" s="2" t="n">
        <v>44588</v>
      </c>
      <c r="M40" s="170" t="inlineStr">
        <is>
          <t>X</t>
        </is>
      </c>
      <c r="N40" s="170" t="inlineStr">
        <is>
          <t xml:space="preserve"> 4801300 Ext. 137</t>
        </is>
      </c>
      <c r="O40" s="170" t="inlineStr">
        <is>
          <t>Olmes Fernando Rodríguez Álzate</t>
        </is>
      </c>
      <c r="P40" s="52" t="inlineStr">
        <is>
          <t>olmes.rodriguez@desur.gov.co</t>
        </is>
      </c>
    </row>
    <row r="41">
      <c r="B41" s="170" t="n">
        <v>30</v>
      </c>
      <c r="C41" s="199" t="inlineStr">
        <is>
          <t>COTIZACION DEL ANÁLISIS DE SEGURIDAD HUMANA - CEDI MARINILLA</t>
        </is>
      </c>
      <c r="D41" s="312" t="n"/>
      <c r="E41" s="312" t="n"/>
      <c r="F41" s="312" t="n"/>
      <c r="G41" s="312" t="n"/>
      <c r="H41" s="312" t="n"/>
      <c r="I41" s="313" t="n"/>
      <c r="J41" s="199" t="inlineStr">
        <is>
          <t>CONCONCRETO</t>
        </is>
      </c>
      <c r="K41" s="314" t="n">
        <v>7950000</v>
      </c>
      <c r="L41" s="2" t="n">
        <v>44588</v>
      </c>
      <c r="M41" s="170" t="n"/>
      <c r="N41" s="170" t="inlineStr">
        <is>
          <t>314 8646158</t>
        </is>
      </c>
      <c r="O41" s="170" t="inlineStr">
        <is>
          <t>Francisco Restrepo</t>
        </is>
      </c>
      <c r="P41" s="52" t="inlineStr">
        <is>
          <t>fjrestrepo@conconcreto.com</t>
        </is>
      </c>
    </row>
    <row r="42">
      <c r="B42" s="170" t="n">
        <v>31</v>
      </c>
      <c r="C42" s="199" t="inlineStr">
        <is>
          <t>COTIZACION DEL ANÁLISIS DE SEGURIDAD HUMANA - AMPLIACIÓN SEDE PALMIRA</t>
        </is>
      </c>
      <c r="D42" s="312" t="n"/>
      <c r="E42" s="312" t="n"/>
      <c r="F42" s="312" t="n"/>
      <c r="G42" s="312" t="n"/>
      <c r="H42" s="312" t="n"/>
      <c r="I42" s="313" t="n"/>
      <c r="J42" s="199" t="inlineStr">
        <is>
          <t>CONCONCRETO</t>
        </is>
      </c>
      <c r="K42" s="314" t="n">
        <v>4750000</v>
      </c>
      <c r="L42" s="2" t="n">
        <v>44588</v>
      </c>
      <c r="M42" s="170" t="n"/>
      <c r="N42" s="170" t="inlineStr">
        <is>
          <t>314 8646158</t>
        </is>
      </c>
      <c r="O42" s="170" t="inlineStr">
        <is>
          <t>Francisco Restrepo</t>
        </is>
      </c>
      <c r="P42" s="52" t="inlineStr">
        <is>
          <t>fjrestrepo@conconcreto.com</t>
        </is>
      </c>
    </row>
    <row r="43">
      <c r="B43" s="170" t="n">
        <v>32</v>
      </c>
      <c r="C43" s="233" t="inlineStr">
        <is>
          <t xml:space="preserve">COTIZACION DE LOS DISEÑOS DE PROTECCIÓN CONTRA INCENDIOS Y SEGURIDAD HUMANA PARA EL PROYECTO LEGADO ETAPA 1
</t>
        </is>
      </c>
      <c r="D43" s="312" t="n"/>
      <c r="E43" s="312" t="n"/>
      <c r="F43" s="312" t="n"/>
      <c r="G43" s="312" t="n"/>
      <c r="H43" s="312" t="n"/>
      <c r="I43" s="313" t="n"/>
      <c r="J43" s="199" t="inlineStr">
        <is>
          <t>FCR SAS</t>
        </is>
      </c>
      <c r="K43" s="314" t="n">
        <v>8470000</v>
      </c>
      <c r="L43" s="2" t="n">
        <v>44589</v>
      </c>
      <c r="M43" s="170" t="inlineStr">
        <is>
          <t>X</t>
        </is>
      </c>
      <c r="N43" s="170" t="n"/>
      <c r="O43" s="170" t="inlineStr">
        <is>
          <t>LUZ STELLA IBARRA ARCILA</t>
        </is>
      </c>
      <c r="P43" s="87" t="inlineStr">
        <is>
          <t>stellaibarra@gmail.com</t>
        </is>
      </c>
    </row>
    <row r="44">
      <c r="B44" s="170" t="n">
        <v>33</v>
      </c>
      <c r="C44" s="199" t="inlineStr">
        <is>
          <t>COTIZACION DE LOS DISEÑOS DE PROTECCIÓN CONTRA INCENDIOS Y SEGURIDAD HUMANA PARA EL PROYECTO RUTA 39</t>
        </is>
      </c>
      <c r="D44" s="312" t="n"/>
      <c r="E44" s="312" t="n"/>
      <c r="F44" s="312" t="n"/>
      <c r="G44" s="312" t="n"/>
      <c r="H44" s="312" t="n"/>
      <c r="I44" s="313" t="n"/>
      <c r="J44" s="199" t="inlineStr">
        <is>
          <t>FCR SAS</t>
        </is>
      </c>
      <c r="K44" s="314" t="n">
        <v>17890000</v>
      </c>
      <c r="L44" s="2" t="n">
        <v>44589</v>
      </c>
      <c r="M44" s="2" t="n"/>
      <c r="N44" s="170" t="n"/>
      <c r="O44" s="170" t="inlineStr">
        <is>
          <t>LUZ STELLA IBARRA ARCILA</t>
        </is>
      </c>
      <c r="P44" s="87" t="inlineStr">
        <is>
          <t>stellaibarra@gmail.com</t>
        </is>
      </c>
    </row>
    <row r="45">
      <c r="B45" s="49" t="n">
        <v>34</v>
      </c>
      <c r="C45" s="199" t="inlineStr">
        <is>
          <t>COTIZACION DEL DISEÑO DE EXTINCIÓN DE INCENDIOS PARA EL PROYECTO COMPLEX</t>
        </is>
      </c>
      <c r="D45" s="312" t="n"/>
      <c r="E45" s="312" t="n"/>
      <c r="F45" s="312" t="n"/>
      <c r="G45" s="312" t="n"/>
      <c r="H45" s="312" t="n"/>
      <c r="I45" s="313" t="n"/>
      <c r="J45" s="199" t="inlineStr">
        <is>
          <t>GINO</t>
        </is>
      </c>
      <c r="K45" s="314" t="n">
        <v>15000000</v>
      </c>
      <c r="L45" s="2" t="n">
        <v>44593</v>
      </c>
      <c r="M45" s="170" t="n"/>
      <c r="N45" s="170" t="n"/>
      <c r="O45" s="170" t="inlineStr">
        <is>
          <t>Gino Montoya</t>
        </is>
      </c>
      <c r="P45" s="52" t="inlineStr">
        <is>
          <t>gino1037@hotmail.com</t>
        </is>
      </c>
    </row>
    <row r="46">
      <c r="B46" s="170" t="n">
        <v>35</v>
      </c>
      <c r="C46" s="199" t="inlineStr">
        <is>
          <t>COTIZACION DE LOS DISEÑOS DE PROTECCIÓN CONTRA INCENDIOS PARA EL PROYECTO SAJONIA</t>
        </is>
      </c>
      <c r="D46" s="312" t="n"/>
      <c r="E46" s="312" t="n"/>
      <c r="F46" s="312" t="n"/>
      <c r="G46" s="312" t="n"/>
      <c r="H46" s="312" t="n"/>
      <c r="I46" s="313" t="n"/>
      <c r="J46" s="199" t="inlineStr">
        <is>
          <t>CONTEX</t>
        </is>
      </c>
      <c r="K46" s="314" t="n">
        <v>5950000</v>
      </c>
      <c r="L46" s="2" t="n">
        <v>44592</v>
      </c>
      <c r="M46" s="2" t="inlineStr">
        <is>
          <t>X</t>
        </is>
      </c>
      <c r="N46" s="170" t="n"/>
      <c r="O46" s="170" t="inlineStr">
        <is>
          <t>Astrid Jhoana Montoya Arias</t>
        </is>
      </c>
      <c r="P46" s="52" t="inlineStr">
        <is>
          <t>amontoya@contex.com.co</t>
        </is>
      </c>
    </row>
    <row r="47">
      <c r="B47" s="170" t="n">
        <v>36</v>
      </c>
      <c r="C47" s="199" t="inlineStr">
        <is>
          <t>COTIZACION DE LOS DISEÑOS DE PROTECCIÓN CONTRA INCENDIOS Y SEGURIDAD HUMANA PARA EL PROYECTO MOKARA</t>
        </is>
      </c>
      <c r="D47" s="312" t="n"/>
      <c r="E47" s="312" t="n"/>
      <c r="F47" s="312" t="n"/>
      <c r="G47" s="312" t="n"/>
      <c r="H47" s="312" t="n"/>
      <c r="I47" s="313" t="n"/>
      <c r="J47" s="199" t="inlineStr">
        <is>
          <t>FCR SAS</t>
        </is>
      </c>
      <c r="K47" s="314" t="n">
        <v>18990000</v>
      </c>
      <c r="L47" s="2" t="n">
        <v>44593</v>
      </c>
      <c r="M47" s="2" t="inlineStr">
        <is>
          <t>X</t>
        </is>
      </c>
      <c r="N47" s="170" t="n"/>
      <c r="O47" s="170" t="inlineStr">
        <is>
          <t>Daniela Vélez Cortés</t>
        </is>
      </c>
      <c r="P47" s="52" t="inlineStr">
        <is>
          <t>danielavelez.fcr@gmail.com</t>
        </is>
      </c>
    </row>
    <row r="48">
      <c r="B48" s="170" t="n">
        <v>37</v>
      </c>
      <c r="C48" s="199" t="inlineStr">
        <is>
          <t>COTIZACION DEL DISEÑO DE DETECCIÓN DE INCENDIOS PARA EL PROYECTO AGENCIA MEDELLIN</t>
        </is>
      </c>
      <c r="D48" s="312" t="n"/>
      <c r="E48" s="312" t="n"/>
      <c r="F48" s="312" t="n"/>
      <c r="G48" s="312" t="n"/>
      <c r="H48" s="312" t="n"/>
      <c r="I48" s="313" t="n"/>
      <c r="J48" s="199" t="inlineStr">
        <is>
          <t>SPCI</t>
        </is>
      </c>
      <c r="K48" s="314" t="n">
        <v>3950000</v>
      </c>
      <c r="L48" s="2" t="n">
        <v>44593</v>
      </c>
      <c r="M48" s="2" t="n"/>
      <c r="N48" s="170" t="n"/>
      <c r="O48" s="170" t="inlineStr">
        <is>
          <t>Daniel Uribe Sierra</t>
        </is>
      </c>
      <c r="P48" s="52" t="inlineStr">
        <is>
          <t>daniel.uribe@spci.com.co</t>
        </is>
      </c>
    </row>
    <row r="49">
      <c r="B49" s="170" t="n">
        <v>38</v>
      </c>
      <c r="C49" s="199" t="inlineStr">
        <is>
          <t>COTIZACION DE LOS DISEÑOS DE PROTECCIÓN CONTRA INCENDIOS Y SEGURIDAD HUMANA PARA EL PROYECTO FRAGUA (BELVERDE 3)</t>
        </is>
      </c>
      <c r="D49" s="312" t="n"/>
      <c r="E49" s="312" t="n"/>
      <c r="F49" s="312" t="n"/>
      <c r="G49" s="312" t="n"/>
      <c r="H49" s="312" t="n"/>
      <c r="I49" s="313" t="n"/>
      <c r="J49" s="199" t="inlineStr">
        <is>
          <t>CONTEX</t>
        </is>
      </c>
      <c r="K49" s="314" t="n">
        <v>20500000</v>
      </c>
      <c r="L49" s="2" t="n">
        <v>44593</v>
      </c>
      <c r="M49" s="170" t="inlineStr">
        <is>
          <t>X</t>
        </is>
      </c>
      <c r="N49" s="170" t="n"/>
      <c r="O49" s="170" t="inlineStr">
        <is>
          <t>Elisa Pantoja Bohorquez</t>
        </is>
      </c>
      <c r="P49" s="52" t="inlineStr">
        <is>
          <t>epantoja@contex.com.co</t>
        </is>
      </c>
    </row>
    <row r="50">
      <c r="B50" s="170" t="n">
        <v>39</v>
      </c>
      <c r="C50" s="199" t="inlineStr">
        <is>
          <t>COTIZACION DE LOS DISEÑOS DE PROTECCIÓN CONTRA INCENDIOS PARA EL PROYECTO CLINICA BEILLÍN</t>
        </is>
      </c>
      <c r="D50" s="312" t="n"/>
      <c r="E50" s="312" t="n"/>
      <c r="F50" s="312" t="n"/>
      <c r="G50" s="312" t="n"/>
      <c r="H50" s="312" t="n"/>
      <c r="I50" s="313" t="n"/>
      <c r="J50" s="199" t="inlineStr">
        <is>
          <t>SOLUCIONES INMOBILIARIAS</t>
        </is>
      </c>
      <c r="K50" s="314" t="n">
        <v>8800000</v>
      </c>
      <c r="L50" s="2" t="n">
        <v>44593</v>
      </c>
      <c r="M50" s="2" t="n"/>
      <c r="N50" s="170" t="n"/>
      <c r="O50" s="170" t="inlineStr">
        <is>
          <t>Julian David Giraldo Pineda</t>
        </is>
      </c>
      <c r="P50" s="52" t="inlineStr">
        <is>
          <t>jgiraldo@solucionesinmobiliariassas.com6</t>
        </is>
      </c>
    </row>
    <row r="51">
      <c r="B51" s="170" t="n">
        <v>40</v>
      </c>
      <c r="C51" s="199" t="inlineStr">
        <is>
          <t>COTIZACION DE LOS DISEÑOS DE PROTECCIÓN CONTRA INCENDIOS Y SEGURIDAD HUMANA PARA EL PROYECTO MAZANTI ETAPA 1 Y 2 REV-B</t>
        </is>
      </c>
      <c r="D51" s="312" t="n"/>
      <c r="E51" s="312" t="n"/>
      <c r="F51" s="312" t="n"/>
      <c r="G51" s="312" t="n"/>
      <c r="H51" s="312" t="n"/>
      <c r="I51" s="313" t="n"/>
      <c r="J51" s="199" t="inlineStr">
        <is>
          <t>CONSTRUIR OBRAS CIVILES</t>
        </is>
      </c>
      <c r="K51" s="314" t="n">
        <v>6000000</v>
      </c>
      <c r="L51" s="2" t="n">
        <v>44594</v>
      </c>
      <c r="M51" s="2" t="inlineStr">
        <is>
          <t>X</t>
        </is>
      </c>
      <c r="N51" s="170" t="n">
        <v>3206284446</v>
      </c>
      <c r="O51" s="170" t="inlineStr">
        <is>
          <t>Diana Marcela Cardona Lopez</t>
        </is>
      </c>
      <c r="P51" s="52" t="inlineStr">
        <is>
          <t>direccionmazanti@gmail.com</t>
        </is>
      </c>
    </row>
    <row r="52">
      <c r="B52" s="170" t="n">
        <v>41</v>
      </c>
      <c r="C52" s="199" t="inlineStr">
        <is>
          <t>COTIZACION DE LOS DISEÑOS DE PROTECCIÓN CONTRA INCENDIOS Y SEGURIDAD HUMANA PARA EL PROYECTO BESIDE</t>
        </is>
      </c>
      <c r="D52" s="312" t="n"/>
      <c r="E52" s="312" t="n"/>
      <c r="F52" s="312" t="n"/>
      <c r="G52" s="312" t="n"/>
      <c r="H52" s="312" t="n"/>
      <c r="I52" s="313" t="n"/>
      <c r="J52" s="199" t="inlineStr">
        <is>
          <t>CRISTIAN GAÑAN</t>
        </is>
      </c>
      <c r="K52" s="314" t="n">
        <v>9660000</v>
      </c>
      <c r="L52" s="2" t="n">
        <v>44594</v>
      </c>
      <c r="M52" s="170" t="n"/>
      <c r="N52" s="170" t="n">
        <v>3105104288</v>
      </c>
      <c r="O52" s="170" t="inlineStr">
        <is>
          <t>Cristian Gañan</t>
        </is>
      </c>
      <c r="P52" s="52" t="n"/>
    </row>
    <row r="53">
      <c r="B53" s="170" t="n">
        <v>42</v>
      </c>
      <c r="C53" s="199" t="inlineStr">
        <is>
          <t>COTIZACION DE LOS DISEÑOS DE PROTECCIÓN CONTRA INCENDIOS PARA EL PROYECTO CLINICA BEILLÍN</t>
        </is>
      </c>
      <c r="D53" s="312" t="n"/>
      <c r="E53" s="312" t="n"/>
      <c r="F53" s="312" t="n"/>
      <c r="G53" s="312" t="n"/>
      <c r="H53" s="312" t="n"/>
      <c r="I53" s="313" t="n"/>
      <c r="J53" s="199" t="inlineStr">
        <is>
          <t>SPCI</t>
        </is>
      </c>
      <c r="K53" s="314" t="n">
        <v>8800000</v>
      </c>
      <c r="L53" s="2" t="n">
        <v>44594</v>
      </c>
      <c r="M53" s="170" t="n"/>
      <c r="N53" s="170" t="n">
        <v>3214826168</v>
      </c>
      <c r="O53" s="170" t="inlineStr">
        <is>
          <t>Ana Maria Restrepo Mayo</t>
        </is>
      </c>
      <c r="P53" s="52" t="inlineStr">
        <is>
          <t>ana.restrepo@spci.com.co</t>
        </is>
      </c>
    </row>
    <row r="54">
      <c r="B54" s="170" t="n">
        <v>43</v>
      </c>
      <c r="C54" s="199" t="inlineStr">
        <is>
          <t>COTIZACION DE LOS DISEÑOS DE PROTECCIÓN CONTRA INCENDIOS Y SEGURIDAD HUMANA PARA EL PROYECTO LOCAL DE SERREZUELA</t>
        </is>
      </c>
      <c r="D54" s="312" t="n"/>
      <c r="E54" s="312" t="n"/>
      <c r="F54" s="312" t="n"/>
      <c r="G54" s="312" t="n"/>
      <c r="H54" s="312" t="n"/>
      <c r="I54" s="313" t="n"/>
      <c r="J54" s="199" t="inlineStr">
        <is>
          <t>Santiago Rojas</t>
        </is>
      </c>
      <c r="K54" s="314" t="n">
        <v>5630000</v>
      </c>
      <c r="L54" s="2" t="n">
        <v>44595</v>
      </c>
      <c r="M54" s="170" t="n"/>
      <c r="N54" s="170" t="n">
        <v>3022295772</v>
      </c>
      <c r="O54" s="170" t="inlineStr">
        <is>
          <t>Maria Aurora Rios Ballesteros</t>
        </is>
      </c>
      <c r="P54" s="52" t="inlineStr">
        <is>
          <t>proyectos@santiagorojas.com.co</t>
        </is>
      </c>
    </row>
    <row r="55">
      <c r="B55" s="170" t="n">
        <v>44</v>
      </c>
      <c r="C55" s="246" t="inlineStr">
        <is>
          <t xml:space="preserve">COTIZACION DEL DISEÑO DE EXTINCIÓN DE INCENDIOS PARA EL PROYECTO BODEGA YUMBO
</t>
        </is>
      </c>
      <c r="D55" s="312" t="n"/>
      <c r="E55" s="312" t="n"/>
      <c r="F55" s="312" t="n"/>
      <c r="G55" s="312" t="n"/>
      <c r="H55" s="312" t="n"/>
      <c r="I55" s="313" t="n"/>
      <c r="J55" s="199" t="inlineStr">
        <is>
          <t>SPCI</t>
        </is>
      </c>
      <c r="K55" s="314" t="n">
        <v>9990000</v>
      </c>
      <c r="L55" s="2" t="n">
        <v>44596</v>
      </c>
      <c r="M55" s="2" t="n"/>
      <c r="N55" s="170" t="n">
        <v>3214826168</v>
      </c>
      <c r="O55" s="170" t="inlineStr">
        <is>
          <t>Ana Maria Restrepo Mayo</t>
        </is>
      </c>
      <c r="P55" s="52" t="inlineStr">
        <is>
          <t>ana.restrepo@spci.com.co</t>
        </is>
      </c>
    </row>
    <row r="56">
      <c r="B56" s="170" t="n">
        <v>45</v>
      </c>
      <c r="C56" s="233" t="inlineStr">
        <is>
          <t>COTIZACION DE LOS DISEÑOS DE PROTECCIÓN CONTRA INCENDIOS PARA EL PROYECTO CLINICA LAS VEGAS PISO 10</t>
        </is>
      </c>
      <c r="D56" s="312" t="n"/>
      <c r="E56" s="312" t="n"/>
      <c r="F56" s="312" t="n"/>
      <c r="G56" s="312" t="n"/>
      <c r="H56" s="312" t="n"/>
      <c r="I56" s="313" t="n"/>
      <c r="J56" s="199" t="inlineStr">
        <is>
          <t>SPCI</t>
        </is>
      </c>
      <c r="K56" s="314" t="n">
        <v>5970000</v>
      </c>
      <c r="L56" s="2" t="n">
        <v>44597</v>
      </c>
      <c r="M56" s="2" t="n"/>
      <c r="N56" s="170" t="n">
        <v>3214826168</v>
      </c>
      <c r="O56" s="170" t="inlineStr">
        <is>
          <t>Ana Maria Restrepo Mayo</t>
        </is>
      </c>
      <c r="P56" s="52" t="inlineStr">
        <is>
          <t>ana.restrepo@spci.com.co</t>
        </is>
      </c>
    </row>
    <row r="57">
      <c r="B57" s="170" t="n">
        <v>46</v>
      </c>
      <c r="C57" s="199" t="inlineStr">
        <is>
          <t>COTIZACION DEL DISEÑO DE DETECCIÓN DE INCENDIOS PARA EL PROYECTO BANCOLOMBIA HALL DE AUTOSERVICIOS PALMETTO</t>
        </is>
      </c>
      <c r="D57" s="312" t="n"/>
      <c r="E57" s="312" t="n"/>
      <c r="F57" s="312" t="n"/>
      <c r="G57" s="312" t="n"/>
      <c r="H57" s="312" t="n"/>
      <c r="I57" s="313" t="n"/>
      <c r="J57" s="199" t="inlineStr">
        <is>
          <t>Santiago Rojas</t>
        </is>
      </c>
      <c r="K57" s="314" t="n">
        <v>750000</v>
      </c>
      <c r="L57" s="2" t="n">
        <v>44597</v>
      </c>
      <c r="M57" s="2" t="n"/>
      <c r="N57" s="170" t="n">
        <v>3122973291</v>
      </c>
      <c r="O57" s="170" t="inlineStr">
        <is>
          <t>Isabel Cristina Jaramillo Pérez</t>
        </is>
      </c>
      <c r="P57" s="327" t="inlineStr">
        <is>
          <t>proyectos@santiagorojas.com.co</t>
        </is>
      </c>
    </row>
    <row r="58">
      <c r="B58" s="170" t="n">
        <v>47</v>
      </c>
      <c r="C58" s="199" t="inlineStr">
        <is>
          <t>COTIZACION DE LOS DISEÑOS DE PROTECCIÓN CONTRA INCENDIOS Y SEGURIDAD HUMANA PARA EL PROYECTO BESIDE</t>
        </is>
      </c>
      <c r="D58" s="312" t="n"/>
      <c r="E58" s="312" t="n"/>
      <c r="F58" s="312" t="n"/>
      <c r="G58" s="312" t="n"/>
      <c r="H58" s="312" t="n"/>
      <c r="I58" s="313" t="n"/>
      <c r="J58" s="199" t="inlineStr">
        <is>
          <t>SOCOMES</t>
        </is>
      </c>
      <c r="K58" s="314" t="n">
        <v>9660000</v>
      </c>
      <c r="L58" s="2" t="n">
        <v>44596</v>
      </c>
      <c r="M58" s="170" t="n"/>
      <c r="N58" s="170" t="n">
        <v>3137851941</v>
      </c>
      <c r="O58" s="170" t="inlineStr">
        <is>
          <t>David Lopera Medina</t>
        </is>
      </c>
      <c r="P58" s="52" t="inlineStr">
        <is>
          <t>david.lopera@socomes.com</t>
        </is>
      </c>
    </row>
    <row r="59">
      <c r="B59" s="170" t="n">
        <v>48</v>
      </c>
      <c r="C59" s="199" t="inlineStr">
        <is>
          <t>COTIZACION DE LOS DISEÑOS DE PROTECCIÓN CONTRA INCENDIOS PARA EL PROYECTO LOCAL 3061B</t>
        </is>
      </c>
      <c r="D59" s="312" t="n"/>
      <c r="E59" s="312" t="n"/>
      <c r="F59" s="312" t="n"/>
      <c r="G59" s="312" t="n"/>
      <c r="H59" s="312" t="n"/>
      <c r="I59" s="313" t="n"/>
      <c r="J59" s="199" t="inlineStr">
        <is>
          <t>PROJECT&amp;SOLUCTION</t>
        </is>
      </c>
      <c r="K59" s="314" t="n">
        <v>2260000</v>
      </c>
      <c r="L59" s="2" t="n">
        <v>44597</v>
      </c>
      <c r="M59" s="170" t="n"/>
      <c r="N59" s="170" t="inlineStr">
        <is>
          <t>311 3079477</t>
        </is>
      </c>
      <c r="O59" s="170" t="inlineStr">
        <is>
          <t>Sebastian Lopez Duque</t>
        </is>
      </c>
      <c r="P59" s="52" t="inlineStr">
        <is>
          <t>gerencia@projectsolutions.com.co</t>
        </is>
      </c>
    </row>
    <row r="60">
      <c r="B60" s="170" t="n">
        <v>49</v>
      </c>
      <c r="C60" s="199" t="inlineStr">
        <is>
          <t>COTIZACION DE LOS DISEÑOS DE PROTECCIÓN CONTRA INCENDIOS PARA EL PROYECTO LOCAL NUEVO TALLER</t>
        </is>
      </c>
      <c r="D60" s="312" t="n"/>
      <c r="E60" s="312" t="n"/>
      <c r="F60" s="312" t="n"/>
      <c r="G60" s="312" t="n"/>
      <c r="H60" s="312" t="n"/>
      <c r="I60" s="313" t="n"/>
      <c r="J60" s="199" t="inlineStr">
        <is>
          <t>PROJECT&amp;SOLUCTION</t>
        </is>
      </c>
      <c r="K60" s="314" t="n">
        <v>5640000</v>
      </c>
      <c r="L60" s="2" t="n">
        <v>44597</v>
      </c>
      <c r="M60" s="170" t="n"/>
      <c r="N60" s="170" t="inlineStr">
        <is>
          <t>311 3079477</t>
        </is>
      </c>
      <c r="O60" s="170" t="inlineStr">
        <is>
          <t>Sebastian Lopez Duque</t>
        </is>
      </c>
      <c r="P60" s="52" t="inlineStr">
        <is>
          <t>gerencia@projectsolutions.com.co</t>
        </is>
      </c>
    </row>
    <row r="61">
      <c r="B61" s="170" t="n">
        <v>50</v>
      </c>
      <c r="C61" s="199" t="inlineStr">
        <is>
          <t>COTIZACION DE LOS DISEÑOS DE EXTINCIÓN DE INCENDIOS PARA EL PROYECTO LOCAL 131 LEMONT</t>
        </is>
      </c>
      <c r="D61" s="312" t="n"/>
      <c r="E61" s="312" t="n"/>
      <c r="F61" s="312" t="n"/>
      <c r="G61" s="312" t="n"/>
      <c r="H61" s="312" t="n"/>
      <c r="I61" s="313" t="n"/>
      <c r="J61" s="199" t="inlineStr">
        <is>
          <t>SPCI</t>
        </is>
      </c>
      <c r="K61" s="314" t="n">
        <v>1500000</v>
      </c>
      <c r="L61" s="2" t="n">
        <v>44597</v>
      </c>
      <c r="M61" s="2" t="inlineStr">
        <is>
          <t>X</t>
        </is>
      </c>
      <c r="N61" s="170" t="n">
        <v>3214826168</v>
      </c>
      <c r="O61" s="170" t="inlineStr">
        <is>
          <t>Ana Maria Restrepo Mayo</t>
        </is>
      </c>
      <c r="P61" s="52" t="inlineStr">
        <is>
          <t>ana.restrepo@spci.com.co</t>
        </is>
      </c>
    </row>
    <row r="62">
      <c r="B62" s="170" t="n">
        <v>51</v>
      </c>
      <c r="C62" s="199" t="inlineStr">
        <is>
          <t>COTIZACION DE LOS DISEÑOS DE PROTECCIÓN CONTRA INCENDIOS PARA EL PROYECTO TERRAZINO</t>
        </is>
      </c>
      <c r="D62" s="312" t="n"/>
      <c r="E62" s="312" t="n"/>
      <c r="F62" s="312" t="n"/>
      <c r="G62" s="312" t="n"/>
      <c r="H62" s="312" t="n"/>
      <c r="I62" s="313" t="n"/>
      <c r="J62" s="199" t="inlineStr">
        <is>
          <t>TERRAZINO</t>
        </is>
      </c>
      <c r="K62" s="314" t="n">
        <v>8000000</v>
      </c>
      <c r="L62" s="2" t="n">
        <v>44600</v>
      </c>
      <c r="M62" s="170" t="n"/>
      <c r="N62" s="170" t="inlineStr">
        <is>
          <t>313 6214678</t>
        </is>
      </c>
      <c r="O62" s="170" t="inlineStr">
        <is>
          <t>Lina Gonzáles</t>
        </is>
      </c>
      <c r="P62" s="52" t="inlineStr">
        <is>
          <t>linagonzalez@terrazino.co</t>
        </is>
      </c>
    </row>
    <row r="63">
      <c r="B63" s="170" t="n">
        <v>52</v>
      </c>
      <c r="C63" s="199" t="inlineStr">
        <is>
          <t>COTIZACION DE LOS DISEÑOS DE PROTECCIÓN CONTRA INCENDIOS Y SEGURIDAD HUMANA PARA EL PROYECTO COLEGIO LA SALLE</t>
        </is>
      </c>
      <c r="D63" s="312" t="n"/>
      <c r="E63" s="312" t="n"/>
      <c r="F63" s="312" t="n"/>
      <c r="G63" s="312" t="n"/>
      <c r="H63" s="312" t="n"/>
      <c r="I63" s="313" t="n"/>
      <c r="J63" s="199" t="inlineStr">
        <is>
          <t>CONDISEÑO</t>
        </is>
      </c>
      <c r="K63" s="314" t="n">
        <v>47300000</v>
      </c>
      <c r="L63" s="2" t="n">
        <v>44601</v>
      </c>
      <c r="M63" s="2" t="inlineStr">
        <is>
          <t>X</t>
        </is>
      </c>
      <c r="N63" s="170" t="n">
        <v>3175594091</v>
      </c>
      <c r="O63" s="170" t="inlineStr">
        <is>
          <t>Nakary García Romero</t>
        </is>
      </c>
      <c r="P63" s="52" t="inlineStr">
        <is>
          <t>n.garcia@condiseno.co</t>
        </is>
      </c>
    </row>
    <row r="64">
      <c r="B64" s="170" t="n">
        <v>53</v>
      </c>
      <c r="C64" s="199" t="inlineStr">
        <is>
          <t>COTIZACION DEL ANÁLISIS DE SEGURIDAD HUMANA PARA EL PROYECTO MIN TORRE 3</t>
        </is>
      </c>
      <c r="D64" s="312" t="n"/>
      <c r="E64" s="312" t="n"/>
      <c r="F64" s="312" t="n"/>
      <c r="G64" s="312" t="n"/>
      <c r="H64" s="312" t="n"/>
      <c r="I64" s="313" t="n"/>
      <c r="J64" s="199" t="inlineStr">
        <is>
          <t>SPCI</t>
        </is>
      </c>
      <c r="K64" s="314" t="n">
        <v>1880000</v>
      </c>
      <c r="L64" s="2" t="n">
        <v>44601</v>
      </c>
      <c r="M64" s="170" t="inlineStr">
        <is>
          <t>X</t>
        </is>
      </c>
      <c r="N64" s="170" t="n">
        <v>3214826168</v>
      </c>
      <c r="O64" s="170" t="inlineStr">
        <is>
          <t>Ana Maria Restrepo Mayo</t>
        </is>
      </c>
      <c r="P64" s="52" t="inlineStr">
        <is>
          <t>ana.restrepo@spci.com.co</t>
        </is>
      </c>
    </row>
    <row r="65">
      <c r="B65" s="170" t="n">
        <v>54</v>
      </c>
      <c r="C65" s="199" t="inlineStr">
        <is>
          <t>COTIZACION DEL DISEÑO DE EXTINCIÓN DE INCENDIOS PARA EL PROYECTO LOCAL SYNLAB CENTRO COMERCIAL VIVA ENVIGADO</t>
        </is>
      </c>
      <c r="D65" s="312" t="n"/>
      <c r="E65" s="312" t="n"/>
      <c r="F65" s="312" t="n"/>
      <c r="G65" s="312" t="n"/>
      <c r="H65" s="312" t="n"/>
      <c r="I65" s="313" t="n"/>
      <c r="J65" s="199" t="inlineStr">
        <is>
          <t>SPCI</t>
        </is>
      </c>
      <c r="K65" s="314" t="n">
        <v>2500000</v>
      </c>
      <c r="L65" s="2" t="n">
        <v>44601</v>
      </c>
      <c r="M65" s="2" t="n"/>
      <c r="N65" s="170" t="n">
        <v>3137546144</v>
      </c>
      <c r="O65" s="170" t="inlineStr">
        <is>
          <t>Juan Camilo Quintero Bedoya</t>
        </is>
      </c>
      <c r="P65" s="52" t="inlineStr">
        <is>
          <t>camilo.quintero@spci.com.co</t>
        </is>
      </c>
    </row>
    <row r="66">
      <c r="B66" s="170" t="n">
        <v>55</v>
      </c>
      <c r="C66" s="199" t="inlineStr">
        <is>
          <t>COTIZACION DE LOS DISEÑOS DE PROTECCIÓN CONTRA INCENDIOS Y SEGURIDAD HUMANA PARA EL PROYECTO TERRAZINO LIVING</t>
        </is>
      </c>
      <c r="D66" s="312" t="n"/>
      <c r="E66" s="312" t="n"/>
      <c r="F66" s="312" t="n"/>
      <c r="G66" s="312" t="n"/>
      <c r="H66" s="312" t="n"/>
      <c r="I66" s="313" t="n"/>
      <c r="J66" s="199" t="inlineStr">
        <is>
          <t>TERRAZINO SAS</t>
        </is>
      </c>
      <c r="K66" s="314" t="n">
        <v>22670000</v>
      </c>
      <c r="L66" s="2" t="n">
        <v>44601</v>
      </c>
      <c r="M66" s="2" t="inlineStr">
        <is>
          <t>X</t>
        </is>
      </c>
      <c r="N66" s="170" t="n">
        <v>3136214678</v>
      </c>
      <c r="O66" s="170" t="inlineStr">
        <is>
          <t>Lina Gonzalez</t>
        </is>
      </c>
      <c r="P66" s="52" t="inlineStr">
        <is>
          <t>linagonzalez@terrazino.co</t>
        </is>
      </c>
    </row>
    <row r="67">
      <c r="B67" s="170" t="n">
        <v>56</v>
      </c>
      <c r="C67" s="199" t="inlineStr">
        <is>
          <t>COTIZACION DEL LEVANTAMIENTO DE EXTINCIÓN DE INCENDIOS - COMFAMA CITY PLAZA</t>
        </is>
      </c>
      <c r="D67" s="312" t="n"/>
      <c r="E67" s="312" t="n"/>
      <c r="F67" s="312" t="n"/>
      <c r="G67" s="312" t="n"/>
      <c r="H67" s="312" t="n"/>
      <c r="I67" s="313" t="n"/>
      <c r="J67" s="199" t="inlineStr">
        <is>
          <t>SPCI</t>
        </is>
      </c>
      <c r="K67" s="314" t="n">
        <v>2000000</v>
      </c>
      <c r="L67" s="2" t="n">
        <v>44601</v>
      </c>
      <c r="M67" s="170" t="inlineStr">
        <is>
          <t>X</t>
        </is>
      </c>
      <c r="N67" s="170" t="n">
        <v>3137546144</v>
      </c>
      <c r="O67" s="170" t="inlineStr">
        <is>
          <t>Juan Camilo Quintero Bedoya</t>
        </is>
      </c>
      <c r="P67" s="52" t="inlineStr">
        <is>
          <t>camilo.quintero@spci.com.co</t>
        </is>
      </c>
    </row>
    <row r="68" ht="15" customHeight="1">
      <c r="B68" s="170" t="n">
        <v>57</v>
      </c>
      <c r="C68" s="199" t="inlineStr">
        <is>
          <t xml:space="preserve">COTIZACION DEL ANÁLISIS DE SEGURIDAD HUMANA PARA EL PROYECTO LA PURISIMA
</t>
        </is>
      </c>
      <c r="D68" s="312" t="n"/>
      <c r="E68" s="312" t="n"/>
      <c r="F68" s="312" t="n"/>
      <c r="G68" s="312" t="n"/>
      <c r="H68" s="312" t="n"/>
      <c r="I68" s="313" t="n"/>
      <c r="J68" s="199" t="inlineStr">
        <is>
          <t>ADMIRIS</t>
        </is>
      </c>
      <c r="K68" s="314" t="n">
        <v>500000</v>
      </c>
      <c r="L68" s="2" t="n">
        <v>44602</v>
      </c>
      <c r="M68" s="170" t="n"/>
      <c r="N68" s="170" t="n">
        <v>3014188503</v>
      </c>
      <c r="O68" s="170" t="inlineStr">
        <is>
          <t>Andrés Velázquez</t>
        </is>
      </c>
      <c r="P68" s="52" t="inlineStr">
        <is>
          <t>avelasquez@admirisltda.com</t>
        </is>
      </c>
    </row>
    <row r="69">
      <c r="B69" s="170" t="n">
        <v>58</v>
      </c>
      <c r="C69" s="199" t="inlineStr">
        <is>
          <t>COTIZACION DEL DISEÑO DE EXTINCIÓN DE INCENDIOS PARA EL PROYECTO PRIMERA ETAPA DEL PROYECTO PALERMO</t>
        </is>
      </c>
      <c r="D69" s="312" t="n"/>
      <c r="E69" s="312" t="n"/>
      <c r="F69" s="312" t="n"/>
      <c r="G69" s="312" t="n"/>
      <c r="H69" s="312" t="n"/>
      <c r="I69" s="313" t="n"/>
      <c r="J69" s="199" t="inlineStr">
        <is>
          <t>FONDO INMOBILIARIO COLOMBIA</t>
        </is>
      </c>
      <c r="K69" s="314" t="n">
        <v>24960000</v>
      </c>
      <c r="L69" s="2" t="n">
        <v>44602</v>
      </c>
      <c r="M69" s="170" t="n"/>
      <c r="N69" s="170" t="n">
        <v>3003943395</v>
      </c>
      <c r="O69" s="170" t="inlineStr">
        <is>
          <t>Manuela Acevedo Callejas</t>
        </is>
      </c>
      <c r="P69" s="52" t="inlineStr">
        <is>
          <t>manaceve@bancolombia.com.co</t>
        </is>
      </c>
    </row>
    <row r="70">
      <c r="B70" s="170" t="n">
        <v>59</v>
      </c>
      <c r="C70" s="233" t="inlineStr">
        <is>
          <t>COTIZACION DEL ANÁLISIS DE SEGURIDAD HUMANA PARA LA PRIMERA ETAPA DEL PROYECTO PALERMO</t>
        </is>
      </c>
      <c r="D70" s="312" t="n"/>
      <c r="E70" s="312" t="n"/>
      <c r="F70" s="312" t="n"/>
      <c r="G70" s="312" t="n"/>
      <c r="H70" s="312" t="n"/>
      <c r="I70" s="313" t="n"/>
      <c r="J70" s="199" t="inlineStr">
        <is>
          <t>FONDO INMOBILIARIO COLOMBIA</t>
        </is>
      </c>
      <c r="K70" s="314" t="n">
        <v>6520000</v>
      </c>
      <c r="L70" s="2" t="n">
        <v>44602</v>
      </c>
      <c r="M70" s="170" t="n"/>
      <c r="N70" s="170" t="n">
        <v>3003943395</v>
      </c>
      <c r="O70" s="170" t="inlineStr">
        <is>
          <t>Manuela Acevedo Callejas</t>
        </is>
      </c>
      <c r="P70" s="52" t="inlineStr">
        <is>
          <t>manaceve@bancolombia.com.co</t>
        </is>
      </c>
    </row>
    <row r="71">
      <c r="B71" s="170" t="n">
        <v>60</v>
      </c>
      <c r="C71" s="199" t="inlineStr">
        <is>
          <t>COTIZACION DEL ANÁLISIS DE SEGURIDAD HUMANA PARA EL PROYECTO CENTRO COMERCIAL GRAN PLAZA SOACHA</t>
        </is>
      </c>
      <c r="D71" s="312" t="n"/>
      <c r="E71" s="312" t="n"/>
      <c r="F71" s="312" t="n"/>
      <c r="G71" s="312" t="n"/>
      <c r="H71" s="312" t="n"/>
      <c r="I71" s="313" t="n"/>
      <c r="J71" s="199" t="inlineStr">
        <is>
          <t>CONCONCRETO</t>
        </is>
      </c>
      <c r="K71" s="314" t="n">
        <v>4950000</v>
      </c>
      <c r="L71" s="2" t="n">
        <v>44602</v>
      </c>
      <c r="M71" s="2" t="n"/>
      <c r="N71" s="170" t="n">
        <v>3003675022</v>
      </c>
      <c r="O71" s="170" t="inlineStr">
        <is>
          <t>Andrés Restrepo Escobar</t>
        </is>
      </c>
      <c r="P71" s="52" t="inlineStr">
        <is>
          <t xml:space="preserve"> arestrepoe@conconcreto.com</t>
        </is>
      </c>
    </row>
    <row r="72">
      <c r="B72" s="170" t="n">
        <v>61</v>
      </c>
      <c r="C72" s="199" t="inlineStr">
        <is>
          <t>COTIZACION DE LOS DISEÑOS DE PROTECCIÓN CONTRA INCENDIOS Y SEGURIDAD HUMANA PARA EL PROYECTO HARAS DE SANTA LUCIA</t>
        </is>
      </c>
      <c r="D72" s="312" t="n"/>
      <c r="E72" s="312" t="n"/>
      <c r="F72" s="312" t="n"/>
      <c r="G72" s="312" t="n"/>
      <c r="H72" s="312" t="n"/>
      <c r="I72" s="313" t="n"/>
      <c r="J72" s="199" t="inlineStr">
        <is>
          <t>MENSULA</t>
        </is>
      </c>
      <c r="K72" s="314" t="n">
        <v>11950000</v>
      </c>
      <c r="L72" s="2" t="n">
        <v>44602</v>
      </c>
      <c r="M72" s="170" t="n"/>
      <c r="N72" s="170" t="inlineStr">
        <is>
          <t xml:space="preserve">320 666 1899 </t>
        </is>
      </c>
      <c r="O72" s="170" t="inlineStr">
        <is>
          <t>Santiago López González</t>
        </is>
      </c>
      <c r="P72" s="52" t="inlineStr">
        <is>
          <t>santiagolopez@mensulaingenieros.com</t>
        </is>
      </c>
    </row>
    <row r="73">
      <c r="B73" s="170" t="n">
        <v>62</v>
      </c>
      <c r="C73" s="199" t="inlineStr">
        <is>
          <t>COTIZACION REVISIÓN Y PRUEBAS SISTEMAS CONTRA INCENDIOS INSTALADOS Y LA SEGURIDAD HUMANA PARA EL PROYECTO SALUD VEGAS</t>
        </is>
      </c>
      <c r="D73" s="312" t="n"/>
      <c r="E73" s="312" t="n"/>
      <c r="F73" s="312" t="n"/>
      <c r="G73" s="312" t="n"/>
      <c r="H73" s="312" t="n"/>
      <c r="I73" s="313" t="n"/>
      <c r="J73" s="199" t="inlineStr">
        <is>
          <t>GERENCIA INTEGRAL</t>
        </is>
      </c>
      <c r="K73" s="314" t="n">
        <v>9850000</v>
      </c>
      <c r="L73" s="2" t="n">
        <v>44603</v>
      </c>
      <c r="M73" s="2" t="inlineStr">
        <is>
          <t>X</t>
        </is>
      </c>
      <c r="N73" s="170" t="inlineStr">
        <is>
          <t>57 312 2967935</t>
        </is>
      </c>
      <c r="O73" s="170" t="inlineStr">
        <is>
          <t>Maria Teresa</t>
        </is>
      </c>
      <c r="P73" s="52" t="inlineStr">
        <is>
          <t>mlopez@hdgerenciaintegral.com</t>
        </is>
      </c>
    </row>
    <row r="74">
      <c r="B74" s="170" t="n">
        <v>63</v>
      </c>
      <c r="C74" s="199" t="inlineStr">
        <is>
          <t>COTIZACION DEL DISEÑO DE EXTINCIÓN DE INCENDIOS PARA EL PROYECTO CONSULTORIO EN AMSTERDAN OFTALMOLOGICO</t>
        </is>
      </c>
      <c r="D74" s="312" t="n"/>
      <c r="E74" s="312" t="n"/>
      <c r="F74" s="312" t="n"/>
      <c r="G74" s="312" t="n"/>
      <c r="H74" s="312" t="n"/>
      <c r="I74" s="313" t="n"/>
      <c r="J74" s="199" t="inlineStr">
        <is>
          <t>A.L. GAS POR RED &amp; REDES CONTRA INCENDIO S.A.S</t>
        </is>
      </c>
      <c r="K74" s="314" t="n">
        <v>1500000</v>
      </c>
      <c r="L74" s="2" t="n">
        <v>44603</v>
      </c>
      <c r="M74" s="170" t="n"/>
      <c r="N74" s="170" t="n"/>
      <c r="O74" s="170" t="inlineStr">
        <is>
          <t xml:space="preserve">Alejandro López Gómez </t>
        </is>
      </c>
      <c r="P74" s="52" t="n"/>
    </row>
    <row r="75">
      <c r="B75" s="170" t="n">
        <v>64</v>
      </c>
      <c r="C75" s="199" t="inlineStr">
        <is>
          <t>COTIZACION DE LOS DISEÑOS DE PROTECCIÓN CONTRA INCENDIOS PARA EL PROYECTO CAMPOSOL</t>
        </is>
      </c>
      <c r="D75" s="312" t="n"/>
      <c r="E75" s="312" t="n"/>
      <c r="F75" s="312" t="n"/>
      <c r="G75" s="312" t="n"/>
      <c r="H75" s="312" t="n"/>
      <c r="I75" s="313" t="n"/>
      <c r="J75" s="199" t="inlineStr">
        <is>
          <t>SPCI</t>
        </is>
      </c>
      <c r="K75" s="314" t="n">
        <v>19950000</v>
      </c>
      <c r="L75" s="2" t="n">
        <v>44607</v>
      </c>
      <c r="M75" s="2" t="n"/>
      <c r="N75" s="170" t="n">
        <v>3003675022</v>
      </c>
      <c r="O75" s="170" t="inlineStr">
        <is>
          <t>Ana Maria Restrepo Mayo</t>
        </is>
      </c>
      <c r="P75" s="52" t="inlineStr">
        <is>
          <t>ana.restrepo@spci.com.co</t>
        </is>
      </c>
    </row>
    <row r="76">
      <c r="B76" s="170" t="n">
        <v>65</v>
      </c>
      <c r="C76" s="199" t="inlineStr">
        <is>
          <t>COTIZACION DE LOS DISEÑOS DE PROTECCIÓN CONTRA INCENDIOS Y SEGURIDAD HUMANA PARA EL PROYECTO PARQUE CHIGUÍ</t>
        </is>
      </c>
      <c r="D76" s="312" t="n"/>
      <c r="E76" s="312" t="n"/>
      <c r="F76" s="312" t="n"/>
      <c r="G76" s="312" t="n"/>
      <c r="H76" s="312" t="n"/>
      <c r="I76" s="313" t="n"/>
      <c r="J76" s="199" t="inlineStr">
        <is>
          <t>RRP ARQUITECTOS</t>
        </is>
      </c>
      <c r="K76" s="314" t="n">
        <v>6960000</v>
      </c>
      <c r="L76" s="2" t="n">
        <v>44607</v>
      </c>
      <c r="M76" s="2" t="n"/>
      <c r="N76" s="170" t="n"/>
      <c r="O76" s="170" t="inlineStr">
        <is>
          <t>Valeria Haydar Valderrama</t>
        </is>
      </c>
      <c r="P76" s="52" t="inlineStr">
        <is>
          <t>valeriahaydar@gmail.com</t>
        </is>
      </c>
    </row>
    <row r="77">
      <c r="B77" s="170" t="n">
        <v>66</v>
      </c>
      <c r="C77" s="199" t="inlineStr">
        <is>
          <t>COTIZACION DE LOS DISEÑOS DE PROTECCIÓN CONTRA INCENDIOS Y SEGURIDAD HUMANA PARA EL PROYECTO EDIFICIO OLAVE</t>
        </is>
      </c>
      <c r="D77" s="312" t="n"/>
      <c r="E77" s="312" t="n"/>
      <c r="F77" s="312" t="n"/>
      <c r="G77" s="312" t="n"/>
      <c r="H77" s="312" t="n"/>
      <c r="I77" s="313" t="n"/>
      <c r="J77" s="199" t="inlineStr">
        <is>
          <t>AGROINDUSTRIALES HIDRÁULICA DIAZ</t>
        </is>
      </c>
      <c r="K77" s="314" t="n">
        <v>17990000</v>
      </c>
      <c r="L77" s="2" t="n">
        <v>44607</v>
      </c>
      <c r="M77" s="2" t="n"/>
      <c r="N77" s="170" t="n">
        <v>3183832571</v>
      </c>
      <c r="O77" s="170" t="inlineStr">
        <is>
          <t>Daniel Felipe Diaz</t>
        </is>
      </c>
      <c r="P77" s="52" t="inlineStr">
        <is>
          <t>dfelipediaz@gmail.com</t>
        </is>
      </c>
    </row>
    <row r="78">
      <c r="B78" s="170" t="n">
        <v>67</v>
      </c>
      <c r="C78" s="233" t="inlineStr">
        <is>
          <t xml:space="preserve">COTIZACION DEL DISEÑO DE EXTINCIÓN DE INCENDIOS PARA EL PROYECTO HOTEL GO
</t>
        </is>
      </c>
      <c r="D78" s="312" t="n"/>
      <c r="E78" s="312" t="n"/>
      <c r="F78" s="312" t="n"/>
      <c r="G78" s="312" t="n"/>
      <c r="H78" s="312" t="n"/>
      <c r="I78" s="313" t="n"/>
      <c r="J78" s="199" t="inlineStr">
        <is>
          <t>Project&amp;Solution</t>
        </is>
      </c>
      <c r="K78" s="314" t="n">
        <v>1250000</v>
      </c>
      <c r="L78" s="2" t="n">
        <v>44609</v>
      </c>
      <c r="M78" s="170" t="n"/>
      <c r="N78" s="170" t="n"/>
      <c r="O78" s="170" t="inlineStr">
        <is>
          <t>Sebastián López Duque</t>
        </is>
      </c>
      <c r="P78" s="52" t="n"/>
    </row>
    <row r="79">
      <c r="B79" s="170" t="n">
        <v>68</v>
      </c>
      <c r="C79" s="199" t="inlineStr">
        <is>
          <t>COTIZACION DE LOS DISEÑOS DE PROTECCIÓN CONTRA INCENDIOS Y SEGURIDAD HUMANA PARA EL PROYECTO MENTE PLENA</t>
        </is>
      </c>
      <c r="D79" s="312" t="n"/>
      <c r="E79" s="312" t="n"/>
      <c r="F79" s="312" t="n"/>
      <c r="G79" s="312" t="n"/>
      <c r="H79" s="312" t="n"/>
      <c r="I79" s="313" t="n"/>
      <c r="J79" s="199" t="inlineStr">
        <is>
          <t>LAB.INMOBILIARIO</t>
        </is>
      </c>
      <c r="K79" s="314" t="n">
        <v>16100000</v>
      </c>
      <c r="L79" s="2" t="n">
        <v>44609</v>
      </c>
      <c r="M79" s="2" t="n"/>
      <c r="N79" s="170" t="n">
        <v>3135178966</v>
      </c>
      <c r="O79" s="170" t="inlineStr">
        <is>
          <t>Maria Paulina Cuca</t>
        </is>
      </c>
      <c r="P79" s="52" t="inlineStr">
        <is>
          <t>arquitectura@labinmobiliario.com</t>
        </is>
      </c>
    </row>
    <row r="80">
      <c r="B80" s="170" t="n">
        <v>69</v>
      </c>
      <c r="C80" s="233" t="inlineStr">
        <is>
          <t xml:space="preserve">COTIZACION DEL DISEÑO DE EXTINCIÓN DE INCENDIOS PARA EL PROYECTO DISTRITO VERA ETAPA B4
</t>
        </is>
      </c>
      <c r="D80" s="312" t="n"/>
      <c r="E80" s="312" t="n"/>
      <c r="F80" s="312" t="n"/>
      <c r="G80" s="312" t="n"/>
      <c r="H80" s="312" t="n"/>
      <c r="I80" s="313" t="n"/>
      <c r="J80" s="199" t="inlineStr">
        <is>
          <t>FONDO INMOBILIARIO COLOMBIA</t>
        </is>
      </c>
      <c r="K80" s="314" t="n">
        <v>17950000</v>
      </c>
      <c r="L80" s="2" t="n">
        <v>44609</v>
      </c>
      <c r="M80" s="2" t="n"/>
      <c r="N80" s="170" t="n">
        <v>3003943395</v>
      </c>
      <c r="O80" s="170" t="inlineStr">
        <is>
          <t>Manuela Acevedo Callejas</t>
        </is>
      </c>
      <c r="P80" s="52" t="inlineStr">
        <is>
          <t>manaceve@bancolombia.com.co</t>
        </is>
      </c>
    </row>
    <row r="81">
      <c r="B81" s="170" t="n">
        <v>70</v>
      </c>
      <c r="C81" s="199" t="inlineStr">
        <is>
          <t>COTIZACION DE LOS DISEÑOS DE PROTECCIÓN CONTRA INCENDIOS PARA EL PROYECTO VAXTHERA</t>
        </is>
      </c>
      <c r="D81" s="312" t="n"/>
      <c r="E81" s="312" t="n"/>
      <c r="F81" s="312" t="n"/>
      <c r="G81" s="312" t="n"/>
      <c r="H81" s="312" t="n"/>
      <c r="I81" s="313" t="n"/>
      <c r="J81" s="199" t="inlineStr">
        <is>
          <t>INTERVE SAS</t>
        </is>
      </c>
      <c r="K81" s="314" t="n">
        <v>29900000</v>
      </c>
      <c r="L81" s="2" t="n">
        <v>44609</v>
      </c>
      <c r="M81" s="170" t="n"/>
      <c r="N81" s="170" t="n">
        <v>3004659012</v>
      </c>
      <c r="O81" s="170" t="inlineStr">
        <is>
          <t>Interventoría Preoperativa</t>
        </is>
      </c>
      <c r="P81" s="52" t="inlineStr">
        <is>
          <t>mferrer@interve.co</t>
        </is>
      </c>
    </row>
    <row r="82">
      <c r="B82" s="170" t="n">
        <v>71</v>
      </c>
      <c r="C82" s="199" t="inlineStr">
        <is>
          <t>COTIZACION DEL ANÁLISIS DE SEGURIDAD HUMANA PARA EL PROYECTO BALCONES DE RIASCOS</t>
        </is>
      </c>
      <c r="D82" s="312" t="n"/>
      <c r="E82" s="312" t="n"/>
      <c r="F82" s="312" t="n"/>
      <c r="G82" s="312" t="n"/>
      <c r="H82" s="312" t="n"/>
      <c r="I82" s="313" t="n"/>
      <c r="J82" s="199" t="inlineStr">
        <is>
          <t>STRATEGO</t>
        </is>
      </c>
      <c r="K82" s="314" t="n">
        <v>3260000</v>
      </c>
      <c r="L82" s="2" t="n">
        <v>44582</v>
      </c>
      <c r="M82" s="2" t="n"/>
      <c r="N82" s="170" t="n">
        <v>3116725581</v>
      </c>
      <c r="O82" s="170" t="inlineStr">
        <is>
          <t>Daniel Henao Correa</t>
        </is>
      </c>
      <c r="P82" s="52" t="inlineStr">
        <is>
          <t>d.henao@stratego.com.co</t>
        </is>
      </c>
    </row>
    <row r="83">
      <c r="B83" s="170" t="n">
        <v>72</v>
      </c>
      <c r="C83" s="233" t="inlineStr">
        <is>
          <t xml:space="preserve">COTIZACION DEL ANÁLISIS DE SEGURIDAD HUMANA PARA EL PROYECTO BOSKETO
</t>
        </is>
      </c>
      <c r="D83" s="312" t="n"/>
      <c r="E83" s="312" t="n"/>
      <c r="F83" s="312" t="n"/>
      <c r="G83" s="312" t="n"/>
      <c r="H83" s="312" t="n"/>
      <c r="I83" s="313" t="n"/>
      <c r="J83" s="199" t="inlineStr">
        <is>
          <t>ADMIRIS</t>
        </is>
      </c>
      <c r="K83" s="314" t="n">
        <v>2800000</v>
      </c>
      <c r="L83" s="2" t="n">
        <v>44614</v>
      </c>
      <c r="M83" s="170" t="n"/>
      <c r="N83" s="170" t="n">
        <v>3014188503</v>
      </c>
      <c r="O83" s="170" t="inlineStr">
        <is>
          <t>Andrés Velázquez</t>
        </is>
      </c>
      <c r="P83" s="52" t="inlineStr">
        <is>
          <t>avelasquez@admirisltda.com</t>
        </is>
      </c>
    </row>
    <row r="84">
      <c r="B84" s="170" t="n">
        <v>73</v>
      </c>
      <c r="C84" s="199" t="inlineStr">
        <is>
          <t>COTIZACION DEL DISEÑO DE EXTINCIÓN DE INCENDIOS PARA EL PROYECTO VILLAGE</t>
        </is>
      </c>
      <c r="D84" s="312" t="n"/>
      <c r="E84" s="312" t="n"/>
      <c r="F84" s="312" t="n"/>
      <c r="G84" s="312" t="n"/>
      <c r="H84" s="312" t="n"/>
      <c r="I84" s="313" t="n"/>
      <c r="J84" s="199" t="inlineStr">
        <is>
          <t>OVIEDO</t>
        </is>
      </c>
      <c r="K84" s="314" t="n">
        <v>2950000</v>
      </c>
      <c r="L84" s="2" t="n">
        <v>44614</v>
      </c>
      <c r="M84" s="170" t="n"/>
      <c r="N84" s="170" t="n"/>
      <c r="O84" s="170" t="inlineStr">
        <is>
          <t>Marcel M Agudelo Ramirez</t>
        </is>
      </c>
      <c r="P84" s="52" t="inlineStr">
        <is>
          <t>direccionoperativa@oviedo.com.co</t>
        </is>
      </c>
    </row>
    <row r="85">
      <c r="B85" s="170" t="n">
        <v>74</v>
      </c>
      <c r="C85" s="199" t="inlineStr">
        <is>
          <t>COTIZACION DEL DISEÑO DE DETECCIÓN DE INCENDIOS PARA EL PROYECTO PLANTA DE ALMACENAMIENTO</t>
        </is>
      </c>
      <c r="D85" s="312" t="n"/>
      <c r="E85" s="312" t="n"/>
      <c r="F85" s="312" t="n"/>
      <c r="G85" s="312" t="n"/>
      <c r="H85" s="312" t="n"/>
      <c r="I85" s="313" t="n"/>
      <c r="J85" s="199" t="inlineStr">
        <is>
          <t>SECURETEC</t>
        </is>
      </c>
      <c r="K85" s="314" t="n">
        <v>3950000</v>
      </c>
      <c r="L85" s="2" t="n">
        <v>44615</v>
      </c>
      <c r="M85" s="170" t="n"/>
      <c r="N85" s="170" t="n">
        <v>3206678830</v>
      </c>
      <c r="O85" s="170" t="inlineStr">
        <is>
          <t>Jhonny Castro</t>
        </is>
      </c>
      <c r="P85" s="52" t="inlineStr">
        <is>
          <t>dirproyectos@securetec.com.co</t>
        </is>
      </c>
    </row>
    <row r="86">
      <c r="B86" s="170" t="n">
        <v>75</v>
      </c>
      <c r="C86" s="199" t="inlineStr">
        <is>
          <t>COTIZACION DE LOS DISEÑOS DE PROTECCIÓN CONTRA INCENDIOS PARA EL PROYECTO PLANTA DE ALMACENAMIENTO</t>
        </is>
      </c>
      <c r="D86" s="312" t="n"/>
      <c r="E86" s="312" t="n"/>
      <c r="F86" s="312" t="n"/>
      <c r="G86" s="312" t="n"/>
      <c r="H86" s="312" t="n"/>
      <c r="I86" s="313" t="n"/>
      <c r="J86" s="199" t="inlineStr">
        <is>
          <t>SECURETEC</t>
        </is>
      </c>
      <c r="K86" s="314" t="n">
        <v>9500000</v>
      </c>
      <c r="L86" s="2" t="n">
        <v>44615</v>
      </c>
      <c r="M86" s="170" t="n"/>
      <c r="N86" s="170" t="n">
        <v>3206678830</v>
      </c>
      <c r="O86" s="170" t="inlineStr">
        <is>
          <t>Jhonny Castro</t>
        </is>
      </c>
      <c r="P86" s="52" t="inlineStr">
        <is>
          <t>dirproyectos@securetec.com.co</t>
        </is>
      </c>
    </row>
    <row r="87">
      <c r="B87" s="170" t="n">
        <v>76</v>
      </c>
      <c r="C87" s="199" t="inlineStr">
        <is>
          <t>COTIZACION DE LOS DISEÑOS DE PROTECCIÓN CONTRA INCENDIOS PARA EL PROYECTO G1 CONNECTA</t>
        </is>
      </c>
      <c r="D87" s="312" t="n"/>
      <c r="E87" s="312" t="n"/>
      <c r="F87" s="312" t="n"/>
      <c r="G87" s="312" t="n"/>
      <c r="H87" s="312" t="n"/>
      <c r="I87" s="313" t="n"/>
      <c r="J87" s="199" t="inlineStr">
        <is>
          <t>TELEPERFORMANCE</t>
        </is>
      </c>
      <c r="K87" s="314" t="n">
        <v>11950000</v>
      </c>
      <c r="L87" s="2" t="n">
        <v>44615</v>
      </c>
      <c r="M87" s="170" t="n"/>
      <c r="N87" s="170" t="n"/>
      <c r="O87" s="170" t="inlineStr">
        <is>
          <t>Oscar Hernandez</t>
        </is>
      </c>
      <c r="P87" s="52" t="inlineStr">
        <is>
          <t>Oscar.AcunaHernandez@teleperformance.com</t>
        </is>
      </c>
    </row>
    <row r="88">
      <c r="B88" s="170" t="n">
        <v>77</v>
      </c>
      <c r="C88" s="233" t="inlineStr">
        <is>
          <t xml:space="preserve">COTIZACION DE LOS DISEÑOS DE PROTECCIÓN CONTRA INCENDIOS PARA EL PROYECTO ESCUELA FERNANDO GONZALEZ DE ENVIGADO
</t>
        </is>
      </c>
      <c r="D88" s="312" t="n"/>
      <c r="E88" s="312" t="n"/>
      <c r="F88" s="312" t="n"/>
      <c r="G88" s="312" t="n"/>
      <c r="H88" s="312" t="n"/>
      <c r="I88" s="313" t="n"/>
      <c r="J88" s="199" t="inlineStr">
        <is>
          <t>Marcela Jimenez</t>
        </is>
      </c>
      <c r="K88" s="314" t="n">
        <v>3750000</v>
      </c>
      <c r="L88" s="2" t="n">
        <v>44616</v>
      </c>
      <c r="M88" s="170" t="n"/>
      <c r="N88" s="170" t="n"/>
      <c r="O88" s="170" t="n"/>
      <c r="P88" s="87" t="n"/>
    </row>
    <row r="89">
      <c r="B89" s="170" t="n">
        <v>78</v>
      </c>
      <c r="C89" s="199" t="inlineStr">
        <is>
          <t>COTIZACION DE LOS DISEÑOS DE PROTECCIÓN CONTRA INCENDIOS PARA EL PROYECTO PORTAL SANTAFE</t>
        </is>
      </c>
      <c r="D89" s="312" t="n"/>
      <c r="E89" s="312" t="n"/>
      <c r="F89" s="312" t="n"/>
      <c r="G89" s="312" t="n"/>
      <c r="H89" s="312" t="n"/>
      <c r="I89" s="313" t="n"/>
      <c r="J89" s="199" t="inlineStr">
        <is>
          <t>ESPACIOS DE HOGAR</t>
        </is>
      </c>
      <c r="K89" s="314" t="n">
        <v>2260000</v>
      </c>
      <c r="L89" s="2" t="n">
        <v>44616</v>
      </c>
      <c r="M89" s="170" t="n"/>
      <c r="N89" s="170" t="n"/>
      <c r="O89" s="170" t="inlineStr">
        <is>
          <t>Juan David Giraldo</t>
        </is>
      </c>
      <c r="P89" s="52" t="inlineStr">
        <is>
          <t>espaciosdehogar@gmail.com</t>
        </is>
      </c>
    </row>
    <row r="90">
      <c r="B90" s="170" t="n">
        <v>79</v>
      </c>
      <c r="C90" s="199" t="inlineStr">
        <is>
          <t>COTIZACION DE LOS DISEÑOS DE PROTECCIÓN CONTRA INCENDIOS Y SEGURIDAD HUMANA PARA EL PROYECTO DIAGNOSTICO IPS BOGOTA</t>
        </is>
      </c>
      <c r="D90" s="312" t="n"/>
      <c r="E90" s="312" t="n"/>
      <c r="F90" s="312" t="n"/>
      <c r="G90" s="312" t="n"/>
      <c r="H90" s="312" t="n"/>
      <c r="I90" s="313" t="n"/>
      <c r="J90" s="199" t="inlineStr">
        <is>
          <t>Condiseño</t>
        </is>
      </c>
      <c r="K90" s="314" t="n">
        <v>4950000</v>
      </c>
      <c r="L90" s="2" t="n">
        <v>44616</v>
      </c>
      <c r="M90" s="170" t="inlineStr">
        <is>
          <t>X</t>
        </is>
      </c>
      <c r="N90" s="170" t="n"/>
      <c r="O90" s="170" t="inlineStr">
        <is>
          <t>Nakary Garcia Romero</t>
        </is>
      </c>
      <c r="P90" s="52" t="inlineStr">
        <is>
          <t>n.garcia@condiseno.co</t>
        </is>
      </c>
    </row>
    <row r="91">
      <c r="B91" s="170" t="n">
        <v>80</v>
      </c>
      <c r="C91" s="199" t="inlineStr">
        <is>
          <t>COTIZACION DE LOS DISEÑOS DE PROTECCIÓN CONTRA INCENDIOS Y SEGURIDAD HUMANA PARA EL PROYECTO PIENSALO BIEN SAN ANTERO</t>
        </is>
      </c>
      <c r="D91" s="312" t="n"/>
      <c r="E91" s="312" t="n"/>
      <c r="F91" s="312" t="n"/>
      <c r="G91" s="312" t="n"/>
      <c r="H91" s="312" t="n"/>
      <c r="I91" s="313" t="n"/>
      <c r="J91" s="199" t="inlineStr">
        <is>
          <t>SPCI</t>
        </is>
      </c>
      <c r="K91" s="314" t="n">
        <v>4890000</v>
      </c>
      <c r="L91" s="2" t="n">
        <v>44616</v>
      </c>
      <c r="M91" s="170" t="inlineStr">
        <is>
          <t>X</t>
        </is>
      </c>
      <c r="N91" s="170" t="inlineStr">
        <is>
          <t xml:space="preserve"> 310 468 0508</t>
        </is>
      </c>
      <c r="O91" s="170" t="inlineStr">
        <is>
          <t>Juan Pablo Grajales Gómez</t>
        </is>
      </c>
      <c r="P91" s="52" t="inlineStr">
        <is>
          <t>juan.grajales@spci.com.co</t>
        </is>
      </c>
    </row>
    <row r="92">
      <c r="B92" s="170" t="n">
        <v>81</v>
      </c>
      <c r="C92" s="199" t="inlineStr">
        <is>
          <t>COTIZACION DE LOS DISEÑOS DE EXTINCIÓN DE INCENDIOS PARA EL PROYECTO HACEB</t>
        </is>
      </c>
      <c r="D92" s="312" t="n"/>
      <c r="E92" s="312" t="n"/>
      <c r="F92" s="312" t="n"/>
      <c r="G92" s="312" t="n"/>
      <c r="H92" s="312" t="n"/>
      <c r="I92" s="313" t="n"/>
      <c r="J92" s="199" t="inlineStr">
        <is>
          <t>SPCI</t>
        </is>
      </c>
      <c r="K92" s="314" t="n">
        <v>49990000</v>
      </c>
      <c r="L92" s="2" t="n">
        <v>44617</v>
      </c>
      <c r="M92" s="170" t="n"/>
      <c r="N92" s="170" t="inlineStr">
        <is>
          <t>321 482 61 68</t>
        </is>
      </c>
      <c r="O92" s="170" t="inlineStr">
        <is>
          <t>Ana Maria Restrepo Mayo.</t>
        </is>
      </c>
      <c r="P92" s="52" t="inlineStr">
        <is>
          <t>ana.restrepo@spci.com.co</t>
        </is>
      </c>
    </row>
    <row r="93">
      <c r="B93" s="170" t="n">
        <v>82</v>
      </c>
      <c r="C93" s="233" t="inlineStr">
        <is>
          <t xml:space="preserve">COTIZACION DE LOS DISEÑOS DE PROTECCIÓN CONTRA INCENDIOS Y SEGURIDAD HUMANA PARA EL PROYECTO INDECAP
</t>
        </is>
      </c>
      <c r="D93" s="312" t="n"/>
      <c r="E93" s="312" t="n"/>
      <c r="F93" s="312" t="n"/>
      <c r="G93" s="312" t="n"/>
      <c r="H93" s="312" t="n"/>
      <c r="I93" s="313" t="n"/>
      <c r="J93" s="199" t="inlineStr">
        <is>
          <t>BRICK CONSTRUCCION&amp;ARQUITECTURA</t>
        </is>
      </c>
      <c r="K93" s="314" t="n">
        <v>7500000</v>
      </c>
      <c r="L93" s="2" t="n">
        <v>44620</v>
      </c>
      <c r="M93" s="170" t="n"/>
      <c r="N93" s="170" t="inlineStr">
        <is>
          <t xml:space="preserve">322-16-91 </t>
        </is>
      </c>
      <c r="O93" s="170" t="inlineStr">
        <is>
          <t>Omar Ivan Garcia Montoya.</t>
        </is>
      </c>
      <c r="P93" s="52" t="inlineStr">
        <is>
          <t>ingenieriabrickcya@gmail.com</t>
        </is>
      </c>
    </row>
    <row r="94">
      <c r="B94" s="170" t="n">
        <v>83</v>
      </c>
      <c r="C94" s="199" t="inlineStr">
        <is>
          <t>COTIZACION DEL DISEÑO DE DETECCIÓN DE INCENDIOS PARA EL PROYECTO IVS SEDE ESPECIALIZADA 4636</t>
        </is>
      </c>
      <c r="D94" s="312" t="n"/>
      <c r="E94" s="312" t="n"/>
      <c r="F94" s="312" t="n"/>
      <c r="G94" s="312" t="n"/>
      <c r="H94" s="312" t="n"/>
      <c r="I94" s="313" t="n"/>
      <c r="J94" s="199" t="inlineStr">
        <is>
          <t>SOCOMES</t>
        </is>
      </c>
      <c r="K94" s="314" t="n">
        <v>680000</v>
      </c>
      <c r="L94" s="2" t="n">
        <v>44628</v>
      </c>
      <c r="M94" s="35" t="n"/>
      <c r="N94" s="170" t="n"/>
      <c r="O94" s="170" t="inlineStr">
        <is>
          <t>David Lopera Medina</t>
        </is>
      </c>
      <c r="P94" s="52" t="inlineStr">
        <is>
          <t>david.lopera@socomes.com</t>
        </is>
      </c>
    </row>
    <row r="95">
      <c r="B95" s="170" t="n">
        <v>84</v>
      </c>
      <c r="C95" s="233" t="inlineStr">
        <is>
          <t>COTIZACION DEL DISEÑO DE EXTINCIÓN DE INCENDIOS PARA EL PROYECTO IVS SEDE ESPECIALIZADA 4636</t>
        </is>
      </c>
      <c r="D95" s="312" t="n"/>
      <c r="E95" s="312" t="n"/>
      <c r="F95" s="312" t="n"/>
      <c r="G95" s="312" t="n"/>
      <c r="H95" s="312" t="n"/>
      <c r="I95" s="313" t="n"/>
      <c r="J95" s="199" t="inlineStr">
        <is>
          <t>SOCOMES</t>
        </is>
      </c>
      <c r="K95" s="314" t="n">
        <v>1250000</v>
      </c>
      <c r="L95" s="2" t="n">
        <v>44628</v>
      </c>
      <c r="M95" s="170" t="n"/>
      <c r="N95" s="170" t="n"/>
      <c r="O95" s="170" t="inlineStr">
        <is>
          <t>David Lopera Medina</t>
        </is>
      </c>
      <c r="P95" s="52" t="inlineStr">
        <is>
          <t>david.lopera@socomes.com</t>
        </is>
      </c>
    </row>
    <row r="96">
      <c r="B96" s="170" t="n">
        <v>85</v>
      </c>
      <c r="C96" s="199" t="inlineStr">
        <is>
          <t>COTIZACION DEL ANÁLISIS DE SEGURIDAD HUMANA PARA EL PROYECTO FORTINET</t>
        </is>
      </c>
      <c r="D96" s="312" t="n"/>
      <c r="E96" s="312" t="n"/>
      <c r="F96" s="312" t="n"/>
      <c r="G96" s="312" t="n"/>
      <c r="H96" s="312" t="n"/>
      <c r="I96" s="313" t="n"/>
      <c r="J96" s="199" t="inlineStr">
        <is>
          <t>SS STUDIO SUR</t>
        </is>
      </c>
      <c r="K96" s="314" t="n">
        <v>2950000</v>
      </c>
      <c r="L96" s="2" t="n">
        <v>44622</v>
      </c>
      <c r="M96" s="2" t="n"/>
      <c r="N96" s="170" t="n">
        <v>2357612</v>
      </c>
      <c r="O96" s="170" t="inlineStr">
        <is>
          <t>LAURA ARIAS ABAD</t>
        </is>
      </c>
      <c r="P96" s="52" t="inlineStr">
        <is>
          <t>laura.arias@studiosur.net</t>
        </is>
      </c>
    </row>
    <row r="97">
      <c r="B97" s="170" t="n">
        <v>86</v>
      </c>
      <c r="C97" s="199" t="inlineStr">
        <is>
          <t>COTIZACION DEL DISEÑO DE EXTINCIÓN DE INCENDIOS PARA EL PROYECTO UNIVERSIDAD LUIS AMIGO</t>
        </is>
      </c>
      <c r="D97" s="312" t="n"/>
      <c r="E97" s="312" t="n"/>
      <c r="F97" s="312" t="n"/>
      <c r="G97" s="312" t="n"/>
      <c r="H97" s="312" t="n"/>
      <c r="I97" s="313" t="n"/>
      <c r="J97" s="199" t="inlineStr">
        <is>
          <t>SPCI</t>
        </is>
      </c>
      <c r="K97" s="314" t="inlineStr">
        <is>
          <t>No se cotizó</t>
        </is>
      </c>
      <c r="L97" s="2" t="n">
        <v>44628</v>
      </c>
      <c r="M97" s="170" t="n"/>
      <c r="N97" s="172" t="n">
        <v>3104165783</v>
      </c>
      <c r="O97" s="170" t="inlineStr">
        <is>
          <t>Cristiam Gustavo Mondragón Cortés</t>
        </is>
      </c>
      <c r="P97" s="52" t="inlineStr">
        <is>
          <t>cristiam.mondragon@spci.com.co</t>
        </is>
      </c>
    </row>
    <row r="98">
      <c r="B98" s="170" t="n">
        <v>87</v>
      </c>
      <c r="C98" s="199" t="inlineStr">
        <is>
          <t>COTIZACION DEL ANÁLISIS DE SEGURIDAD HUMANA PARA EL PROYECTO CENTRO DE ACONDICIONAMIENTO</t>
        </is>
      </c>
      <c r="D98" s="312" t="n"/>
      <c r="E98" s="312" t="n"/>
      <c r="F98" s="312" t="n"/>
      <c r="G98" s="312" t="n"/>
      <c r="H98" s="312" t="n"/>
      <c r="I98" s="313" t="n"/>
      <c r="J98" s="199" t="inlineStr">
        <is>
          <t>DESUR</t>
        </is>
      </c>
      <c r="K98" s="314" t="n">
        <v>2850000</v>
      </c>
      <c r="L98" s="2" t="n">
        <v>44627</v>
      </c>
      <c r="M98" s="170" t="n"/>
      <c r="N98" s="170" t="n">
        <v>4801300</v>
      </c>
      <c r="O98" s="170" t="inlineStr">
        <is>
          <t>Simon Mesa Betancur</t>
        </is>
      </c>
      <c r="P98" s="52" t="inlineStr">
        <is>
          <t>simon.mesa@desur.gov.co</t>
        </is>
      </c>
    </row>
    <row r="99">
      <c r="B99" s="170" t="n">
        <v>88</v>
      </c>
      <c r="C99" s="199" t="inlineStr">
        <is>
          <t>COTIZACION DEL DISEÑO DE EXTINCIÓN DE INCENDIOS PARA EL PROYECTO PLANTA DE PINTURAS</t>
        </is>
      </c>
      <c r="D99" s="312" t="n"/>
      <c r="E99" s="312" t="n"/>
      <c r="F99" s="312" t="n"/>
      <c r="G99" s="312" t="n"/>
      <c r="H99" s="312" t="n"/>
      <c r="I99" s="313" t="n"/>
      <c r="J99" s="199" t="inlineStr">
        <is>
          <t>SPCI</t>
        </is>
      </c>
      <c r="K99" s="314" t="n">
        <v>12500000</v>
      </c>
      <c r="L99" s="2" t="n">
        <v>44628</v>
      </c>
      <c r="M99" s="170" t="inlineStr">
        <is>
          <t>X</t>
        </is>
      </c>
      <c r="N99" s="170" t="n">
        <v>3137546144</v>
      </c>
      <c r="O99" s="170" t="inlineStr">
        <is>
          <t>Juan Camilo Quintero Bedoya</t>
        </is>
      </c>
      <c r="P99" s="52" t="inlineStr">
        <is>
          <t>camilo.quintero@spci.com.co</t>
        </is>
      </c>
    </row>
    <row r="100">
      <c r="B100" s="170" t="n">
        <v>89</v>
      </c>
      <c r="C100" s="199" t="inlineStr">
        <is>
          <t>COTIZACION DE LOS DISEÑOS DE PROTECCIÓN CONTRA  INCENDIOS - ESTACIÓN DE GAS TIPO VENTILADOR</t>
        </is>
      </c>
      <c r="D100" s="312" t="n"/>
      <c r="E100" s="312" t="n"/>
      <c r="F100" s="312" t="n"/>
      <c r="G100" s="312" t="n"/>
      <c r="H100" s="312" t="n"/>
      <c r="I100" s="313" t="n"/>
      <c r="J100" s="199" t="inlineStr">
        <is>
          <t>INGENIERÍA DE RIEGOS</t>
        </is>
      </c>
      <c r="K100" s="314" t="n">
        <v>16250000</v>
      </c>
      <c r="L100" s="2" t="n">
        <v>44627</v>
      </c>
      <c r="M100" s="170" t="n"/>
      <c r="N100" s="170" t="n"/>
      <c r="O100" s="170" t="inlineStr">
        <is>
          <t>Luis Esteban Ramírez</t>
        </is>
      </c>
      <c r="P100" s="52" t="n"/>
    </row>
    <row r="101">
      <c r="B101" s="170" t="n">
        <v>90</v>
      </c>
      <c r="C101" s="246" t="inlineStr">
        <is>
          <t xml:space="preserve">COTIZACION DEL DISEÑO DE EXTINCIÓN DE INCENDIOS PARA EL PROYECTO LAYOUT CDBQ
</t>
        </is>
      </c>
      <c r="D101" s="312" t="n"/>
      <c r="E101" s="312" t="n"/>
      <c r="F101" s="312" t="n"/>
      <c r="G101" s="312" t="n"/>
      <c r="H101" s="312" t="n"/>
      <c r="I101" s="313" t="n"/>
      <c r="J101" s="199" t="inlineStr">
        <is>
          <t>INGESED</t>
        </is>
      </c>
      <c r="K101" s="314" t="n">
        <v>19950000</v>
      </c>
      <c r="L101" s="2" t="n">
        <v>44628</v>
      </c>
      <c r="M101" s="170" t="n"/>
      <c r="N101" s="170" t="inlineStr">
        <is>
          <t>301 4201614</t>
        </is>
      </c>
      <c r="O101" s="170" t="inlineStr">
        <is>
          <t>Jhon Rodriguez</t>
        </is>
      </c>
      <c r="P101" s="52" t="inlineStr">
        <is>
          <t>jrodriguez@ingesed.com</t>
        </is>
      </c>
    </row>
    <row r="102">
      <c r="B102" s="170" t="n">
        <v>91</v>
      </c>
      <c r="C102" s="199" t="inlineStr">
        <is>
          <t>COTIZACION DEL DISEÑO DE DETECCIÓN DE INCENDIOS PARA EL PROYECTO PLANTA SUMICOL</t>
        </is>
      </c>
      <c r="D102" s="312" t="n"/>
      <c r="E102" s="312" t="n"/>
      <c r="F102" s="312" t="n"/>
      <c r="G102" s="312" t="n"/>
      <c r="H102" s="312" t="n"/>
      <c r="I102" s="313" t="n"/>
      <c r="J102" s="199" t="inlineStr">
        <is>
          <t>Sumicol</t>
        </is>
      </c>
      <c r="K102" s="314" t="n">
        <v>9500000</v>
      </c>
      <c r="L102" s="2" t="n">
        <v>44628</v>
      </c>
      <c r="M102" s="170" t="n"/>
      <c r="N102" s="170" t="inlineStr">
        <is>
          <t xml:space="preserve"> (311) 532 70 51</t>
        </is>
      </c>
      <c r="O102" s="39" t="inlineStr">
        <is>
          <t>Juan Felipe Gil</t>
        </is>
      </c>
      <c r="P102" s="52" t="inlineStr">
        <is>
          <t>fgil@corona.com.co</t>
        </is>
      </c>
    </row>
    <row r="103">
      <c r="B103" s="170" t="n">
        <v>92</v>
      </c>
      <c r="C103" s="199" t="inlineStr">
        <is>
          <t>COTIZACION DEL DISEÑO DE EXTINCIÓN DE INCENDIOS PARA EL PROYECTO PLANTA SUMICOL</t>
        </is>
      </c>
      <c r="D103" s="312" t="n"/>
      <c r="E103" s="312" t="n"/>
      <c r="F103" s="312" t="n"/>
      <c r="G103" s="312" t="n"/>
      <c r="H103" s="312" t="n"/>
      <c r="I103" s="313" t="n"/>
      <c r="J103" s="199" t="inlineStr">
        <is>
          <t>Sumicol</t>
        </is>
      </c>
      <c r="K103" s="314" t="n">
        <v>3500000</v>
      </c>
      <c r="L103" s="2" t="n">
        <v>44628</v>
      </c>
      <c r="M103" s="170" t="n"/>
      <c r="N103" s="170" t="inlineStr">
        <is>
          <t xml:space="preserve"> (311) 532 70 51</t>
        </is>
      </c>
      <c r="O103" s="39" t="inlineStr">
        <is>
          <t>Juan Felipe Gil</t>
        </is>
      </c>
      <c r="P103" s="52" t="inlineStr">
        <is>
          <t>fgil@corona.com.co</t>
        </is>
      </c>
    </row>
    <row r="104">
      <c r="B104" s="170" t="n">
        <v>93</v>
      </c>
      <c r="C104" s="199" t="inlineStr">
        <is>
          <t>COTIZACION DE LOS DISEÑOS DE PROTECCIÓN CONTRA INCENDIOS PARA EL PROYECTO OFICINA</t>
        </is>
      </c>
      <c r="D104" s="312" t="n"/>
      <c r="E104" s="312" t="n"/>
      <c r="F104" s="312" t="n"/>
      <c r="G104" s="312" t="n"/>
      <c r="H104" s="312" t="n"/>
      <c r="I104" s="313" t="n"/>
      <c r="J104" s="199" t="inlineStr">
        <is>
          <t>Soluciones Civiles</t>
        </is>
      </c>
      <c r="K104" s="314" t="n">
        <v>2990000</v>
      </c>
      <c r="L104" s="2" t="n">
        <v>44628</v>
      </c>
      <c r="M104" s="170" t="inlineStr">
        <is>
          <t>X</t>
        </is>
      </c>
      <c r="N104" s="170" t="n">
        <v>4483960</v>
      </c>
      <c r="O104" s="78" t="inlineStr">
        <is>
          <t>Gustavo Aguirre Arcila</t>
        </is>
      </c>
      <c r="P104" s="52" t="inlineStr">
        <is>
          <t>gaguirre@solciviles.com</t>
        </is>
      </c>
    </row>
    <row r="105">
      <c r="B105" s="170" t="n">
        <v>94</v>
      </c>
      <c r="C105" s="233" t="inlineStr">
        <is>
          <t>COTIZACION DE REVISIÓN DE LOS SISTEMAS DE PROTECCIÓN CONTRA INCENDIOS INSTALADOS Y SEGURIDAD HUMANA PARA LA RIVIERE TORRE 3</t>
        </is>
      </c>
      <c r="D105" s="312" t="n"/>
      <c r="E105" s="312" t="n"/>
      <c r="F105" s="312" t="n"/>
      <c r="G105" s="312" t="n"/>
      <c r="H105" s="312" t="n"/>
      <c r="I105" s="313" t="n"/>
      <c r="J105" s="199" t="inlineStr">
        <is>
          <t>CONINSA RAMÓN H</t>
        </is>
      </c>
      <c r="K105" s="314" t="n">
        <v>3500000</v>
      </c>
      <c r="L105" s="2" t="n">
        <v>44628</v>
      </c>
      <c r="M105" s="2" t="inlineStr">
        <is>
          <t>X</t>
        </is>
      </c>
      <c r="N105" s="170" t="inlineStr">
        <is>
          <t>300 3501774</t>
        </is>
      </c>
      <c r="O105" s="170" t="inlineStr">
        <is>
          <t>Wilson Sanchez</t>
        </is>
      </c>
      <c r="P105" s="52" t="inlineStr">
        <is>
          <t xml:space="preserve">wilsonsanchez@coninsa.co </t>
        </is>
      </c>
    </row>
    <row r="106">
      <c r="B106" s="170" t="n">
        <v>95</v>
      </c>
      <c r="C106" s="199" t="inlineStr">
        <is>
          <t>DEBORA ARANGO VARIOS SERVICIOS</t>
        </is>
      </c>
      <c r="D106" s="312" t="n"/>
      <c r="E106" s="312" t="n"/>
      <c r="F106" s="312" t="n"/>
      <c r="G106" s="312" t="n"/>
      <c r="H106" s="312" t="n"/>
      <c r="I106" s="313" t="n"/>
      <c r="J106" s="199" t="inlineStr">
        <is>
          <t>LUIS LÓPEZ</t>
        </is>
      </c>
      <c r="K106" s="314" t="inlineStr">
        <is>
          <t>Variable</t>
        </is>
      </c>
      <c r="L106" s="2" t="n">
        <v>44628</v>
      </c>
      <c r="M106" s="170" t="n"/>
      <c r="N106" s="170" t="n">
        <v>3147743362</v>
      </c>
      <c r="O106" s="170" t="inlineStr">
        <is>
          <t>Luis Alberto López</t>
        </is>
      </c>
      <c r="P106" s="52" t="inlineStr">
        <is>
          <t xml:space="preserve">lalopez@utp.edu.co </t>
        </is>
      </c>
    </row>
    <row r="107">
      <c r="B107" s="170" t="n">
        <v>96</v>
      </c>
      <c r="C107" s="199" t="inlineStr">
        <is>
          <t>COTIZACION DEL ANÁLISIS DE SEGURIDAD HUMANA PARA EL PROYECTO IUE</t>
        </is>
      </c>
      <c r="D107" s="312" t="n"/>
      <c r="E107" s="312" t="n"/>
      <c r="F107" s="312" t="n"/>
      <c r="G107" s="312" t="n"/>
      <c r="H107" s="312" t="n"/>
      <c r="I107" s="313" t="n"/>
      <c r="J107" s="199" t="inlineStr">
        <is>
          <t>DESUR</t>
        </is>
      </c>
      <c r="K107" s="314" t="n">
        <v>9900000</v>
      </c>
      <c r="L107" s="2" t="n">
        <v>44628</v>
      </c>
      <c r="M107" s="170" t="inlineStr">
        <is>
          <t>X</t>
        </is>
      </c>
      <c r="N107" s="170" t="inlineStr">
        <is>
          <t>4801300 Ext. 128</t>
        </is>
      </c>
      <c r="O107" s="170" t="inlineStr">
        <is>
          <t>Alejandra Cuervo Gómez</t>
        </is>
      </c>
      <c r="P107" s="52" t="inlineStr">
        <is>
          <t>alejandra.cuervo@desur.gov.co</t>
        </is>
      </c>
    </row>
    <row r="108">
      <c r="B108" s="170" t="n">
        <v>97</v>
      </c>
      <c r="C108" s="199" t="inlineStr">
        <is>
          <t>COTIZACION DE LOS DISEÑOS DE PROTECCIÓN CONTRA INCENDIOS Y SEGURIDAD HUMANA PARA EL PROYECTO JUAN PABLO II ETAPA 1B</t>
        </is>
      </c>
      <c r="D108" s="312" t="n"/>
      <c r="E108" s="312" t="n"/>
      <c r="F108" s="312" t="n"/>
      <c r="G108" s="312" t="n"/>
      <c r="H108" s="312" t="n"/>
      <c r="I108" s="313" t="n"/>
      <c r="J108" s="199" t="inlineStr">
        <is>
          <t>SÓLIDA VIVIENDA</t>
        </is>
      </c>
      <c r="K108" s="314" t="n">
        <v>7550000</v>
      </c>
      <c r="L108" s="2" t="n">
        <v>44630</v>
      </c>
      <c r="M108" s="170" t="n"/>
      <c r="N108" s="170" t="inlineStr">
        <is>
          <t>4487500 ext 4912</t>
        </is>
      </c>
      <c r="O108" s="170" t="inlineStr">
        <is>
          <t>Yaddy Giron Martinez</t>
        </is>
      </c>
      <c r="P108" s="52" t="inlineStr">
        <is>
          <t>yaddy.giron@solida.com.co</t>
        </is>
      </c>
    </row>
    <row r="109">
      <c r="B109" s="170" t="n">
        <v>98</v>
      </c>
      <c r="C109" s="199" t="inlineStr">
        <is>
          <t>COTIZACION DE LOS DISEÑOS DE PROTECCIÓN CONTRA INCENDIOS PARA EL PROYECTO COLEGIO LA SALLE DE ENVIGADO</t>
        </is>
      </c>
      <c r="D109" s="312" t="n"/>
      <c r="E109" s="312" t="n"/>
      <c r="F109" s="312" t="n"/>
      <c r="G109" s="312" t="n"/>
      <c r="H109" s="312" t="n"/>
      <c r="I109" s="313" t="n"/>
      <c r="J109" s="199" t="inlineStr">
        <is>
          <t>Sóportica ingenieria &amp; arquitectura</t>
        </is>
      </c>
      <c r="K109" s="314" t="n">
        <v>39950000</v>
      </c>
      <c r="L109" s="2" t="n">
        <v>44630</v>
      </c>
      <c r="M109" s="170" t="n"/>
      <c r="N109" s="170" t="n">
        <v>3117997210</v>
      </c>
      <c r="O109" s="170" t="inlineStr">
        <is>
          <t>David Guzmán Ortega</t>
        </is>
      </c>
      <c r="P109" s="52" t="inlineStr">
        <is>
          <t>david.guzman@soportica.com</t>
        </is>
      </c>
    </row>
    <row r="110">
      <c r="B110" s="170" t="n">
        <v>99</v>
      </c>
      <c r="C110" s="199" t="inlineStr">
        <is>
          <t>COTIZACION DE LOS DISEÑOS DE PROTECCIÓN CONTRA INCENDIOS PARA EL PROYECTO SURA VAXTHERA</t>
        </is>
      </c>
      <c r="D110" s="312" t="n"/>
      <c r="E110" s="312" t="n"/>
      <c r="F110" s="312" t="n"/>
      <c r="G110" s="312" t="n"/>
      <c r="H110" s="312" t="n"/>
      <c r="I110" s="313" t="n"/>
      <c r="J110" s="199" t="inlineStr">
        <is>
          <t>SPCI</t>
        </is>
      </c>
      <c r="K110" s="314" t="n">
        <v>29900000</v>
      </c>
      <c r="L110" s="2" t="n">
        <v>44634</v>
      </c>
      <c r="M110" s="2" t="n"/>
      <c r="N110" s="170" t="inlineStr">
        <is>
          <t>321 482 61 68</t>
        </is>
      </c>
      <c r="O110" s="170" t="inlineStr">
        <is>
          <t>Ana Maria Restrepo Mayo.</t>
        </is>
      </c>
      <c r="P110" s="52" t="inlineStr">
        <is>
          <t>ana.restrepo@spci.com.co</t>
        </is>
      </c>
    </row>
    <row r="111">
      <c r="B111" s="170" t="n">
        <v>100</v>
      </c>
      <c r="C111" s="199" t="inlineStr">
        <is>
          <t>COTIZACION DEL DISEÑO DE EXTINCIÓN DE INCENDIOS PARA EL PROYECTO CITTE</t>
        </is>
      </c>
      <c r="D111" s="312" t="n"/>
      <c r="E111" s="312" t="n"/>
      <c r="F111" s="312" t="n"/>
      <c r="G111" s="312" t="n"/>
      <c r="H111" s="312" t="n"/>
      <c r="I111" s="313" t="n"/>
      <c r="J111" s="199" t="inlineStr">
        <is>
          <t>SOCOMES</t>
        </is>
      </c>
      <c r="K111" s="314" t="n">
        <v>2500000</v>
      </c>
      <c r="L111" s="2" t="n">
        <v>44634</v>
      </c>
      <c r="M111" s="170" t="n"/>
      <c r="N111" s="170" t="n"/>
      <c r="O111" s="170" t="inlineStr">
        <is>
          <t>Jorge Quinto Lora Cogollo</t>
        </is>
      </c>
      <c r="P111" s="52" t="inlineStr">
        <is>
          <t>dirproyectos@socomes.com</t>
        </is>
      </c>
    </row>
    <row r="112">
      <c r="B112" s="170" t="n">
        <v>101</v>
      </c>
      <c r="C112" s="199" t="inlineStr">
        <is>
          <t>COTIZACION DEL ANÁLISIS DE SEGURIDAD HUMANA PARA EL PROYECTO BILANCO DE MAYORCA</t>
        </is>
      </c>
      <c r="D112" s="312" t="n"/>
      <c r="E112" s="312" t="n"/>
      <c r="F112" s="312" t="n"/>
      <c r="G112" s="312" t="n"/>
      <c r="H112" s="312" t="n"/>
      <c r="I112" s="313" t="n"/>
      <c r="J112" s="199" t="inlineStr">
        <is>
          <t>GINO</t>
        </is>
      </c>
      <c r="K112" s="314" t="n">
        <v>6270000</v>
      </c>
      <c r="L112" s="2" t="n">
        <v>44635</v>
      </c>
      <c r="M112" s="170" t="inlineStr">
        <is>
          <t>X</t>
        </is>
      </c>
      <c r="N112" s="170" t="n"/>
      <c r="O112" s="170" t="inlineStr">
        <is>
          <t>Gino Montoya</t>
        </is>
      </c>
      <c r="P112" s="52" t="inlineStr">
        <is>
          <t>gino1037@hotmail.com</t>
        </is>
      </c>
    </row>
    <row r="113">
      <c r="B113" s="170" t="n">
        <v>102</v>
      </c>
      <c r="C113" s="233" t="inlineStr">
        <is>
          <t>COTIZACION DE LOS DISEÑOS DE PROTECCIÓN CONTRA INCENDIOS PARA EL PROYECTO LAUREL LIVINGS</t>
        </is>
      </c>
      <c r="D113" s="312" t="n"/>
      <c r="E113" s="312" t="n"/>
      <c r="F113" s="312" t="n"/>
      <c r="G113" s="312" t="n"/>
      <c r="H113" s="312" t="n"/>
      <c r="I113" s="313" t="n"/>
      <c r="J113" s="199" t="inlineStr">
        <is>
          <t>GINO</t>
        </is>
      </c>
      <c r="K113" s="314" t="n">
        <v>9910000</v>
      </c>
      <c r="L113" s="2" t="n">
        <v>44635</v>
      </c>
      <c r="M113" s="170" t="n"/>
      <c r="N113" s="170" t="n"/>
      <c r="O113" s="170" t="inlineStr">
        <is>
          <t>Gino Montoya</t>
        </is>
      </c>
      <c r="P113" s="52" t="inlineStr">
        <is>
          <t>gino1037@hotmail.com</t>
        </is>
      </c>
    </row>
    <row r="114">
      <c r="B114" s="170" t="n">
        <v>103</v>
      </c>
      <c r="C114" s="199" t="inlineStr">
        <is>
          <t>COTIZACION DE LOS DISEÑOS DE PROTECCIÓN CONTRA INCENDIOS PARA EL PROYECTO BODEGA CÚCUTA</t>
        </is>
      </c>
      <c r="D114" s="312" t="n"/>
      <c r="E114" s="312" t="n"/>
      <c r="F114" s="312" t="n"/>
      <c r="G114" s="312" t="n"/>
      <c r="H114" s="312" t="n"/>
      <c r="I114" s="313" t="n"/>
      <c r="J114" s="199" t="inlineStr">
        <is>
          <t>SECURETEC</t>
        </is>
      </c>
      <c r="K114" s="314" t="n">
        <v>11950000</v>
      </c>
      <c r="L114" s="2" t="n">
        <v>44635</v>
      </c>
      <c r="M114" s="170" t="n"/>
      <c r="N114" s="170" t="n">
        <v>3217011017</v>
      </c>
      <c r="O114" s="170" t="inlineStr">
        <is>
          <t>Harol Mauricio Camacho Ramirez</t>
        </is>
      </c>
      <c r="P114" s="52" t="inlineStr">
        <is>
          <t>gerencia@securetec.com.co</t>
        </is>
      </c>
    </row>
    <row r="115">
      <c r="B115" s="170" t="n">
        <v>104</v>
      </c>
      <c r="C115" s="199" t="inlineStr">
        <is>
          <t>COTIZACION DEL DIAGNÓSTICO DE LOS SISTEMAS DE PROTECCIÓN CONTRA INCENDIOS DE LA FLA</t>
        </is>
      </c>
      <c r="D115" s="312" t="n"/>
      <c r="E115" s="312" t="n"/>
      <c r="F115" s="312" t="n"/>
      <c r="G115" s="312" t="n"/>
      <c r="H115" s="312" t="n"/>
      <c r="I115" s="313" t="n"/>
      <c r="J115" s="199" t="inlineStr">
        <is>
          <t>LAFLA</t>
        </is>
      </c>
      <c r="K115" s="314" t="n">
        <v>5000000</v>
      </c>
      <c r="L115" s="2" t="n">
        <v>44635</v>
      </c>
      <c r="M115" s="170" t="inlineStr">
        <is>
          <t>X</t>
        </is>
      </c>
      <c r="N115" s="170" t="inlineStr">
        <is>
          <t>310 4473509</t>
        </is>
      </c>
      <c r="O115" s="170" t="inlineStr">
        <is>
          <t>Carlos Alberto Gil Valencia</t>
        </is>
      </c>
      <c r="P115" s="52" t="inlineStr">
        <is>
          <t>risksolutiong@gmail.com</t>
        </is>
      </c>
    </row>
    <row r="116">
      <c r="B116" s="170" t="n">
        <v>105</v>
      </c>
      <c r="C116" s="199" t="inlineStr">
        <is>
          <t>COTIZACION DE LOS DISEÑOS DE PROTECCIÓN CONTRA INCENDIOS - CENTRO COMERCIAL OVIEDO</t>
        </is>
      </c>
      <c r="D116" s="312" t="n"/>
      <c r="E116" s="312" t="n"/>
      <c r="F116" s="312" t="n"/>
      <c r="G116" s="312" t="n"/>
      <c r="H116" s="312" t="n"/>
      <c r="I116" s="313" t="n"/>
      <c r="J116" s="199" t="inlineStr">
        <is>
          <t>SPCI</t>
        </is>
      </c>
      <c r="K116" s="314" t="n">
        <v>29470000</v>
      </c>
      <c r="L116" s="2" t="n">
        <v>44636</v>
      </c>
      <c r="M116" s="170" t="n"/>
      <c r="N116" s="170" t="n"/>
      <c r="O116" s="170" t="n"/>
      <c r="P116" s="52" t="n"/>
    </row>
    <row r="117">
      <c r="B117" s="170" t="n">
        <v>106</v>
      </c>
      <c r="C117" s="199" t="inlineStr">
        <is>
          <t>COTIZACION DE LOS DISEÑOS DE PROTECCIÓN CONTRA INCENDIOS Y SEGURIDAD HUMANA PARA EL PROYECTO PISO 4 DE LA CASA DE LA MUSICA EPM</t>
        </is>
      </c>
      <c r="D117" s="312" t="n"/>
      <c r="E117" s="312" t="n"/>
      <c r="F117" s="312" t="n"/>
      <c r="G117" s="312" t="n"/>
      <c r="H117" s="312" t="n"/>
      <c r="I117" s="313" t="n"/>
      <c r="J117" s="199" t="inlineStr">
        <is>
          <t>SERVICIO IPM</t>
        </is>
      </c>
      <c r="K117" s="314" t="n">
        <v>7700000</v>
      </c>
      <c r="L117" s="2" t="n">
        <v>44636</v>
      </c>
      <c r="M117" s="170" t="n"/>
      <c r="N117" s="170" t="inlineStr">
        <is>
          <t>301 542 1412</t>
        </is>
      </c>
      <c r="O117" s="170" t="inlineStr">
        <is>
          <t>Juan Santiago Londoño Quiceno</t>
        </is>
      </c>
      <c r="P117" s="52" t="inlineStr">
        <is>
          <t>juan.londono@serviciosipm.com</t>
        </is>
      </c>
    </row>
    <row r="118">
      <c r="B118" s="170" t="n">
        <v>107</v>
      </c>
      <c r="C118" s="199" t="inlineStr">
        <is>
          <t>COTIZACION DEL ANÁLISIS DE SEGURIDAD HUMANA PARA EL PROYECTO PATINODROMO PUG LAS CHIMENEAS</t>
        </is>
      </c>
      <c r="D118" s="312" t="n"/>
      <c r="E118" s="312" t="n"/>
      <c r="F118" s="312" t="n"/>
      <c r="G118" s="312" t="n"/>
      <c r="H118" s="312" t="n"/>
      <c r="I118" s="313" t="n"/>
      <c r="J118" s="199" t="inlineStr">
        <is>
          <t>CONCONCRETO</t>
        </is>
      </c>
      <c r="K118" s="314" t="n">
        <v>2950000</v>
      </c>
      <c r="L118" s="2" t="n">
        <v>44636</v>
      </c>
      <c r="M118" s="170" t="n"/>
      <c r="N118" s="170" t="n"/>
      <c r="O118" s="170" t="n"/>
      <c r="P118" s="52" t="n"/>
    </row>
    <row r="119">
      <c r="B119" s="170" t="n">
        <v>108</v>
      </c>
      <c r="C119" s="199" t="inlineStr">
        <is>
          <t>COTIZACION DE LOS DISEÑOS DE PROTECCIÓN CONTRA  INCENDIOS - PROYECTO URBIT</t>
        </is>
      </c>
      <c r="D119" s="312" t="n"/>
      <c r="E119" s="312" t="n"/>
      <c r="F119" s="312" t="n"/>
      <c r="G119" s="312" t="n"/>
      <c r="H119" s="312" t="n"/>
      <c r="I119" s="313" t="n"/>
      <c r="J119" s="199" t="inlineStr">
        <is>
          <t>GINO</t>
        </is>
      </c>
      <c r="K119" s="314" t="n">
        <v>9910000</v>
      </c>
      <c r="L119" s="2" t="n">
        <v>44637</v>
      </c>
      <c r="M119" s="170" t="n"/>
      <c r="N119" s="170" t="n"/>
      <c r="O119" s="170" t="inlineStr">
        <is>
          <t>Gino Montoya</t>
        </is>
      </c>
      <c r="P119" s="52" t="inlineStr">
        <is>
          <t>gino1037@hotmail.com</t>
        </is>
      </c>
    </row>
    <row r="120">
      <c r="B120" s="170" t="n">
        <v>109</v>
      </c>
      <c r="C120" s="199" t="inlineStr">
        <is>
          <t>COTIZACION DE LOS DISEÑOS DE SEGURIDAD HUMANA Y PROTECCIÓN CONTRA  INCENDIOS - PROYECTO CLINICA AUNA LAS AMERICAS CR 80</t>
        </is>
      </c>
      <c r="D120" s="312" t="n"/>
      <c r="E120" s="312" t="n"/>
      <c r="F120" s="312" t="n"/>
      <c r="G120" s="312" t="n"/>
      <c r="H120" s="312" t="n"/>
      <c r="I120" s="313" t="n"/>
      <c r="J120" s="199" t="inlineStr">
        <is>
          <t>SPCI</t>
        </is>
      </c>
      <c r="K120" s="314" t="n">
        <v>52650000</v>
      </c>
      <c r="L120" s="2" t="n">
        <v>44637</v>
      </c>
      <c r="M120" s="170" t="inlineStr">
        <is>
          <t>X</t>
        </is>
      </c>
      <c r="N120" s="170" t="n">
        <v>3214826168</v>
      </c>
      <c r="O120" s="170" t="inlineStr">
        <is>
          <t>Ana Maria Restrepo Mayo</t>
        </is>
      </c>
      <c r="P120" s="52" t="inlineStr">
        <is>
          <t>ana.restrepo@spci.com.co</t>
        </is>
      </c>
    </row>
    <row r="121">
      <c r="B121" s="170" t="n">
        <v>110</v>
      </c>
      <c r="C121" s="199" t="inlineStr">
        <is>
          <t>COTIZACION DE LOS DISEÑOS DE PROTECCIÓN CONTRA INCENDIOS Y SEGURIDAD HUMANA PARA EL PROYECTO ESCUELA Y CLINICA VETERINARIA</t>
        </is>
      </c>
      <c r="D121" s="312" t="n"/>
      <c r="E121" s="312" t="n"/>
      <c r="F121" s="312" t="n"/>
      <c r="G121" s="312" t="n"/>
      <c r="H121" s="312" t="n"/>
      <c r="I121" s="313" t="n"/>
      <c r="J121" s="199" t="inlineStr">
        <is>
          <t>GERENCIA INTEGRAL</t>
        </is>
      </c>
      <c r="K121" s="314" t="n">
        <v>14950000</v>
      </c>
      <c r="L121" s="2" t="n">
        <v>44638</v>
      </c>
      <c r="M121" s="2" t="n"/>
      <c r="N121" s="170" t="n">
        <v>3122967935</v>
      </c>
      <c r="O121" s="170" t="inlineStr">
        <is>
          <t>María Teresa López</t>
        </is>
      </c>
      <c r="P121" s="52" t="inlineStr">
        <is>
          <t>mlopez@hdgerenciaintegral.com</t>
        </is>
      </c>
    </row>
    <row r="122">
      <c r="B122" s="170" t="n">
        <v>111</v>
      </c>
      <c r="C122" s="199" t="inlineStr">
        <is>
          <t>COTIZACION DEL DISEÑO DE DETECCIÓN DE INCENDIOS PARA EL PROYECTO RANSA PRIMAVERA</t>
        </is>
      </c>
      <c r="D122" s="312" t="n"/>
      <c r="E122" s="312" t="n"/>
      <c r="F122" s="312" t="n"/>
      <c r="G122" s="312" t="n"/>
      <c r="H122" s="312" t="n"/>
      <c r="I122" s="313" t="n"/>
      <c r="J122" s="199" t="inlineStr">
        <is>
          <t>SERIINCO</t>
        </is>
      </c>
      <c r="K122" s="314" t="n">
        <v>3950000</v>
      </c>
      <c r="L122" s="2" t="n">
        <v>44642</v>
      </c>
      <c r="M122" s="170" t="inlineStr">
        <is>
          <t>X</t>
        </is>
      </c>
      <c r="N122" s="170" t="n">
        <v>3116460496</v>
      </c>
      <c r="O122" s="170" t="inlineStr">
        <is>
          <t>Francisco Jose Unda</t>
        </is>
      </c>
      <c r="P122" s="52" t="inlineStr">
        <is>
          <t>francisco.unda@seriinco.com</t>
        </is>
      </c>
    </row>
    <row r="123">
      <c r="B123" s="170" t="n">
        <v>112</v>
      </c>
      <c r="C123" s="199" t="inlineStr">
        <is>
          <t>COTIZACION DEL DISEÑO DE EXTINCIÓN DE INCENDIOS PARA EL PROYECTO PISO 7 OFICINAS</t>
        </is>
      </c>
      <c r="D123" s="312" t="n"/>
      <c r="E123" s="312" t="n"/>
      <c r="F123" s="312" t="n"/>
      <c r="G123" s="312" t="n"/>
      <c r="H123" s="312" t="n"/>
      <c r="I123" s="313" t="n"/>
      <c r="J123" s="199" t="inlineStr">
        <is>
          <t>Project&amp;Solution</t>
        </is>
      </c>
      <c r="K123" s="314" t="n">
        <v>1980000</v>
      </c>
      <c r="L123" s="2" t="n">
        <v>44642</v>
      </c>
      <c r="M123" s="170" t="n"/>
      <c r="N123" s="170" t="n"/>
      <c r="O123" s="170" t="inlineStr">
        <is>
          <t>Sebastian Lopez Duque</t>
        </is>
      </c>
      <c r="P123" s="52" t="inlineStr">
        <is>
          <t>gerencia@projectsolutions.com.co</t>
        </is>
      </c>
    </row>
    <row r="124" ht="15" customHeight="1">
      <c r="B124" s="170" t="n">
        <v>113</v>
      </c>
      <c r="C124" s="199" t="inlineStr">
        <is>
          <t xml:space="preserve">
COTIZACION DE LOS DISEÑOS DE PROTECCIÓN CONTRA INCENDIOS Y SEGURIDAD HUMANA PARA EL PROYECTO SANTA LUCIA</t>
        </is>
      </c>
      <c r="D124" s="312" t="n"/>
      <c r="E124" s="312" t="n"/>
      <c r="F124" s="312" t="n"/>
      <c r="G124" s="312" t="n"/>
      <c r="H124" s="312" t="n"/>
      <c r="I124" s="313" t="n"/>
      <c r="J124" s="199" t="inlineStr">
        <is>
          <t>CONINSA RAMÓN H</t>
        </is>
      </c>
      <c r="K124" s="314" t="n">
        <v>58900000</v>
      </c>
      <c r="L124" s="2" t="n">
        <v>44644</v>
      </c>
      <c r="M124" s="2" t="n"/>
      <c r="N124" s="170" t="inlineStr">
        <is>
          <t>305 293 45 11</t>
        </is>
      </c>
      <c r="O124" s="170" t="inlineStr">
        <is>
          <t>Camila Jimenez Olaya</t>
        </is>
      </c>
      <c r="P124" s="52" t="inlineStr">
        <is>
          <t>cjimenez@coninsa.co</t>
        </is>
      </c>
    </row>
    <row r="125">
      <c r="B125" s="170" t="n">
        <v>114</v>
      </c>
      <c r="C125" s="199" t="inlineStr">
        <is>
          <t>COTIZACION DE LA CAPACITACIÓN DE LA NORMATIVIDAD Y CONCEPTOS BÁSICOS DE PROTECCIÓN CONTRA INCENDIOS</t>
        </is>
      </c>
      <c r="D125" s="312" t="n"/>
      <c r="E125" s="312" t="n"/>
      <c r="F125" s="312" t="n"/>
      <c r="G125" s="312" t="n"/>
      <c r="H125" s="312" t="n"/>
      <c r="I125" s="313" t="n"/>
      <c r="J125" s="199" t="inlineStr">
        <is>
          <t>Viking</t>
        </is>
      </c>
      <c r="K125" s="314" t="n">
        <v>400</v>
      </c>
      <c r="L125" s="2" t="n">
        <v>44644</v>
      </c>
      <c r="M125" s="2" t="inlineStr">
        <is>
          <t>X</t>
        </is>
      </c>
      <c r="N125" s="170" t="n"/>
      <c r="O125" s="170" t="inlineStr">
        <is>
          <t>Alejandro García</t>
        </is>
      </c>
      <c r="P125" s="52" t="n"/>
    </row>
    <row r="126">
      <c r="B126" s="170" t="n">
        <v>115</v>
      </c>
      <c r="C126" s="199" t="inlineStr">
        <is>
          <t>COTIZACION DE LOS DISEÑOS DE PROTECCIÓN CONTRA INCENDIOS Y SEGURIDAD HUMANA PARA EL PROYECTO EDIFICIO CALASANZ DE 1.300 m2</t>
        </is>
      </c>
      <c r="D126" s="312" t="n"/>
      <c r="E126" s="312" t="n"/>
      <c r="F126" s="312" t="n"/>
      <c r="G126" s="312" t="n"/>
      <c r="H126" s="312" t="n"/>
      <c r="I126" s="313" t="n"/>
      <c r="J126" s="199" t="inlineStr">
        <is>
          <t>Santiago Rojas</t>
        </is>
      </c>
      <c r="K126" s="314" t="n">
        <v>9790000</v>
      </c>
      <c r="L126" s="2" t="n">
        <v>44644</v>
      </c>
      <c r="M126" s="2" t="n"/>
      <c r="N126" s="170" t="n"/>
      <c r="O126" s="170" t="inlineStr">
        <is>
          <t>Viviana Monsalve Patiño</t>
        </is>
      </c>
      <c r="P126" s="52" t="inlineStr">
        <is>
          <t>asistente@santiagorojas.com.co</t>
        </is>
      </c>
    </row>
    <row r="127">
      <c r="B127" s="170" t="n">
        <v>116</v>
      </c>
      <c r="C127" s="199" t="inlineStr">
        <is>
          <t>COTIZACION DE COMISIONAMIENTO Y PRUEBAS DE LOS SISTEMAS DE PROTECCIÓN CONTRA INCENDIOS INSTALADOS EN LA CENTRAL AMOYA</t>
        </is>
      </c>
      <c r="D127" s="312" t="n"/>
      <c r="E127" s="312" t="n"/>
      <c r="F127" s="312" t="n"/>
      <c r="G127" s="312" t="n"/>
      <c r="H127" s="312" t="n"/>
      <c r="I127" s="313" t="n"/>
      <c r="J127" s="199" t="inlineStr">
        <is>
          <t>SPCI</t>
        </is>
      </c>
      <c r="K127" s="314" t="n">
        <v>4500000</v>
      </c>
      <c r="L127" s="2" t="n">
        <v>44645</v>
      </c>
      <c r="M127" s="170" t="inlineStr">
        <is>
          <t>X</t>
        </is>
      </c>
      <c r="N127" s="170" t="n">
        <v>3104680508</v>
      </c>
      <c r="O127" s="170" t="inlineStr">
        <is>
          <t>Juan Pablo Grajales</t>
        </is>
      </c>
      <c r="P127" s="52" t="inlineStr">
        <is>
          <t>juan.grajales@spci.com.co</t>
        </is>
      </c>
    </row>
    <row r="128" ht="15" customHeight="1">
      <c r="B128" s="170" t="n">
        <v>117</v>
      </c>
      <c r="C128" s="199" t="inlineStr">
        <is>
          <t xml:space="preserve">COTIZACION DEL ANÁLISIS DE SEGURIDAD HUMANA PARA EL PROYECTO VITHA
</t>
        </is>
      </c>
      <c r="D128" s="312" t="n"/>
      <c r="E128" s="312" t="n"/>
      <c r="F128" s="312" t="n"/>
      <c r="G128" s="312" t="n"/>
      <c r="H128" s="312" t="n"/>
      <c r="I128" s="313" t="n"/>
      <c r="J128" s="199" t="inlineStr">
        <is>
          <t>BIENES Y BIENES</t>
        </is>
      </c>
      <c r="K128" s="317" t="n">
        <v>4390000</v>
      </c>
      <c r="L128" s="2" t="n">
        <v>44645</v>
      </c>
      <c r="M128" s="170" t="inlineStr">
        <is>
          <t>X</t>
        </is>
      </c>
      <c r="N128" s="170" t="inlineStr">
        <is>
          <t>304 245 58 81</t>
        </is>
      </c>
      <c r="O128" s="170" t="inlineStr">
        <is>
          <t>Carlos Andres Quintero Ángel</t>
        </is>
      </c>
      <c r="P128" s="52" t="inlineStr">
        <is>
          <t>carlos.quintero@bienesybienes.com.co</t>
        </is>
      </c>
    </row>
    <row r="129">
      <c r="B129" s="170" t="n">
        <v>118</v>
      </c>
      <c r="C129" s="199" t="inlineStr">
        <is>
          <t>COTIZACION DE LOS DISEÑOS DE PROTECCIÓN CONTRA INCENDIOS Y SEGURIDAD HUMANA PARA EL PROYECTO SANTA LUCIA</t>
        </is>
      </c>
      <c r="D129" s="312" t="n"/>
      <c r="E129" s="312" t="n"/>
      <c r="F129" s="312" t="n"/>
      <c r="G129" s="312" t="n"/>
      <c r="H129" s="312" t="n"/>
      <c r="I129" s="313" t="n"/>
      <c r="J129" s="199" t="inlineStr">
        <is>
          <t>SPCI</t>
        </is>
      </c>
      <c r="K129" s="317" t="n">
        <v>58900000</v>
      </c>
      <c r="L129" s="2" t="inlineStr">
        <is>
          <t>25/03/20222</t>
        </is>
      </c>
      <c r="M129" s="170" t="n"/>
      <c r="N129" s="170" t="inlineStr">
        <is>
          <t>321 482 61 68</t>
        </is>
      </c>
      <c r="O129" s="170" t="inlineStr">
        <is>
          <t>Ana Maria Restrepo Mayo.</t>
        </is>
      </c>
      <c r="P129" s="52" t="inlineStr">
        <is>
          <t>ana.restrepo@spci.com.co</t>
        </is>
      </c>
    </row>
    <row r="130">
      <c r="B130" s="170" t="n">
        <v>119</v>
      </c>
      <c r="C130" s="199" t="inlineStr">
        <is>
          <t>COTIZACION DE LOS DISEÑOS DE PROTECCIÓN CONTRA INCENDIOS Y SEGURIDAD HUMANA PARA EL PROYECTO ENTREPALMERAS ETAPA 1</t>
        </is>
      </c>
      <c r="D130" s="312" t="n"/>
      <c r="E130" s="312" t="n"/>
      <c r="F130" s="312" t="n"/>
      <c r="G130" s="312" t="n"/>
      <c r="H130" s="312" t="n"/>
      <c r="I130" s="313" t="n"/>
      <c r="J130" s="199" t="inlineStr">
        <is>
          <t>G4 Proyectos Inmobiliarios</t>
        </is>
      </c>
      <c r="K130" s="314" t="n">
        <v>17950000</v>
      </c>
      <c r="L130" s="2" t="n">
        <v>44648</v>
      </c>
      <c r="M130" s="2" t="n"/>
      <c r="N130" s="170" t="n"/>
      <c r="O130" s="170" t="inlineStr">
        <is>
          <t>SANDRA VALENCIA G.</t>
        </is>
      </c>
      <c r="P130" s="52" t="inlineStr">
        <is>
          <t>s.valencia@g4ingenieros.com</t>
        </is>
      </c>
    </row>
    <row r="131" ht="15" customHeight="1">
      <c r="B131" s="170" t="n">
        <v>120</v>
      </c>
      <c r="C131" s="199" t="inlineStr">
        <is>
          <t xml:space="preserve">
COTIZACION DE LOS DISEÑOS DE PROTECCIÓN CONTRA INCENDIOS PARA EL PROYECTO OFICINA COLFONDOS CCI</t>
        </is>
      </c>
      <c r="D131" s="312" t="n"/>
      <c r="E131" s="312" t="n"/>
      <c r="F131" s="312" t="n"/>
      <c r="G131" s="312" t="n"/>
      <c r="H131" s="312" t="n"/>
      <c r="I131" s="313" t="n"/>
      <c r="J131" s="199" t="inlineStr">
        <is>
          <t>SPCI</t>
        </is>
      </c>
      <c r="K131" s="314" t="n">
        <v>2750000</v>
      </c>
      <c r="L131" s="2" t="n">
        <v>44648</v>
      </c>
      <c r="M131" s="2" t="n"/>
      <c r="N131" s="170" t="n"/>
      <c r="O131" s="170" t="inlineStr">
        <is>
          <t>Camilo Quintero</t>
        </is>
      </c>
      <c r="P131" s="52" t="n"/>
    </row>
    <row r="132">
      <c r="B132" s="170" t="n">
        <v>121</v>
      </c>
      <c r="C132" s="199" t="inlineStr">
        <is>
          <t>COTIZACION DE LOS DISEÑOS DE PROTECCIÓN CONTRA INCENDIOS Y SEGURIDAD HUMANA PARA EL PROYECTO CEDI TIERRAGRO RIONEGRO</t>
        </is>
      </c>
      <c r="D132" s="312" t="n"/>
      <c r="E132" s="312" t="n"/>
      <c r="F132" s="312" t="n"/>
      <c r="G132" s="312" t="n"/>
      <c r="H132" s="312" t="n"/>
      <c r="I132" s="313" t="n"/>
      <c r="J132" s="199" t="inlineStr">
        <is>
          <t>TIERRAGRO</t>
        </is>
      </c>
      <c r="K132" s="314" t="n">
        <v>15950000</v>
      </c>
      <c r="L132" s="2" t="n">
        <v>44650</v>
      </c>
      <c r="M132" s="170" t="n"/>
      <c r="N132" s="170" t="inlineStr">
        <is>
          <t xml:space="preserve"> 3128940268 y 3053765233</t>
        </is>
      </c>
      <c r="O132" s="170" t="inlineStr">
        <is>
          <t>Carlos Augusto Rojas Alvarez</t>
        </is>
      </c>
      <c r="P132" s="52" t="inlineStr">
        <is>
          <t>ceditierragrodirecciondeobra@gmail.com</t>
        </is>
      </c>
    </row>
    <row r="133">
      <c r="B133" s="170" t="n">
        <v>122</v>
      </c>
      <c r="C133" s="199" t="inlineStr">
        <is>
          <t>COTIZACION DE LA REVISIÓN DE SEGURIDAD HUMANA Y PROTECCIÓN CONTRA INCENDIOS - PROYECTO OFICINA ONE VANTAGE</t>
        </is>
      </c>
      <c r="D133" s="312" t="n"/>
      <c r="E133" s="312" t="n"/>
      <c r="F133" s="312" t="n"/>
      <c r="G133" s="312" t="n"/>
      <c r="H133" s="312" t="n"/>
      <c r="I133" s="313" t="n"/>
      <c r="J133" s="199" t="inlineStr">
        <is>
          <t>Condiseño</t>
        </is>
      </c>
      <c r="K133" s="314" t="n">
        <v>6950000</v>
      </c>
      <c r="L133" s="2" t="n">
        <v>44651</v>
      </c>
      <c r="M133" s="170" t="n"/>
      <c r="N133" s="170" t="n">
        <v>3175594091</v>
      </c>
      <c r="O133" s="170" t="inlineStr">
        <is>
          <t>Nakary García Romero</t>
        </is>
      </c>
      <c r="P133" s="52" t="inlineStr">
        <is>
          <t>n.garcia@condiseno.co</t>
        </is>
      </c>
    </row>
    <row r="134">
      <c r="B134" s="170" t="n">
        <v>123</v>
      </c>
      <c r="C134" s="199" t="inlineStr">
        <is>
          <t>COTIZACION DEL DISEÑO DE EXTINCIÓN DE INCENDIOS - PROYECTO IUE</t>
        </is>
      </c>
      <c r="D134" s="312" t="n"/>
      <c r="E134" s="312" t="n"/>
      <c r="F134" s="312" t="n"/>
      <c r="G134" s="312" t="n"/>
      <c r="H134" s="312" t="n"/>
      <c r="I134" s="313" t="n"/>
      <c r="J134" s="199" t="inlineStr">
        <is>
          <t>COINSI</t>
        </is>
      </c>
      <c r="K134" s="314" t="n">
        <v>14990000</v>
      </c>
      <c r="L134" s="2" t="n">
        <v>44652</v>
      </c>
      <c r="M134" s="170" t="n"/>
      <c r="N134" s="170" t="n">
        <v>3218381675</v>
      </c>
      <c r="O134" s="170" t="inlineStr">
        <is>
          <t>Jonathan Hincapié</t>
        </is>
      </c>
      <c r="P134" s="52" t="inlineStr">
        <is>
          <t xml:space="preserve">disenos@coinsi.com </t>
        </is>
      </c>
    </row>
    <row r="135">
      <c r="B135" s="170" t="n">
        <v>124</v>
      </c>
      <c r="C135" s="199" t="n"/>
      <c r="D135" s="312" t="n"/>
      <c r="E135" s="312" t="n"/>
      <c r="F135" s="312" t="n"/>
      <c r="G135" s="312" t="n"/>
      <c r="H135" s="312" t="n"/>
      <c r="I135" s="313" t="n"/>
      <c r="J135" s="199" t="inlineStr">
        <is>
          <t>SPCI</t>
        </is>
      </c>
      <c r="K135" s="314" t="n">
        <v>5960000</v>
      </c>
      <c r="L135" s="2" t="n">
        <v>44655</v>
      </c>
      <c r="M135" s="2" t="n"/>
      <c r="N135" s="170" t="n"/>
      <c r="O135" s="170" t="n"/>
      <c r="P135" s="52" t="n"/>
    </row>
    <row r="136">
      <c r="B136" s="170" t="n">
        <v>125</v>
      </c>
      <c r="C136" s="199" t="inlineStr">
        <is>
          <t>COTIZACION DEL DISEÑO DE EXTINCIÓN DE INCENDIOS - PROYECTO CONSULTORIOS DE PSICOLOGIA</t>
        </is>
      </c>
      <c r="D136" s="312" t="n"/>
      <c r="E136" s="312" t="n"/>
      <c r="F136" s="312" t="n"/>
      <c r="G136" s="312" t="n"/>
      <c r="H136" s="312" t="n"/>
      <c r="I136" s="313" t="n"/>
      <c r="J136" s="199" t="inlineStr">
        <is>
          <t>SPCI</t>
        </is>
      </c>
      <c r="K136" s="314" t="n">
        <v>1950000</v>
      </c>
      <c r="L136" s="2" t="n">
        <v>44655</v>
      </c>
      <c r="M136" s="170" t="n"/>
      <c r="N136" s="170" t="n">
        <v>3214826168</v>
      </c>
      <c r="O136" s="170" t="inlineStr">
        <is>
          <t>Ana Maria Restrepo Mayo</t>
        </is>
      </c>
      <c r="P136" s="52" t="inlineStr">
        <is>
          <t>ana.restrepo@spci.com.co</t>
        </is>
      </c>
    </row>
    <row r="137">
      <c r="B137" s="170" t="n">
        <v>126</v>
      </c>
      <c r="C137" s="199" t="inlineStr">
        <is>
          <t>COTIZACION DEL ANÁLISIS DE SEGURIDAD HUMANA - HOTEL MARRIOT MEDELLÍN</t>
        </is>
      </c>
      <c r="D137" s="312" t="n"/>
      <c r="E137" s="312" t="n"/>
      <c r="F137" s="312" t="n"/>
      <c r="G137" s="312" t="n"/>
      <c r="H137" s="312" t="n"/>
      <c r="I137" s="313" t="n"/>
      <c r="J137" s="199" t="inlineStr">
        <is>
          <t>FGA</t>
        </is>
      </c>
      <c r="K137" s="314" t="n">
        <v>3950000</v>
      </c>
      <c r="L137" s="2" t="n">
        <v>44655</v>
      </c>
      <c r="M137" s="170" t="n"/>
      <c r="N137" s="170" t="inlineStr">
        <is>
          <t>312 2425139</t>
        </is>
      </c>
      <c r="O137" s="170" t="inlineStr">
        <is>
          <t>Luis Bernardo Saldarriaga</t>
        </is>
      </c>
      <c r="P137" s="52" t="inlineStr">
        <is>
          <t xml:space="preserve"> concejoenvigadofga@gmail.com</t>
        </is>
      </c>
    </row>
    <row r="138">
      <c r="B138" s="170" t="n">
        <v>127</v>
      </c>
      <c r="C138" s="199" t="inlineStr">
        <is>
          <t>COTIZACION DEFINICIÓN CARGA DE OCUPACIÓN - HOTEL MARRIOT MEDELLÍN</t>
        </is>
      </c>
      <c r="D138" s="312" t="n"/>
      <c r="E138" s="312" t="n"/>
      <c r="F138" s="312" t="n"/>
      <c r="G138" s="312" t="n"/>
      <c r="H138" s="312" t="n"/>
      <c r="I138" s="313" t="n"/>
      <c r="J138" s="199" t="inlineStr">
        <is>
          <t>MARRIOT</t>
        </is>
      </c>
      <c r="K138" s="314" t="n">
        <v>1750000</v>
      </c>
      <c r="L138" s="2" t="n">
        <v>44655</v>
      </c>
      <c r="M138" s="2" t="n"/>
      <c r="N138" s="170" t="inlineStr">
        <is>
          <t>310 4593241</t>
        </is>
      </c>
      <c r="O138" s="170" t="inlineStr">
        <is>
          <t>Julián Patiño</t>
        </is>
      </c>
      <c r="P138" s="52" t="inlineStr">
        <is>
          <t>julianp@icaroconsulting.com.co</t>
        </is>
      </c>
    </row>
    <row r="139">
      <c r="B139" s="170" t="n">
        <v>128</v>
      </c>
      <c r="C139" s="199" t="inlineStr">
        <is>
          <t>COTIZACION DEL ANÁLISIS DE SEGURIDAD HUMANA - LAFLA</t>
        </is>
      </c>
      <c r="D139" s="312" t="n"/>
      <c r="E139" s="312" t="n"/>
      <c r="F139" s="312" t="n"/>
      <c r="G139" s="312" t="n"/>
      <c r="H139" s="312" t="n"/>
      <c r="I139" s="313" t="n"/>
      <c r="J139" s="199" t="inlineStr">
        <is>
          <t>RISK</t>
        </is>
      </c>
      <c r="K139" s="314" t="n">
        <v>3500000</v>
      </c>
      <c r="L139" s="2" t="n">
        <v>44655</v>
      </c>
      <c r="M139" s="170" t="inlineStr">
        <is>
          <t>X</t>
        </is>
      </c>
      <c r="N139" s="170" t="inlineStr">
        <is>
          <t>310 4473509</t>
        </is>
      </c>
      <c r="O139" s="170" t="inlineStr">
        <is>
          <t>Carlos Alberto Gil Valencia</t>
        </is>
      </c>
      <c r="P139" s="52" t="inlineStr">
        <is>
          <t>risksolutiong@gmail.com</t>
        </is>
      </c>
    </row>
    <row r="140">
      <c r="B140" s="170" t="n">
        <v>129</v>
      </c>
      <c r="C140" s="199" t="inlineStr">
        <is>
          <t>REVISIÓN DE LOS SISTEMAS DE PROYTECCIÓN CONTRA INCENDIOS Y SEGURIDAD HUMANA PARA SPIAGGIA DI CARTAGENA</t>
        </is>
      </c>
      <c r="D140" s="312" t="n"/>
      <c r="E140" s="312" t="n"/>
      <c r="F140" s="312" t="n"/>
      <c r="G140" s="312" t="n"/>
      <c r="H140" s="312" t="n"/>
      <c r="I140" s="313" t="n"/>
      <c r="J140" s="199" t="inlineStr">
        <is>
          <t>IA&amp;C</t>
        </is>
      </c>
      <c r="K140" s="314" t="n">
        <v>15950000</v>
      </c>
      <c r="L140" s="2" t="n">
        <v>44655</v>
      </c>
      <c r="M140" s="2" t="n"/>
      <c r="N140" s="170" t="n"/>
      <c r="O140" s="170" t="inlineStr">
        <is>
          <t>Andrés Reinosa</t>
        </is>
      </c>
      <c r="P140" s="52" t="inlineStr">
        <is>
          <t>andresreinosa@iayc.co</t>
        </is>
      </c>
    </row>
    <row r="141">
      <c r="B141" s="170" t="n">
        <v>130</v>
      </c>
      <c r="C141" s="233" t="inlineStr">
        <is>
          <t>COTIZACION DEL DISEÑO DE EXTINCIÓN DE INCENDIOS PARA EL PROYECTO HANGARA CARTAGENA</t>
        </is>
      </c>
      <c r="D141" s="312" t="n"/>
      <c r="E141" s="312" t="n"/>
      <c r="F141" s="312" t="n"/>
      <c r="G141" s="312" t="n"/>
      <c r="H141" s="312" t="n"/>
      <c r="I141" s="313" t="n"/>
      <c r="J141" s="199" t="inlineStr">
        <is>
          <t>SPCI</t>
        </is>
      </c>
      <c r="K141" s="314" t="n">
        <v>10970000</v>
      </c>
      <c r="L141" s="2" t="n">
        <v>44655</v>
      </c>
      <c r="M141" s="170" t="n"/>
      <c r="N141" s="170" t="inlineStr">
        <is>
          <t>321 482 61 68</t>
        </is>
      </c>
      <c r="O141" s="170" t="inlineStr">
        <is>
          <t>Ana Maria Restrepo Mayo.</t>
        </is>
      </c>
      <c r="P141" s="52" t="inlineStr">
        <is>
          <t>ana.restrepo@spci.com.co</t>
        </is>
      </c>
    </row>
    <row r="142">
      <c r="B142" s="170" t="n">
        <v>131</v>
      </c>
      <c r="C142" s="199" t="inlineStr">
        <is>
          <t>COTIZACION DE LOS DISEÑOS DE PROTECCIÓN CONTRA INCENDIOS Y SEGURIDAD HUMANA PARA EL PROYECTO VIVIENDAS FOREVER</t>
        </is>
      </c>
      <c r="D142" s="312" t="n"/>
      <c r="E142" s="312" t="n"/>
      <c r="F142" s="312" t="n"/>
      <c r="G142" s="312" t="n"/>
      <c r="H142" s="312" t="n"/>
      <c r="I142" s="313" t="n"/>
      <c r="J142" s="199" t="inlineStr">
        <is>
          <t>TRAZOS URBANOS</t>
        </is>
      </c>
      <c r="K142" s="314" t="n">
        <v>15680000</v>
      </c>
      <c r="L142" s="2" t="n">
        <v>44656</v>
      </c>
      <c r="M142" s="170" t="n"/>
      <c r="N142" s="170" t="inlineStr">
        <is>
          <t>322 89 07</t>
        </is>
      </c>
      <c r="O142" s="170" t="inlineStr">
        <is>
          <t>Héctor Camilo Mejía Villa</t>
        </is>
      </c>
      <c r="P142" s="52" t="inlineStr">
        <is>
          <t>camilomejia@trazosurbanos.com.co</t>
        </is>
      </c>
    </row>
    <row r="143">
      <c r="B143" s="170" t="n">
        <v>132</v>
      </c>
      <c r="C143" s="199" t="inlineStr">
        <is>
          <t>COTIZACION DE LOS DISEÑOS DE PROTECCIÓN CONTRA INCENDIOS Y SEGURIDAD HUMANA PARA EL PROYECTO CALMO</t>
        </is>
      </c>
      <c r="D143" s="312" t="n"/>
      <c r="E143" s="312" t="n"/>
      <c r="F143" s="312" t="n"/>
      <c r="G143" s="312" t="n"/>
      <c r="H143" s="312" t="n"/>
      <c r="I143" s="313" t="n"/>
      <c r="J143" s="199" t="inlineStr">
        <is>
          <t>MENSULA SA</t>
        </is>
      </c>
      <c r="K143" s="314" t="n">
        <v>11900000</v>
      </c>
      <c r="L143" s="2" t="n">
        <v>44656</v>
      </c>
      <c r="M143" s="2" t="inlineStr">
        <is>
          <t>X</t>
        </is>
      </c>
      <c r="N143" s="170" t="inlineStr">
        <is>
          <t>574 4795490</t>
        </is>
      </c>
      <c r="O143" s="170" t="inlineStr">
        <is>
          <t>Crstian Londoño</t>
        </is>
      </c>
      <c r="P143" s="52" t="inlineStr">
        <is>
          <t>cristianlondono@mensulaingenieros.com</t>
        </is>
      </c>
    </row>
    <row r="144">
      <c r="B144" s="170" t="n">
        <v>133</v>
      </c>
      <c r="C144" s="199" t="inlineStr">
        <is>
          <t>COTIZACION DEL DISEÑO DE EXTINCIÓN DE INCENDIOS - BODEGA PRIMERA</t>
        </is>
      </c>
      <c r="D144" s="312" t="n"/>
      <c r="E144" s="312" t="n"/>
      <c r="F144" s="312" t="n"/>
      <c r="G144" s="312" t="n"/>
      <c r="H144" s="312" t="n"/>
      <c r="I144" s="313" t="n"/>
      <c r="J144" s="199" t="inlineStr">
        <is>
          <t>SPCI</t>
        </is>
      </c>
      <c r="K144" s="314" t="n">
        <v>14950000</v>
      </c>
      <c r="L144" s="2" t="n">
        <v>44657</v>
      </c>
      <c r="M144" s="170" t="inlineStr">
        <is>
          <t>X</t>
        </is>
      </c>
      <c r="N144" s="170" t="n">
        <v>3104680508</v>
      </c>
      <c r="O144" s="170" t="inlineStr">
        <is>
          <t>Juan Pablo Grajales</t>
        </is>
      </c>
      <c r="P144" s="52" t="inlineStr">
        <is>
          <t>juan.grajales@spci.com.co</t>
        </is>
      </c>
    </row>
    <row r="145">
      <c r="B145" s="170" t="n">
        <v>134</v>
      </c>
      <c r="C145" s="199" t="inlineStr">
        <is>
          <t>COTIZACION DE LOS PLANOS AS-BUIT ESTACIÓN DE POLICÍA LAS PLAMAS</t>
        </is>
      </c>
      <c r="D145" s="312" t="n"/>
      <c r="E145" s="312" t="n"/>
      <c r="F145" s="312" t="n"/>
      <c r="G145" s="312" t="n"/>
      <c r="H145" s="312" t="n"/>
      <c r="I145" s="313" t="n"/>
      <c r="J145" s="199" t="inlineStr">
        <is>
          <t>RRP ARQUITECTOS</t>
        </is>
      </c>
      <c r="K145" s="314" t="n">
        <v>1250000</v>
      </c>
      <c r="L145" s="2" t="n">
        <v>44657</v>
      </c>
      <c r="M145" s="170" t="inlineStr">
        <is>
          <t>X</t>
        </is>
      </c>
      <c r="N145" s="170" t="inlineStr">
        <is>
          <t>300 4899024</t>
        </is>
      </c>
      <c r="O145" s="170" t="inlineStr">
        <is>
          <t>Álvaro Rojas</t>
        </is>
      </c>
      <c r="P145" s="52" t="inlineStr">
        <is>
          <t xml:space="preserve">alvaro.rojas@rrp.com.co </t>
        </is>
      </c>
    </row>
    <row r="146">
      <c r="B146" s="170" t="n">
        <v>135</v>
      </c>
      <c r="C146" s="199" t="inlineStr">
        <is>
          <t>COTIZACIÓN DE MODELACIÓN Y REPORTES DE CÁLCULO…...</t>
        </is>
      </c>
      <c r="D146" s="312" t="n"/>
      <c r="E146" s="312" t="n"/>
      <c r="F146" s="312" t="n"/>
      <c r="G146" s="312" t="n"/>
      <c r="H146" s="312" t="n"/>
      <c r="I146" s="313" t="n"/>
      <c r="J146" s="199" t="inlineStr">
        <is>
          <t>SPCI</t>
        </is>
      </c>
      <c r="K146" s="314" t="n">
        <v>3900000</v>
      </c>
      <c r="L146" s="2" t="n">
        <v>44662</v>
      </c>
      <c r="M146" s="170" t="n"/>
      <c r="N146" s="170" t="n">
        <v>3137546144</v>
      </c>
      <c r="O146" s="170" t="inlineStr">
        <is>
          <t>Juan Camilo Quintero Bedoya</t>
        </is>
      </c>
      <c r="P146" s="52" t="inlineStr">
        <is>
          <t>camilo.quintero@spci.com.co</t>
        </is>
      </c>
    </row>
    <row r="147">
      <c r="B147" s="170" t="n">
        <v>136</v>
      </c>
      <c r="C147" s="199" t="inlineStr">
        <is>
          <t>COTIZACION DE LOS DISEÑOS DE PROTECCIÓN CONTRA INCENDIOS PARA EL PROYECTO EPSA SEDE 2</t>
        </is>
      </c>
      <c r="D147" s="312" t="n"/>
      <c r="E147" s="312" t="n"/>
      <c r="F147" s="312" t="n"/>
      <c r="G147" s="312" t="n"/>
      <c r="H147" s="312" t="n"/>
      <c r="I147" s="313" t="n"/>
      <c r="J147" s="199" t="inlineStr">
        <is>
          <t>SPCI</t>
        </is>
      </c>
      <c r="K147" s="314" t="n">
        <v>18550000</v>
      </c>
      <c r="L147" s="2" t="n">
        <v>44662</v>
      </c>
      <c r="M147" s="170" t="n"/>
      <c r="N147" s="170" t="inlineStr">
        <is>
          <t>321 482 61 68</t>
        </is>
      </c>
      <c r="O147" s="170" t="inlineStr">
        <is>
          <t>Ana Maria Restrepo Mayo.</t>
        </is>
      </c>
      <c r="P147" s="52" t="inlineStr">
        <is>
          <t>ana.restrepo@spci.com.co</t>
        </is>
      </c>
    </row>
    <row r="148">
      <c r="B148" s="170" t="n">
        <v>137</v>
      </c>
      <c r="C148" s="199" t="inlineStr">
        <is>
          <t>COTIZACION DEL ANÁLISIS DE SEGURIDAD HUMANA PARA EL PROYECTO BODEGA 2B PARQUE INDUSTRIAL LOGIKA MADRID</t>
        </is>
      </c>
      <c r="D148" s="312" t="n"/>
      <c r="E148" s="312" t="n"/>
      <c r="F148" s="312" t="n"/>
      <c r="G148" s="312" t="n"/>
      <c r="H148" s="312" t="n"/>
      <c r="I148" s="313" t="n"/>
      <c r="J148" s="199" t="inlineStr">
        <is>
          <t>CONCONCRETO</t>
        </is>
      </c>
      <c r="K148" s="314" t="n">
        <v>2600000</v>
      </c>
      <c r="L148" s="2" t="n">
        <v>44662</v>
      </c>
      <c r="M148" s="170" t="inlineStr">
        <is>
          <t>X</t>
        </is>
      </c>
      <c r="N148" s="170" t="n"/>
      <c r="O148" s="170" t="inlineStr">
        <is>
          <t>Pilar Arango Restrepo</t>
        </is>
      </c>
      <c r="P148" s="52" t="inlineStr">
        <is>
          <t>parangor@conconcreto.com</t>
        </is>
      </c>
    </row>
    <row r="149">
      <c r="B149" s="170" t="n">
        <v>138</v>
      </c>
      <c r="C149" s="199" t="inlineStr">
        <is>
          <t>COTIZACION DEL DIAGNÓSTICO, PRUEBA E INGENIERÍA CONCEPTUAL DE LOS SISTEMAS DE PROTECCIÓN CONTRA INCENDIOS DE LA FÁBRICA DE LICORES Y ALCOHOLES DE ANTIOQUIA EICE</t>
        </is>
      </c>
      <c r="D149" s="312" t="n"/>
      <c r="E149" s="312" t="n"/>
      <c r="F149" s="312" t="n"/>
      <c r="G149" s="312" t="n"/>
      <c r="H149" s="312" t="n"/>
      <c r="I149" s="313" t="n"/>
      <c r="J149" s="199" t="inlineStr">
        <is>
          <t>LAFLA</t>
        </is>
      </c>
      <c r="K149" s="314" t="n">
        <v>23500000</v>
      </c>
      <c r="L149" s="2" t="n">
        <v>44664</v>
      </c>
      <c r="M149" s="2" t="n"/>
      <c r="N149" s="170" t="n"/>
      <c r="O149" s="170" t="inlineStr">
        <is>
          <t>German Eduardo Plata</t>
        </is>
      </c>
      <c r="P149" s="52" t="inlineStr">
        <is>
          <t>germaneduardo.plata@fla.com.co</t>
        </is>
      </c>
    </row>
    <row r="150">
      <c r="B150" s="170" t="n">
        <v>139</v>
      </c>
      <c r="C150" s="233" t="inlineStr">
        <is>
          <t xml:space="preserve">COTIZACION DE LOS DISEÑOS DE PROTECCIÓN CONTRA INCENDIOS PARA EL PROYECTO PLANTAS ENVASADORAS Y ALMACENADORA DE GLP
</t>
        </is>
      </c>
      <c r="D150" s="312" t="n"/>
      <c r="E150" s="312" t="n"/>
      <c r="F150" s="312" t="n"/>
      <c r="G150" s="312" t="n"/>
      <c r="H150" s="312" t="n"/>
      <c r="I150" s="313" t="n"/>
      <c r="J150" s="199" t="inlineStr">
        <is>
          <t>SPCI</t>
        </is>
      </c>
      <c r="K150" s="314" t="n">
        <v>300000000</v>
      </c>
      <c r="L150" s="2" t="n">
        <v>44663</v>
      </c>
      <c r="M150" s="170" t="n"/>
      <c r="N150" s="170" t="inlineStr">
        <is>
          <t>321 482 61 68</t>
        </is>
      </c>
      <c r="O150" s="170" t="inlineStr">
        <is>
          <t>Ana Maria Restrepo Mayo.</t>
        </is>
      </c>
      <c r="P150" s="52" t="inlineStr">
        <is>
          <t>ana.restrepo@spci.com.co</t>
        </is>
      </c>
    </row>
    <row r="151">
      <c r="B151" s="170" t="n">
        <v>140</v>
      </c>
      <c r="C151" s="199" t="inlineStr">
        <is>
          <t>COTIZACION DE LOS DISEÑOS DE PROTECCIÓN CONTRA INCENDIOS PARA EL PROYECTO TORRE 3 DE PLANTE</t>
        </is>
      </c>
      <c r="D151" s="312" t="n"/>
      <c r="E151" s="312" t="n"/>
      <c r="F151" s="312" t="n"/>
      <c r="G151" s="312" t="n"/>
      <c r="H151" s="312" t="n"/>
      <c r="I151" s="313" t="n"/>
      <c r="J151" s="199" t="inlineStr">
        <is>
          <t>CON-AXION SAS</t>
        </is>
      </c>
      <c r="K151" s="314" t="n">
        <v>7250000</v>
      </c>
      <c r="L151" s="2" t="n">
        <v>44664</v>
      </c>
      <c r="M151" s="170" t="n"/>
      <c r="N151" s="170" t="inlineStr">
        <is>
          <t xml:space="preserve"> (4) 440 9310</t>
        </is>
      </c>
      <c r="O151" s="170" t="inlineStr">
        <is>
          <t>Juan Aristizabal Guisao</t>
        </is>
      </c>
      <c r="P151" s="52" t="inlineStr">
        <is>
          <t>jaristizabal@con-axion.com</t>
        </is>
      </c>
    </row>
    <row r="152">
      <c r="B152" s="170" t="n">
        <v>141</v>
      </c>
      <c r="C152" s="199" t="inlineStr">
        <is>
          <t>COTIZACION DE LA REVISIÓN DEL ESTUDIO DE SEGURIDAD HUMANA - PROYECTOS UNIVERSIDAD DEL VALLE - REV C</t>
        </is>
      </c>
      <c r="D152" s="312" t="n"/>
      <c r="E152" s="312" t="n"/>
      <c r="F152" s="312" t="n"/>
      <c r="G152" s="312" t="n"/>
      <c r="H152" s="312" t="n"/>
      <c r="I152" s="313" t="n"/>
      <c r="J152" s="199" t="inlineStr">
        <is>
          <t>INGENIO BIM</t>
        </is>
      </c>
      <c r="K152" s="314">
        <f>9500000*0.95</f>
        <v/>
      </c>
      <c r="L152" s="2" t="n">
        <v>44669</v>
      </c>
      <c r="M152" s="2" t="n"/>
      <c r="N152" s="170" t="inlineStr">
        <is>
          <t>300 2426006</t>
        </is>
      </c>
      <c r="O152" s="170" t="inlineStr">
        <is>
          <t>Daniel Guzman Duque</t>
        </is>
      </c>
      <c r="P152" s="52" t="inlineStr">
        <is>
          <t>daniel.guzman@ingeniobim.co</t>
        </is>
      </c>
    </row>
    <row r="153">
      <c r="B153" s="170" t="n">
        <v>142</v>
      </c>
      <c r="C153" s="199" t="inlineStr">
        <is>
          <t>COTIZACION DE LOS DISEÑOS DE PROTECCIÓN CONTRA INCENDIOS Y SEGURIDAD HUMANA PARA EL PROYECTO EDIFICIO LA CEJA-EL CARMEN</t>
        </is>
      </c>
      <c r="D153" s="312" t="n"/>
      <c r="E153" s="312" t="n"/>
      <c r="F153" s="312" t="n"/>
      <c r="G153" s="312" t="n"/>
      <c r="H153" s="312" t="n"/>
      <c r="I153" s="313" t="n"/>
      <c r="J153" s="199" t="inlineStr">
        <is>
          <t>GERENCIA INTEGRAL</t>
        </is>
      </c>
      <c r="K153" s="314" t="n">
        <v>14950000</v>
      </c>
      <c r="L153" s="2" t="n">
        <v>44670</v>
      </c>
      <c r="M153" s="170" t="n"/>
      <c r="N153" s="170" t="n"/>
      <c r="O153" s="170" t="inlineStr">
        <is>
          <t>Humberto Duque</t>
        </is>
      </c>
      <c r="P153" s="52" t="n"/>
    </row>
    <row r="154">
      <c r="B154" s="170" t="n">
        <v>143</v>
      </c>
      <c r="C154" s="199" t="inlineStr">
        <is>
          <t>COTIZACION DE LOS DISEÑOS DE PROTECCIÓN CONTRA INCENDIOS Y SEGURIDAD HUMANA PARA EL PROYECTO VIBRATTO</t>
        </is>
      </c>
      <c r="D154" s="312" t="n"/>
      <c r="E154" s="312" t="n"/>
      <c r="F154" s="312" t="n"/>
      <c r="G154" s="312" t="n"/>
      <c r="H154" s="312" t="n"/>
      <c r="I154" s="313" t="n"/>
      <c r="J154" s="199" t="inlineStr">
        <is>
          <t>CENTRO SUR</t>
        </is>
      </c>
      <c r="K154" s="314" t="n">
        <v>16950000</v>
      </c>
      <c r="L154" s="2" t="n">
        <v>44671</v>
      </c>
      <c r="M154" s="170" t="n"/>
      <c r="N154" s="170" t="inlineStr">
        <is>
          <t>4480648 Ext 122</t>
        </is>
      </c>
      <c r="O154" s="170" t="inlineStr">
        <is>
          <t>Daniel Pernett Patiño</t>
        </is>
      </c>
      <c r="P154" s="52" t="inlineStr">
        <is>
          <t>danielpernett@centrosur.co</t>
        </is>
      </c>
    </row>
    <row r="155">
      <c r="B155" s="170" t="inlineStr">
        <is>
          <t>143B</t>
        </is>
      </c>
      <c r="C155" s="199" t="inlineStr">
        <is>
          <t>COTIZACION DE LOS DISEÑOS DE SEGURIDAD HUMANA Y PROTECCION CONTRA INCENDIOS</t>
        </is>
      </c>
      <c r="D155" s="312" t="n"/>
      <c r="E155" s="312" t="n"/>
      <c r="F155" s="312" t="n"/>
      <c r="G155" s="312" t="n"/>
      <c r="H155" s="312" t="n"/>
      <c r="I155" s="313" t="n"/>
      <c r="J155" s="199" t="inlineStr">
        <is>
          <t>CONDISEÑO</t>
        </is>
      </c>
      <c r="K155" s="314" t="n">
        <v>7275000</v>
      </c>
      <c r="L155" s="2" t="n">
        <v>44671</v>
      </c>
      <c r="M155" s="170" t="n"/>
      <c r="N155" s="170" t="n">
        <v>3175594091</v>
      </c>
      <c r="O155" s="170" t="inlineStr">
        <is>
          <t>Nakary Garcia Romero</t>
        </is>
      </c>
      <c r="P155" s="52" t="n"/>
    </row>
    <row r="156">
      <c r="B156" s="170" t="n">
        <v>144</v>
      </c>
      <c r="C156" s="199" t="inlineStr">
        <is>
          <t>COTIZACION DE LOS DISEÑOS DE PROTECCIÓN CONTRA INCENDIOS Y SEGURIDAD HUMANA PARA EL PROYECTO SONATTO</t>
        </is>
      </c>
      <c r="D156" s="312" t="n"/>
      <c r="E156" s="312" t="n"/>
      <c r="F156" s="312" t="n"/>
      <c r="G156" s="312" t="n"/>
      <c r="H156" s="312" t="n"/>
      <c r="I156" s="313" t="n"/>
      <c r="J156" s="199" t="inlineStr">
        <is>
          <t>CENTRO SUR</t>
        </is>
      </c>
      <c r="K156" s="314" t="n">
        <v>21950000</v>
      </c>
      <c r="L156" s="2" t="n">
        <v>44671</v>
      </c>
      <c r="M156" s="170" t="n"/>
      <c r="N156" s="170" t="inlineStr">
        <is>
          <t>4480648 Ext 122</t>
        </is>
      </c>
      <c r="O156" s="170" t="inlineStr">
        <is>
          <t>Daniel Pernett Patiño</t>
        </is>
      </c>
      <c r="P156" s="52" t="inlineStr">
        <is>
          <t>danielpernett@centrosur.co</t>
        </is>
      </c>
    </row>
    <row r="157">
      <c r="B157" s="170" t="n">
        <v>145</v>
      </c>
      <c r="C157" s="233" t="inlineStr">
        <is>
          <t>COTIZACION DE LOS DISEÑOS DE PROTECCIÓN CONTRA INCENDIOS PARA EL PROYECTO CHÉBIKA</t>
        </is>
      </c>
      <c r="D157" s="312" t="n"/>
      <c r="E157" s="312" t="n"/>
      <c r="F157" s="312" t="n"/>
      <c r="G157" s="312" t="n"/>
      <c r="H157" s="312" t="n"/>
      <c r="I157" s="313" t="n"/>
      <c r="J157" s="199" t="inlineStr">
        <is>
          <t>CONTEX</t>
        </is>
      </c>
      <c r="K157" s="314" t="n">
        <v>25800000</v>
      </c>
      <c r="L157" s="2" t="n">
        <v>44671</v>
      </c>
      <c r="M157" s="2" t="n"/>
      <c r="N157" s="170" t="n"/>
      <c r="O157" s="170" t="inlineStr">
        <is>
          <t>Ana Melisa Blanco Vélez</t>
        </is>
      </c>
      <c r="P157" s="52" t="inlineStr">
        <is>
          <t>ablanco@contex.com.co</t>
        </is>
      </c>
    </row>
    <row r="158">
      <c r="B158" s="170" t="n">
        <v>146</v>
      </c>
      <c r="C158" s="199" t="inlineStr">
        <is>
          <t>COTIZACION DE LOS DISEÑOS DE PROTECCIÓN CONTRA INCENDIOS PARA EL PROYECTO AGROVETERINARIA</t>
        </is>
      </c>
      <c r="D158" s="312" t="n"/>
      <c r="E158" s="312" t="n"/>
      <c r="F158" s="312" t="n"/>
      <c r="G158" s="312" t="n"/>
      <c r="H158" s="312" t="n"/>
      <c r="I158" s="313" t="n"/>
      <c r="J158" s="199" t="inlineStr">
        <is>
          <t xml:space="preserve">Agroveterinaria la Once </t>
        </is>
      </c>
      <c r="K158" s="314" t="n">
        <v>3760000</v>
      </c>
      <c r="L158" s="2" t="n">
        <v>44673</v>
      </c>
      <c r="M158" s="170" t="n"/>
      <c r="N158" s="170" t="n"/>
      <c r="O158" s="170" t="inlineStr">
        <is>
          <t>Guillermo Hincapie Zabala</t>
        </is>
      </c>
      <c r="P158" s="52" t="n"/>
    </row>
    <row r="159">
      <c r="B159" s="170" t="n">
        <v>147</v>
      </c>
      <c r="C159" s="199" t="inlineStr">
        <is>
          <t xml:space="preserve">COTIZACION DEL DISEÑO DE DETECCIÓN DE INCENDIOS PARA EL PROYECTO MERKA AHORRO </t>
        </is>
      </c>
      <c r="D159" s="312" t="n"/>
      <c r="E159" s="312" t="n"/>
      <c r="F159" s="312" t="n"/>
      <c r="G159" s="312" t="n"/>
      <c r="H159" s="312" t="n"/>
      <c r="I159" s="313" t="n"/>
      <c r="J159" s="199" t="inlineStr">
        <is>
          <t>Cristian Gañan</t>
        </is>
      </c>
      <c r="K159" s="314" t="n">
        <v>4400000</v>
      </c>
      <c r="L159" s="2" t="n">
        <v>44673</v>
      </c>
      <c r="M159" s="170" t="n"/>
      <c r="N159" s="170" t="inlineStr">
        <is>
          <t>310 5104288</t>
        </is>
      </c>
      <c r="O159" s="170" t="inlineStr">
        <is>
          <t>Cristian Gañan</t>
        </is>
      </c>
      <c r="P159" s="52" t="n"/>
    </row>
    <row r="160">
      <c r="B160" s="170" t="n">
        <v>148</v>
      </c>
      <c r="C160" s="199" t="inlineStr">
        <is>
          <t>COTIZACION DEL DISEÑO DE EXTINCIÓN DE INCENDIOS PARA EL PROYECTO MERKA AHORRO</t>
        </is>
      </c>
      <c r="D160" s="312" t="n"/>
      <c r="E160" s="312" t="n"/>
      <c r="F160" s="312" t="n"/>
      <c r="G160" s="312" t="n"/>
      <c r="H160" s="312" t="n"/>
      <c r="I160" s="313" t="n"/>
      <c r="J160" s="199" t="inlineStr">
        <is>
          <t>Cristian Gañan</t>
        </is>
      </c>
      <c r="K160" s="314" t="n">
        <v>11915000</v>
      </c>
      <c r="L160" s="2" t="n">
        <v>44673</v>
      </c>
      <c r="M160" s="170" t="n"/>
      <c r="N160" s="170" t="inlineStr">
        <is>
          <t>310 5104288</t>
        </is>
      </c>
      <c r="O160" s="170" t="inlineStr">
        <is>
          <t>Cristian Gañan</t>
        </is>
      </c>
      <c r="P160" s="52" t="n"/>
    </row>
    <row r="161">
      <c r="B161" s="170" t="n">
        <v>149</v>
      </c>
      <c r="C161" s="199" t="inlineStr">
        <is>
          <t>COTIZACION DE LOS DISEÑOS DE PROTECCIÓN CONTRA INCENDIOS Y SEGURIDAD HUMANA PARA EL PROYECTO LICEO FRANCES</t>
        </is>
      </c>
      <c r="D161" s="312" t="n"/>
      <c r="E161" s="312" t="n"/>
      <c r="F161" s="312" t="n"/>
      <c r="G161" s="312" t="n"/>
      <c r="H161" s="312" t="n"/>
      <c r="I161" s="313" t="n"/>
      <c r="J161" s="199" t="inlineStr">
        <is>
          <t>G4 Proyectos Inmobiliarios</t>
        </is>
      </c>
      <c r="K161" s="314" t="n">
        <v>11950000</v>
      </c>
      <c r="L161" s="2" t="n">
        <v>44673</v>
      </c>
      <c r="M161" s="170" t="inlineStr">
        <is>
          <t>X</t>
        </is>
      </c>
      <c r="N161" s="170" t="n"/>
      <c r="O161" s="170" t="inlineStr">
        <is>
          <t>DANIEL LÓPEZ SÁNCHEZ</t>
        </is>
      </c>
      <c r="P161" s="52" t="inlineStr">
        <is>
          <t>ingenierotecnico1@g4ingenieros.com</t>
        </is>
      </c>
    </row>
    <row r="162">
      <c r="B162" s="170" t="n">
        <v>150</v>
      </c>
      <c r="C162" s="199" t="inlineStr">
        <is>
          <t>COTIZACION DE LOS DISEÑOS DE PROTECCIÓN CONTRA INCENDIOS Y SEGURIDAD HUMANA PARA EL PROYECTO BALCONES MIRAFLOREZ</t>
        </is>
      </c>
      <c r="D162" s="312" t="n"/>
      <c r="E162" s="312" t="n"/>
      <c r="F162" s="312" t="n"/>
      <c r="G162" s="312" t="n"/>
      <c r="H162" s="312" t="n"/>
      <c r="I162" s="313" t="n"/>
      <c r="J162" s="199" t="inlineStr">
        <is>
          <t>G4 Proyectos Inmobiliarios</t>
        </is>
      </c>
      <c r="K162" s="314" t="n">
        <v>9410000</v>
      </c>
      <c r="L162" s="2" t="n">
        <v>44642</v>
      </c>
      <c r="M162" s="2" t="n"/>
      <c r="N162" s="170" t="n"/>
      <c r="O162" s="170" t="inlineStr">
        <is>
          <t>SANDRA VALENCIA G.</t>
        </is>
      </c>
      <c r="P162" s="52" t="inlineStr">
        <is>
          <t>s.valencia@g4ingenieros.com</t>
        </is>
      </c>
    </row>
    <row r="163">
      <c r="B163" s="170" t="n">
        <v>151</v>
      </c>
      <c r="C163" s="199" t="inlineStr">
        <is>
          <t>COTIZACION DE LOS DISEÑOS DE PROTECCIÓN CONTRA INCENDIOS PARA EL PROYECTO PLANTAS ENVASADORAS Y ALMACENADORAS DE GLP</t>
        </is>
      </c>
      <c r="D163" s="312" t="n"/>
      <c r="E163" s="312" t="n"/>
      <c r="F163" s="312" t="n"/>
      <c r="G163" s="312" t="n"/>
      <c r="H163" s="312" t="n"/>
      <c r="I163" s="313" t="n"/>
      <c r="J163" s="199" t="inlineStr">
        <is>
          <t>CHILCO</t>
        </is>
      </c>
      <c r="K163" s="314" t="n">
        <v>300000000</v>
      </c>
      <c r="L163" s="2" t="n">
        <v>44676</v>
      </c>
      <c r="M163" s="170" t="n"/>
      <c r="N163" s="170" t="n">
        <v>3174383326</v>
      </c>
      <c r="O163" s="78" t="inlineStr">
        <is>
          <t>Paola Lechter</t>
        </is>
      </c>
      <c r="P163" s="88" t="inlineStr">
        <is>
          <t>paolalechter@chilco.com.co</t>
        </is>
      </c>
    </row>
    <row r="164">
      <c r="B164" s="170" t="n">
        <v>152</v>
      </c>
      <c r="C164" s="199" t="inlineStr">
        <is>
          <t>MODELACIÓN Y CÁLCULOS DEL SISTEMA DE DETECCIÓN DE INCENDIOS PARA BIODESTILERIA</t>
        </is>
      </c>
      <c r="D164" s="312" t="n"/>
      <c r="E164" s="312" t="n"/>
      <c r="F164" s="312" t="n"/>
      <c r="G164" s="312" t="n"/>
      <c r="H164" s="312" t="n"/>
      <c r="I164" s="313" t="n"/>
      <c r="J164" s="199" t="n"/>
      <c r="K164" s="314" t="n">
        <v>1950000</v>
      </c>
      <c r="L164" s="2" t="n">
        <v>44676</v>
      </c>
      <c r="M164" s="170" t="inlineStr">
        <is>
          <t>X</t>
        </is>
      </c>
      <c r="N164" s="170" t="n">
        <v>3146920966</v>
      </c>
      <c r="O164" s="170" t="inlineStr">
        <is>
          <t>Daniel Uribe</t>
        </is>
      </c>
      <c r="P164" s="52" t="inlineStr">
        <is>
          <t>daniel.uribe@spci.com.co</t>
        </is>
      </c>
    </row>
    <row r="165">
      <c r="B165" s="170" t="n">
        <v>153</v>
      </c>
      <c r="C165" s="199" t="inlineStr">
        <is>
          <t xml:space="preserve">
COTIZACION DE LOS DISEÑOS DE PROTECCIÓN CONTRA INCENDIOS PARA EL PROYECTO BATA LOCAL 115</t>
        </is>
      </c>
      <c r="D165" s="312" t="n"/>
      <c r="E165" s="312" t="n"/>
      <c r="F165" s="312" t="n"/>
      <c r="G165" s="312" t="n"/>
      <c r="H165" s="312" t="n"/>
      <c r="I165" s="313" t="n"/>
      <c r="J165" s="207" t="inlineStr">
        <is>
          <t>SPCI</t>
        </is>
      </c>
      <c r="K165" s="314" t="n">
        <v>1980000</v>
      </c>
      <c r="L165" s="2" t="n">
        <v>44677</v>
      </c>
      <c r="M165" s="170" t="n"/>
      <c r="N165" s="170" t="n">
        <v>3137546144</v>
      </c>
      <c r="O165" s="170" t="inlineStr">
        <is>
          <t>Juan Camilo Quintero Bedoya</t>
        </is>
      </c>
      <c r="P165" s="52" t="inlineStr">
        <is>
          <t>camilo.quintero@spci.com.co</t>
        </is>
      </c>
    </row>
    <row r="166">
      <c r="B166" s="170" t="n">
        <v>154</v>
      </c>
      <c r="C166" s="199" t="inlineStr">
        <is>
          <t>COTIZACION DEL ANÁLISIS DE SEGURIDAD HUMANA PARA EL PROYECTO ARTES DEBORA ARANGO</t>
        </is>
      </c>
      <c r="D166" s="312" t="n"/>
      <c r="E166" s="312" t="n"/>
      <c r="F166" s="312" t="n"/>
      <c r="G166" s="312" t="n"/>
      <c r="H166" s="312" t="n"/>
      <c r="I166" s="313" t="n"/>
      <c r="J166" s="199" t="inlineStr">
        <is>
          <t>Conintec S.A.S</t>
        </is>
      </c>
      <c r="K166" s="314" t="n">
        <v>5650000</v>
      </c>
      <c r="L166" s="2" t="n">
        <v>44677</v>
      </c>
      <c r="M166" s="2" t="n"/>
      <c r="N166" s="170" t="n"/>
      <c r="O166" s="170" t="inlineStr">
        <is>
          <t>Juan Sebastian Henao.</t>
        </is>
      </c>
      <c r="P166" s="52" t="inlineStr">
        <is>
          <t>interventoriadeboraetapa2@gmail.com</t>
        </is>
      </c>
    </row>
    <row r="167">
      <c r="B167" s="170" t="n">
        <v>155</v>
      </c>
      <c r="C167" s="235" t="inlineStr">
        <is>
          <t>COTIZACION DEL DISEÑO DE EXTINCIÓN DE INCENDIOS PARA EL PROYECTO PLANTA DE LIQUIDOS INYECTABLES</t>
        </is>
      </c>
      <c r="D167" s="312" t="n"/>
      <c r="E167" s="312" t="n"/>
      <c r="F167" s="312" t="n"/>
      <c r="G167" s="312" t="n"/>
      <c r="H167" s="312" t="n"/>
      <c r="I167" s="313" t="n"/>
      <c r="J167" s="235" t="inlineStr">
        <is>
          <t>New Stetic</t>
        </is>
      </c>
      <c r="K167" s="314" t="n">
        <v>9950000</v>
      </c>
      <c r="L167" s="2" t="n">
        <v>44677</v>
      </c>
      <c r="M167" s="170" t="n"/>
      <c r="N167" s="170" t="n"/>
      <c r="O167" s="170" t="inlineStr">
        <is>
          <t>CIRO ALFONSO ATUESTA</t>
        </is>
      </c>
      <c r="P167" s="52" t="inlineStr">
        <is>
          <t>gerencia.atca@gmail.com</t>
        </is>
      </c>
    </row>
    <row r="168">
      <c r="B168" s="170" t="n">
        <v>156</v>
      </c>
      <c r="C168" s="199" t="inlineStr">
        <is>
          <t>COTIZACION DEL DISEÑO DE EXTINCIÓN DE INCENDIOS PARA EL PROYECTO CONSULTORIOS EL TESORO</t>
        </is>
      </c>
      <c r="D168" s="312" t="n"/>
      <c r="E168" s="312" t="n"/>
      <c r="F168" s="312" t="n"/>
      <c r="G168" s="312" t="n"/>
      <c r="H168" s="312" t="n"/>
      <c r="I168" s="313" t="n"/>
      <c r="J168" s="199" t="inlineStr">
        <is>
          <t>BYR</t>
        </is>
      </c>
      <c r="K168" s="314" t="n">
        <v>1300000</v>
      </c>
      <c r="L168" s="2" t="n">
        <v>44677</v>
      </c>
      <c r="M168" s="2" t="inlineStr">
        <is>
          <t>X</t>
        </is>
      </c>
      <c r="N168" s="170" t="n"/>
      <c r="O168" s="170" t="inlineStr">
        <is>
          <t>Daniel Cardona</t>
        </is>
      </c>
      <c r="P168" s="52" t="inlineStr">
        <is>
          <t xml:space="preserve">	dcardona@byr.com.co</t>
        </is>
      </c>
    </row>
    <row r="169">
      <c r="B169" s="170" t="n">
        <v>157</v>
      </c>
      <c r="C169" s="199" t="inlineStr">
        <is>
          <t>COTIZACION DEL DISEÑO DE DETECCIÓN DE INCENDIOS PARA EL PROYECTO TEATRO METROPOLITANO</t>
        </is>
      </c>
      <c r="D169" s="312" t="n"/>
      <c r="E169" s="312" t="n"/>
      <c r="F169" s="312" t="n"/>
      <c r="G169" s="312" t="n"/>
      <c r="H169" s="312" t="n"/>
      <c r="I169" s="313" t="n"/>
      <c r="J169" s="199" t="inlineStr">
        <is>
          <t>SECURETEC</t>
        </is>
      </c>
      <c r="K169" s="314" t="n">
        <v>2950000</v>
      </c>
      <c r="L169" s="2" t="n">
        <v>44677</v>
      </c>
      <c r="M169" s="2" t="n"/>
      <c r="N169" s="170" t="inlineStr">
        <is>
          <t>312 405 4584</t>
        </is>
      </c>
      <c r="O169" s="170" t="inlineStr">
        <is>
          <t xml:space="preserve">Maribel Osorio E.  </t>
        </is>
      </c>
      <c r="P169" s="52" t="inlineStr">
        <is>
          <t>ascomercial@securetec.com.co</t>
        </is>
      </c>
    </row>
    <row r="170">
      <c r="B170" s="170" t="n">
        <v>158</v>
      </c>
      <c r="C170" s="199" t="inlineStr">
        <is>
          <t>COTIZACION DEL LEVANTAMIENTO SISTEMAS PROTECCIÓN DE INCENDIOS - ED SAN MARTIN</t>
        </is>
      </c>
      <c r="D170" s="312" t="n"/>
      <c r="E170" s="312" t="n"/>
      <c r="F170" s="312" t="n"/>
      <c r="G170" s="312" t="n"/>
      <c r="H170" s="312" t="n"/>
      <c r="I170" s="313" t="n"/>
      <c r="J170" s="199" t="inlineStr">
        <is>
          <t>MENSULA</t>
        </is>
      </c>
      <c r="K170" s="314" t="n">
        <v>7950000</v>
      </c>
      <c r="L170" s="2" t="n">
        <v>44678</v>
      </c>
      <c r="M170" s="170" t="n"/>
      <c r="N170" s="170" t="inlineStr">
        <is>
          <t>311 8973306</t>
        </is>
      </c>
      <c r="O170" s="170" t="inlineStr">
        <is>
          <t>Natalia Cruz</t>
        </is>
      </c>
      <c r="P170" s="52" t="inlineStr">
        <is>
          <t>nataliacruz@mensulaingenieros.com</t>
        </is>
      </c>
    </row>
    <row r="171">
      <c r="B171" s="170" t="n">
        <v>159</v>
      </c>
      <c r="C171" s="199" t="inlineStr">
        <is>
          <t>COTIZACIÓN SISTEMA DE EXTINCIÓN DE INCENDIOS VORTEX - VAXTHERA</t>
        </is>
      </c>
      <c r="D171" s="312" t="n"/>
      <c r="E171" s="312" t="n"/>
      <c r="F171" s="312" t="n"/>
      <c r="G171" s="312" t="n"/>
      <c r="H171" s="312" t="n"/>
      <c r="I171" s="313" t="n"/>
      <c r="J171" s="199" t="inlineStr">
        <is>
          <t>SERIINCO</t>
        </is>
      </c>
      <c r="K171" s="314" t="n">
        <v>5500000</v>
      </c>
      <c r="L171" s="2" t="n">
        <v>44678</v>
      </c>
      <c r="M171" s="2" t="n"/>
      <c r="N171" s="170" t="n">
        <v>4442074</v>
      </c>
      <c r="O171" s="170" t="inlineStr">
        <is>
          <t>Francisco Unda</t>
        </is>
      </c>
      <c r="P171" s="52" t="inlineStr">
        <is>
          <t>francisco.unda@seriinco.com</t>
        </is>
      </c>
    </row>
    <row r="172">
      <c r="B172" s="170" t="n">
        <v>160</v>
      </c>
      <c r="C172" s="199" t="inlineStr">
        <is>
          <t>COTIZACION DE LOS DISEÑOS DE PROTECCIÓN CONTRA INCENDIOS Y SEGURIDAD HUMANA PARA EL PROYECTO MADERA</t>
        </is>
      </c>
      <c r="D172" s="312" t="n"/>
      <c r="E172" s="312" t="n"/>
      <c r="F172" s="312" t="n"/>
      <c r="G172" s="312" t="n"/>
      <c r="H172" s="312" t="n"/>
      <c r="I172" s="313" t="n"/>
      <c r="J172" s="199" t="inlineStr">
        <is>
          <t>MENSULA</t>
        </is>
      </c>
      <c r="K172" s="314" t="n">
        <v>17920000</v>
      </c>
      <c r="L172" s="2" t="inlineStr">
        <is>
          <t>27/04/2022</t>
        </is>
      </c>
      <c r="M172" s="170" t="inlineStr">
        <is>
          <t>X</t>
        </is>
      </c>
      <c r="N172" s="170" t="inlineStr">
        <is>
          <t>314 8855316</t>
        </is>
      </c>
      <c r="O172" s="170" t="inlineStr">
        <is>
          <t>Yeison Gonzalez</t>
        </is>
      </c>
      <c r="P172" s="52" t="inlineStr">
        <is>
          <t>yeisongonzalez@mensulaingenieros.com</t>
        </is>
      </c>
    </row>
    <row r="173">
      <c r="B173" s="170" t="n">
        <v>161</v>
      </c>
      <c r="C173" s="199" t="inlineStr">
        <is>
          <t>COTIZACION DE LOS DISEÑOS DE PROTECCIÓN CONTRA INCENDIOS Y SEGURIDAD HUMANA PARA EL PROYECTO VIP LAGOS</t>
        </is>
      </c>
      <c r="D173" s="199" t="n"/>
      <c r="E173" s="199" t="n"/>
      <c r="F173" s="199" t="n"/>
      <c r="G173" s="199" t="n"/>
      <c r="H173" s="199" t="n"/>
      <c r="I173" s="199" t="n"/>
      <c r="J173" s="199" t="inlineStr">
        <is>
          <t>MENSULA</t>
        </is>
      </c>
      <c r="K173" s="314" t="n">
        <v>10650000</v>
      </c>
      <c r="L173" s="2" t="inlineStr">
        <is>
          <t>27/04/2022</t>
        </is>
      </c>
      <c r="M173" s="170" t="inlineStr">
        <is>
          <t>X</t>
        </is>
      </c>
      <c r="N173" s="170" t="inlineStr">
        <is>
          <t>314 8855316</t>
        </is>
      </c>
      <c r="O173" s="170" t="inlineStr">
        <is>
          <t>Yeison Gonzalez</t>
        </is>
      </c>
      <c r="P173" s="52" t="inlineStr">
        <is>
          <t>yeisongonzalez@mensulaingenieros.com</t>
        </is>
      </c>
    </row>
    <row r="174" ht="15" customHeight="1">
      <c r="B174" s="170" t="n">
        <v>162</v>
      </c>
      <c r="C174" s="199" t="inlineStr">
        <is>
          <t>COTIZACION DE LOS DISEÑOS DE PROTECCIÓN CONTRA INCENDIOS PARA EL PROYECTO FRUTOS VERDES TORRE 10,11 Y 12</t>
        </is>
      </c>
      <c r="D174" s="199" t="n"/>
      <c r="E174" s="199" t="n"/>
      <c r="F174" s="199" t="n"/>
      <c r="G174" s="199" t="n"/>
      <c r="H174" s="199" t="n"/>
      <c r="I174" s="199" t="n"/>
      <c r="J174" s="199" t="inlineStr">
        <is>
          <t>CONINTEL</t>
        </is>
      </c>
      <c r="K174" s="314" t="n">
        <v>19980000</v>
      </c>
      <c r="L174" s="2" t="n">
        <v>44683</v>
      </c>
      <c r="M174" s="170" t="inlineStr">
        <is>
          <t>X</t>
        </is>
      </c>
      <c r="N174" s="170" t="inlineStr">
        <is>
          <t>320 7972462</t>
        </is>
      </c>
      <c r="O174" s="170" t="inlineStr">
        <is>
          <t>Martha Isabel García T.</t>
        </is>
      </c>
      <c r="P174" s="52" t="inlineStr">
        <is>
          <t>coordinacion@conintel.com.co</t>
        </is>
      </c>
    </row>
    <row r="175">
      <c r="B175" s="170" t="n">
        <v>163</v>
      </c>
      <c r="C175" s="233" t="inlineStr">
        <is>
          <t xml:space="preserve">COTIZACION DEL DISEÑO DE EXTINCIÓN DE INCENDIOS PARA EL PROYECTO INSTITUCION UNIVERSITARIA DE ENVIGADO
</t>
        </is>
      </c>
      <c r="D175" s="312" t="n"/>
      <c r="E175" s="312" t="n"/>
      <c r="F175" s="312" t="n"/>
      <c r="G175" s="312" t="n"/>
      <c r="H175" s="312" t="n"/>
      <c r="I175" s="313" t="n"/>
      <c r="J175" s="199" t="inlineStr">
        <is>
          <t>SPCI</t>
        </is>
      </c>
      <c r="K175" s="314" t="inlineStr">
        <is>
          <t>No se cotizó</t>
        </is>
      </c>
      <c r="L175" s="2" t="n">
        <v>44679</v>
      </c>
      <c r="M175" s="2" t="inlineStr">
        <is>
          <t>X</t>
        </is>
      </c>
      <c r="N175" s="170" t="inlineStr">
        <is>
          <t>321 482 61 68</t>
        </is>
      </c>
      <c r="O175" s="170" t="inlineStr">
        <is>
          <t>Ana Maria Restrepo Mayo.</t>
        </is>
      </c>
      <c r="P175" s="52" t="inlineStr">
        <is>
          <t>ana.restrepo@spci.com.co</t>
        </is>
      </c>
    </row>
    <row r="176">
      <c r="B176" s="170" t="n">
        <v>164</v>
      </c>
      <c r="C176" s="199" t="inlineStr">
        <is>
          <t>COTIZACION DEL ANÁLISIS DE SEGURIDAD HUMANA PARA EL PROYECTO P.H ALEXA PANAMA</t>
        </is>
      </c>
      <c r="D176" s="312" t="n"/>
      <c r="E176" s="312" t="n"/>
      <c r="F176" s="312" t="n"/>
      <c r="G176" s="312" t="n"/>
      <c r="H176" s="312" t="n"/>
      <c r="I176" s="313" t="n"/>
      <c r="J176" s="235" t="inlineStr">
        <is>
          <t>CONCONCRETO</t>
        </is>
      </c>
      <c r="K176" s="314" t="n">
        <v>6950000</v>
      </c>
      <c r="L176" s="2" t="n">
        <v>44679</v>
      </c>
      <c r="M176" s="2" t="n"/>
      <c r="N176" s="77" t="n">
        <v>3003675022</v>
      </c>
      <c r="O176" s="170" t="inlineStr">
        <is>
          <t>Andrés Restrepo Escobar</t>
        </is>
      </c>
      <c r="P176" s="52" t="inlineStr">
        <is>
          <t xml:space="preserve"> arestrepoe@conconcreto.com</t>
        </is>
      </c>
    </row>
    <row r="177">
      <c r="B177" s="170" t="n">
        <v>165</v>
      </c>
      <c r="C177" s="233" t="inlineStr">
        <is>
          <t>COTIZACION DEL DISEÑO DE EXTINCIÓN DE INCENDIOS PARA EL PROYECTO ZONA DE ALIMENTACION</t>
        </is>
      </c>
      <c r="D177" s="312" t="n"/>
      <c r="E177" s="312" t="n"/>
      <c r="F177" s="312" t="n"/>
      <c r="G177" s="312" t="n"/>
      <c r="H177" s="312" t="n"/>
      <c r="I177" s="313" t="n"/>
      <c r="J177" s="199" t="inlineStr">
        <is>
          <t>INTERVE SAS</t>
        </is>
      </c>
      <c r="K177" s="314" t="n">
        <v>350000</v>
      </c>
      <c r="L177" s="2" t="n">
        <v>44679</v>
      </c>
      <c r="M177" s="170" t="n"/>
      <c r="N177" s="170" t="n">
        <v>3006080561</v>
      </c>
      <c r="O177" s="170" t="inlineStr">
        <is>
          <t>Juan Esteban Bernal</t>
        </is>
      </c>
      <c r="P177" s="52" t="inlineStr">
        <is>
          <t>jbernal@interve.co</t>
        </is>
      </c>
    </row>
    <row r="178" ht="15" customHeight="1">
      <c r="B178" s="170" t="n">
        <v>166</v>
      </c>
      <c r="C178" s="233" t="inlineStr">
        <is>
          <t>COTIZACION DEL DISEÑO DE EXTINCIÓN DE INCENDIOS PARA EL PROYECTO TERRA</t>
        </is>
      </c>
      <c r="D178" s="312" t="n"/>
      <c r="E178" s="312" t="n"/>
      <c r="F178" s="312" t="n"/>
      <c r="G178" s="312" t="n"/>
      <c r="H178" s="312" t="n"/>
      <c r="I178" s="313" t="n"/>
      <c r="J178" s="235" t="inlineStr">
        <is>
          <t>CONTEX</t>
        </is>
      </c>
      <c r="K178" s="314" t="n">
        <v>1250000</v>
      </c>
      <c r="L178" s="2" t="n">
        <v>44680</v>
      </c>
      <c r="M178" s="2" t="inlineStr">
        <is>
          <t>X</t>
        </is>
      </c>
      <c r="N178" s="170" t="n">
        <v>3183484307</v>
      </c>
      <c r="O178" s="170" t="inlineStr">
        <is>
          <t>Daniel Ceballos Sanchez</t>
        </is>
      </c>
      <c r="P178" s="52" t="inlineStr">
        <is>
          <t>eceballos@contex.com.co</t>
        </is>
      </c>
    </row>
    <row r="179">
      <c r="B179" s="170" t="n">
        <v>167</v>
      </c>
      <c r="C179" s="199" t="inlineStr">
        <is>
          <t>COTIZACION DE LOS DISEÑOS DE PROTECCIÓN CONTRA INCENDIOS Y SEGURIDAD HUMANA PARA EL PROYECTO CLINICA GRANADA META</t>
        </is>
      </c>
      <c r="D179" s="312" t="n"/>
      <c r="E179" s="312" t="n"/>
      <c r="F179" s="312" t="n"/>
      <c r="G179" s="312" t="n"/>
      <c r="H179" s="312" t="n"/>
      <c r="I179" s="313" t="n"/>
      <c r="J179" s="235" t="inlineStr">
        <is>
          <t>SPCI</t>
        </is>
      </c>
      <c r="K179" s="314" t="n">
        <v>14990000</v>
      </c>
      <c r="L179" s="2" t="n">
        <v>44680</v>
      </c>
      <c r="M179" s="170" t="n"/>
      <c r="N179" s="170" t="n">
        <v>3137546144</v>
      </c>
      <c r="O179" s="170" t="inlineStr">
        <is>
          <t>Juan Camilo Quintero Bedoya</t>
        </is>
      </c>
      <c r="P179" s="52" t="inlineStr">
        <is>
          <t>camilo.quintero@spci.com.co</t>
        </is>
      </c>
    </row>
    <row r="180">
      <c r="B180" s="170" t="n">
        <v>168</v>
      </c>
      <c r="C180" s="233" t="inlineStr">
        <is>
          <t xml:space="preserve">COTIZACION DE LOS DISEÑOS DE PROTECCIÓN CONTRA INCENDIOS Y SEGURIDAD HUMANA PARA EL PROYECTO CLINICA GRANADA META
</t>
        </is>
      </c>
      <c r="D180" s="312" t="n"/>
      <c r="E180" s="312" t="n"/>
      <c r="F180" s="312" t="n"/>
      <c r="G180" s="312" t="n"/>
      <c r="H180" s="312" t="n"/>
      <c r="I180" s="313" t="n"/>
      <c r="J180" s="199" t="inlineStr">
        <is>
          <t>SECURETEC</t>
        </is>
      </c>
      <c r="K180" s="314" t="n">
        <v>15990000</v>
      </c>
      <c r="L180" s="2" t="n">
        <v>44680</v>
      </c>
      <c r="M180" s="170" t="n"/>
      <c r="N180" s="170" t="inlineStr">
        <is>
          <t xml:space="preserve"> 312 405 4584</t>
        </is>
      </c>
      <c r="O180" s="170" t="inlineStr">
        <is>
          <t xml:space="preserve">Maribel Osorio E. </t>
        </is>
      </c>
      <c r="P180" s="52" t="inlineStr">
        <is>
          <t>ascomercial@securetec.com.co</t>
        </is>
      </c>
    </row>
    <row r="181">
      <c r="B181" s="170" t="n">
        <v>169</v>
      </c>
      <c r="C181" s="233" t="inlineStr">
        <is>
          <t xml:space="preserve">COTIZACION DEL DISEÑO DE EXTINCIÓN DE INCENDIOS PARA EL PROYECTO BODEGAS SCALPI
</t>
        </is>
      </c>
      <c r="D181" s="312" t="n"/>
      <c r="E181" s="312" t="n"/>
      <c r="F181" s="312" t="n"/>
      <c r="G181" s="312" t="n"/>
      <c r="H181" s="312" t="n"/>
      <c r="I181" s="313" t="n"/>
      <c r="J181" s="199" t="inlineStr">
        <is>
          <t>SPCI</t>
        </is>
      </c>
      <c r="K181" s="314" t="n">
        <v>15950000</v>
      </c>
      <c r="L181" s="2" t="n">
        <v>44661</v>
      </c>
      <c r="M181" s="170" t="n"/>
      <c r="N181" s="170" t="n">
        <v>3105680508</v>
      </c>
      <c r="O181" s="170" t="inlineStr">
        <is>
          <t>Juan Pablo Grajales</t>
        </is>
      </c>
      <c r="P181" s="52" t="inlineStr">
        <is>
          <t>juan.grajales@spci.com.co</t>
        </is>
      </c>
    </row>
    <row r="182">
      <c r="B182" s="170" t="n">
        <v>170</v>
      </c>
      <c r="C182" s="199" t="inlineStr">
        <is>
          <t>COTIZACION DEL DISEÑO DE EXTINCIÓN DE INCENDIOS PARA EL PROYECTO ECUADOR</t>
        </is>
      </c>
      <c r="D182" s="312" t="n"/>
      <c r="E182" s="312" t="n"/>
      <c r="F182" s="312" t="n"/>
      <c r="G182" s="312" t="n"/>
      <c r="H182" s="312" t="n"/>
      <c r="I182" s="313" t="n"/>
      <c r="J182" s="199" t="inlineStr">
        <is>
          <t>SPCI</t>
        </is>
      </c>
      <c r="K182" s="314" t="inlineStr">
        <is>
          <t>No se hizo</t>
        </is>
      </c>
      <c r="L182" s="2" t="n">
        <v>44684</v>
      </c>
      <c r="M182" s="170" t="n"/>
      <c r="N182" s="170" t="n">
        <v>3105680508</v>
      </c>
      <c r="O182" s="170" t="inlineStr">
        <is>
          <t>Juan Pablo Grajales</t>
        </is>
      </c>
      <c r="P182" s="52" t="inlineStr">
        <is>
          <t>juan.grajales@spci.com.co</t>
        </is>
      </c>
    </row>
    <row r="183">
      <c r="B183" s="170" t="n">
        <v>171</v>
      </c>
      <c r="C183" s="199" t="inlineStr">
        <is>
          <t>COTIZACION DEL DISEÑO DE EXTINCIÓN DE INCENDIOS PARA EL PROYECTO CENTRO COMERCIAL SANDIEGO</t>
        </is>
      </c>
      <c r="D183" s="312" t="n"/>
      <c r="E183" s="312" t="n"/>
      <c r="F183" s="312" t="n"/>
      <c r="G183" s="312" t="n"/>
      <c r="H183" s="312" t="n"/>
      <c r="I183" s="313" t="n"/>
      <c r="J183" s="199" t="inlineStr">
        <is>
          <t>IPM</t>
        </is>
      </c>
      <c r="K183" s="314" t="n">
        <v>5950000</v>
      </c>
      <c r="L183" s="2" t="n">
        <v>44684</v>
      </c>
      <c r="M183" s="170" t="n"/>
      <c r="N183" s="170" t="inlineStr">
        <is>
          <t>301 542 1412</t>
        </is>
      </c>
      <c r="O183" s="170" t="inlineStr">
        <is>
          <t>Juan Santiago Londoño Quiceno</t>
        </is>
      </c>
      <c r="P183" s="52" t="inlineStr">
        <is>
          <t>juan.londono@serviciosipm.com</t>
        </is>
      </c>
    </row>
    <row r="184">
      <c r="B184" s="170" t="n">
        <v>172</v>
      </c>
      <c r="C184" s="199" t="inlineStr">
        <is>
          <t xml:space="preserve">COTIZACION DEL DISEÑO DE DETECCIÓN DE INCENDIOS PARA EL PROYECTO LABORATORIO </t>
        </is>
      </c>
      <c r="D184" s="312" t="n"/>
      <c r="E184" s="312" t="n"/>
      <c r="F184" s="312" t="n"/>
      <c r="G184" s="312" t="n"/>
      <c r="H184" s="312" t="n"/>
      <c r="I184" s="313" t="n"/>
      <c r="J184" s="199" t="inlineStr">
        <is>
          <t>IPM</t>
        </is>
      </c>
      <c r="K184" s="314" t="n">
        <v>2750000</v>
      </c>
      <c r="L184" s="2" t="n">
        <v>44684</v>
      </c>
      <c r="M184" s="170" t="n"/>
      <c r="N184" s="170" t="inlineStr">
        <is>
          <t>301 542 1412</t>
        </is>
      </c>
      <c r="O184" s="170" t="inlineStr">
        <is>
          <t>Juan Santiago Londoño Quiceno</t>
        </is>
      </c>
      <c r="P184" s="52" t="inlineStr">
        <is>
          <t>juan.londono@serviciosipm.com</t>
        </is>
      </c>
    </row>
    <row r="185">
      <c r="B185" s="170" t="n">
        <v>173</v>
      </c>
      <c r="C185" s="199" t="inlineStr">
        <is>
          <t>COTIZACION DEL DISEÑO DE EXTINCIÓN DE INCENDIOS PARA EL PROYECTO AQUA ETAPA 1</t>
        </is>
      </c>
      <c r="D185" s="312" t="n"/>
      <c r="E185" s="312" t="n"/>
      <c r="F185" s="312" t="n"/>
      <c r="G185" s="312" t="n"/>
      <c r="H185" s="312" t="n"/>
      <c r="I185" s="313" t="n"/>
      <c r="J185" s="235" t="inlineStr">
        <is>
          <t>CONTEX</t>
        </is>
      </c>
      <c r="K185" s="314" t="n">
        <v>9950000</v>
      </c>
      <c r="L185" s="2" t="n">
        <v>44684</v>
      </c>
      <c r="M185" s="2" t="inlineStr">
        <is>
          <t>X</t>
        </is>
      </c>
      <c r="N185" s="170" t="n">
        <v>3183484307</v>
      </c>
      <c r="O185" s="170" t="inlineStr">
        <is>
          <t>Daniel Ceballos Sanchez</t>
        </is>
      </c>
      <c r="P185" s="52" t="inlineStr">
        <is>
          <t>eceballos@contex.com.co</t>
        </is>
      </c>
    </row>
    <row r="186">
      <c r="B186" s="170" t="n">
        <v>174</v>
      </c>
      <c r="C186" s="199" t="inlineStr">
        <is>
          <t>COTIZACION MODELACIÓN Y ANÁLISIS HIDRÁULICO DISEÑOS ACTUALES RCI PROYECTO TERRA</t>
        </is>
      </c>
      <c r="D186" s="312" t="n"/>
      <c r="E186" s="312" t="n"/>
      <c r="F186" s="312" t="n"/>
      <c r="G186" s="312" t="n"/>
      <c r="H186" s="312" t="n"/>
      <c r="I186" s="313" t="n"/>
      <c r="J186" s="199" t="inlineStr">
        <is>
          <t>CONTEX</t>
        </is>
      </c>
      <c r="K186" s="314" t="n">
        <v>1250000</v>
      </c>
      <c r="L186" s="2" t="n">
        <v>44684</v>
      </c>
      <c r="M186" s="2" t="inlineStr">
        <is>
          <t>X</t>
        </is>
      </c>
      <c r="N186" s="170" t="n">
        <v>3183484307</v>
      </c>
      <c r="O186" s="170" t="inlineStr">
        <is>
          <t>Daniel Ceballos Sanchez</t>
        </is>
      </c>
      <c r="P186" s="52" t="inlineStr">
        <is>
          <t>eceballos@contex.com.co</t>
        </is>
      </c>
    </row>
    <row r="187" ht="15" customHeight="1">
      <c r="B187" s="170" t="n">
        <v>175</v>
      </c>
      <c r="C187" s="199" t="inlineStr">
        <is>
          <t xml:space="preserve">
COTIZACION DE LOS DISEÑOS DE DETECCIÓN DE INCENDIOS Y SEGURIDAD HUMANA PARA EL PROYECTO RIVERS PALMS ETAPA 1
</t>
        </is>
      </c>
      <c r="D187" s="312" t="n"/>
      <c r="E187" s="312" t="n"/>
      <c r="F187" s="312" t="n"/>
      <c r="G187" s="312" t="n"/>
      <c r="H187" s="312" t="n"/>
      <c r="I187" s="313" t="n"/>
      <c r="J187" s="199" t="inlineStr">
        <is>
          <t>CONVEL</t>
        </is>
      </c>
      <c r="K187" s="314" t="n">
        <v>8150000</v>
      </c>
      <c r="L187" s="2" t="n">
        <v>44685</v>
      </c>
      <c r="M187" s="170" t="n"/>
      <c r="N187" s="170" t="n"/>
      <c r="O187" s="170" t="inlineStr">
        <is>
          <t>Cesar López Muñoz</t>
        </is>
      </c>
      <c r="P187" s="52" t="inlineStr">
        <is>
          <t>cesarlopez@convel.co</t>
        </is>
      </c>
    </row>
    <row r="188">
      <c r="B188" s="170" t="n">
        <v>176</v>
      </c>
      <c r="C188" s="199" t="inlineStr">
        <is>
          <t>COTIZACION DE LOS DISEÑOS DE EXTINCIÓN DE INCENDIOS Y SEGURIDAD HUMANA PARA EL PROYECTO REMODELACION DEL EDICIFIO DE LA FORD</t>
        </is>
      </c>
      <c r="D188" s="312" t="n"/>
      <c r="E188" s="312" t="n"/>
      <c r="F188" s="312" t="n"/>
      <c r="G188" s="312" t="n"/>
      <c r="H188" s="312" t="n"/>
      <c r="I188" s="313" t="n"/>
      <c r="J188" s="199" t="inlineStr">
        <is>
          <t>AYC</t>
        </is>
      </c>
      <c r="K188" s="314" t="n">
        <v>13450000</v>
      </c>
      <c r="L188" s="2" t="n">
        <v>44685</v>
      </c>
      <c r="M188" s="170" t="n"/>
      <c r="N188" s="170" t="n"/>
      <c r="O188" s="170" t="inlineStr">
        <is>
          <t>Jorge Luis Cadavid Betancur</t>
        </is>
      </c>
      <c r="P188" s="52" t="inlineStr">
        <is>
          <t>jbetancur@arquitecturayconcreto.com</t>
        </is>
      </c>
    </row>
    <row r="189">
      <c r="B189" s="170" t="n">
        <v>177</v>
      </c>
      <c r="C189" s="199" t="inlineStr">
        <is>
          <t>COTIZACION DEL DISEÑO DE EXTINCIÓN DE INCENDIOS PARA EL PROYECTO LOCAL 08 DISTRITO 90</t>
        </is>
      </c>
      <c r="D189" s="312" t="n"/>
      <c r="E189" s="312" t="n"/>
      <c r="F189" s="312" t="n"/>
      <c r="G189" s="312" t="n"/>
      <c r="H189" s="312" t="n"/>
      <c r="I189" s="313" t="n"/>
      <c r="J189" s="199" t="inlineStr">
        <is>
          <t>SPCI</t>
        </is>
      </c>
      <c r="K189" s="314" t="n">
        <v>1400000</v>
      </c>
      <c r="L189" s="2" t="n">
        <v>44691</v>
      </c>
      <c r="M189" s="170" t="n"/>
      <c r="N189" s="170" t="n"/>
      <c r="O189" s="170" t="inlineStr">
        <is>
          <t>Mauricio Guzman Urrea</t>
        </is>
      </c>
      <c r="P189" s="52" t="inlineStr">
        <is>
          <t>mauricio.guzman@spci.com.co</t>
        </is>
      </c>
    </row>
    <row r="190">
      <c r="B190" s="170" t="n">
        <v>178</v>
      </c>
      <c r="C190" s="199" t="inlineStr">
        <is>
          <t>COTIZACION DE LOS DISEÑOS DE PROTECCIÓN CONTRA INCENDIOS PARA EL PROYECTO KENWORTH</t>
        </is>
      </c>
      <c r="D190" s="312" t="n"/>
      <c r="E190" s="312" t="n"/>
      <c r="F190" s="312" t="n"/>
      <c r="G190" s="312" t="n"/>
      <c r="H190" s="312" t="n"/>
      <c r="I190" s="313" t="n"/>
      <c r="J190" s="199" t="inlineStr">
        <is>
          <t>SPCI</t>
        </is>
      </c>
      <c r="K190" s="314" t="n">
        <v>19440000</v>
      </c>
      <c r="L190" s="2" t="n">
        <v>44686</v>
      </c>
      <c r="M190" s="170" t="n"/>
      <c r="N190" s="170" t="n"/>
      <c r="O190" s="170" t="inlineStr">
        <is>
          <t>Cristiam Gustavo Mondragón Cortes</t>
        </is>
      </c>
      <c r="P190" s="52" t="inlineStr">
        <is>
          <t>cristiam.mondragon@spci.com.co</t>
        </is>
      </c>
    </row>
    <row r="191">
      <c r="B191" s="170" t="n">
        <v>179</v>
      </c>
      <c r="C191" s="199" t="inlineStr">
        <is>
          <t>COTIZACION DE LOS DISEÑOS DE SEGURIDAD HUMANA Y PROTECCIÓN CONTRA INCENDIOS - PROYECTO LA VIDA ES BELLA 2 ETAPA 1</t>
        </is>
      </c>
      <c r="D191" s="312" t="n"/>
      <c r="E191" s="312" t="n"/>
      <c r="F191" s="312" t="n"/>
      <c r="G191" s="312" t="n"/>
      <c r="H191" s="312" t="n"/>
      <c r="I191" s="313" t="n"/>
      <c r="J191" s="199" t="inlineStr">
        <is>
          <t>Soluciones Civiles</t>
        </is>
      </c>
      <c r="K191" s="314" t="n">
        <v>17990000</v>
      </c>
      <c r="L191" s="2" t="n">
        <v>44687</v>
      </c>
      <c r="M191" s="170" t="inlineStr">
        <is>
          <t>X</t>
        </is>
      </c>
      <c r="N191" s="170" t="n">
        <v>4483960</v>
      </c>
      <c r="O191" s="78" t="inlineStr">
        <is>
          <t>Gustavo Aguirre Arcila</t>
        </is>
      </c>
      <c r="P191" s="52" t="inlineStr">
        <is>
          <t>gaguirre@solciviles.com</t>
        </is>
      </c>
    </row>
    <row r="192">
      <c r="B192" s="170" t="n">
        <v>180</v>
      </c>
      <c r="C192" s="199" t="inlineStr">
        <is>
          <t>COTIZACION DE LOS DISEÑOS DE SEGURIDAD HUMANA Y PROTECCIÓN CONTRA  INCENDIOS - RIO</t>
        </is>
      </c>
      <c r="D192" s="312" t="n"/>
      <c r="E192" s="312" t="n"/>
      <c r="F192" s="312" t="n"/>
      <c r="G192" s="312" t="n"/>
      <c r="H192" s="312" t="n"/>
      <c r="I192" s="313" t="n"/>
      <c r="J192" s="199" t="inlineStr">
        <is>
          <t>MENSULA</t>
        </is>
      </c>
      <c r="K192" s="314" t="n">
        <v>20950000</v>
      </c>
      <c r="L192" s="2" t="n">
        <v>44809</v>
      </c>
      <c r="M192" s="170" t="inlineStr">
        <is>
          <t>X</t>
        </is>
      </c>
      <c r="N192" s="170" t="inlineStr">
        <is>
          <t>574 4795490</t>
        </is>
      </c>
      <c r="O192" s="170" t="inlineStr">
        <is>
          <t>Crstian Londoño</t>
        </is>
      </c>
      <c r="P192" s="52" t="inlineStr">
        <is>
          <t>cristianlondono@mensulaingenieros.com</t>
        </is>
      </c>
    </row>
    <row r="193">
      <c r="B193" s="170" t="n">
        <v>181</v>
      </c>
      <c r="C193" s="199" t="inlineStr">
        <is>
          <t>COTIZACION DE LOS DISEÑOS DE PROTECCIÓN CONTRA INCENDIOS PARA EL PROYECTO BODEGA AVERY DENNINSON</t>
        </is>
      </c>
      <c r="D193" s="312" t="n"/>
      <c r="E193" s="312" t="n"/>
      <c r="F193" s="312" t="n"/>
      <c r="G193" s="312" t="n"/>
      <c r="H193" s="312" t="n"/>
      <c r="I193" s="313" t="n"/>
      <c r="J193" s="199" t="inlineStr">
        <is>
          <t>Jomark Seguridad</t>
        </is>
      </c>
      <c r="K193" s="314" t="n">
        <v>8800000</v>
      </c>
      <c r="L193" s="2" t="n">
        <v>44690</v>
      </c>
      <c r="M193" s="2" t="n"/>
      <c r="N193" s="170" t="n"/>
      <c r="O193" s="170" t="inlineStr">
        <is>
          <t>Laura Duque Betancur</t>
        </is>
      </c>
      <c r="P193" s="52" t="inlineStr">
        <is>
          <t>proyectos2@jomarkseguridad.com</t>
        </is>
      </c>
    </row>
    <row r="194">
      <c r="B194" s="170" t="n">
        <v>182</v>
      </c>
      <c r="C194" s="199" t="inlineStr">
        <is>
          <t>COTIZACION DE LOS DISEÑOS DE EXTINCIÓN DE INCENDIOS Y SEGURIDAD HUMANA PARA EL PROYECTO RIO</t>
        </is>
      </c>
      <c r="D194" s="312" t="n"/>
      <c r="E194" s="312" t="n"/>
      <c r="F194" s="312" t="n"/>
      <c r="G194" s="312" t="n"/>
      <c r="H194" s="312" t="n"/>
      <c r="I194" s="313" t="n"/>
      <c r="J194" s="199" t="inlineStr">
        <is>
          <t>MENSULA</t>
        </is>
      </c>
      <c r="K194" s="314" t="n">
        <v>20950000</v>
      </c>
      <c r="L194" s="2" t="n">
        <v>44690</v>
      </c>
      <c r="M194" s="170" t="n"/>
      <c r="N194" s="170" t="n"/>
      <c r="O194" s="170" t="inlineStr">
        <is>
          <t>Cristian Londoño Montoya</t>
        </is>
      </c>
      <c r="P194" s="52" t="inlineStr">
        <is>
          <t>cristianlondono@mensulaingenieros.com</t>
        </is>
      </c>
    </row>
    <row r="195">
      <c r="B195" s="170" t="n">
        <v>183</v>
      </c>
      <c r="C195" s="199" t="inlineStr">
        <is>
          <t>COTIZACION DE LOS DISEÑOS DE EXTINCIÓN DE INCENDIOS Y SEGURIDAD HUMANA PARA EL PROYECTO GREEN LIVING</t>
        </is>
      </c>
      <c r="D195" s="312" t="n"/>
      <c r="E195" s="312" t="n"/>
      <c r="F195" s="312" t="n"/>
      <c r="G195" s="312" t="n"/>
      <c r="H195" s="312" t="n"/>
      <c r="I195" s="313" t="n"/>
      <c r="J195" s="199" t="inlineStr">
        <is>
          <t>API</t>
        </is>
      </c>
      <c r="K195" s="314" t="n">
        <v>14950000</v>
      </c>
      <c r="L195" s="2" t="n">
        <v>44690</v>
      </c>
      <c r="M195" s="2" t="n"/>
      <c r="N195" s="170" t="n">
        <v>3207498224</v>
      </c>
      <c r="O195" s="170" t="inlineStr">
        <is>
          <t>Esteban Escobar Galindo</t>
        </is>
      </c>
      <c r="P195" s="52" t="inlineStr">
        <is>
          <t>esteban.escobar@apicdecolombia.com</t>
        </is>
      </c>
    </row>
    <row r="196">
      <c r="B196" s="170" t="n">
        <v>184</v>
      </c>
      <c r="C196" s="199" t="inlineStr">
        <is>
          <t>COTIZACION DEL DISEÑO DE EXTINCIÓN DE INCENDIOS PARA EL PROYECTO CONGELADOS RANSA</t>
        </is>
      </c>
      <c r="D196" s="312" t="n"/>
      <c r="E196" s="312" t="n"/>
      <c r="F196" s="312" t="n"/>
      <c r="G196" s="312" t="n"/>
      <c r="H196" s="312" t="n"/>
      <c r="I196" s="313" t="n"/>
      <c r="J196" s="199" t="inlineStr">
        <is>
          <t>SPCI</t>
        </is>
      </c>
      <c r="K196" s="314" t="n">
        <v>9990000</v>
      </c>
      <c r="L196" s="2" t="n">
        <v>44691</v>
      </c>
      <c r="M196" s="170" t="inlineStr">
        <is>
          <t>X</t>
        </is>
      </c>
      <c r="N196" s="170" t="n">
        <v>3104680508</v>
      </c>
      <c r="O196" s="170" t="inlineStr">
        <is>
          <t>Juan Pablo Grajales</t>
        </is>
      </c>
      <c r="P196" s="52" t="inlineStr">
        <is>
          <t>juan.grajales@spci.com.co</t>
        </is>
      </c>
    </row>
    <row r="197">
      <c r="B197" s="170" t="n">
        <v>185</v>
      </c>
      <c r="C197" s="199" t="inlineStr">
        <is>
          <t>COTIZACION DE LOS DISEÑOS DE PROTECCIÓN CONTRA INCENDIOS - FOSO BODEGA CORRUGADOR PAPELSA</t>
        </is>
      </c>
      <c r="D197" s="312" t="n"/>
      <c r="E197" s="312" t="n"/>
      <c r="F197" s="312" t="n"/>
      <c r="G197" s="312" t="n"/>
      <c r="H197" s="312" t="n"/>
      <c r="I197" s="313" t="n"/>
      <c r="J197" s="199" t="inlineStr">
        <is>
          <t>SERIINCO</t>
        </is>
      </c>
      <c r="K197" s="314" t="n">
        <v>8400000</v>
      </c>
      <c r="L197" s="2" t="n">
        <v>44691</v>
      </c>
      <c r="M197" s="170" t="n"/>
      <c r="N197" s="170" t="inlineStr">
        <is>
          <t>311 3391008</t>
        </is>
      </c>
      <c r="O197" s="170" t="inlineStr">
        <is>
          <t>Carlos Henao</t>
        </is>
      </c>
      <c r="P197" s="52" t="inlineStr">
        <is>
          <t>carlos.henao@seriinco.com</t>
        </is>
      </c>
    </row>
    <row r="198">
      <c r="B198" s="170" t="n">
        <v>186</v>
      </c>
      <c r="C198" s="199" t="inlineStr">
        <is>
          <t>COTIZACION DEL DISEÑO DE EXTINCIÓN DE INCENDIOS - BODEGA CORRUGADOR Y ROLLOS PAPELSA</t>
        </is>
      </c>
      <c r="D198" s="312" t="n"/>
      <c r="E198" s="312" t="n"/>
      <c r="F198" s="312" t="n"/>
      <c r="G198" s="312" t="n"/>
      <c r="H198" s="312" t="n"/>
      <c r="I198" s="313" t="n"/>
      <c r="J198" s="199" t="inlineStr">
        <is>
          <t>SERIINCO</t>
        </is>
      </c>
      <c r="K198" s="314" t="n">
        <v>15990000</v>
      </c>
      <c r="L198" s="2" t="n">
        <v>44691</v>
      </c>
      <c r="M198" s="170" t="n"/>
      <c r="N198" s="170" t="inlineStr">
        <is>
          <t>311 3391008</t>
        </is>
      </c>
      <c r="O198" s="170" t="inlineStr">
        <is>
          <t>Carlos Henao</t>
        </is>
      </c>
      <c r="P198" s="52" t="inlineStr">
        <is>
          <t>carlos.henao@seriinco.com</t>
        </is>
      </c>
    </row>
    <row r="199">
      <c r="B199" s="170" t="n">
        <v>187</v>
      </c>
      <c r="C199" s="199" t="inlineStr">
        <is>
          <t>COTIZACION DE LOS PLANOS DE SEÑALIZACIÓN DE EMERGENCIA PROYECTO PROYECTO MIRASOL</t>
        </is>
      </c>
      <c r="D199" s="312" t="n"/>
      <c r="E199" s="312" t="n"/>
      <c r="F199" s="312" t="n"/>
      <c r="G199" s="312" t="n"/>
      <c r="H199" s="312" t="n"/>
      <c r="I199" s="313" t="n"/>
      <c r="J199" s="199" t="inlineStr">
        <is>
          <t>FUNDACIÓN COMPARTIR</t>
        </is>
      </c>
      <c r="K199" s="314" t="n">
        <v>1880000</v>
      </c>
      <c r="L199" s="2" t="n">
        <v>44692</v>
      </c>
      <c r="M199" s="170" t="inlineStr">
        <is>
          <t>X</t>
        </is>
      </c>
      <c r="N199" s="170" t="inlineStr">
        <is>
          <t>301 7119154</t>
        </is>
      </c>
      <c r="O199" s="170" t="inlineStr">
        <is>
          <t>Wilson Javier Castro</t>
        </is>
      </c>
      <c r="P199" s="52" t="inlineStr">
        <is>
          <t>dir.obramirasol@fundacioncompartir.org</t>
        </is>
      </c>
    </row>
    <row r="200">
      <c r="B200" s="170" t="n">
        <v>188</v>
      </c>
      <c r="C200" s="199" t="inlineStr">
        <is>
          <t>COTIZACION CONCEPTO TÉCNICO PUERTAS CORTAFUEGO Y BARANDAS - PROYECTO MIRASOL</t>
        </is>
      </c>
      <c r="D200" s="312" t="n"/>
      <c r="E200" s="312" t="n"/>
      <c r="F200" s="312" t="n"/>
      <c r="G200" s="312" t="n"/>
      <c r="H200" s="312" t="n"/>
      <c r="I200" s="313" t="n"/>
      <c r="J200" s="199" t="inlineStr">
        <is>
          <t>FUNDACIÓN COMPARTIR</t>
        </is>
      </c>
      <c r="K200" s="314" t="n">
        <v>1500000</v>
      </c>
      <c r="L200" s="2" t="n">
        <v>44691</v>
      </c>
      <c r="M200" s="2" t="inlineStr">
        <is>
          <t>X</t>
        </is>
      </c>
      <c r="N200" s="170" t="inlineStr">
        <is>
          <t>301 7119154</t>
        </is>
      </c>
      <c r="O200" s="170" t="inlineStr">
        <is>
          <t>Wilson Javier Castro</t>
        </is>
      </c>
      <c r="P200" s="52" t="inlineStr">
        <is>
          <t>dir.obramirasol@fundacioncompartir.org</t>
        </is>
      </c>
    </row>
    <row r="201">
      <c r="B201" s="170" t="n">
        <v>189</v>
      </c>
      <c r="C201" s="199" t="inlineStr">
        <is>
          <t xml:space="preserve">COTIZACIÓN DEL REDISEÑO Y AS BUILT DE EXTINCIÓN DE INCENDIOS  PARA EL PROYECTO ACUARELA DEL RIO </t>
        </is>
      </c>
      <c r="D201" s="312" t="n"/>
      <c r="E201" s="312" t="n"/>
      <c r="F201" s="312" t="n"/>
      <c r="G201" s="312" t="n"/>
      <c r="H201" s="312" t="n"/>
      <c r="I201" s="313" t="n"/>
      <c r="J201" s="199" t="inlineStr">
        <is>
          <t>SPCI</t>
        </is>
      </c>
      <c r="K201" s="314" t="n">
        <v>3000000</v>
      </c>
      <c r="L201" s="2" t="n">
        <v>44707</v>
      </c>
      <c r="M201" s="170" t="n"/>
      <c r="N201" s="170" t="inlineStr">
        <is>
          <t>310 420 3649</t>
        </is>
      </c>
      <c r="O201" s="170" t="inlineStr">
        <is>
          <t>Mauricio Guzmán Urrea</t>
        </is>
      </c>
      <c r="P201" s="52" t="inlineStr">
        <is>
          <t>mauricio.guzman@spci.com.co</t>
        </is>
      </c>
    </row>
    <row r="202">
      <c r="B202" s="170" t="n">
        <v>190</v>
      </c>
      <c r="C202" s="199" t="inlineStr">
        <is>
          <t>INTERVENTORIA OBRA MITSUBISHI</t>
        </is>
      </c>
      <c r="D202" s="312" t="n"/>
      <c r="E202" s="312" t="n"/>
      <c r="F202" s="312" t="n"/>
      <c r="G202" s="312" t="n"/>
      <c r="H202" s="312" t="n"/>
      <c r="I202" s="313" t="n"/>
      <c r="J202" s="199" t="inlineStr">
        <is>
          <t>MITSUBISHI</t>
        </is>
      </c>
      <c r="K202" s="314" t="n">
        <v>195000</v>
      </c>
      <c r="L202" s="2" t="n">
        <v>44700</v>
      </c>
      <c r="M202" s="2" t="n"/>
      <c r="N202" s="170" t="n"/>
      <c r="O202" s="170" t="n"/>
      <c r="P202" s="52" t="n"/>
    </row>
    <row r="203">
      <c r="B203" s="170" t="n">
        <v>191</v>
      </c>
      <c r="C203" s="199" t="inlineStr">
        <is>
          <t>MANDALACOTIZACION DEL RE-DISEÑO DEL CUARTO DE BOMBAS - MANDALA</t>
        </is>
      </c>
      <c r="D203" s="312" t="n"/>
      <c r="E203" s="312" t="n"/>
      <c r="F203" s="312" t="n"/>
      <c r="G203" s="312" t="n"/>
      <c r="H203" s="312" t="n"/>
      <c r="I203" s="313" t="n"/>
      <c r="J203" s="199" t="inlineStr">
        <is>
          <t>SOLUCIONES CIVILES</t>
        </is>
      </c>
      <c r="K203" s="314" t="n">
        <v>2500000</v>
      </c>
      <c r="L203" s="2" t="n">
        <v>44693</v>
      </c>
      <c r="M203" s="170" t="n"/>
      <c r="N203" s="170" t="n">
        <v>4483960</v>
      </c>
      <c r="O203" s="78" t="inlineStr">
        <is>
          <t>Gustavo Aguirre Arcila</t>
        </is>
      </c>
      <c r="P203" s="52" t="inlineStr">
        <is>
          <t>gaguirre@solciviles.com</t>
        </is>
      </c>
    </row>
    <row r="204">
      <c r="B204" s="170" t="n">
        <v>192</v>
      </c>
      <c r="C204" s="199" t="inlineStr">
        <is>
          <t>COTIZACION DE LOS DISEÑOS DE PROTECCIÓN CONTRA INCENDIOS Y SEGURIDAD HUMANA PARA EL PROYECTO ENTREVILLAS</t>
        </is>
      </c>
      <c r="D204" s="312" t="n"/>
      <c r="E204" s="312" t="n"/>
      <c r="F204" s="312" t="n"/>
      <c r="G204" s="312" t="n"/>
      <c r="H204" s="312" t="n"/>
      <c r="I204" s="313" t="n"/>
      <c r="J204" s="79" t="inlineStr">
        <is>
          <t>CONSTRUCCIONES E INTERVENCIONES ASOCIATIVAS</t>
        </is>
      </c>
      <c r="K204" s="314" t="n">
        <v>18990000</v>
      </c>
      <c r="L204" s="2" t="n">
        <v>44691</v>
      </c>
      <c r="M204" s="170" t="inlineStr">
        <is>
          <t>X</t>
        </is>
      </c>
      <c r="N204" s="170" t="n">
        <v>3176377118</v>
      </c>
      <c r="O204" s="170" t="inlineStr">
        <is>
          <t>Anabel Ortiz Campo</t>
        </is>
      </c>
      <c r="P204" s="52" t="inlineStr">
        <is>
          <t>villaterrat2@gmail.com</t>
        </is>
      </c>
    </row>
    <row r="205">
      <c r="B205" s="170" t="n">
        <v>193</v>
      </c>
      <c r="C205" s="199" t="inlineStr">
        <is>
          <t>COTIZACION DE LOS DISEÑOS DE PROTECCIÓN CONTRA INCENDIOS Y SEGURIDAD HUMANA PARA EL PROYECTO SUITES MONTENEGRO</t>
        </is>
      </c>
      <c r="D205" s="312" t="n"/>
      <c r="E205" s="312" t="n"/>
      <c r="F205" s="312" t="n"/>
      <c r="G205" s="312" t="n"/>
      <c r="H205" s="312" t="n"/>
      <c r="I205" s="313" t="n"/>
      <c r="J205" s="199" t="inlineStr">
        <is>
          <t>GINO</t>
        </is>
      </c>
      <c r="K205" s="314" t="n">
        <v>17990000</v>
      </c>
      <c r="L205" s="2" t="n">
        <v>44691</v>
      </c>
      <c r="M205" s="170" t="n"/>
      <c r="N205" s="170" t="n"/>
      <c r="O205" s="170" t="inlineStr">
        <is>
          <t>Alejandro Montoya Mazo.</t>
        </is>
      </c>
      <c r="P205" s="52" t="inlineStr">
        <is>
          <t>gino1037@hotmail.com</t>
        </is>
      </c>
    </row>
    <row r="206">
      <c r="B206" s="170" t="n">
        <v>194</v>
      </c>
      <c r="C206" s="199" t="inlineStr">
        <is>
          <t>COTIZACION DE LOS DISEÑOS DE PROTECCIÓN CONTRA INCENDIOS Y SEGURIDAD HUMANA PARA EL PROYECTO MIXTO POLITAN</t>
        </is>
      </c>
      <c r="D206" s="312" t="n"/>
      <c r="E206" s="312" t="n"/>
      <c r="F206" s="312" t="n"/>
      <c r="G206" s="312" t="n"/>
      <c r="H206" s="312" t="n"/>
      <c r="I206" s="313" t="n"/>
      <c r="J206" s="199" t="inlineStr">
        <is>
          <t>TRAZOS URBANOS</t>
        </is>
      </c>
      <c r="K206" s="314" t="n">
        <v>49850000</v>
      </c>
      <c r="L206" s="2" t="n">
        <v>44691</v>
      </c>
      <c r="M206" s="170" t="n"/>
      <c r="N206" s="170" t="n"/>
      <c r="O206" s="170" t="inlineStr">
        <is>
          <t>Héctor Camilo Mejía Villa</t>
        </is>
      </c>
      <c r="P206" s="52" t="inlineStr">
        <is>
          <t>camilomejia@trazosurbanos.com.co</t>
        </is>
      </c>
    </row>
    <row r="207">
      <c r="B207" s="170" t="n">
        <v>195</v>
      </c>
      <c r="C207" s="199" t="inlineStr">
        <is>
          <t>COTIZACION DE LOS DISEÑOS DE PROTECCIÓN CONTRA INCENDIOS Y SEGURIDAD HUMANA PARA EL PROYECTO RODEO DE LA MONTAÑA</t>
        </is>
      </c>
      <c r="D207" s="312" t="n"/>
      <c r="E207" s="312" t="n"/>
      <c r="F207" s="312" t="n"/>
      <c r="G207" s="312" t="n"/>
      <c r="H207" s="312" t="n"/>
      <c r="I207" s="313" t="n"/>
      <c r="J207" s="199" t="inlineStr">
        <is>
          <t>FCR</t>
        </is>
      </c>
      <c r="K207" s="314" t="n">
        <v>15680000</v>
      </c>
      <c r="L207" s="2" t="n">
        <v>44691</v>
      </c>
      <c r="M207" s="170" t="inlineStr">
        <is>
          <t>X</t>
        </is>
      </c>
      <c r="N207" s="170" t="n"/>
      <c r="O207" s="170" t="inlineStr">
        <is>
          <t xml:space="preserve"> Vanessa Zapata</t>
        </is>
      </c>
      <c r="P207" s="89" t="inlineStr">
        <is>
          <t>Vanessazapata.fcr@gmail.com</t>
        </is>
      </c>
    </row>
    <row r="208">
      <c r="B208" s="170" t="n">
        <v>196</v>
      </c>
      <c r="C208" s="199" t="inlineStr">
        <is>
          <t>COTIZACION DEL DISEÑO DE EXTINCIÓN DE INCENDIOS - OPAV CALDAS</t>
        </is>
      </c>
      <c r="D208" s="312" t="n"/>
      <c r="E208" s="312" t="n"/>
      <c r="F208" s="312" t="n"/>
      <c r="G208" s="312" t="n"/>
      <c r="H208" s="312" t="n"/>
      <c r="I208" s="313" t="n"/>
      <c r="J208" s="199" t="inlineStr">
        <is>
          <t>SPCI</t>
        </is>
      </c>
      <c r="K208" s="314" t="n">
        <v>19990000</v>
      </c>
      <c r="L208" s="2" t="n">
        <v>44698</v>
      </c>
      <c r="M208" s="170" t="inlineStr">
        <is>
          <t>X</t>
        </is>
      </c>
      <c r="N208" s="170" t="n">
        <v>3105680508</v>
      </c>
      <c r="O208" s="170" t="inlineStr">
        <is>
          <t>Juan Pablo Grajales</t>
        </is>
      </c>
      <c r="P208" s="52" t="inlineStr">
        <is>
          <t>juan.grajales@spci.com.co</t>
        </is>
      </c>
    </row>
    <row r="209">
      <c r="B209" s="170" t="n">
        <v>197</v>
      </c>
      <c r="C209" s="199" t="inlineStr">
        <is>
          <t>COTIZACION DEL DISEÑO DE EXTINCIÓN DE INCENDIOS PARA EL PROYECTO PLAZA DE MERCADO DE SAN VICENTE</t>
        </is>
      </c>
      <c r="D209" s="312" t="n"/>
      <c r="E209" s="312" t="n"/>
      <c r="F209" s="312" t="n"/>
      <c r="G209" s="312" t="n"/>
      <c r="H209" s="312" t="n"/>
      <c r="I209" s="313" t="n"/>
      <c r="J209" s="199" t="inlineStr">
        <is>
          <t>SECURETEC</t>
        </is>
      </c>
      <c r="K209" s="314" t="inlineStr">
        <is>
          <t>NO SE PRESENTA</t>
        </is>
      </c>
      <c r="L209" s="2" t="n">
        <v>44692</v>
      </c>
      <c r="M209" s="170" t="n"/>
      <c r="N209" s="170" t="inlineStr">
        <is>
          <t xml:space="preserve"> 312 405 4584</t>
        </is>
      </c>
      <c r="O209" s="170" t="inlineStr">
        <is>
          <t xml:space="preserve">Maribel Osorio E. </t>
        </is>
      </c>
      <c r="P209" s="52" t="inlineStr">
        <is>
          <t>ascomercial@securetec.com.co</t>
        </is>
      </c>
    </row>
    <row r="210">
      <c r="B210" s="170" t="n">
        <v>198</v>
      </c>
      <c r="C210" s="199" t="inlineStr">
        <is>
          <t>COTIZACION DEL ANÁLISIS DE SEGURIDAD HUMANA PARA EL PROYECTO TALLERES Y EDIFICIO ADMINISTRATIVO DE LA TERMINAL DE CONTENEDORES DE CARTAGENA</t>
        </is>
      </c>
      <c r="D210" s="312" t="n"/>
      <c r="E210" s="312" t="n"/>
      <c r="F210" s="312" t="n"/>
      <c r="G210" s="312" t="n"/>
      <c r="H210" s="312" t="n"/>
      <c r="I210" s="313" t="n"/>
      <c r="J210" s="199" t="inlineStr">
        <is>
          <t>CONCONCRETO</t>
        </is>
      </c>
      <c r="K210" s="314" t="n">
        <v>9950000</v>
      </c>
      <c r="L210" s="2" t="n">
        <v>44692</v>
      </c>
      <c r="M210" s="170" t="n"/>
      <c r="N210" s="170" t="n">
        <v>3014621799</v>
      </c>
      <c r="O210" s="170" t="inlineStr">
        <is>
          <t>Diego Alejandro Zapata Agudelo</t>
        </is>
      </c>
      <c r="P210" s="52" t="inlineStr">
        <is>
          <t>dzapata@conconcreto.com</t>
        </is>
      </c>
    </row>
    <row r="211">
      <c r="B211" s="170" t="n">
        <v>199</v>
      </c>
      <c r="C211" s="199" t="inlineStr">
        <is>
          <t>COTIZACION DEL ANÁLISIS DE SEGURIDAD HUMANA PARA EL PROYECTO BODEGA PARA ALMACENAMIENTO DE CAFÉ</t>
        </is>
      </c>
      <c r="D211" s="312" t="n"/>
      <c r="E211" s="312" t="n"/>
      <c r="F211" s="312" t="n"/>
      <c r="G211" s="312" t="n"/>
      <c r="H211" s="312" t="n"/>
      <c r="I211" s="313" t="n"/>
      <c r="J211" s="199" t="inlineStr">
        <is>
          <t>CONCONCRETO</t>
        </is>
      </c>
      <c r="K211" s="314" t="n">
        <v>5500000</v>
      </c>
      <c r="L211" s="2" t="n">
        <v>44692</v>
      </c>
      <c r="M211" s="170" t="n"/>
      <c r="N211" s="170" t="n">
        <v>3014621799</v>
      </c>
      <c r="O211" s="170" t="inlineStr">
        <is>
          <t>Diego Alejandro Zapata Agudelo</t>
        </is>
      </c>
      <c r="P211" s="52" t="inlineStr">
        <is>
          <t>dzapata@conconcreto.com</t>
        </is>
      </c>
    </row>
    <row r="212">
      <c r="B212" s="170" t="n">
        <v>200</v>
      </c>
      <c r="C212" s="199" t="inlineStr">
        <is>
          <t>COTIZACION DE LOS DISEÑOS DE PROTECCIÓN CONTRA INCENDIOS PARA EL PROYECTO ZONAS COMUNES BOSQUE SANTO</t>
        </is>
      </c>
      <c r="D212" s="312" t="n"/>
      <c r="E212" s="312" t="n"/>
      <c r="F212" s="312" t="n"/>
      <c r="G212" s="312" t="n"/>
      <c r="H212" s="312" t="n"/>
      <c r="I212" s="313" t="n"/>
      <c r="J212" s="199" t="inlineStr">
        <is>
          <t>Construcciones Javier Londoño</t>
        </is>
      </c>
      <c r="K212" s="314" t="n">
        <v>4950000</v>
      </c>
      <c r="L212" s="2" t="n">
        <v>44692</v>
      </c>
      <c r="M212" s="170" t="inlineStr">
        <is>
          <t>X</t>
        </is>
      </c>
      <c r="N212" s="170" t="n"/>
      <c r="O212" s="170" t="inlineStr">
        <is>
          <t>Laura Restrepo</t>
        </is>
      </c>
      <c r="P212" s="52" t="inlineStr">
        <is>
          <t>lrestrepo@javierlondono.com.co</t>
        </is>
      </c>
    </row>
    <row r="213">
      <c r="B213" s="170" t="n">
        <v>201</v>
      </c>
      <c r="C213" s="199" t="inlineStr">
        <is>
          <t>COTIZACION DEL DISEÑO DE EXTINCIÓN DE INCENDIOS PARA EL PROYECTO CLINICA MEDELLIN SEDE OCCIDENTE</t>
        </is>
      </c>
      <c r="D213" s="312" t="n"/>
      <c r="E213" s="312" t="n"/>
      <c r="F213" s="312" t="n"/>
      <c r="G213" s="312" t="n"/>
      <c r="H213" s="312" t="n"/>
      <c r="I213" s="313" t="n"/>
      <c r="J213" s="199" t="inlineStr">
        <is>
          <t>IPM</t>
        </is>
      </c>
      <c r="K213" s="314" t="n">
        <v>29950000</v>
      </c>
      <c r="L213" s="2" t="n">
        <v>44692</v>
      </c>
      <c r="M213" s="170" t="n"/>
      <c r="N213" s="170" t="inlineStr">
        <is>
          <t>301 542 1412</t>
        </is>
      </c>
      <c r="O213" s="170" t="inlineStr">
        <is>
          <t>Juan Santiago Londoño Quiceno</t>
        </is>
      </c>
      <c r="P213" s="52" t="inlineStr">
        <is>
          <t>juan.londono@serviciosipm.com</t>
        </is>
      </c>
    </row>
    <row r="214">
      <c r="B214" s="170" t="n">
        <v>202</v>
      </c>
      <c r="C214" s="233" t="inlineStr">
        <is>
          <t>COTIZACION DE LOS DISEÑOS DE PROTECCIÓN CONTRA INCENDIOS Y SEGURIDAD HUMANA PARA EL PROYECTO INVERSO V80</t>
        </is>
      </c>
      <c r="D214" s="312" t="n"/>
      <c r="E214" s="312" t="n"/>
      <c r="F214" s="312" t="n"/>
      <c r="G214" s="312" t="n"/>
      <c r="H214" s="312" t="n"/>
      <c r="I214" s="313" t="n"/>
      <c r="J214" s="199" t="inlineStr">
        <is>
          <t>IPM</t>
        </is>
      </c>
      <c r="K214" s="314" t="n">
        <v>13950000</v>
      </c>
      <c r="L214" s="2" t="n">
        <v>44692</v>
      </c>
      <c r="M214" s="170" t="n"/>
      <c r="N214" s="170" t="inlineStr">
        <is>
          <t>301 542 1412</t>
        </is>
      </c>
      <c r="O214" s="170" t="inlineStr">
        <is>
          <t>Juan Santiago Londoño Quiceno</t>
        </is>
      </c>
      <c r="P214" s="52" t="inlineStr">
        <is>
          <t>juan.londono@serviciosipm.com</t>
        </is>
      </c>
    </row>
    <row r="215">
      <c r="B215" s="170" t="n">
        <v>203</v>
      </c>
      <c r="C215" s="199" t="inlineStr">
        <is>
          <t>MODELACIÓN Y CÁLCULOS DEL SISTEMA DE DETECCIÓN DE INCENDIOS PARA UN NIVEL DE SURA INDUSTRIALES</t>
        </is>
      </c>
      <c r="D215" s="312" t="n"/>
      <c r="E215" s="312" t="n"/>
      <c r="F215" s="312" t="n"/>
      <c r="G215" s="312" t="n"/>
      <c r="H215" s="312" t="n"/>
      <c r="I215" s="313" t="n"/>
      <c r="J215" s="199" t="inlineStr">
        <is>
          <t>SERIINCO</t>
        </is>
      </c>
      <c r="K215" s="314" t="n">
        <v>800000</v>
      </c>
      <c r="L215" s="2" t="n">
        <v>44692</v>
      </c>
      <c r="M215" s="2" t="n"/>
      <c r="N215" s="170" t="n">
        <v>4442074</v>
      </c>
      <c r="O215" s="170" t="inlineStr">
        <is>
          <t>Francisco Unda</t>
        </is>
      </c>
      <c r="P215" s="52" t="inlineStr">
        <is>
          <t>francisco.unda@seriinco.com</t>
        </is>
      </c>
    </row>
    <row r="216">
      <c r="B216" s="170" t="n">
        <v>204</v>
      </c>
      <c r="C216" s="199" t="inlineStr">
        <is>
          <t>COTIZACION DE LOS DISEÑOS DE PROTECCIÓN CONTRA INCENDIOS Y SEGURIDAD HUMANA PARA EL PROYECTO BRUJA MAGICA</t>
        </is>
      </c>
      <c r="D216" s="312" t="n"/>
      <c r="E216" s="312" t="n"/>
      <c r="F216" s="312" t="n"/>
      <c r="G216" s="312" t="n"/>
      <c r="H216" s="312" t="n"/>
      <c r="I216" s="313" t="n"/>
      <c r="J216" s="199" t="inlineStr">
        <is>
          <t>Construcciones Javier Londoño</t>
        </is>
      </c>
      <c r="K216" s="314" t="n">
        <v>29980000</v>
      </c>
      <c r="L216" s="2" t="n">
        <v>44692</v>
      </c>
      <c r="M216" s="170" t="inlineStr">
        <is>
          <t>X</t>
        </is>
      </c>
      <c r="N216" s="170" t="n"/>
      <c r="O216" s="170" t="inlineStr">
        <is>
          <t>Laura Restrepo</t>
        </is>
      </c>
      <c r="P216" s="52" t="inlineStr">
        <is>
          <t>lrestrepo@javierlondono.com.co</t>
        </is>
      </c>
    </row>
    <row r="217">
      <c r="B217" s="170" t="n">
        <v>205</v>
      </c>
      <c r="C217" s="199" t="inlineStr">
        <is>
          <t>COTIZACION DE LOS DISEÑOS DE PROTECCIÓN CONTRA INCENDIOS Y SEGURIDAD HUMANA PARA EL PROYECTO LABORATORIO CLINICO</t>
        </is>
      </c>
      <c r="D217" s="312" t="n"/>
      <c r="E217" s="312" t="n"/>
      <c r="F217" s="312" t="n"/>
      <c r="G217" s="312" t="n"/>
      <c r="H217" s="312" t="n"/>
      <c r="I217" s="313" t="n"/>
      <c r="J217" s="199" t="inlineStr">
        <is>
          <t>GINO</t>
        </is>
      </c>
      <c r="K217" s="314" t="n">
        <v>7525000</v>
      </c>
      <c r="L217" s="2" t="n">
        <v>44693</v>
      </c>
      <c r="M217" s="170" t="n"/>
      <c r="N217" s="170" t="n">
        <v>3014201614</v>
      </c>
      <c r="O217" s="170" t="inlineStr">
        <is>
          <t>Jhon A. Rodríguez Nieto</t>
        </is>
      </c>
      <c r="P217" s="52" t="n"/>
    </row>
    <row r="218">
      <c r="B218" s="170" t="n">
        <v>206</v>
      </c>
      <c r="C218" s="199" t="inlineStr">
        <is>
          <t>COTIZACION DE LOS DISEÑOS DE PROTECCIÓN CONTRA INCENDIOS PARA EL PROYECTO BODEGA PROMISION</t>
        </is>
      </c>
      <c r="D218" s="312" t="n"/>
      <c r="E218" s="312" t="n"/>
      <c r="F218" s="312" t="n"/>
      <c r="G218" s="312" t="n"/>
      <c r="H218" s="312" t="n"/>
      <c r="I218" s="313" t="n"/>
      <c r="J218" s="199" t="inlineStr">
        <is>
          <t>SPCI</t>
        </is>
      </c>
      <c r="K218" s="314" t="n">
        <v>9980000</v>
      </c>
      <c r="L218" s="2" t="n">
        <v>44697</v>
      </c>
      <c r="M218" s="2" t="n"/>
      <c r="N218" s="170" t="n">
        <v>3104165783</v>
      </c>
      <c r="O218" s="170" t="inlineStr">
        <is>
          <t>Cristiam Gustavo Mondragón Cortes</t>
        </is>
      </c>
      <c r="P218" s="52" t="inlineStr">
        <is>
          <t>cristiam.mondragon@spci.com.co</t>
        </is>
      </c>
    </row>
    <row r="219">
      <c r="B219" s="170" t="n">
        <v>207</v>
      </c>
      <c r="C219" s="199" t="inlineStr">
        <is>
          <t>COTIZACION DE LOS DISEÑOS DE PROTECCIÓN CONTRA INCENDIOS Y SEGURIDAD HUMANA PARA EL PROYECTO VISTA VERDE CARMEN DE VIBORAL</t>
        </is>
      </c>
      <c r="D219" s="312" t="n"/>
      <c r="E219" s="312" t="n"/>
      <c r="F219" s="312" t="n"/>
      <c r="G219" s="312" t="n"/>
      <c r="H219" s="312" t="n"/>
      <c r="I219" s="313" t="n"/>
      <c r="J219" s="199" t="inlineStr">
        <is>
          <t>SPCI</t>
        </is>
      </c>
      <c r="K219" s="314" t="n">
        <v>10980000</v>
      </c>
      <c r="L219" s="2" t="n">
        <v>44697</v>
      </c>
      <c r="M219" s="170" t="n"/>
      <c r="N219" s="170" t="inlineStr">
        <is>
          <t>321 482 61 68</t>
        </is>
      </c>
      <c r="O219" s="170" t="inlineStr">
        <is>
          <t>Ana Maria Restrepo Mayo.</t>
        </is>
      </c>
      <c r="P219" s="52" t="inlineStr">
        <is>
          <t>ana.restrepo@spci.com.co</t>
        </is>
      </c>
    </row>
    <row r="220">
      <c r="B220" s="170" t="n">
        <v>208</v>
      </c>
      <c r="C220" s="199" t="inlineStr">
        <is>
          <t>COTIZACION DEL ANÁLISIS DE SEGURIDAD HUMANA PARA EL PROYECTO CONTREE PALMAS</t>
        </is>
      </c>
      <c r="D220" s="312" t="n"/>
      <c r="E220" s="312" t="n"/>
      <c r="F220" s="312" t="n"/>
      <c r="G220" s="312" t="n"/>
      <c r="H220" s="312" t="n"/>
      <c r="I220" s="313" t="n"/>
      <c r="J220" s="199" t="inlineStr">
        <is>
          <t>CONCONCRETO</t>
        </is>
      </c>
      <c r="K220" s="314" t="n">
        <v>4500000</v>
      </c>
      <c r="L220" s="2" t="n">
        <v>44697</v>
      </c>
      <c r="M220" s="170" t="n"/>
      <c r="N220" s="170" t="n">
        <v>3003177639</v>
      </c>
      <c r="O220" s="170" t="inlineStr">
        <is>
          <t>Julián Osorio Gómez</t>
        </is>
      </c>
      <c r="P220" s="52" t="inlineStr">
        <is>
          <t>jjosorio@conconcreto.com</t>
        </is>
      </c>
    </row>
    <row r="221">
      <c r="B221" s="170" t="n">
        <v>209</v>
      </c>
      <c r="C221" s="199" t="inlineStr">
        <is>
          <t>COTIZACION DE LOS DISEÑOS DE PROTECCIÓN CONTRA INCENDIOS Y SEGURIDAD HUMANA PARA EL PROYECTO MENTE PLENA ENVIGADO</t>
        </is>
      </c>
      <c r="D221" s="312" t="n"/>
      <c r="E221" s="312" t="n"/>
      <c r="F221" s="312" t="n"/>
      <c r="G221" s="312" t="n"/>
      <c r="H221" s="312" t="n"/>
      <c r="I221" s="313" t="n"/>
      <c r="J221" s="199" t="inlineStr">
        <is>
          <t>LAB.INMOBILIARIO</t>
        </is>
      </c>
      <c r="K221" s="314" t="n">
        <v>14950000</v>
      </c>
      <c r="L221" s="2" t="n">
        <v>44694</v>
      </c>
      <c r="M221" s="2" t="inlineStr">
        <is>
          <t>X</t>
        </is>
      </c>
      <c r="N221" s="170" t="n"/>
      <c r="O221" s="170" t="inlineStr">
        <is>
          <t>Simon Agudelo Zuluaga</t>
        </is>
      </c>
      <c r="P221" s="89" t="inlineStr">
        <is>
          <t>simon.agudelo@labinmobiliario.com</t>
        </is>
      </c>
    </row>
    <row r="222">
      <c r="B222" s="170" t="n">
        <v>210</v>
      </c>
      <c r="C222" s="199" t="inlineStr">
        <is>
          <t xml:space="preserve">COTIZACION DE LOS DISEÑOS DE PROTECCIÓN CONTRA INCENDIOS Y SEGURIDAD HUMANA PARA EL PROYECTO CEDI ALSEC </t>
        </is>
      </c>
      <c r="D222" s="312" t="n"/>
      <c r="E222" s="312" t="n"/>
      <c r="F222" s="312" t="n"/>
      <c r="G222" s="312" t="n"/>
      <c r="H222" s="312" t="n"/>
      <c r="I222" s="313" t="n"/>
      <c r="J222" s="199" t="inlineStr">
        <is>
          <t>IPM</t>
        </is>
      </c>
      <c r="K222" s="328" t="n">
        <v>13950000</v>
      </c>
      <c r="L222" s="2" t="n">
        <v>44694</v>
      </c>
      <c r="M222" s="170" t="n"/>
      <c r="N222" s="170" t="inlineStr">
        <is>
          <t>301 542 1412</t>
        </is>
      </c>
      <c r="O222" s="170" t="inlineStr">
        <is>
          <t>Juan Santiago Londoño Quiceno</t>
        </is>
      </c>
      <c r="P222" s="52" t="inlineStr">
        <is>
          <t>juan.londono@serviciosipm.com</t>
        </is>
      </c>
    </row>
    <row r="223">
      <c r="B223" s="170" t="n">
        <v>211</v>
      </c>
      <c r="C223" s="199" t="inlineStr">
        <is>
          <t>COTIZACION DE LOS DISEÑOS DE PROTECCIÓN CONTRA INCENDIOS Y SEGURIDAD HUMANA PARA EL PROYECTO PLANTA CEDI ALSEC</t>
        </is>
      </c>
      <c r="D223" s="312" t="n"/>
      <c r="E223" s="312" t="n"/>
      <c r="F223" s="312" t="n"/>
      <c r="G223" s="312" t="n"/>
      <c r="H223" s="312" t="n"/>
      <c r="I223" s="313" t="n"/>
      <c r="J223" s="199" t="inlineStr">
        <is>
          <t>IPM</t>
        </is>
      </c>
      <c r="K223" s="314" t="n">
        <v>13950000</v>
      </c>
      <c r="L223" s="2" t="n">
        <v>44694</v>
      </c>
      <c r="M223" s="170" t="n"/>
      <c r="N223" s="170" t="inlineStr">
        <is>
          <t>301 542 1412</t>
        </is>
      </c>
      <c r="O223" s="170" t="inlineStr">
        <is>
          <t>Juan Santiago Londoño Quiceno</t>
        </is>
      </c>
      <c r="P223" s="52" t="inlineStr">
        <is>
          <t>juan.londono@serviciosipm.com</t>
        </is>
      </c>
    </row>
    <row r="224">
      <c r="B224" s="170" t="n">
        <v>212</v>
      </c>
      <c r="C224" s="199" t="inlineStr">
        <is>
          <t xml:space="preserve">COTIZACION DEL ANÁLISIS DE SEGURIDAD HUMANA - PROYECTOBODEGA PARA ALMACENAMIENTO DE CAFE </t>
        </is>
      </c>
      <c r="D224" s="312" t="n"/>
      <c r="E224" s="312" t="n"/>
      <c r="F224" s="312" t="n"/>
      <c r="G224" s="312" t="n"/>
      <c r="H224" s="312" t="n"/>
      <c r="I224" s="313" t="n"/>
      <c r="J224" s="199" t="inlineStr">
        <is>
          <t>CONCONCRETO</t>
        </is>
      </c>
      <c r="K224" s="314" t="n">
        <v>7550000</v>
      </c>
      <c r="L224" s="2" t="n">
        <v>44692</v>
      </c>
      <c r="M224" s="170" t="n"/>
      <c r="N224" s="170" t="n">
        <v>3014621799</v>
      </c>
      <c r="O224" s="170" t="inlineStr">
        <is>
          <t>Diego Alejandro Zapata Agudelo</t>
        </is>
      </c>
      <c r="P224" s="52" t="inlineStr">
        <is>
          <t>dzapata@conconcreto.com</t>
        </is>
      </c>
    </row>
    <row r="225">
      <c r="B225" s="170" t="n">
        <v>213</v>
      </c>
      <c r="C225" s="199" t="inlineStr">
        <is>
          <t>COTIZACION DEL ANÁLISIS DE SEGURIDAD HUMANA - PROYECTOBODEGA PARA TALLERSE</t>
        </is>
      </c>
      <c r="D225" s="312" t="n"/>
      <c r="E225" s="312" t="n"/>
      <c r="F225" s="312" t="n"/>
      <c r="G225" s="312" t="n"/>
      <c r="H225" s="312" t="n"/>
      <c r="I225" s="313" t="n"/>
      <c r="J225" s="199" t="inlineStr">
        <is>
          <t>CONCONCRETO</t>
        </is>
      </c>
      <c r="K225" s="314" t="n">
        <v>13950000</v>
      </c>
      <c r="L225" s="2" t="n">
        <v>44692</v>
      </c>
      <c r="M225" s="170" t="n"/>
      <c r="N225" s="170" t="n">
        <v>3014621799</v>
      </c>
      <c r="O225" s="170" t="inlineStr">
        <is>
          <t>Diego Alejandro Zapata Agudelo</t>
        </is>
      </c>
      <c r="P225" s="52" t="inlineStr">
        <is>
          <t>dzapata@conconcreto.com</t>
        </is>
      </c>
    </row>
    <row r="226">
      <c r="B226" s="170" t="n">
        <v>214</v>
      </c>
      <c r="C226" s="199" t="inlineStr">
        <is>
          <t>COTIZACION DEL DISEÑO DE DETECCIÓN DE INCENDIOS PARA EL PROYECTO BODEGA IAVET</t>
        </is>
      </c>
      <c r="D226" s="312" t="n"/>
      <c r="E226" s="312" t="n"/>
      <c r="F226" s="312" t="n"/>
      <c r="G226" s="312" t="n"/>
      <c r="H226" s="312" t="n"/>
      <c r="I226" s="313" t="n"/>
      <c r="J226" s="199" t="inlineStr">
        <is>
          <t>SPCI</t>
        </is>
      </c>
      <c r="K226" s="314" t="n">
        <v>2950000</v>
      </c>
      <c r="L226" s="2" t="n">
        <v>44698</v>
      </c>
      <c r="M226" s="170" t="n"/>
      <c r="N226" s="170" t="n">
        <v>3105680508</v>
      </c>
      <c r="O226" s="170" t="inlineStr">
        <is>
          <t>Juan Pablo Grajales</t>
        </is>
      </c>
      <c r="P226" s="52" t="inlineStr">
        <is>
          <t>juan.grajales@spci.com.co</t>
        </is>
      </c>
    </row>
    <row r="227" ht="15" customHeight="1">
      <c r="B227" s="170" t="n">
        <v>215</v>
      </c>
      <c r="C227" s="199" t="inlineStr">
        <is>
          <t xml:space="preserve">COTIZACION DEL DISEÑO DE DETECCIÓN DE INCENDIOS PARA EL PROYECTO ALMIRAN
</t>
        </is>
      </c>
      <c r="D227" s="312" t="n"/>
      <c r="E227" s="312" t="n"/>
      <c r="F227" s="312" t="n"/>
      <c r="G227" s="312" t="n"/>
      <c r="H227" s="312" t="n"/>
      <c r="I227" s="313" t="n"/>
      <c r="J227" s="199" t="inlineStr">
        <is>
          <t>SPCI</t>
        </is>
      </c>
      <c r="K227" s="314" t="n">
        <v>650000</v>
      </c>
      <c r="L227" s="2" t="n">
        <v>44698</v>
      </c>
      <c r="M227" s="170" t="n"/>
      <c r="N227" s="170" t="n">
        <v>3104165783</v>
      </c>
      <c r="O227" s="170" t="inlineStr">
        <is>
          <t>Cristiam Gustavo Mondragón Cortes</t>
        </is>
      </c>
      <c r="P227" s="52" t="inlineStr">
        <is>
          <t>cristiam.mondragon@spci.com.co</t>
        </is>
      </c>
    </row>
    <row r="228">
      <c r="B228" s="170" t="n">
        <v>216</v>
      </c>
      <c r="C228" s="199" t="inlineStr">
        <is>
          <t>COTIZACION DE LOS DISEÑOS DE PROTECCIÓN CONTRA INCENDIOS Y SEGURIDAD HUMANA PARA EL PROYECTO ZETA HOME</t>
        </is>
      </c>
      <c r="D228" s="312" t="n"/>
      <c r="E228" s="312" t="n"/>
      <c r="F228" s="312" t="n"/>
      <c r="G228" s="312" t="n"/>
      <c r="H228" s="312" t="n"/>
      <c r="I228" s="313" t="n"/>
      <c r="J228" s="199" t="inlineStr">
        <is>
          <t>RRP ARQUITECTOS</t>
        </is>
      </c>
      <c r="K228" s="314" t="n">
        <v>17990000</v>
      </c>
      <c r="L228" s="2" t="n">
        <v>44705</v>
      </c>
      <c r="M228" s="170" t="n"/>
      <c r="N228" s="170" t="inlineStr">
        <is>
          <t>313 7229683</t>
        </is>
      </c>
      <c r="O228" s="170" t="inlineStr">
        <is>
          <t>David Restrepo</t>
        </is>
      </c>
      <c r="P228" s="52" t="inlineStr">
        <is>
          <t>david.restrepo1205@gmail.com</t>
        </is>
      </c>
    </row>
    <row r="229">
      <c r="B229" s="170" t="n">
        <v>217</v>
      </c>
      <c r="C229" s="233" t="inlineStr">
        <is>
          <t>COTIZACION DE LOS DISEÑOS DE PROTECCIÓN CONTRA INCENDIOS Y SEGURIDAD HUMANA PARA EL PROYECTO ONE LIVING EAST</t>
        </is>
      </c>
      <c r="D229" s="312" t="n"/>
      <c r="E229" s="312" t="n"/>
      <c r="F229" s="312" t="n"/>
      <c r="G229" s="312" t="n"/>
      <c r="H229" s="312" t="n"/>
      <c r="I229" s="313" t="n"/>
      <c r="J229" s="199" t="inlineStr">
        <is>
          <t>RRP ARQUITECTOS</t>
        </is>
      </c>
      <c r="K229" s="314" t="n">
        <v>19940000</v>
      </c>
      <c r="L229" s="2" t="n">
        <v>44705</v>
      </c>
      <c r="M229" s="170" t="n"/>
      <c r="N229" s="170" t="inlineStr">
        <is>
          <t>313 7229683</t>
        </is>
      </c>
      <c r="O229" s="170" t="inlineStr">
        <is>
          <t>David Restrepo</t>
        </is>
      </c>
      <c r="P229" s="52" t="inlineStr">
        <is>
          <t>david.restrepo1205@gmail.com</t>
        </is>
      </c>
    </row>
    <row r="230">
      <c r="B230" s="170" t="n">
        <v>218</v>
      </c>
      <c r="C230" s="199" t="inlineStr">
        <is>
          <t>COTIZACION DEL DISEÑO DE DETECCIÓN DE INCENDIOS PARA EL PROYECTO EDIFICIO PRANA</t>
        </is>
      </c>
      <c r="D230" s="312" t="n"/>
      <c r="E230" s="312" t="n"/>
      <c r="F230" s="312" t="n"/>
      <c r="G230" s="312" t="n"/>
      <c r="H230" s="312" t="n"/>
      <c r="I230" s="313" t="n"/>
      <c r="J230" s="199" t="inlineStr">
        <is>
          <t>Centro Empresarial Prana 26</t>
        </is>
      </c>
      <c r="K230" s="314" t="n">
        <v>5950000</v>
      </c>
      <c r="L230" s="2" t="n">
        <v>44699</v>
      </c>
      <c r="M230" s="170" t="inlineStr">
        <is>
          <t>X</t>
        </is>
      </c>
      <c r="N230" s="170" t="n">
        <v>7433053</v>
      </c>
      <c r="O230" s="170" t="inlineStr">
        <is>
          <t>Jorge Betancur</t>
        </is>
      </c>
      <c r="P230" s="90" t="inlineStr">
        <is>
          <t>ce.prana26@gmail.com</t>
        </is>
      </c>
    </row>
    <row r="231">
      <c r="B231" s="170" t="n">
        <v>219</v>
      </c>
      <c r="C231" s="199" t="inlineStr">
        <is>
          <t>COTIZACION DE LA REVISIÓN DE SEGURIDAD HUMANA Y PROTECCIÓN CONTRA INCENDIOS - PROYECTO DIAGNOSTICO IPS BARRANQUILLA</t>
        </is>
      </c>
      <c r="D231" s="312" t="n"/>
      <c r="E231" s="312" t="n"/>
      <c r="F231" s="312" t="n"/>
      <c r="G231" s="312" t="n"/>
      <c r="H231" s="312" t="n"/>
      <c r="I231" s="313" t="n"/>
      <c r="J231" s="199" t="inlineStr">
        <is>
          <t>CONDISEÑO</t>
        </is>
      </c>
      <c r="K231" s="314" t="n">
        <v>4200000</v>
      </c>
      <c r="L231" s="2" t="n">
        <v>44699</v>
      </c>
      <c r="M231" s="170" t="n"/>
      <c r="N231" s="170" t="n">
        <v>3175594091</v>
      </c>
      <c r="O231" s="170" t="inlineStr">
        <is>
          <t>Nakary García Romero</t>
        </is>
      </c>
      <c r="P231" s="52" t="inlineStr">
        <is>
          <t>n.garcia@condiseno.co</t>
        </is>
      </c>
    </row>
    <row r="232">
      <c r="B232" s="170" t="n">
        <v>220</v>
      </c>
      <c r="C232" s="199" t="inlineStr">
        <is>
          <t>COTIZACION DEL DISEÑO DE EXTINCIÓN DE INCENDIOS - PARQUEADERO DE MOTOS VIVA ENVIGADO</t>
        </is>
      </c>
      <c r="D232" s="312" t="n"/>
      <c r="E232" s="312" t="n"/>
      <c r="F232" s="312" t="n"/>
      <c r="G232" s="312" t="n"/>
      <c r="H232" s="312" t="n"/>
      <c r="I232" s="313" t="n"/>
      <c r="J232" s="199" t="inlineStr">
        <is>
          <t>SPCI</t>
        </is>
      </c>
      <c r="K232" s="314" t="n">
        <v>4500000</v>
      </c>
      <c r="L232" s="2" t="n">
        <v>44699</v>
      </c>
      <c r="M232" s="170" t="n"/>
      <c r="N232" s="170" t="n">
        <v>3137546144</v>
      </c>
      <c r="O232" s="172" t="inlineStr">
        <is>
          <t>Juan Camilo Quintero Bedoya</t>
        </is>
      </c>
      <c r="P232" s="52" t="inlineStr">
        <is>
          <t>camilo.quintero@spci.com.co</t>
        </is>
      </c>
    </row>
    <row r="233">
      <c r="B233" s="170" t="n">
        <v>221</v>
      </c>
      <c r="C233" s="199" t="inlineStr">
        <is>
          <t>COTIZACION DE LOS DISEÑOS DE PROTECCIÓN CONTRA INCENDIOS Y SEGURIDAD HUMANA PARA EL PROYECTO BODEGAS ZONA 3 (B10, B11, B25)</t>
        </is>
      </c>
      <c r="D233" s="312" t="n"/>
      <c r="E233" s="312" t="n"/>
      <c r="F233" s="312" t="n"/>
      <c r="G233" s="312" t="n"/>
      <c r="H233" s="312" t="n"/>
      <c r="I233" s="313" t="n"/>
      <c r="J233" s="199" t="inlineStr">
        <is>
          <t>ESCUADRAS SAS</t>
        </is>
      </c>
      <c r="K233" s="314" t="n"/>
      <c r="L233" s="2" t="n">
        <v>44700</v>
      </c>
      <c r="M233" s="170" t="n"/>
      <c r="N233" s="170" t="n"/>
      <c r="O233" s="170" t="inlineStr">
        <is>
          <t xml:space="preserve">Oscar Gerardo Castro Espinosa </t>
        </is>
      </c>
      <c r="P233" s="52" t="inlineStr">
        <is>
          <t>obrazonaescuadra@gmail.com</t>
        </is>
      </c>
    </row>
    <row r="234">
      <c r="B234" s="170" t="n">
        <v>222</v>
      </c>
      <c r="C234" s="233" t="inlineStr">
        <is>
          <t xml:space="preserve">COTIZACION DE LOS DISEÑOS DE PROTECCIÓN CONTRA INCENDIOS Y SEGURIDAD HUMANA PARA EL PROYECTO ARBOLEDA DE SAN ANTONIO ETAPA 3 Y ETAPA 4
</t>
        </is>
      </c>
      <c r="D234" s="312" t="n"/>
      <c r="E234" s="312" t="n"/>
      <c r="F234" s="312" t="n"/>
      <c r="G234" s="312" t="n"/>
      <c r="H234" s="312" t="n"/>
      <c r="I234" s="313" t="n"/>
      <c r="J234" s="199" t="inlineStr">
        <is>
          <t>INSERCO</t>
        </is>
      </c>
      <c r="K234" s="314" t="inlineStr">
        <is>
          <t>Variable</t>
        </is>
      </c>
      <c r="L234" s="2" t="n">
        <v>44704</v>
      </c>
      <c r="M234" s="170" t="inlineStr">
        <is>
          <t>X</t>
        </is>
      </c>
      <c r="N234" s="170" t="n">
        <v>3104131109</v>
      </c>
      <c r="O234" s="170" t="inlineStr">
        <is>
          <t>Leandro Herrera Gutierrez</t>
        </is>
      </c>
      <c r="P234" s="52" t="inlineStr">
        <is>
          <t>directorlean@inserco.com.co</t>
        </is>
      </c>
    </row>
    <row r="235">
      <c r="B235" s="170" t="n">
        <v>223</v>
      </c>
      <c r="C235" s="233" t="inlineStr">
        <is>
          <t>COTIZACION DE LOS DISEÑOS DE PROTECCIÓN CONTRA INCENDIOS PARA EL PROYECTO CLUB EL PRADO</t>
        </is>
      </c>
      <c r="D235" s="312" t="n"/>
      <c r="E235" s="312" t="n"/>
      <c r="F235" s="312" t="n"/>
      <c r="G235" s="312" t="n"/>
      <c r="H235" s="312" t="n"/>
      <c r="I235" s="313" t="n"/>
      <c r="J235" s="199" t="n"/>
      <c r="K235" s="314" t="n"/>
      <c r="L235" s="2" t="n">
        <v>44700</v>
      </c>
      <c r="M235" s="2" t="n"/>
      <c r="N235" s="57" t="n"/>
      <c r="O235" s="170" t="inlineStr">
        <is>
          <t>Cristina Tobón Villa</t>
        </is>
      </c>
      <c r="P235" s="52" t="inlineStr">
        <is>
          <t>cesarllanosarquitectura@gmail.com</t>
        </is>
      </c>
    </row>
    <row r="236">
      <c r="B236" s="170" t="n">
        <v>224</v>
      </c>
      <c r="C236" s="199" t="inlineStr">
        <is>
          <t>COTIZACION DEL DISEÑO DE DETECCIÓN DE INCENDIOS - OFICINAS PLANTA DE PINTURAS PPG</t>
        </is>
      </c>
      <c r="D236" s="312" t="n"/>
      <c r="E236" s="312" t="n"/>
      <c r="F236" s="312" t="n"/>
      <c r="G236" s="312" t="n"/>
      <c r="H236" s="312" t="n"/>
      <c r="I236" s="313" t="n"/>
      <c r="J236" s="199" t="inlineStr">
        <is>
          <t>SPCI</t>
        </is>
      </c>
      <c r="K236" s="314" t="n">
        <v>3760000</v>
      </c>
      <c r="L236" s="2" t="n">
        <v>44701</v>
      </c>
      <c r="M236" s="170" t="inlineStr">
        <is>
          <t>X</t>
        </is>
      </c>
      <c r="N236" s="170" t="n">
        <v>3137546144</v>
      </c>
      <c r="O236" s="172" t="inlineStr">
        <is>
          <t>Juan Camilo Quintero Bedoya</t>
        </is>
      </c>
      <c r="P236" s="52" t="inlineStr">
        <is>
          <t>camilo.quintero@spci.com.co</t>
        </is>
      </c>
    </row>
    <row r="237" ht="15" customHeight="1">
      <c r="B237" s="170" t="n">
        <v>225</v>
      </c>
      <c r="C237" s="199" t="inlineStr">
        <is>
          <t xml:space="preserve">COTIZACION DE LOS DISEÑOS DE PROTECCIÓN CONTRA INCENDIOS PARA EL PROYECTO FUSGASUGÁ
</t>
        </is>
      </c>
      <c r="D237" s="312" t="n"/>
      <c r="E237" s="312" t="n"/>
      <c r="F237" s="312" t="n"/>
      <c r="G237" s="312" t="n"/>
      <c r="H237" s="312" t="n"/>
      <c r="I237" s="313" t="n"/>
      <c r="J237" s="199" t="inlineStr">
        <is>
          <t>Santiago Rojas</t>
        </is>
      </c>
      <c r="K237" s="314" t="n">
        <v>4950000</v>
      </c>
      <c r="L237" s="2" t="n">
        <v>44704</v>
      </c>
      <c r="M237" s="170" t="n"/>
      <c r="N237" s="170" t="n">
        <v>3016835136</v>
      </c>
      <c r="O237" s="170" t="inlineStr">
        <is>
          <t>Viviana Julieth Monsalve Patiño</t>
        </is>
      </c>
      <c r="P237" s="52" t="inlineStr">
        <is>
          <t>asistente@santiagorojas.com.co</t>
        </is>
      </c>
    </row>
    <row r="238">
      <c r="B238" s="170" t="n">
        <v>226</v>
      </c>
      <c r="C238" s="199" t="inlineStr">
        <is>
          <t>COTIZACIÓN DE VISITA Y GENERACIÓN DE CANTIDADES DE OBRA SOBRE FALTANTES DE EXTINCIÓN EN JARDINES DE LLANOGRANDE</t>
        </is>
      </c>
      <c r="D238" s="312" t="n"/>
      <c r="E238" s="312" t="n"/>
      <c r="F238" s="312" t="n"/>
      <c r="G238" s="312" t="n"/>
      <c r="H238" s="312" t="n"/>
      <c r="I238" s="313" t="n"/>
      <c r="J238" s="199" t="inlineStr">
        <is>
          <t>SPCI</t>
        </is>
      </c>
      <c r="K238" s="314" t="n">
        <v>3000000</v>
      </c>
      <c r="L238" s="2" t="n">
        <v>44704</v>
      </c>
      <c r="M238" s="170" t="n"/>
      <c r="N238" s="170" t="n">
        <v>3137546144</v>
      </c>
      <c r="O238" s="172" t="inlineStr">
        <is>
          <t>Juan Camilo Quintero Bedoya</t>
        </is>
      </c>
      <c r="P238" s="52" t="inlineStr">
        <is>
          <t>camilo.quintero@spci.com.co</t>
        </is>
      </c>
    </row>
    <row r="239">
      <c r="B239" s="170" t="n">
        <v>227</v>
      </c>
      <c r="C239" s="199" t="inlineStr">
        <is>
          <t>COTIZACION DE LOS DISEÑOS DE PROTECCIÓN CONTRA INCENDIOS Y SEGURIDAD HUMANA PARA EL PROYECTO EDIFICIO SAN LUCAS</t>
        </is>
      </c>
      <c r="D239" s="312" t="n"/>
      <c r="E239" s="312" t="n"/>
      <c r="F239" s="312" t="n"/>
      <c r="G239" s="312" t="n"/>
      <c r="H239" s="312" t="n"/>
      <c r="I239" s="313" t="n"/>
      <c r="J239" s="199" t="inlineStr">
        <is>
          <t>Asesorías Balbin</t>
        </is>
      </c>
      <c r="K239" s="314" t="n">
        <v>10000000</v>
      </c>
      <c r="L239" s="2" t="n">
        <v>44704</v>
      </c>
      <c r="M239" s="170" t="n"/>
      <c r="N239" s="81" t="n">
        <v>3127463275</v>
      </c>
      <c r="O239" s="170" t="inlineStr">
        <is>
          <t>Santiago Cardona Balbin</t>
        </is>
      </c>
      <c r="P239" s="52" t="inlineStr">
        <is>
          <t>Santiago Cardona Balbin</t>
        </is>
      </c>
    </row>
    <row r="240">
      <c r="B240" s="170" t="n">
        <v>228</v>
      </c>
      <c r="C240" s="199" t="inlineStr">
        <is>
          <t>COTIZACION DE LOS PLANOS AS-BUIT DE EXTINCIÓN DE INCENIDOS - VIVAS</t>
        </is>
      </c>
      <c r="D240" s="312" t="n"/>
      <c r="E240" s="312" t="n"/>
      <c r="F240" s="312" t="n"/>
      <c r="G240" s="312" t="n"/>
      <c r="H240" s="312" t="n"/>
      <c r="I240" s="313" t="n"/>
      <c r="J240" s="199" t="inlineStr">
        <is>
          <t>SPCI</t>
        </is>
      </c>
      <c r="K240" s="314" t="n">
        <v>139000000</v>
      </c>
      <c r="L240" s="2" t="n">
        <v>44704</v>
      </c>
      <c r="M240" s="170" t="n"/>
      <c r="N240" s="170" t="n">
        <v>3137546144</v>
      </c>
      <c r="O240" s="172" t="inlineStr">
        <is>
          <t>Juan Camilo Quintero Bedoya</t>
        </is>
      </c>
      <c r="P240" s="52" t="inlineStr">
        <is>
          <t>camilo.quintero@spci.com.co</t>
        </is>
      </c>
    </row>
    <row r="241">
      <c r="B241" s="170" t="n">
        <v>229</v>
      </c>
      <c r="C241" s="199" t="inlineStr">
        <is>
          <t>COTIZACIÓN ELABORACIÓN PLACAS PARA RISER COOMEVA BELLO</t>
        </is>
      </c>
      <c r="D241" s="312" t="n"/>
      <c r="E241" s="312" t="n"/>
      <c r="F241" s="312" t="n"/>
      <c r="G241" s="312" t="n"/>
      <c r="H241" s="312" t="n"/>
      <c r="I241" s="313" t="n"/>
      <c r="J241" s="199" t="inlineStr">
        <is>
          <t>SPCI</t>
        </is>
      </c>
      <c r="K241" s="314" t="n">
        <v>1000000</v>
      </c>
      <c r="L241" s="2" t="n">
        <v>44704</v>
      </c>
      <c r="M241" s="170" t="n"/>
      <c r="N241" s="170" t="n">
        <v>3137546144</v>
      </c>
      <c r="O241" s="172" t="inlineStr">
        <is>
          <t>Juan Camilo Quintero Bedoya</t>
        </is>
      </c>
      <c r="P241" s="52" t="inlineStr">
        <is>
          <t>camilo.quintero@spci.com.co</t>
        </is>
      </c>
    </row>
    <row r="242">
      <c r="B242" s="170" t="n">
        <v>230</v>
      </c>
      <c r="C242" s="199" t="inlineStr">
        <is>
          <t>COTIZACION DE LOS DISEÑOS DE PROTECCIÓN CONTRA INCENDIOS PARA EL PROYECTO BODEGAS QUIMTIA</t>
        </is>
      </c>
      <c r="D242" s="312" t="n"/>
      <c r="E242" s="312" t="n"/>
      <c r="F242" s="312" t="n"/>
      <c r="G242" s="312" t="n"/>
      <c r="H242" s="312" t="n"/>
      <c r="I242" s="313" t="n"/>
      <c r="J242" s="199" t="inlineStr">
        <is>
          <t>SPCI</t>
        </is>
      </c>
      <c r="K242" s="314" t="n">
        <v>3760000</v>
      </c>
      <c r="L242" s="2" t="n">
        <v>44707</v>
      </c>
      <c r="M242" s="170" t="n"/>
      <c r="N242" s="170" t="n">
        <v>3104165783</v>
      </c>
      <c r="O242" s="170" t="inlineStr">
        <is>
          <t>Cristiam Gustavo Mondragón Cortes</t>
        </is>
      </c>
      <c r="P242" s="52" t="inlineStr">
        <is>
          <t>cristiam.mondragon@spci.com.co</t>
        </is>
      </c>
    </row>
    <row r="243">
      <c r="B243" s="170" t="n">
        <v>231</v>
      </c>
      <c r="C243" s="233" t="inlineStr">
        <is>
          <t>COTIZACION DE LOS DISEÑOS DE PROTECCIÓN CONTRA INCENDIOS Y SEGURIDAD HUMANA PARA EL PROYECTO QUIROFANOS ESMERAL</t>
        </is>
      </c>
      <c r="D243" s="312" t="n"/>
      <c r="E243" s="312" t="n"/>
      <c r="F243" s="312" t="n"/>
      <c r="G243" s="312" t="n"/>
      <c r="H243" s="312" t="n"/>
      <c r="I243" s="313" t="n"/>
      <c r="J243" s="199" t="inlineStr">
        <is>
          <t>CONDISEÑO</t>
        </is>
      </c>
      <c r="K243" s="314" t="n">
        <v>9410000</v>
      </c>
      <c r="L243" s="2" t="n">
        <v>44707</v>
      </c>
      <c r="M243" s="170" t="n"/>
      <c r="N243" s="170" t="n">
        <v>3175594091</v>
      </c>
      <c r="O243" s="170" t="inlineStr">
        <is>
          <t>Nakary García Romero</t>
        </is>
      </c>
      <c r="P243" s="52" t="inlineStr">
        <is>
          <t>n.garcia@condiseno.co</t>
        </is>
      </c>
    </row>
    <row r="244">
      <c r="B244" s="170" t="n">
        <v>232</v>
      </c>
      <c r="C244" s="199" t="inlineStr">
        <is>
          <t>COTIZACION DEL DISEÑO DE EXTINCIÓN DE INCENDIOS PARA EL PROYECTO EDIFICIO DE IDIOMAS PISO 8 Y 9 UNIVERSIDAD EAFIT</t>
        </is>
      </c>
      <c r="D244" s="312" t="n"/>
      <c r="E244" s="312" t="n"/>
      <c r="F244" s="312" t="n"/>
      <c r="G244" s="312" t="n"/>
      <c r="H244" s="312" t="n"/>
      <c r="I244" s="313" t="n"/>
      <c r="J244" s="199" t="inlineStr">
        <is>
          <t>SPCI</t>
        </is>
      </c>
      <c r="K244" s="314" t="n">
        <v>5990000</v>
      </c>
      <c r="L244" s="2" t="n">
        <v>44707</v>
      </c>
      <c r="M244" s="2" t="n"/>
      <c r="N244" s="170" t="n">
        <v>3104165783</v>
      </c>
      <c r="O244" s="170" t="inlineStr">
        <is>
          <t>Cristiam Gustavo Mondragón Cortes</t>
        </is>
      </c>
      <c r="P244" s="52" t="inlineStr">
        <is>
          <t>cristiam.mondragon@spci.com.co</t>
        </is>
      </c>
    </row>
    <row r="245">
      <c r="B245" s="170" t="n">
        <v>233</v>
      </c>
      <c r="C245" s="199" t="inlineStr">
        <is>
          <t>COTIZACION DE REVISIÓN DE LOS SISTEMAS DE PROTECCIÓN CONTRA INCENDIOS INSTALADOS PARADISE LIVING</t>
        </is>
      </c>
      <c r="D245" s="312" t="n"/>
      <c r="E245" s="312" t="n"/>
      <c r="F245" s="312" t="n"/>
      <c r="G245" s="312" t="n"/>
      <c r="H245" s="312" t="n"/>
      <c r="I245" s="313" t="n"/>
      <c r="J245" s="199" t="inlineStr">
        <is>
          <t>PROCIC</t>
        </is>
      </c>
      <c r="K245" s="314" t="n">
        <v>2500000</v>
      </c>
      <c r="L245" s="2" t="inlineStr">
        <is>
          <t>25/05/2022</t>
        </is>
      </c>
      <c r="M245" s="170" t="inlineStr">
        <is>
          <t>X</t>
        </is>
      </c>
      <c r="N245" s="170" t="n">
        <v>3113635049</v>
      </c>
      <c r="O245" s="170" t="inlineStr">
        <is>
          <t>Lina Bustamante</t>
        </is>
      </c>
      <c r="P245" s="52" t="inlineStr">
        <is>
          <t>direccionobra@procicsas.com</t>
        </is>
      </c>
    </row>
    <row r="246">
      <c r="B246" s="170" t="n">
        <v>234</v>
      </c>
      <c r="C246" s="199" t="inlineStr">
        <is>
          <t>COTIZACION DE LOS DISEÑOS DE PROTECCIÓN CONTRA INCENDIOS - PISOS 6 Y 7 PROYECTO CHELSEA</t>
        </is>
      </c>
      <c r="D246" s="312" t="n"/>
      <c r="E246" s="312" t="n"/>
      <c r="F246" s="312" t="n"/>
      <c r="G246" s="312" t="n"/>
      <c r="H246" s="312" t="n"/>
      <c r="I246" s="313" t="n"/>
      <c r="J246" s="199" t="inlineStr">
        <is>
          <t>URCO</t>
        </is>
      </c>
      <c r="K246" s="314" t="n">
        <v>3000000</v>
      </c>
      <c r="L246" s="2" t="n">
        <v>44707</v>
      </c>
      <c r="M246" s="170" t="inlineStr">
        <is>
          <t>X</t>
        </is>
      </c>
      <c r="N246" s="170" t="inlineStr">
        <is>
          <t>314 6454239</t>
        </is>
      </c>
      <c r="O246" s="170" t="inlineStr">
        <is>
          <t>Carmenza Guzmán</t>
        </is>
      </c>
      <c r="P246" s="52" t="inlineStr">
        <is>
          <t xml:space="preserve">carmenza.guzman@urco.com.co </t>
        </is>
      </c>
    </row>
    <row r="247">
      <c r="B247" s="170" t="n">
        <v>235</v>
      </c>
      <c r="C247" s="199" t="inlineStr">
        <is>
          <t>COTIZACION DE LOS DISEÑOS DE SEGURIDAD HUMANA Y PROTECCIÓN CONTRA INCENDIOS - SOLEI ETAPA 1</t>
        </is>
      </c>
      <c r="D247" s="312" t="n"/>
      <c r="E247" s="312" t="n"/>
      <c r="F247" s="312" t="n"/>
      <c r="G247" s="312" t="n"/>
      <c r="H247" s="312" t="n"/>
      <c r="I247" s="313" t="n"/>
      <c r="J247" s="199" t="inlineStr">
        <is>
          <t>CONALTURA</t>
        </is>
      </c>
      <c r="K247" s="314" t="n">
        <v>26360000</v>
      </c>
      <c r="L247" s="2" t="n">
        <v>44712</v>
      </c>
      <c r="M247" s="170" t="n"/>
      <c r="N247" s="170" t="n">
        <v>2662277</v>
      </c>
      <c r="O247" s="170" t="inlineStr">
        <is>
          <t>Victor Alfonso Monsalve</t>
        </is>
      </c>
      <c r="P247" s="52" t="inlineStr">
        <is>
          <t>vmonsalve@conaltura.com,</t>
        </is>
      </c>
    </row>
    <row r="248">
      <c r="B248" s="170" t="n">
        <v>236</v>
      </c>
      <c r="C248" s="199" t="inlineStr">
        <is>
          <t>COTIZACION DE LOS DISEÑOS DE PROTECCIÓN CONTRA INCENDIOS Y SEGURIDAD HUMANA PARA EL PROYECTO ISLANDIA</t>
        </is>
      </c>
      <c r="D248" s="312" t="n"/>
      <c r="E248" s="312" t="n"/>
      <c r="F248" s="312" t="n"/>
      <c r="G248" s="312" t="n"/>
      <c r="H248" s="312" t="n"/>
      <c r="I248" s="313" t="n"/>
      <c r="J248" s="199" t="inlineStr">
        <is>
          <t>SECURETEC</t>
        </is>
      </c>
      <c r="K248" s="314" t="n">
        <v>18950000</v>
      </c>
      <c r="L248" s="2" t="n">
        <v>44712</v>
      </c>
      <c r="M248" s="170" t="n"/>
      <c r="N248" s="170" t="n">
        <v>3217011017</v>
      </c>
      <c r="O248" s="170" t="inlineStr">
        <is>
          <t>Harol Mauricio Camacho Ramírez</t>
        </is>
      </c>
      <c r="P248" s="52" t="inlineStr">
        <is>
          <t>gerencia@securetec.com.co</t>
        </is>
      </c>
    </row>
    <row r="249">
      <c r="B249" s="170" t="n">
        <v>237</v>
      </c>
      <c r="C249" s="199" t="inlineStr">
        <is>
          <t>COTIZACION DEL ANÁLISIS DE SEGURIDAD HUMANA PARA EL PROYECTO LOTE 2 PUG CHIMENEAS</t>
        </is>
      </c>
      <c r="D249" s="312" t="n"/>
      <c r="E249" s="312" t="n"/>
      <c r="F249" s="312" t="n"/>
      <c r="G249" s="312" t="n"/>
      <c r="H249" s="312" t="n"/>
      <c r="I249" s="313" t="n"/>
      <c r="J249" s="199" t="inlineStr">
        <is>
          <t>CONCONCRETO</t>
        </is>
      </c>
      <c r="K249" s="314" t="n">
        <v>6270000</v>
      </c>
      <c r="L249" s="2" t="n">
        <v>44712</v>
      </c>
      <c r="M249" s="170" t="inlineStr">
        <is>
          <t>X</t>
        </is>
      </c>
      <c r="N249" s="170" t="n"/>
      <c r="O249" s="170" t="n"/>
      <c r="P249" s="52" t="n"/>
    </row>
    <row r="250">
      <c r="B250" s="170" t="n">
        <v>238</v>
      </c>
      <c r="C250" s="199" t="inlineStr">
        <is>
          <t>COTIZACION DE LOS DISEÑOS DE PROTECCIÓN CONTRA INCENDIOS Y SEGURIDAD HUMANA PARA EL PROYECTO LIFF</t>
        </is>
      </c>
      <c r="D250" s="312" t="n"/>
      <c r="E250" s="312" t="n"/>
      <c r="F250" s="312" t="n"/>
      <c r="G250" s="312" t="n"/>
      <c r="H250" s="312" t="n"/>
      <c r="I250" s="313" t="n"/>
      <c r="J250" s="199" t="inlineStr">
        <is>
          <t>CONSTRUGEN</t>
        </is>
      </c>
      <c r="K250" s="314" t="n">
        <v>16550000</v>
      </c>
      <c r="L250" s="2" t="n">
        <v>44682</v>
      </c>
      <c r="M250" s="170" t="inlineStr">
        <is>
          <t>X</t>
        </is>
      </c>
      <c r="N250" s="170" t="inlineStr">
        <is>
          <t>313 6576937</t>
        </is>
      </c>
      <c r="O250" s="170" t="inlineStr">
        <is>
          <t>Gabriel Tamayo</t>
        </is>
      </c>
      <c r="P250" s="52" t="inlineStr">
        <is>
          <t>gjtamayo@gmail.com</t>
        </is>
      </c>
    </row>
    <row r="251">
      <c r="B251" s="170" t="n">
        <v>239</v>
      </c>
      <c r="C251" s="199" t="inlineStr">
        <is>
          <t>COTIZACION DE LOS DISEÑOS DE PROTECCIÓN CONTRA INCENDIOS PARA EL PROYECTO ZONAS COMUNES PRIMEIRO</t>
        </is>
      </c>
      <c r="D251" s="312" t="n"/>
      <c r="E251" s="312" t="n"/>
      <c r="F251" s="312" t="n"/>
      <c r="G251" s="312" t="n"/>
      <c r="H251" s="312" t="n"/>
      <c r="I251" s="313" t="n"/>
      <c r="J251" s="199" t="inlineStr">
        <is>
          <t>ESTRUCTURAR</t>
        </is>
      </c>
      <c r="K251" s="314" t="n">
        <v>3000000</v>
      </c>
      <c r="L251" s="2" t="n">
        <v>44682</v>
      </c>
      <c r="M251" s="170" t="inlineStr">
        <is>
          <t>X</t>
        </is>
      </c>
      <c r="N251" s="170" t="n">
        <v>3002218400</v>
      </c>
      <c r="O251" s="170" t="inlineStr">
        <is>
          <t>Dairon Andrés Obando Velásquez</t>
        </is>
      </c>
      <c r="P251" s="52" t="inlineStr">
        <is>
          <t>daironobando@estructurar.co</t>
        </is>
      </c>
    </row>
    <row r="252">
      <c r="B252" s="170" t="n">
        <v>240</v>
      </c>
      <c r="C252" s="199" t="inlineStr">
        <is>
          <t>COTIZACION DE LOS DISEÑOS DE PROTECCIÓN CONTRA INCENDIOS Y SEGURIDAD HUMANA PARA EL PROYECTO RODEO DE LA MONTAÑA</t>
        </is>
      </c>
      <c r="D252" s="312" t="n"/>
      <c r="E252" s="312" t="n"/>
      <c r="F252" s="312" t="n"/>
      <c r="G252" s="312" t="n"/>
      <c r="H252" s="312" t="n"/>
      <c r="I252" s="313" t="n"/>
      <c r="J252" s="199" t="inlineStr">
        <is>
          <t>SOLUCIONES CIVILES</t>
        </is>
      </c>
      <c r="K252" s="314" t="n">
        <v>14990000</v>
      </c>
      <c r="L252" s="2" t="n">
        <v>44719</v>
      </c>
      <c r="M252" s="170" t="inlineStr">
        <is>
          <t>X</t>
        </is>
      </c>
      <c r="N252" s="170" t="n">
        <v>4483960</v>
      </c>
      <c r="O252" s="170" t="inlineStr">
        <is>
          <t>Gustavo Aguirre Arcila</t>
        </is>
      </c>
      <c r="P252" s="52" t="inlineStr">
        <is>
          <t>gaguirre@solciviles.com</t>
        </is>
      </c>
    </row>
    <row r="253">
      <c r="B253" s="170" t="n">
        <v>241</v>
      </c>
      <c r="C253" s="199" t="inlineStr">
        <is>
          <t>COTIZACION DE LOS DISEÑOS DE PROTECCIÓN CONTRA INCENDIOS PARA EL PROYECTO AMPLIACION DE COSTADO SUR CLINICA EL ROSARIO EL TESORO</t>
        </is>
      </c>
      <c r="D253" s="312" t="n"/>
      <c r="E253" s="312" t="n"/>
      <c r="F253" s="312" t="n"/>
      <c r="G253" s="312" t="n"/>
      <c r="H253" s="312" t="n"/>
      <c r="I253" s="313" t="n"/>
      <c r="J253" s="199" t="inlineStr">
        <is>
          <t>SPCI</t>
        </is>
      </c>
      <c r="K253" s="314" t="n">
        <v>2820000</v>
      </c>
      <c r="L253" s="2" t="n">
        <v>44718</v>
      </c>
      <c r="M253" s="170" t="inlineStr">
        <is>
          <t>X</t>
        </is>
      </c>
      <c r="N253" s="170" t="inlineStr">
        <is>
          <t>321 482 61 68</t>
        </is>
      </c>
      <c r="O253" s="170" t="inlineStr">
        <is>
          <t>Ana Maria Restrepo Mayo.</t>
        </is>
      </c>
      <c r="P253" s="52" t="inlineStr">
        <is>
          <t>ana.restrepo@spci.com.co</t>
        </is>
      </c>
    </row>
    <row r="254">
      <c r="B254" s="170" t="n">
        <v>242</v>
      </c>
      <c r="C254" s="199" t="inlineStr">
        <is>
          <t>COTIZACION DE LOS DISEÑOS DE PROTECCIÓN CONTRA INCENDIOS Y SEGURIDAD HUMANA PARA EL PROYECTO CLINICA EL ROSARIO EL TESORO</t>
        </is>
      </c>
      <c r="D254" s="312" t="n"/>
      <c r="E254" s="312" t="n"/>
      <c r="F254" s="312" t="n"/>
      <c r="G254" s="312" t="n"/>
      <c r="H254" s="312" t="n"/>
      <c r="I254" s="313" t="n"/>
      <c r="J254" s="199" t="inlineStr">
        <is>
          <t>SPCI</t>
        </is>
      </c>
      <c r="K254" s="314" t="n">
        <v>12000000</v>
      </c>
      <c r="L254" s="2" t="n">
        <v>44718</v>
      </c>
      <c r="M254" s="170" t="inlineStr">
        <is>
          <t>X</t>
        </is>
      </c>
      <c r="N254" s="170" t="inlineStr">
        <is>
          <t>321 482 61 68</t>
        </is>
      </c>
      <c r="O254" s="170" t="inlineStr">
        <is>
          <t>Ana Maria Restrepo Mayo.</t>
        </is>
      </c>
      <c r="P254" s="52" t="inlineStr">
        <is>
          <t>ana.restrepo@spci.com.co</t>
        </is>
      </c>
    </row>
    <row r="255">
      <c r="B255" s="170" t="n">
        <v>243</v>
      </c>
      <c r="C255" s="199" t="inlineStr">
        <is>
          <t>COTIZACION DEL DISEÑO DE DETECCIÓN DE INCENDIOS - LOCAL COMERCIAL EDIFICIO CROSS</t>
        </is>
      </c>
      <c r="D255" s="312" t="n"/>
      <c r="E255" s="312" t="n"/>
      <c r="F255" s="312" t="n"/>
      <c r="G255" s="312" t="n"/>
      <c r="H255" s="312" t="n"/>
      <c r="I255" s="313" t="n"/>
      <c r="J255" s="199" t="inlineStr">
        <is>
          <t>SPCI</t>
        </is>
      </c>
      <c r="K255" s="314" t="n">
        <v>800000</v>
      </c>
      <c r="L255" s="2" t="n">
        <v>44714</v>
      </c>
      <c r="M255" s="2" t="n"/>
      <c r="N255" s="170" t="inlineStr">
        <is>
          <t>321 482 61 68</t>
        </is>
      </c>
      <c r="O255" s="170" t="inlineStr">
        <is>
          <t>Ana Maria Restrepo Mayo.</t>
        </is>
      </c>
      <c r="P255" s="52" t="inlineStr">
        <is>
          <t>ana.restrepo@spci.com.co</t>
        </is>
      </c>
    </row>
    <row r="256">
      <c r="B256" s="170" t="n">
        <v>244</v>
      </c>
      <c r="C256" s="199" t="inlineStr">
        <is>
          <t>COTIZACION DEL ANÁLISIS DE SEGURIDAD HUMANA PARA EL PROYECTO EDIFICIOS UNIDADES FUNCIONALES RUTA 40 EN COLOMBIA</t>
        </is>
      </c>
      <c r="D256" s="312" t="n"/>
      <c r="E256" s="312" t="n"/>
      <c r="F256" s="312" t="n"/>
      <c r="G256" s="312" t="n"/>
      <c r="H256" s="312" t="n"/>
      <c r="I256" s="313" t="n"/>
      <c r="J256" s="199" t="inlineStr">
        <is>
          <t>CONCONCRETO</t>
        </is>
      </c>
      <c r="K256" s="314" t="n">
        <v>3500000</v>
      </c>
      <c r="L256" s="2" t="n">
        <v>44718</v>
      </c>
      <c r="M256" s="170" t="inlineStr">
        <is>
          <t>X</t>
        </is>
      </c>
      <c r="N256" s="170" t="n"/>
      <c r="O256" s="170" t="n"/>
      <c r="P256" s="52" t="n"/>
    </row>
    <row r="257">
      <c r="B257" s="170" t="n">
        <v>245</v>
      </c>
      <c r="C257" s="199" t="inlineStr">
        <is>
          <t>COTIZACION DE LOS DISEÑOS DE PROTECCIÓN CONTRA INCENDIOS - 3 CASTILLOS PLANTA 1</t>
        </is>
      </c>
      <c r="D257" s="312" t="n"/>
      <c r="E257" s="312" t="n"/>
      <c r="F257" s="312" t="n"/>
      <c r="G257" s="312" t="n"/>
      <c r="H257" s="312" t="n"/>
      <c r="I257" s="313" t="n"/>
      <c r="J257" s="199" t="inlineStr">
        <is>
          <t>SPCI</t>
        </is>
      </c>
      <c r="K257" s="314" t="n">
        <v>19940000</v>
      </c>
      <c r="L257" s="2" t="n">
        <v>44719</v>
      </c>
      <c r="M257" s="2" t="n"/>
      <c r="N257" s="170" t="n">
        <v>3104165783</v>
      </c>
      <c r="O257" s="170" t="inlineStr">
        <is>
          <t>Cristiam Gustavo Mondragón Cortes</t>
        </is>
      </c>
      <c r="P257" s="52" t="inlineStr">
        <is>
          <t>cristiam.mondragon@spci.com.co</t>
        </is>
      </c>
    </row>
    <row r="258">
      <c r="B258" s="170" t="n">
        <v>246</v>
      </c>
      <c r="C258" s="199" t="inlineStr">
        <is>
          <t>COTIZACION DE LOS DISEÑOS DE PROTECCIÓN CONTRA INCENDIOS - 3 CASTILLOS PLANTA 2</t>
        </is>
      </c>
      <c r="D258" s="312" t="n"/>
      <c r="E258" s="312" t="n"/>
      <c r="F258" s="312" t="n"/>
      <c r="G258" s="312" t="n"/>
      <c r="H258" s="312" t="n"/>
      <c r="I258" s="313" t="n"/>
      <c r="J258" s="199" t="inlineStr">
        <is>
          <t>SPCI</t>
        </is>
      </c>
      <c r="K258" s="314" t="n">
        <v>26340000</v>
      </c>
      <c r="L258" s="2" t="n">
        <v>44719</v>
      </c>
      <c r="M258" s="170" t="n"/>
      <c r="N258" s="170" t="n">
        <v>3104165783</v>
      </c>
      <c r="O258" s="170" t="inlineStr">
        <is>
          <t>Cristiam Gustavo Mondragón Cortes</t>
        </is>
      </c>
      <c r="P258" s="52" t="inlineStr">
        <is>
          <t>cristiam.mondragon@spci.com.co</t>
        </is>
      </c>
    </row>
    <row r="259">
      <c r="B259" s="170" t="n">
        <v>247</v>
      </c>
      <c r="C259" s="199" t="inlineStr">
        <is>
          <t>COTIZACION DEL REDISEÑO DE EXTINCIÓN PARA EL PROYECTO MIRASUR</t>
        </is>
      </c>
      <c r="D259" s="312" t="n"/>
      <c r="E259" s="312" t="n"/>
      <c r="F259" s="312" t="n"/>
      <c r="G259" s="312" t="n"/>
      <c r="H259" s="312" t="n"/>
      <c r="I259" s="313" t="n"/>
      <c r="J259" s="199" t="inlineStr">
        <is>
          <t>Construcciones Alcalá</t>
        </is>
      </c>
      <c r="K259" s="314" t="n">
        <v>1000000</v>
      </c>
      <c r="L259" s="2" t="n">
        <v>44719</v>
      </c>
      <c r="M259" s="170" t="inlineStr">
        <is>
          <t>X</t>
        </is>
      </c>
      <c r="N259" s="170" t="inlineStr">
        <is>
          <t>301 6356046</t>
        </is>
      </c>
      <c r="O259" s="172" t="inlineStr">
        <is>
          <t>Orlando Gallo</t>
        </is>
      </c>
      <c r="P259" s="52" t="inlineStr">
        <is>
          <t>bravo259@hotmail.com</t>
        </is>
      </c>
    </row>
    <row r="260">
      <c r="B260" s="170" t="n">
        <v>248</v>
      </c>
      <c r="C260" s="199" t="inlineStr">
        <is>
          <t>COTIZACION DE LOS DISEÑOS DE PROTECCIÓN CONTRA INCENDIOS PARA EL PROYECTO BODEGA TRUHER SABANETA</t>
        </is>
      </c>
      <c r="D260" s="312" t="n"/>
      <c r="E260" s="312" t="n"/>
      <c r="F260" s="312" t="n"/>
      <c r="G260" s="312" t="n"/>
      <c r="H260" s="312" t="n"/>
      <c r="I260" s="313" t="n"/>
      <c r="J260" s="199" t="inlineStr">
        <is>
          <t>SPCI</t>
        </is>
      </c>
      <c r="K260" s="314" t="n">
        <v>15990000</v>
      </c>
      <c r="L260" s="2" t="n">
        <v>44719</v>
      </c>
      <c r="M260" s="170" t="n"/>
      <c r="N260" s="170" t="n">
        <v>3104165783</v>
      </c>
      <c r="O260" s="170" t="inlineStr">
        <is>
          <t>Cristiam Gustavo Mondragón Cortes</t>
        </is>
      </c>
      <c r="P260" s="52" t="inlineStr">
        <is>
          <t>cristiam.mondragon@spci.com.co</t>
        </is>
      </c>
    </row>
    <row r="261">
      <c r="B261" s="170" t="n">
        <v>249</v>
      </c>
      <c r="C261" s="199" t="inlineStr">
        <is>
          <t>COTIZACION DE LOS DISEÑOS DE PROTECCIÓN CONTRA INCENDIOS PARA EL PROYECTO FUNDACION LUPINES</t>
        </is>
      </c>
      <c r="D261" s="312" t="n"/>
      <c r="E261" s="312" t="n"/>
      <c r="F261" s="312" t="n"/>
      <c r="G261" s="312" t="n"/>
      <c r="H261" s="312" t="n"/>
      <c r="I261" s="313" t="n"/>
      <c r="J261" s="199" t="inlineStr">
        <is>
          <t>IA&amp;C</t>
        </is>
      </c>
      <c r="K261" s="314" t="inlineStr">
        <is>
          <t>No se envió</t>
        </is>
      </c>
      <c r="L261" s="2" t="n">
        <v>44719</v>
      </c>
      <c r="M261" s="170" t="n"/>
      <c r="N261" s="170" t="inlineStr">
        <is>
          <t>314 667 5509</t>
        </is>
      </c>
      <c r="O261" s="170" t="inlineStr">
        <is>
          <t>ANDRES FELIPE REINOSA V.</t>
        </is>
      </c>
      <c r="P261" s="52" t="inlineStr">
        <is>
          <t>andresreinosa@iayc.co</t>
        </is>
      </c>
    </row>
    <row r="262">
      <c r="B262" s="170" t="n">
        <v>250</v>
      </c>
      <c r="C262" s="199" t="inlineStr">
        <is>
          <t>COTIZACION DE LOS DISEÑOS DE SEGURIDAD HUMANA Y EXTINCIÓN DE INCENDIOS - MEGACENTER</t>
        </is>
      </c>
      <c r="D262" s="312" t="n"/>
      <c r="E262" s="312" t="n"/>
      <c r="F262" s="312" t="n"/>
      <c r="G262" s="312" t="n"/>
      <c r="H262" s="312" t="n"/>
      <c r="I262" s="313" t="n"/>
      <c r="J262" s="199" t="inlineStr">
        <is>
          <t>Arquitectura y Concreto</t>
        </is>
      </c>
      <c r="K262" s="314" t="n">
        <v>26650000</v>
      </c>
      <c r="L262" s="2" t="n">
        <v>44719</v>
      </c>
      <c r="M262" s="170" t="n"/>
      <c r="N262" s="170" t="inlineStr">
        <is>
          <t>3123618 ext 2111</t>
        </is>
      </c>
      <c r="O262" s="172" t="inlineStr">
        <is>
          <t>Blanca Saldarriaga Restrepo</t>
        </is>
      </c>
      <c r="P262" s="52" t="inlineStr">
        <is>
          <t>blancasaldarriaga@arquitecturayconcreto.com</t>
        </is>
      </c>
    </row>
    <row r="263">
      <c r="B263" s="170" t="n">
        <v>251</v>
      </c>
      <c r="C263" s="199" t="inlineStr">
        <is>
          <t>COTIZACION DE LOS DISEÑOS DE SEGURIDAD HUMANA Y PROTECCIÓN CONTRA INCENDIOS - CLÍNICA DEL ROSARIO EL TESORO</t>
        </is>
      </c>
      <c r="D263" s="312" t="n"/>
      <c r="E263" s="312" t="n"/>
      <c r="F263" s="312" t="n"/>
      <c r="G263" s="312" t="n"/>
      <c r="H263" s="312" t="n"/>
      <c r="I263" s="313" t="n"/>
      <c r="J263" s="199" t="inlineStr">
        <is>
          <t>SPCI</t>
        </is>
      </c>
      <c r="K263" s="314" t="n">
        <v>33250000</v>
      </c>
      <c r="L263" s="2" t="n">
        <v>44720</v>
      </c>
      <c r="M263" s="170" t="inlineStr">
        <is>
          <t>X</t>
        </is>
      </c>
      <c r="N263" s="170" t="inlineStr">
        <is>
          <t xml:space="preserve"> 310 468 0508</t>
        </is>
      </c>
      <c r="O263" s="170" t="inlineStr">
        <is>
          <t>Juan Pablo Grajales Gómez</t>
        </is>
      </c>
      <c r="P263" s="52" t="inlineStr">
        <is>
          <t>juan.grajales@spci.com.co</t>
        </is>
      </c>
    </row>
    <row r="264">
      <c r="B264" s="170" t="n">
        <v>252</v>
      </c>
      <c r="C264" s="233" t="inlineStr">
        <is>
          <t xml:space="preserve">COTIZACION DE LOS DISEÑOS DE DETECCIÓN DE INCENDIOS Y SEGURIDAD HUMANA PARA EL PROYECTO PLANTA RECOVIL
</t>
        </is>
      </c>
      <c r="D264" s="312" t="n"/>
      <c r="E264" s="312" t="n"/>
      <c r="F264" s="312" t="n"/>
      <c r="G264" s="312" t="n"/>
      <c r="H264" s="312" t="n"/>
      <c r="I264" s="313" t="n"/>
      <c r="J264" s="199" t="inlineStr">
        <is>
          <t>SMART FIRE PROTECCION</t>
        </is>
      </c>
      <c r="K264" s="314" t="inlineStr">
        <is>
          <t>No se envió</t>
        </is>
      </c>
      <c r="L264" s="2" t="n">
        <v>44720</v>
      </c>
      <c r="M264" s="170" t="n"/>
      <c r="N264" s="170" t="n"/>
      <c r="O264" s="170" t="n"/>
      <c r="P264" s="52" t="n"/>
    </row>
    <row r="265">
      <c r="B265" s="170" t="n">
        <v>253</v>
      </c>
      <c r="C265" s="199" t="inlineStr">
        <is>
          <t>COTIZACION DEL DISEÑO DE EXTINCIÓN DE INCENDIOS - CLÍNICA DEL ROSARIO EL TESORO</t>
        </is>
      </c>
      <c r="D265" s="312" t="n"/>
      <c r="E265" s="312" t="n"/>
      <c r="F265" s="312" t="n"/>
      <c r="G265" s="312" t="n"/>
      <c r="H265" s="312" t="n"/>
      <c r="I265" s="313" t="n"/>
      <c r="J265" s="199" t="inlineStr">
        <is>
          <t>SPCI</t>
        </is>
      </c>
      <c r="K265" s="314" t="n">
        <v>17000000</v>
      </c>
      <c r="L265" s="2" t="n">
        <v>44720</v>
      </c>
      <c r="M265" s="170" t="n"/>
      <c r="N265" s="170" t="inlineStr">
        <is>
          <t xml:space="preserve"> 310 468 0508</t>
        </is>
      </c>
      <c r="O265" s="170" t="inlineStr">
        <is>
          <t>Juan Pablo Grajales Gómez</t>
        </is>
      </c>
      <c r="P265" s="52" t="inlineStr">
        <is>
          <t>juan.grajales@spci.com.co</t>
        </is>
      </c>
    </row>
    <row r="266" ht="15" customHeight="1">
      <c r="B266" s="170" t="n">
        <v>254</v>
      </c>
      <c r="C266" s="199" t="inlineStr">
        <is>
          <t xml:space="preserve">COTIZACION DEL ANÁLISIS DE SEGURIDAD HUMANA PARA EL PROYECTO BODEGA B10-11-12-13
</t>
        </is>
      </c>
      <c r="D266" s="312" t="n"/>
      <c r="E266" s="312" t="n"/>
      <c r="F266" s="312" t="n"/>
      <c r="G266" s="312" t="n"/>
      <c r="H266" s="312" t="n"/>
      <c r="I266" s="313" t="n"/>
      <c r="J266" s="199" t="inlineStr">
        <is>
          <t>CONCONCRETO</t>
        </is>
      </c>
      <c r="K266" s="314" t="n">
        <v>1800000</v>
      </c>
      <c r="L266" s="2" t="n">
        <v>44722</v>
      </c>
      <c r="M266" s="170" t="inlineStr">
        <is>
          <t>X</t>
        </is>
      </c>
      <c r="N266" s="170" t="n"/>
      <c r="O266" s="170" t="n"/>
      <c r="P266" s="52" t="n"/>
    </row>
    <row r="267">
      <c r="B267" s="170" t="n">
        <v>255</v>
      </c>
      <c r="C267" s="199" t="inlineStr">
        <is>
          <t>COTIZACION DEL DISEÑO DE DETECCIÓN DE INCENDIOS PARA EL PROYECTO LOCA 234 NAVISSI BARRANQUILLA</t>
        </is>
      </c>
      <c r="D267" s="312" t="n"/>
      <c r="E267" s="312" t="n"/>
      <c r="F267" s="312" t="n"/>
      <c r="G267" s="312" t="n"/>
      <c r="H267" s="312" t="n"/>
      <c r="I267" s="313" t="n"/>
      <c r="J267" s="199" t="inlineStr">
        <is>
          <t>SPCI</t>
        </is>
      </c>
      <c r="K267" s="314" t="n">
        <v>1000000</v>
      </c>
      <c r="L267" s="2" t="n">
        <v>44722</v>
      </c>
      <c r="M267" s="170" t="n"/>
      <c r="N267" s="170" t="inlineStr">
        <is>
          <t>321 482 61 68</t>
        </is>
      </c>
      <c r="O267" s="170" t="inlineStr">
        <is>
          <t>Ana Maria Restrepo Mayo.</t>
        </is>
      </c>
      <c r="P267" s="52" t="inlineStr">
        <is>
          <t>ana.restrepo@spci.com.co</t>
        </is>
      </c>
    </row>
    <row r="268">
      <c r="B268" s="170" t="n">
        <v>256</v>
      </c>
      <c r="C268" s="231" t="inlineStr">
        <is>
          <t>COTIZACION DE LOS DISEÑOS DE PROTECCIÓN CONTRA INCENDIOS Y SEGURIDAD HUMANA PARA EL PROYECTO SERRANIA CAMPESTRE</t>
        </is>
      </c>
      <c r="D268" s="312" t="n"/>
      <c r="E268" s="312" t="n"/>
      <c r="F268" s="312" t="n"/>
      <c r="G268" s="312" t="n"/>
      <c r="H268" s="312" t="n"/>
      <c r="I268" s="313" t="n"/>
      <c r="J268" s="231" t="inlineStr">
        <is>
          <t>INSERCO</t>
        </is>
      </c>
      <c r="K268" s="314" t="n">
        <v>26950000</v>
      </c>
      <c r="L268" s="2" t="n">
        <v>44725</v>
      </c>
      <c r="M268" s="2" t="n"/>
      <c r="N268" s="170" t="n">
        <v>3104131109</v>
      </c>
      <c r="O268" s="170" t="inlineStr">
        <is>
          <t>Leandro Herrera Gutiérrez</t>
        </is>
      </c>
      <c r="P268" s="52" t="inlineStr">
        <is>
          <t>directorlean@inserco.com.co</t>
        </is>
      </c>
    </row>
    <row r="269">
      <c r="B269" s="170" t="n">
        <v>257</v>
      </c>
      <c r="C269" s="252" t="inlineStr">
        <is>
          <t xml:space="preserve">COTIZACION DEL DISEÑO DE EXTINCIÓN DE INCENDIOS PARA EL PROYECTO TANQUES DE ALMACENAMIENTO
</t>
        </is>
      </c>
      <c r="D269" s="312" t="n"/>
      <c r="E269" s="312" t="n"/>
      <c r="F269" s="312" t="n"/>
      <c r="G269" s="312" t="n"/>
      <c r="H269" s="312" t="n"/>
      <c r="I269" s="313" t="n"/>
      <c r="J269" s="231" t="inlineStr">
        <is>
          <t>SPCI</t>
        </is>
      </c>
      <c r="K269" s="314" t="n">
        <v>30000000</v>
      </c>
      <c r="L269" s="2" t="n">
        <v>44727</v>
      </c>
      <c r="M269" s="170" t="n"/>
      <c r="N269" s="170" t="n">
        <v>3104165783</v>
      </c>
      <c r="O269" s="170" t="inlineStr">
        <is>
          <t>Cristiam Gustavo Mondragón Cortes</t>
        </is>
      </c>
      <c r="P269" s="52" t="inlineStr">
        <is>
          <t>cristiam.mondragon@spci.com.co</t>
        </is>
      </c>
    </row>
    <row r="270">
      <c r="B270" s="170" t="n">
        <v>258</v>
      </c>
      <c r="C270" s="233" t="inlineStr">
        <is>
          <t xml:space="preserve">COTIZACION DEL DISEÑO DE EXTINCIÓN DE INCENDIOS PARA EL PROYECTO LOCAL 1013 CENTRO COMERCIAL INICIO
</t>
        </is>
      </c>
      <c r="D270" s="312" t="n"/>
      <c r="E270" s="312" t="n"/>
      <c r="F270" s="312" t="n"/>
      <c r="G270" s="312" t="n"/>
      <c r="H270" s="312" t="n"/>
      <c r="I270" s="313" t="n"/>
      <c r="J270" s="199" t="inlineStr">
        <is>
          <t>C.C INICIO</t>
        </is>
      </c>
      <c r="K270" s="314" t="n">
        <v>1950000</v>
      </c>
      <c r="L270" s="2" t="n">
        <v>44727</v>
      </c>
      <c r="M270" s="170" t="n"/>
      <c r="N270" s="170" t="n"/>
      <c r="O270" s="170" t="inlineStr">
        <is>
          <t>Mafe Chaux</t>
        </is>
      </c>
      <c r="P270" s="52" t="inlineStr">
        <is>
          <t>mafe.focusdi@gmail.com</t>
        </is>
      </c>
    </row>
    <row r="271">
      <c r="B271" s="170" t="n">
        <v>259</v>
      </c>
      <c r="C271" s="231" t="inlineStr">
        <is>
          <t>COTIZACION DE LOS DISEÑOS DE PROTECCIÓN CONTRA INCENDIOS PARA EL PROYECTO CENTRO LOGISTICO BIKE HOUSE LA ESTRELLA</t>
        </is>
      </c>
      <c r="D271" s="312" t="n"/>
      <c r="E271" s="312" t="n"/>
      <c r="F271" s="312" t="n"/>
      <c r="G271" s="312" t="n"/>
      <c r="H271" s="312" t="n"/>
      <c r="I271" s="313" t="n"/>
      <c r="J271" s="199" t="inlineStr">
        <is>
          <t>SOCOMES</t>
        </is>
      </c>
      <c r="K271" s="314" t="n">
        <v>21320000</v>
      </c>
      <c r="L271" s="2" t="n">
        <v>44727</v>
      </c>
      <c r="M271" s="170" t="n"/>
      <c r="N271" s="170" t="n">
        <v>3137851941</v>
      </c>
      <c r="O271" s="170" t="inlineStr">
        <is>
          <t>David Lopera Medina</t>
        </is>
      </c>
      <c r="P271" s="52" t="inlineStr">
        <is>
          <t>david.lopera@socomes.com</t>
        </is>
      </c>
    </row>
    <row r="272">
      <c r="B272" s="170" t="n">
        <v>260</v>
      </c>
      <c r="C272" s="233" t="inlineStr">
        <is>
          <t>COTIZACION DE LOS DISEÑOS DE PROTECCIÓN CONTRA INCENDIOS PARA EL PROYECTO EDIFICIO TORRE MAYOR</t>
        </is>
      </c>
      <c r="D272" s="312" t="n"/>
      <c r="E272" s="312" t="n"/>
      <c r="F272" s="312" t="n"/>
      <c r="G272" s="312" t="n"/>
      <c r="H272" s="312" t="n"/>
      <c r="I272" s="313" t="n"/>
      <c r="J272" s="199" t="inlineStr">
        <is>
          <t>SOCOMES</t>
        </is>
      </c>
      <c r="K272" s="314" t="inlineStr">
        <is>
          <t>Pendiente</t>
        </is>
      </c>
      <c r="L272" s="2" t="n">
        <v>44727</v>
      </c>
      <c r="M272" s="170" t="n"/>
      <c r="N272" s="170" t="n">
        <v>3137851941</v>
      </c>
      <c r="O272" s="170" t="inlineStr">
        <is>
          <t>David Lopera Medina</t>
        </is>
      </c>
      <c r="P272" s="52" t="inlineStr">
        <is>
          <t>david.lopera@socomes.com</t>
        </is>
      </c>
    </row>
    <row r="273">
      <c r="B273" s="170" t="n">
        <v>261</v>
      </c>
      <c r="C273" s="199" t="inlineStr">
        <is>
          <t>COTIZACION DE LOS DISEÑOS DE PROTECCIÓN CONTRA INCENDIOS PARA EL PROYECTO EDIFICIO ADMINISTRATIVO DE LAS BODEGAS DE CENTRO ACEROS</t>
        </is>
      </c>
      <c r="D273" s="312" t="n"/>
      <c r="E273" s="312" t="n"/>
      <c r="F273" s="312" t="n"/>
      <c r="G273" s="312" t="n"/>
      <c r="H273" s="312" t="n"/>
      <c r="I273" s="313" t="n"/>
      <c r="J273" s="199" t="inlineStr">
        <is>
          <t>SECURETEC</t>
        </is>
      </c>
      <c r="K273" s="314" t="n">
        <v>4300000</v>
      </c>
      <c r="L273" s="2" t="n">
        <v>44727</v>
      </c>
      <c r="M273" s="170" t="n"/>
      <c r="N273" s="170" t="n">
        <v>3124054584</v>
      </c>
      <c r="O273" s="172" t="inlineStr">
        <is>
          <t>Maribel Osorio</t>
        </is>
      </c>
      <c r="P273" s="52" t="inlineStr">
        <is>
          <t>ascomercial@securetec.com.co</t>
        </is>
      </c>
    </row>
    <row r="274">
      <c r="B274" s="170" t="n">
        <v>262</v>
      </c>
      <c r="C274" s="199" t="inlineStr">
        <is>
          <t>COTIZACION DEL DISEÑO DE EXTINCIÓN DE INCENDIOS - CLÍNICA DEL ROSARIO EL TESORO</t>
        </is>
      </c>
      <c r="D274" s="312" t="n"/>
      <c r="E274" s="312" t="n"/>
      <c r="F274" s="312" t="n"/>
      <c r="G274" s="312" t="n"/>
      <c r="H274" s="312" t="n"/>
      <c r="I274" s="313" t="n"/>
      <c r="J274" s="199" t="inlineStr">
        <is>
          <t>SPCI</t>
        </is>
      </c>
      <c r="K274" s="314" t="n">
        <v>4950000</v>
      </c>
      <c r="L274" s="2" t="n">
        <v>44727</v>
      </c>
      <c r="M274" s="170" t="n"/>
      <c r="N274" s="170" t="inlineStr">
        <is>
          <t xml:space="preserve"> 310 468 0508</t>
        </is>
      </c>
      <c r="O274" s="170" t="inlineStr">
        <is>
          <t>Juan Pablo Grajales Gómez</t>
        </is>
      </c>
      <c r="P274" s="52" t="inlineStr">
        <is>
          <t>juan.grajales@spci.com.co</t>
        </is>
      </c>
    </row>
    <row r="275">
      <c r="B275" s="170" t="n">
        <v>263</v>
      </c>
      <c r="C275" s="199" t="inlineStr">
        <is>
          <t>TANQUE DE ESPUMA</t>
        </is>
      </c>
      <c r="D275" s="312" t="n"/>
      <c r="E275" s="312" t="n"/>
      <c r="F275" s="312" t="n"/>
      <c r="G275" s="312" t="n"/>
      <c r="H275" s="312" t="n"/>
      <c r="I275" s="313" t="n"/>
      <c r="J275" s="199" t="inlineStr">
        <is>
          <t>SPCI</t>
        </is>
      </c>
      <c r="K275" s="314" t="n">
        <v>1500000</v>
      </c>
      <c r="L275" s="2" t="n">
        <v>44728</v>
      </c>
      <c r="M275" s="170" t="inlineStr">
        <is>
          <t>NO SE ENVIÓ</t>
        </is>
      </c>
      <c r="N275" s="170" t="inlineStr">
        <is>
          <t>320 7187533</t>
        </is>
      </c>
      <c r="O275" s="172" t="inlineStr">
        <is>
          <t>Santiago Cardona</t>
        </is>
      </c>
      <c r="P275" s="52" t="inlineStr">
        <is>
          <t>dir.proyectos5@spcisas.com.co</t>
        </is>
      </c>
    </row>
    <row r="276">
      <c r="B276" s="170" t="n">
        <v>264</v>
      </c>
      <c r="C276" s="199" t="inlineStr">
        <is>
          <t>COTIZACION DEL DISEÑO DE DETECCIÓN DE INCENDIOS PARA EL PROYECTO VITA</t>
        </is>
      </c>
      <c r="D276" s="312" t="n"/>
      <c r="E276" s="312" t="n"/>
      <c r="F276" s="312" t="n"/>
      <c r="G276" s="312" t="n"/>
      <c r="H276" s="312" t="n"/>
      <c r="I276" s="313" t="n"/>
      <c r="J276" s="199" t="inlineStr">
        <is>
          <t>BIENES Y BIENES</t>
        </is>
      </c>
      <c r="K276" s="314" t="n">
        <v>15950000</v>
      </c>
      <c r="L276" s="2" t="inlineStr">
        <is>
          <t>16/06/2022</t>
        </is>
      </c>
      <c r="M276" s="170" t="inlineStr">
        <is>
          <t>X</t>
        </is>
      </c>
      <c r="N276" s="170" t="inlineStr">
        <is>
          <t>304 245 58 81</t>
        </is>
      </c>
      <c r="O276" s="170" t="inlineStr">
        <is>
          <t>Carlos Andres Quintero Ángel</t>
        </is>
      </c>
      <c r="P276" s="52" t="inlineStr">
        <is>
          <t>carlos.quintero@bienesybienes.com.co</t>
        </is>
      </c>
    </row>
    <row r="277">
      <c r="B277" s="170" t="n">
        <v>265</v>
      </c>
      <c r="C277" s="199" t="inlineStr">
        <is>
          <t>COTIZACION DE LOS DISEÑOS DE PROTECCIÓN CONTRA INCENDIOS PARA EL PROYECTO EDIFICIO ADMINISTRATIVO LOGIN</t>
        </is>
      </c>
      <c r="D277" s="312" t="n"/>
      <c r="E277" s="312" t="n"/>
      <c r="F277" s="312" t="n"/>
      <c r="G277" s="312" t="n"/>
      <c r="H277" s="312" t="n"/>
      <c r="I277" s="313" t="n"/>
      <c r="J277" s="199" t="inlineStr">
        <is>
          <t>Alejandro Gómez</t>
        </is>
      </c>
      <c r="K277" s="314" t="n">
        <v>5960000</v>
      </c>
      <c r="L277" s="2" t="n">
        <v>44728</v>
      </c>
      <c r="M277" s="170" t="n"/>
      <c r="N277" s="170" t="n"/>
      <c r="O277" s="172" t="inlineStr">
        <is>
          <t>Alejandro Gómez</t>
        </is>
      </c>
      <c r="P277" s="52" t="inlineStr">
        <is>
          <t>alejandrogomezvillegas@gmail.com</t>
        </is>
      </c>
    </row>
    <row r="278">
      <c r="B278" s="170" t="n">
        <v>266</v>
      </c>
      <c r="C278" s="199" t="inlineStr">
        <is>
          <t>COTIZACION DEL DIAGNÓSTICO DE SEGURIDAD HUMANA Y PROTECCIÓN CONTRA INCENDIOS - PROYECTO IPS TOLIMA</t>
        </is>
      </c>
      <c r="D278" s="312" t="n"/>
      <c r="E278" s="312" t="n"/>
      <c r="F278" s="312" t="n"/>
      <c r="G278" s="312" t="n"/>
      <c r="H278" s="312" t="n"/>
      <c r="I278" s="313" t="n"/>
      <c r="J278" s="199" t="n"/>
      <c r="K278" s="314" t="n">
        <v>9990000</v>
      </c>
      <c r="L278" s="2" t="n">
        <v>44729</v>
      </c>
      <c r="M278" s="170" t="n"/>
      <c r="N278" s="170" t="n">
        <v>3014076047</v>
      </c>
      <c r="O278" s="172" t="inlineStr">
        <is>
          <t>Sebastián Herran</t>
        </is>
      </c>
      <c r="P278" s="52" t="inlineStr">
        <is>
          <t>s.herran@condiseno.co</t>
        </is>
      </c>
    </row>
    <row r="279">
      <c r="B279" s="170" t="n">
        <v>267</v>
      </c>
      <c r="C279" s="233" t="inlineStr">
        <is>
          <t xml:space="preserve">COTIZACION DE LOS DISEÑOS DE PROTECCIÓN CONTRA INCENDIOS PARA EL PROYECTO ANTILLAS
</t>
        </is>
      </c>
      <c r="D279" s="312" t="n"/>
      <c r="E279" s="312" t="n"/>
      <c r="F279" s="312" t="n"/>
      <c r="G279" s="312" t="n"/>
      <c r="H279" s="312" t="n"/>
      <c r="I279" s="313" t="n"/>
      <c r="J279" s="199" t="inlineStr">
        <is>
          <t>Contex</t>
        </is>
      </c>
      <c r="K279" s="314" t="n">
        <v>27850000</v>
      </c>
      <c r="L279" s="2" t="n">
        <v>44733</v>
      </c>
      <c r="M279" s="170" t="n"/>
      <c r="N279" s="170" t="n"/>
      <c r="O279" s="172" t="inlineStr">
        <is>
          <t>Melisa blanco Velez</t>
        </is>
      </c>
      <c r="P279" s="52" t="inlineStr">
        <is>
          <t>mblanco@contex.com.co</t>
        </is>
      </c>
    </row>
    <row r="280">
      <c r="B280" s="170" t="n">
        <v>268</v>
      </c>
      <c r="C280" s="233" t="inlineStr">
        <is>
          <t xml:space="preserve">COTIZACION DE LOS DISEÑOS DE PROTECCIÓN CONTRA INCENDIOS Y SEGURIDAD HUMANA PARA EL PROYECTO KALA
</t>
        </is>
      </c>
      <c r="D280" s="312" t="n"/>
      <c r="E280" s="312" t="n"/>
      <c r="F280" s="312" t="n"/>
      <c r="G280" s="312" t="n"/>
      <c r="H280" s="312" t="n"/>
      <c r="I280" s="313" t="n"/>
      <c r="J280" s="199" t="inlineStr">
        <is>
          <t>Asesorías Balbin</t>
        </is>
      </c>
      <c r="K280" s="314" t="n">
        <v>11950000</v>
      </c>
      <c r="L280" s="2" t="n">
        <v>44733</v>
      </c>
      <c r="M280" s="170" t="n"/>
      <c r="N280" s="170" t="n">
        <v>3127463275</v>
      </c>
      <c r="O280" s="172" t="inlineStr">
        <is>
          <t>Santiago Cardona Balvin</t>
        </is>
      </c>
      <c r="P280" s="52" t="inlineStr">
        <is>
          <t>santi.car9@hotmail.com</t>
        </is>
      </c>
    </row>
    <row r="281">
      <c r="B281" s="170" t="n">
        <v>269</v>
      </c>
      <c r="C281" s="199" t="inlineStr">
        <is>
          <t>COTIZACION DEL ANÁLISIS DE SEGURIDAD HUMANA PARA EL PROYECTO EPSA 2</t>
        </is>
      </c>
      <c r="D281" s="312" t="n"/>
      <c r="E281" s="312" t="n"/>
      <c r="F281" s="312" t="n"/>
      <c r="G281" s="312" t="n"/>
      <c r="H281" s="312" t="n"/>
      <c r="I281" s="313" t="n"/>
      <c r="J281" s="199" t="inlineStr">
        <is>
          <t>CONVEL</t>
        </is>
      </c>
      <c r="K281" s="314" t="n">
        <v>3950000</v>
      </c>
      <c r="L281" s="2" t="n">
        <v>44734</v>
      </c>
      <c r="M281" s="170" t="n"/>
      <c r="N281" s="170" t="n">
        <v>3508866</v>
      </c>
      <c r="O281" s="172" t="inlineStr">
        <is>
          <t>Camilo Gómez Aguirre</t>
        </is>
      </c>
      <c r="P281" s="52" t="inlineStr">
        <is>
          <t>camilogomez@convel.co</t>
        </is>
      </c>
    </row>
    <row r="282">
      <c r="B282" s="170" t="n">
        <v>270</v>
      </c>
      <c r="C282" s="199" t="inlineStr">
        <is>
          <t>COTIZACION DEL DISEÑO DE DETECCIÓN DE INCENDIOS PARA EL PROYECTO LOCAL NAVISSI CENTRO COMERCIAL VIVA BARRANQUILLA</t>
        </is>
      </c>
      <c r="D282" s="312" t="n"/>
      <c r="E282" s="312" t="n"/>
      <c r="F282" s="312" t="n"/>
      <c r="G282" s="312" t="n"/>
      <c r="H282" s="312" t="n"/>
      <c r="I282" s="313" t="n"/>
      <c r="J282" s="199" t="inlineStr">
        <is>
          <t>SPCI</t>
        </is>
      </c>
      <c r="K282" s="314" t="n">
        <v>1000000</v>
      </c>
      <c r="L282" s="2" t="n">
        <v>44734</v>
      </c>
      <c r="M282" s="170" t="n"/>
      <c r="N282" s="170" t="n">
        <v>3004601567</v>
      </c>
      <c r="O282" s="172" t="inlineStr">
        <is>
          <t>Jahir Manrique Rodriguez</t>
        </is>
      </c>
      <c r="P282" s="52" t="inlineStr">
        <is>
          <t>jahir.manrique@spci.com.co</t>
        </is>
      </c>
    </row>
    <row r="283">
      <c r="B283" s="170" t="n">
        <v>271</v>
      </c>
      <c r="C283" s="199" t="inlineStr">
        <is>
          <t>COTIZACION DE LOS DISEÑOS DE PROTECCIÓN CONTRA INCENDIOS PARA EL PROYECTO OFICINAS N.12</t>
        </is>
      </c>
      <c r="D283" s="312" t="n"/>
      <c r="E283" s="312" t="n"/>
      <c r="F283" s="312" t="n"/>
      <c r="G283" s="312" t="n"/>
      <c r="H283" s="312" t="n"/>
      <c r="I283" s="313" t="n"/>
      <c r="J283" s="199" t="inlineStr">
        <is>
          <t>Hidromaq</t>
        </is>
      </c>
      <c r="K283" s="314" t="n">
        <v>2300</v>
      </c>
      <c r="L283" s="2" t="n">
        <v>44734</v>
      </c>
      <c r="M283" s="170" t="n"/>
      <c r="N283" s="170" t="n"/>
      <c r="O283" s="172" t="inlineStr">
        <is>
          <t>Julio Llamas</t>
        </is>
      </c>
      <c r="P283" s="89" t="inlineStr">
        <is>
          <t>jllamas@hidromaq-gt.com</t>
        </is>
      </c>
    </row>
    <row r="284">
      <c r="B284" s="170" t="n">
        <v>272</v>
      </c>
      <c r="C284" s="199" t="inlineStr">
        <is>
          <t>COTIZACION DEL DISEÑO DE EXTINCIÓN DE INCENDIOS PARA EL PROYECTO REFORMA INDUSTRIALES SURA</t>
        </is>
      </c>
      <c r="D284" s="312" t="n"/>
      <c r="E284" s="312" t="n"/>
      <c r="F284" s="312" t="n"/>
      <c r="G284" s="312" t="n"/>
      <c r="H284" s="312" t="n"/>
      <c r="I284" s="313" t="n"/>
      <c r="J284" s="199" t="inlineStr">
        <is>
          <t>SPCI</t>
        </is>
      </c>
      <c r="K284" s="314" t="n">
        <v>4500000</v>
      </c>
      <c r="L284" s="2" t="n">
        <v>44740</v>
      </c>
      <c r="M284" s="170" t="n"/>
      <c r="N284" s="170" t="n">
        <v>3146920966</v>
      </c>
      <c r="O284" s="172" t="inlineStr">
        <is>
          <t>Daniel Uribe Sierra</t>
        </is>
      </c>
      <c r="P284" s="52" t="inlineStr">
        <is>
          <t>daniel.uribe@spci.com.co</t>
        </is>
      </c>
    </row>
    <row r="285" ht="15" customHeight="1">
      <c r="B285" s="170" t="n">
        <v>273</v>
      </c>
      <c r="C285" s="199" t="inlineStr">
        <is>
          <t>COTIZACION DEL ANÁLISIS DE SEGURIDAD HUMANA PARA EL PROYECTO BLAK BOX Y CENTRO DE PRATICAS EN LA SEDE DE EMPRENDIMIENTO, INNOVACION Y CREACION</t>
        </is>
      </c>
      <c r="D285" s="312" t="n"/>
      <c r="E285" s="312" t="n"/>
      <c r="F285" s="312" t="n"/>
      <c r="G285" s="312" t="n"/>
      <c r="H285" s="312" t="n"/>
      <c r="I285" s="313" t="n"/>
      <c r="J285" s="199" t="inlineStr">
        <is>
          <t>UNIVERSIDAD DEL ROSARIO</t>
        </is>
      </c>
      <c r="K285" s="314" t="n">
        <v>2950000</v>
      </c>
      <c r="L285" s="2" t="n">
        <v>44735</v>
      </c>
      <c r="M285" s="170" t="n"/>
      <c r="N285" s="170" t="n"/>
      <c r="O285" s="172" t="inlineStr">
        <is>
          <t>IVONNE VANESA CABALLERO LUNA</t>
        </is>
      </c>
      <c r="P285" s="52" t="inlineStr">
        <is>
          <t>ivonnev.caballero@urosario.edu.co</t>
        </is>
      </c>
    </row>
    <row r="286" ht="15" customHeight="1">
      <c r="B286" s="170" t="n">
        <v>274</v>
      </c>
      <c r="C286" s="199" t="inlineStr">
        <is>
          <t>COTIZACION DEL DISEÑO DE EXTINCIÓN DE INCENDIOS - BODEGA BERHNAL</t>
        </is>
      </c>
      <c r="D286" s="312" t="n"/>
      <c r="E286" s="312" t="n"/>
      <c r="F286" s="312" t="n"/>
      <c r="G286" s="312" t="n"/>
      <c r="H286" s="312" t="n"/>
      <c r="I286" s="313" t="n"/>
      <c r="J286" s="199" t="inlineStr">
        <is>
          <t>Berhnal de Colombia</t>
        </is>
      </c>
      <c r="K286" s="314" t="n">
        <v>9990000</v>
      </c>
      <c r="L286" s="2" t="n">
        <v>44735</v>
      </c>
      <c r="M286" s="170" t="n"/>
      <c r="N286" s="170" t="inlineStr">
        <is>
          <t>317 6370047</t>
        </is>
      </c>
      <c r="O286" s="172" t="inlineStr">
        <is>
          <t>Felipe Berhnal</t>
        </is>
      </c>
      <c r="P286" s="52" t="n"/>
    </row>
    <row r="287" ht="15" customHeight="1">
      <c r="B287" s="170" t="n">
        <v>275</v>
      </c>
      <c r="C287" s="199" t="inlineStr">
        <is>
          <t>COTIZACION DE LOS DISEÑOS DE PROTECCIÓN CONTRA INCENDIOS PARA EL PROYECTO SERVIENTREGA PEREIRA</t>
        </is>
      </c>
      <c r="D287" s="312" t="n"/>
      <c r="E287" s="312" t="n"/>
      <c r="F287" s="312" t="n"/>
      <c r="G287" s="312" t="n"/>
      <c r="H287" s="312" t="n"/>
      <c r="I287" s="313" t="n"/>
      <c r="J287" s="199" t="inlineStr">
        <is>
          <t>SECURETEC</t>
        </is>
      </c>
      <c r="K287" s="314" t="n">
        <v>12050000</v>
      </c>
      <c r="L287" s="2" t="n">
        <v>44736</v>
      </c>
      <c r="M287" s="170" t="n"/>
      <c r="N287" s="170" t="n">
        <v>3217011017</v>
      </c>
      <c r="O287" s="172" t="inlineStr">
        <is>
          <t>Harol Mauricio Camacho Ramírez</t>
        </is>
      </c>
      <c r="P287" s="89" t="inlineStr">
        <is>
          <t>cristinapalacio@mensulaingenieros.com</t>
        </is>
      </c>
    </row>
    <row r="288" ht="15" customHeight="1">
      <c r="B288" s="170" t="n">
        <v>276</v>
      </c>
      <c r="C288" s="199" t="inlineStr">
        <is>
          <t xml:space="preserve">
COTIZACION DEL DISEÑO DE DETECCIÓN DE INCENDIOS PARA EL PROYECTO SERVIENTREGA VILLAVICENCIO</t>
        </is>
      </c>
      <c r="D288" s="312" t="n"/>
      <c r="E288" s="312" t="n"/>
      <c r="F288" s="312" t="n"/>
      <c r="G288" s="312" t="n"/>
      <c r="H288" s="312" t="n"/>
      <c r="I288" s="313" t="n"/>
      <c r="J288" s="199" t="inlineStr">
        <is>
          <t>SECURETEC</t>
        </is>
      </c>
      <c r="K288" s="314" t="n">
        <v>4950000</v>
      </c>
      <c r="L288" s="2" t="n">
        <v>44736</v>
      </c>
      <c r="M288" s="170" t="n"/>
      <c r="N288" s="170" t="n">
        <v>3217011017</v>
      </c>
      <c r="O288" s="172" t="inlineStr">
        <is>
          <t>Harol Mauricio Camacho Ramírez</t>
        </is>
      </c>
      <c r="P288" s="52" t="inlineStr">
        <is>
          <t>gerencia@securetec.com.co</t>
        </is>
      </c>
    </row>
    <row r="289">
      <c r="B289" s="170" t="n">
        <v>277</v>
      </c>
      <c r="C289" s="199" t="inlineStr">
        <is>
          <t>COTIZACIÓN DE VISITA GRAN COLOMBIA GOLD - SEGOVIA</t>
        </is>
      </c>
      <c r="D289" s="312" t="n"/>
      <c r="E289" s="312" t="n"/>
      <c r="F289" s="312" t="n"/>
      <c r="G289" s="312" t="n"/>
      <c r="H289" s="312" t="n"/>
      <c r="I289" s="313" t="n"/>
      <c r="J289" s="199" t="inlineStr">
        <is>
          <t>SERVICIOS IPM</t>
        </is>
      </c>
      <c r="K289" s="314" t="n">
        <v>1500000</v>
      </c>
      <c r="L289" s="2" t="inlineStr">
        <is>
          <t>24/06/2022</t>
        </is>
      </c>
      <c r="M289" s="170" t="inlineStr">
        <is>
          <t>X</t>
        </is>
      </c>
      <c r="N289" s="170" t="inlineStr">
        <is>
          <t>301 542 1412</t>
        </is>
      </c>
      <c r="O289" s="170" t="inlineStr">
        <is>
          <t>Juan Santiago Londoño Quiceno</t>
        </is>
      </c>
      <c r="P289" s="52" t="inlineStr">
        <is>
          <t>juan.londono@serviciosipm.com</t>
        </is>
      </c>
    </row>
    <row r="290">
      <c r="B290" s="170" t="n">
        <v>278</v>
      </c>
      <c r="C290" s="199" t="inlineStr">
        <is>
          <t>COTIZACION DEL DIAGNÓSTICO DE EXTINCIÓN DE INCENIDOS PARA HOSPITAL DE ALTA COMPLEJIDAD EN LA CIUDAD DE PEREIRA DE 9.000 M2</t>
        </is>
      </c>
      <c r="D290" s="312" t="n"/>
      <c r="E290" s="312" t="n"/>
      <c r="F290" s="312" t="n"/>
      <c r="G290" s="312" t="n"/>
      <c r="H290" s="312" t="n"/>
      <c r="I290" s="313" t="n"/>
      <c r="J290" s="199" t="inlineStr">
        <is>
          <t>SPCI</t>
        </is>
      </c>
      <c r="K290" s="314" t="n">
        <v>8990000</v>
      </c>
      <c r="L290" s="2" t="n">
        <v>44740</v>
      </c>
      <c r="M290" s="170" t="n"/>
      <c r="N290" s="170" t="n">
        <v>3104165783</v>
      </c>
      <c r="O290" s="170" t="inlineStr">
        <is>
          <t>Cristiam Gustavo Mondragón Cortes</t>
        </is>
      </c>
      <c r="P290" s="52" t="inlineStr">
        <is>
          <t>cristiam.mondragon@spci.com.co</t>
        </is>
      </c>
    </row>
    <row r="291">
      <c r="B291" s="170" t="n">
        <v>279</v>
      </c>
      <c r="C291" s="233" t="inlineStr">
        <is>
          <t>COTIZACION DE LOS DISEÑOS DE PROTECCIÓN CONTRA INCENDIOS Y SEGURIDAD HUMANA PARA EL PROYECTO BRISA CAMPESTRE TORRE 6</t>
        </is>
      </c>
      <c r="D291" s="312" t="n"/>
      <c r="E291" s="312" t="n"/>
      <c r="F291" s="312" t="n"/>
      <c r="G291" s="312" t="n"/>
      <c r="H291" s="312" t="n"/>
      <c r="I291" s="313" t="n"/>
      <c r="J291" s="199" t="inlineStr">
        <is>
          <t>SPCI</t>
        </is>
      </c>
      <c r="K291" s="314" t="n">
        <v>7900000</v>
      </c>
      <c r="L291" s="2" t="n">
        <v>44741</v>
      </c>
      <c r="M291" s="2" t="n"/>
      <c r="N291" s="170" t="n">
        <v>3104165783</v>
      </c>
      <c r="O291" s="170" t="inlineStr">
        <is>
          <t>Cristiam Gustavo Mondragón Cortes</t>
        </is>
      </c>
      <c r="P291" s="52" t="inlineStr">
        <is>
          <t>cristiam.mondragon@spci.com.co</t>
        </is>
      </c>
    </row>
    <row r="292">
      <c r="B292" s="170" t="n">
        <v>280</v>
      </c>
      <c r="C292" s="199" t="inlineStr">
        <is>
          <t>COTIZACION DE LOS DISEÑOS DE PROTECCIÓN CONTRA INCENDIOS Y SEGURIDAD HUMANA PARA EL PROYECTO MAIORES</t>
        </is>
      </c>
      <c r="D292" s="312" t="n"/>
      <c r="E292" s="312" t="n"/>
      <c r="F292" s="312" t="n"/>
      <c r="G292" s="312" t="n"/>
      <c r="H292" s="312" t="n"/>
      <c r="I292" s="313" t="n"/>
      <c r="J292" s="199" t="inlineStr">
        <is>
          <t>CANTAGIRONE</t>
        </is>
      </c>
      <c r="K292" s="314" t="n">
        <v>12980000</v>
      </c>
      <c r="L292" s="2" t="n">
        <v>44740</v>
      </c>
      <c r="M292" s="170" t="n"/>
      <c r="N292" s="170" t="n">
        <v>3228625</v>
      </c>
      <c r="O292" s="172" t="inlineStr">
        <is>
          <t>Isabel Cristina Botero Lopez</t>
        </is>
      </c>
      <c r="P292" s="52" t="inlineStr">
        <is>
          <t>proyectosbim@cantagirone.com</t>
        </is>
      </c>
    </row>
    <row r="293">
      <c r="B293" s="170" t="n">
        <v>281</v>
      </c>
      <c r="C293" s="199" t="inlineStr">
        <is>
          <t>COTIZACION DE LOS DISEÑOS DE PROTECCIÓN CONTRA INCENDIOS PARA EL PROYECTO NATÉ</t>
        </is>
      </c>
      <c r="D293" s="312" t="n"/>
      <c r="E293" s="312" t="n"/>
      <c r="F293" s="312" t="n"/>
      <c r="G293" s="312" t="n"/>
      <c r="H293" s="312" t="n"/>
      <c r="I293" s="313" t="n"/>
      <c r="J293" s="199" t="inlineStr">
        <is>
          <t>CONTEX</t>
        </is>
      </c>
      <c r="K293" s="314" t="n">
        <v>23700000</v>
      </c>
      <c r="L293" s="2" t="n">
        <v>44741</v>
      </c>
      <c r="M293" s="170" t="n"/>
      <c r="N293" s="170" t="n">
        <v>3183484307</v>
      </c>
      <c r="O293" s="170" t="inlineStr">
        <is>
          <t>Daniel Ceballos Sanchez</t>
        </is>
      </c>
      <c r="P293" s="52" t="inlineStr">
        <is>
          <t>eceballos@contex.com.co</t>
        </is>
      </c>
    </row>
    <row r="294">
      <c r="B294" s="170" t="n">
        <v>282</v>
      </c>
      <c r="C294" s="199" t="inlineStr">
        <is>
          <t>COTIZACION DE LOS DISEÑOS DE PROTECCIÓN CONTRA INCENDIOS Y SEGURIDAD HUMANA PARA EL PROYECTO CANTAGIRONE 180</t>
        </is>
      </c>
      <c r="D294" s="312" t="n"/>
      <c r="E294" s="312" t="n"/>
      <c r="F294" s="312" t="n"/>
      <c r="G294" s="312" t="n"/>
      <c r="H294" s="312" t="n"/>
      <c r="I294" s="313" t="n"/>
      <c r="J294" s="199" t="inlineStr">
        <is>
          <t>CANTAGIRONE</t>
        </is>
      </c>
      <c r="K294" s="314" t="n">
        <v>17970000</v>
      </c>
      <c r="L294" s="2" t="n">
        <v>44742</v>
      </c>
      <c r="M294" s="170" t="n"/>
      <c r="N294" s="170" t="n">
        <v>3228625</v>
      </c>
      <c r="O294" s="172" t="inlineStr">
        <is>
          <t>Isabel Cristina Botero López</t>
        </is>
      </c>
      <c r="P294" s="52" t="inlineStr">
        <is>
          <t>proyectosbim@cantagirone.com</t>
        </is>
      </c>
    </row>
    <row r="295">
      <c r="B295" s="170" t="n">
        <v>283</v>
      </c>
      <c r="C295" s="199" t="inlineStr">
        <is>
          <t>COTIZACION DE LOS DISEÑOS DE PROTECCIÓN CONTRA INCENDIOS Y SEGURIDAD HUMANA PARA EL PROYECTO EPSA 2</t>
        </is>
      </c>
      <c r="D295" s="312" t="n"/>
      <c r="E295" s="312" t="n"/>
      <c r="F295" s="312" t="n"/>
      <c r="G295" s="312" t="n"/>
      <c r="H295" s="312" t="n"/>
      <c r="I295" s="313" t="n"/>
      <c r="J295" s="199" t="inlineStr">
        <is>
          <t>CONVEL</t>
        </is>
      </c>
      <c r="K295" s="314" t="n">
        <v>3950000</v>
      </c>
      <c r="L295" s="2" t="n">
        <v>44742</v>
      </c>
      <c r="M295" s="170" t="n"/>
      <c r="N295" s="170" t="inlineStr">
        <is>
          <t xml:space="preserve"> 350 88 66 - Ext. 182</t>
        </is>
      </c>
      <c r="O295" s="172" t="inlineStr">
        <is>
          <t>Camilo Gómez Aguirre</t>
        </is>
      </c>
      <c r="P295" s="52" t="inlineStr">
        <is>
          <t>camilogomez@convel.co</t>
        </is>
      </c>
    </row>
    <row r="296">
      <c r="B296" s="170" t="n">
        <v>284</v>
      </c>
      <c r="C296" s="199" t="inlineStr">
        <is>
          <t>COTIZACION DEL DISEÑO DE DETECCIÓN DE INCENDIOS PARA EL PROYECTO CEMEX</t>
        </is>
      </c>
      <c r="D296" s="312" t="n"/>
      <c r="E296" s="312" t="n"/>
      <c r="F296" s="312" t="n"/>
      <c r="G296" s="312" t="n"/>
      <c r="H296" s="312" t="n"/>
      <c r="I296" s="313" t="n"/>
      <c r="J296" s="199" t="inlineStr">
        <is>
          <t>HIDROMAQ</t>
        </is>
      </c>
      <c r="K296" s="314" t="n">
        <v>2950</v>
      </c>
      <c r="L296" s="2" t="n">
        <v>44742</v>
      </c>
      <c r="M296" s="170" t="n"/>
      <c r="N296" s="170" t="inlineStr">
        <is>
          <t>(502) 42156502</t>
        </is>
      </c>
      <c r="O296" s="172" t="inlineStr">
        <is>
          <t>Julio Llamas</t>
        </is>
      </c>
      <c r="P296" s="52" t="inlineStr">
        <is>
          <t>jllamas@hidromaq-gt.com</t>
        </is>
      </c>
    </row>
    <row r="297">
      <c r="B297" s="170" t="n">
        <v>285</v>
      </c>
      <c r="C297" s="199" t="inlineStr">
        <is>
          <t>COTIZACION DEL PRE-DISEÑO DE EXTINCIÓN DE INCENDIOS - KOBA GIRARDOTA</t>
        </is>
      </c>
      <c r="D297" s="312" t="n"/>
      <c r="E297" s="312" t="n"/>
      <c r="F297" s="312" t="n"/>
      <c r="G297" s="312" t="n"/>
      <c r="H297" s="312" t="n"/>
      <c r="I297" s="313" t="n"/>
      <c r="J297" s="199" t="inlineStr">
        <is>
          <t>SPCI</t>
        </is>
      </c>
      <c r="K297" s="314" t="n">
        <v>6990000</v>
      </c>
      <c r="L297" s="2" t="n">
        <v>44742</v>
      </c>
      <c r="M297" s="170" t="inlineStr">
        <is>
          <t>X</t>
        </is>
      </c>
      <c r="N297" s="170" t="inlineStr">
        <is>
          <t xml:space="preserve"> 310 468 0508</t>
        </is>
      </c>
      <c r="O297" s="170" t="inlineStr">
        <is>
          <t>Juan Pablo Grajales Gómez</t>
        </is>
      </c>
      <c r="P297" s="52" t="inlineStr">
        <is>
          <t>juan.grajales@spci.com.co</t>
        </is>
      </c>
    </row>
    <row r="298">
      <c r="B298" s="170" t="n">
        <v>286</v>
      </c>
      <c r="C298" s="199" t="inlineStr">
        <is>
          <t>COTIZACION DEL DISEÑO DE EXTINCIÓN DE INCENDIOS -  PROYECTO CALLE BISTRÓ VIVA VILLAVICENCIO</t>
        </is>
      </c>
      <c r="D298" s="312" t="n"/>
      <c r="E298" s="312" t="n"/>
      <c r="F298" s="312" t="n"/>
      <c r="G298" s="312" t="n"/>
      <c r="H298" s="312" t="n"/>
      <c r="I298" s="313" t="n"/>
      <c r="J298" s="199" t="inlineStr">
        <is>
          <t>SPCI</t>
        </is>
      </c>
      <c r="K298" s="314" t="n">
        <v>10743128</v>
      </c>
      <c r="L298" s="2" t="n">
        <v>44742</v>
      </c>
      <c r="M298" s="170" t="n"/>
      <c r="N298" s="170" t="inlineStr">
        <is>
          <t>321 482 61 68</t>
        </is>
      </c>
      <c r="O298" s="170" t="inlineStr">
        <is>
          <t>Ana Maria Restrepo Mayo.</t>
        </is>
      </c>
      <c r="P298" s="52" t="inlineStr">
        <is>
          <t>ana.restrepo@spci.com.co</t>
        </is>
      </c>
    </row>
    <row r="299">
      <c r="B299" s="170" t="n">
        <v>287</v>
      </c>
      <c r="C299" s="199" t="inlineStr">
        <is>
          <t>COTIZACION DEL DISEÑO DE EXTINCIÓN DE INCENDIOS PARA EL PROYECTO BODEGAS CORBETA</t>
        </is>
      </c>
      <c r="D299" s="312" t="n"/>
      <c r="E299" s="312" t="n"/>
      <c r="F299" s="312" t="n"/>
      <c r="G299" s="312" t="n"/>
      <c r="H299" s="312" t="n"/>
      <c r="I299" s="313" t="n"/>
      <c r="J299" s="199" t="inlineStr">
        <is>
          <t>International Business Professional</t>
        </is>
      </c>
      <c r="K299" s="314" t="inlineStr">
        <is>
          <t>No se cotizó</t>
        </is>
      </c>
      <c r="L299" s="2" t="n">
        <v>44747</v>
      </c>
      <c r="M299" s="170" t="n"/>
      <c r="N299" s="170" t="inlineStr">
        <is>
          <t>310 745 7260</t>
        </is>
      </c>
      <c r="O299" s="172" t="inlineStr">
        <is>
          <t>Maribel Osorio</t>
        </is>
      </c>
      <c r="P299" s="52" t="inlineStr">
        <is>
          <t>maribel.osorioespinosa@gmail.com</t>
        </is>
      </c>
    </row>
    <row r="300">
      <c r="B300" s="170" t="n">
        <v>288</v>
      </c>
      <c r="C300" s="246" t="inlineStr">
        <is>
          <t xml:space="preserve">COTIZACION DEL DISEÑO DE EXTINCIÓN DE INCENDIOS PARA EL PROYECTO TORRE SERVICIOS CONSULTORIOS
</t>
        </is>
      </c>
      <c r="D300" s="312" t="n"/>
      <c r="E300" s="312" t="n"/>
      <c r="F300" s="312" t="n"/>
      <c r="G300" s="312" t="n"/>
      <c r="H300" s="312" t="n"/>
      <c r="I300" s="313" t="n"/>
      <c r="J300" s="199" t="inlineStr">
        <is>
          <t>INTERVE</t>
        </is>
      </c>
      <c r="K300" s="314" t="n">
        <v>16950000</v>
      </c>
      <c r="L300" s="2" t="n">
        <v>44748</v>
      </c>
      <c r="M300" s="2" t="inlineStr">
        <is>
          <t>X</t>
        </is>
      </c>
      <c r="N300" s="170" t="n"/>
      <c r="O300" s="172" t="inlineStr">
        <is>
          <t xml:space="preserve"> DARIO A. SALDARRIAGA R.</t>
        </is>
      </c>
      <c r="P300" s="52" t="inlineStr">
        <is>
          <t>dsaldarriaga@interve.co</t>
        </is>
      </c>
    </row>
    <row r="301">
      <c r="B301" s="170" t="n">
        <v>289</v>
      </c>
      <c r="C301" s="199" t="inlineStr">
        <is>
          <t>COTIZACION DEL ANÁLISIS DE SEGURIDAD HUMANA PARA EL PROYECTO TORRE SERVICIOS CONSULTORIOS</t>
        </is>
      </c>
      <c r="D301" s="312" t="n"/>
      <c r="E301" s="312" t="n"/>
      <c r="F301" s="312" t="n"/>
      <c r="G301" s="312" t="n"/>
      <c r="H301" s="312" t="n"/>
      <c r="I301" s="313" t="n"/>
      <c r="J301" s="199" t="inlineStr">
        <is>
          <t>INTERVE</t>
        </is>
      </c>
      <c r="K301" s="314" t="n">
        <v>4350000</v>
      </c>
      <c r="L301" s="2" t="n">
        <v>44748</v>
      </c>
      <c r="M301" s="170" t="inlineStr">
        <is>
          <t>X</t>
        </is>
      </c>
      <c r="N301" s="170" t="n"/>
      <c r="O301" s="172" t="inlineStr">
        <is>
          <t xml:space="preserve"> DARIO A. SALDARRIAGA R.</t>
        </is>
      </c>
      <c r="P301" s="52" t="inlineStr">
        <is>
          <t>dsaldarriaga@interve.co</t>
        </is>
      </c>
    </row>
    <row r="302">
      <c r="B302" s="170" t="n">
        <v>290</v>
      </c>
      <c r="C302" s="199" t="inlineStr">
        <is>
          <t>COTIZACION DE LOS DISEÑOS DE PROTECCIÓN CONTRA INCENDIOS - VINAZA INGENIO RISARALDA</t>
        </is>
      </c>
      <c r="D302" s="312" t="n"/>
      <c r="E302" s="312" t="n"/>
      <c r="F302" s="312" t="n"/>
      <c r="G302" s="312" t="n"/>
      <c r="H302" s="312" t="n"/>
      <c r="I302" s="313" t="n"/>
      <c r="J302" s="199" t="inlineStr">
        <is>
          <t>SPCI</t>
        </is>
      </c>
      <c r="K302" s="314" t="n">
        <v>6900000</v>
      </c>
      <c r="L302" s="2" t="n">
        <v>44748</v>
      </c>
      <c r="M302" s="2" t="inlineStr">
        <is>
          <t>X</t>
        </is>
      </c>
      <c r="N302" s="170" t="n">
        <v>3104680508</v>
      </c>
      <c r="O302" s="170" t="inlineStr">
        <is>
          <t>Juan Pablo Grajales</t>
        </is>
      </c>
      <c r="P302" s="52" t="inlineStr">
        <is>
          <t>juan.grajales@spci.com.co</t>
        </is>
      </c>
    </row>
    <row r="303">
      <c r="B303" s="170" t="n">
        <v>291</v>
      </c>
      <c r="C303" s="199" t="inlineStr">
        <is>
          <t>COTIZACION DE LOS DISEÑOS DE SEGURIDAD HUMANA Y PROTECCIÓN CONTRA INCENDIOS - EDIFICIO ZONAS HÚMEDAS MARROCO</t>
        </is>
      </c>
      <c r="D303" s="312" t="n"/>
      <c r="E303" s="312" t="n"/>
      <c r="F303" s="312" t="n"/>
      <c r="G303" s="312" t="n"/>
      <c r="H303" s="312" t="n"/>
      <c r="I303" s="313" t="n"/>
      <c r="J303" s="199" t="inlineStr">
        <is>
          <t>VÉRTICE</t>
        </is>
      </c>
      <c r="K303" s="314" t="n">
        <v>1910000</v>
      </c>
      <c r="L303" s="2" t="n">
        <v>44749</v>
      </c>
      <c r="M303" s="170" t="inlineStr">
        <is>
          <t>X</t>
        </is>
      </c>
      <c r="N303" s="170" t="inlineStr">
        <is>
          <t>321 6438520</t>
        </is>
      </c>
      <c r="O303" s="172" t="inlineStr">
        <is>
          <t>Luz Aleidy Cuartas</t>
        </is>
      </c>
      <c r="P303" s="52" t="inlineStr">
        <is>
          <t xml:space="preserve">l.cuartas@verticeing.com </t>
        </is>
      </c>
    </row>
    <row r="304">
      <c r="B304" s="170" t="n">
        <v>292</v>
      </c>
      <c r="C304" s="199" t="inlineStr">
        <is>
          <t>COTIZACION DE LOS DISEÑOS DE SEGURIDAD HUMANA Y PROTECCIÓN CONTRA INCENDIOS - HOTEL AIMARA</t>
        </is>
      </c>
      <c r="D304" s="312" t="n"/>
      <c r="E304" s="312" t="n"/>
      <c r="F304" s="312" t="n"/>
      <c r="G304" s="312" t="n"/>
      <c r="H304" s="312" t="n"/>
      <c r="I304" s="313" t="n"/>
      <c r="J304" s="199" t="inlineStr">
        <is>
          <t>SPCI</t>
        </is>
      </c>
      <c r="K304" s="314" t="n">
        <v>1940000</v>
      </c>
      <c r="L304" s="2" t="n">
        <v>44749</v>
      </c>
      <c r="M304" s="170" t="inlineStr">
        <is>
          <t>X</t>
        </is>
      </c>
      <c r="N304" s="170" t="n">
        <v>3104680508</v>
      </c>
      <c r="O304" s="170" t="inlineStr">
        <is>
          <t>Juan Pablo Grajales</t>
        </is>
      </c>
      <c r="P304" s="52" t="inlineStr">
        <is>
          <t>juan.grajales@spci.com.co</t>
        </is>
      </c>
    </row>
    <row r="305">
      <c r="B305" s="170" t="n">
        <v>293</v>
      </c>
      <c r="C305" s="199" t="inlineStr">
        <is>
          <t>COTIZACION DE LOS DISEÑOS DE PROTECCIÓN CONTRA INCENDIOS Y SEGURIDAD HUMANA PARA EL PROYECTO FUNDACION UDEA</t>
        </is>
      </c>
      <c r="D305" s="312" t="n"/>
      <c r="E305" s="312" t="n"/>
      <c r="F305" s="312" t="n"/>
      <c r="G305" s="312" t="n"/>
      <c r="H305" s="312" t="n"/>
      <c r="I305" s="313" t="n"/>
      <c r="J305" s="199" t="inlineStr">
        <is>
          <t>CONVEL</t>
        </is>
      </c>
      <c r="K305" s="314" t="n">
        <v>15990000</v>
      </c>
      <c r="L305" s="2" t="n">
        <v>44750</v>
      </c>
      <c r="M305" s="170" t="n"/>
      <c r="N305" s="170" t="n">
        <v>3216297582</v>
      </c>
      <c r="O305" s="172" t="inlineStr">
        <is>
          <t>Abel de la Torre</t>
        </is>
      </c>
      <c r="P305" s="52" t="inlineStr">
        <is>
          <t>abelplasencia@convel.co</t>
        </is>
      </c>
    </row>
    <row r="306">
      <c r="B306" s="170" t="n">
        <v>294</v>
      </c>
      <c r="C306" s="199" t="inlineStr">
        <is>
          <t>COTIZACION DE LOS DISEÑOS DE PROTECCIÓN CONTRA INCENDIOS PARA EL PROYECTO FUNDACION UDEA</t>
        </is>
      </c>
      <c r="D306" s="312" t="n"/>
      <c r="E306" s="312" t="n"/>
      <c r="F306" s="312" t="n"/>
      <c r="G306" s="312" t="n"/>
      <c r="H306" s="312" t="n"/>
      <c r="I306" s="313" t="n"/>
      <c r="J306" s="199" t="inlineStr">
        <is>
          <t>SOCOMES</t>
        </is>
      </c>
      <c r="K306" s="314">
        <f> 7350000+4890000</f>
        <v/>
      </c>
      <c r="L306" s="2" t="n">
        <v>44753</v>
      </c>
      <c r="M306" s="170" t="n"/>
      <c r="N306" s="170" t="n">
        <v>3137851941</v>
      </c>
      <c r="O306" s="172" t="inlineStr">
        <is>
          <t>David Lopera Medina</t>
        </is>
      </c>
      <c r="P306" s="52" t="inlineStr">
        <is>
          <t>david.lopera@socomes.com</t>
        </is>
      </c>
    </row>
    <row r="307">
      <c r="B307" s="170" t="n">
        <v>295</v>
      </c>
      <c r="C307" s="199" t="inlineStr">
        <is>
          <t>COTIZACION DEL DISEÑO DE EXTINCIÓN DE INCENDIOS PARA EL PROYECTO VITHA AJUSTE</t>
        </is>
      </c>
      <c r="D307" s="312" t="n"/>
      <c r="E307" s="312" t="n"/>
      <c r="F307" s="312" t="n"/>
      <c r="G307" s="312" t="n"/>
      <c r="H307" s="312" t="n"/>
      <c r="I307" s="313" t="n"/>
      <c r="J307" s="199" t="inlineStr">
        <is>
          <t>BIENES Y BIENES</t>
        </is>
      </c>
      <c r="K307" s="314" t="n">
        <v>1000000</v>
      </c>
      <c r="L307" s="2" t="n">
        <v>44750</v>
      </c>
      <c r="M307" s="170" t="inlineStr">
        <is>
          <t>X</t>
        </is>
      </c>
      <c r="N307" s="170" t="inlineStr">
        <is>
          <t>304 245 58 81</t>
        </is>
      </c>
      <c r="O307" s="172" t="inlineStr">
        <is>
          <t>Carlos Andres Quintero Ángel</t>
        </is>
      </c>
      <c r="P307" s="52" t="inlineStr">
        <is>
          <t>carlos.quintero@bienesybienes.com.co</t>
        </is>
      </c>
    </row>
    <row r="308">
      <c r="B308" s="170" t="n">
        <v>296</v>
      </c>
      <c r="C308" s="199" t="inlineStr">
        <is>
          <t>COTIZACION DE LOS DISEÑOS DE PROTECCIÓN CONTRA INCENDIOS Y SEGURIDAD HUMANA PARA EL PROYECTO UNIVERSIDAD LUIS AMIGÓ</t>
        </is>
      </c>
      <c r="D308" s="312" t="n"/>
      <c r="E308" s="312" t="n"/>
      <c r="F308" s="312" t="n"/>
      <c r="G308" s="312" t="n"/>
      <c r="H308" s="312" t="n"/>
      <c r="I308" s="313" t="n"/>
      <c r="J308" s="199" t="inlineStr">
        <is>
          <t>SPCI</t>
        </is>
      </c>
      <c r="K308" s="314" t="n">
        <v>37630000</v>
      </c>
      <c r="L308" s="2" t="n">
        <v>44753</v>
      </c>
      <c r="M308" s="170" t="n"/>
      <c r="N308" s="170" t="n"/>
      <c r="O308" s="172" t="inlineStr">
        <is>
          <t>Juan Pablo Grajales Gomez</t>
        </is>
      </c>
      <c r="P308" s="52" t="inlineStr">
        <is>
          <t>juan.grajales@spci.com.co</t>
        </is>
      </c>
    </row>
    <row r="309">
      <c r="B309" s="170" t="n">
        <v>297</v>
      </c>
      <c r="C309" s="199" t="inlineStr">
        <is>
          <t>COTIZACION DE LOS DISEÑOS DE PROTECCIÓN CONTRA INCENDIOS Y SEGURIDAD HUMANA PARA EL PROYECTO LOOP HOUSINN</t>
        </is>
      </c>
      <c r="D309" s="312" t="n"/>
      <c r="E309" s="312" t="n"/>
      <c r="F309" s="312" t="n"/>
      <c r="G309" s="312" t="n"/>
      <c r="H309" s="312" t="n"/>
      <c r="I309" s="313" t="n"/>
      <c r="J309" s="199" t="inlineStr">
        <is>
          <t>SPCI</t>
        </is>
      </c>
      <c r="K309" s="314" t="n">
        <v>8970000</v>
      </c>
      <c r="L309" s="2" t="n">
        <v>44753</v>
      </c>
      <c r="M309" s="170" t="n"/>
      <c r="N309" s="170" t="inlineStr">
        <is>
          <t>321 482 61 68</t>
        </is>
      </c>
      <c r="O309" s="170" t="inlineStr">
        <is>
          <t>Ana Maria Restrepo Mayo.</t>
        </is>
      </c>
      <c r="P309" s="52" t="inlineStr">
        <is>
          <t>ana.restrepo@spci.com.co</t>
        </is>
      </c>
    </row>
    <row r="310">
      <c r="B310" s="170" t="n">
        <v>298</v>
      </c>
      <c r="C310" s="199" t="inlineStr">
        <is>
          <t>COTIZACION DEL ANÁLISIS DE SEGURIDAD HUMANA PARA EL PROYECTO HOSPITAL DE PASTO</t>
        </is>
      </c>
      <c r="D310" s="312" t="n"/>
      <c r="E310" s="312" t="n"/>
      <c r="F310" s="312" t="n"/>
      <c r="G310" s="312" t="n"/>
      <c r="H310" s="312" t="n"/>
      <c r="I310" s="313" t="n"/>
      <c r="J310" s="199" t="inlineStr">
        <is>
          <t>CONDISEÑO</t>
        </is>
      </c>
      <c r="K310" s="314" t="n">
        <v>3400000</v>
      </c>
      <c r="L310" s="2" t="n">
        <v>44753</v>
      </c>
      <c r="M310" s="170" t="n"/>
      <c r="N310" s="170" t="n">
        <v>3175594091</v>
      </c>
      <c r="O310" s="170" t="inlineStr">
        <is>
          <t>Nakary García Romero</t>
        </is>
      </c>
      <c r="P310" s="52" t="inlineStr">
        <is>
          <t>n.garcia@condiseno.co</t>
        </is>
      </c>
    </row>
    <row r="311">
      <c r="B311" s="170" t="n">
        <v>299</v>
      </c>
      <c r="C311" s="199" t="inlineStr">
        <is>
          <t>COTIZACION DE LOS DISEÑOS DE PROTECCIÓN CONTRA INCENDIOS Y SEGURIDAD HUMANA PARA EL PROYECTO ADMICI</t>
        </is>
      </c>
      <c r="D311" s="312" t="n"/>
      <c r="E311" s="312" t="n"/>
      <c r="F311" s="312" t="n"/>
      <c r="G311" s="312" t="n"/>
      <c r="H311" s="312" t="n"/>
      <c r="I311" s="313" t="n"/>
      <c r="J311" s="199" t="inlineStr">
        <is>
          <t>MENSULA</t>
        </is>
      </c>
      <c r="K311" s="314" t="n">
        <v>18400000</v>
      </c>
      <c r="L311" s="2" t="n">
        <v>44753</v>
      </c>
      <c r="M311" s="170" t="n"/>
      <c r="N311" s="170" t="inlineStr">
        <is>
          <t xml:space="preserve"> 300 864 37 10</t>
        </is>
      </c>
      <c r="O311" s="172" t="inlineStr">
        <is>
          <t>Cristina Palacio Pérez</t>
        </is>
      </c>
      <c r="P311" s="52" t="inlineStr">
        <is>
          <t>cristinapalacio@mensulaingenieros.com</t>
        </is>
      </c>
    </row>
    <row r="312">
      <c r="B312" s="170" t="n">
        <v>300</v>
      </c>
      <c r="C312" s="233" t="inlineStr">
        <is>
          <t>COTIZACION DEL ANÁLISIS DE SEGURIDAD HUMANA PARA EL PROYECTO TORRE PUERTO AZUL</t>
        </is>
      </c>
      <c r="D312" s="312" t="n"/>
      <c r="E312" s="312" t="n"/>
      <c r="F312" s="312" t="n"/>
      <c r="G312" s="312" t="n"/>
      <c r="H312" s="312" t="n"/>
      <c r="I312" s="313" t="n"/>
      <c r="J312" s="199" t="inlineStr">
        <is>
          <t>CONCONCRETO</t>
        </is>
      </c>
      <c r="K312" s="314" t="n">
        <v>950000</v>
      </c>
      <c r="L312" s="2" t="n">
        <v>44753</v>
      </c>
      <c r="M312" s="170" t="n"/>
      <c r="N312" s="170" t="n"/>
      <c r="O312" s="172" t="inlineStr">
        <is>
          <t>Ladis Sender Valencia Carrillo</t>
        </is>
      </c>
      <c r="P312" s="52" t="n"/>
    </row>
    <row r="313">
      <c r="B313" s="170" t="n">
        <v>301</v>
      </c>
      <c r="C313" s="199" t="inlineStr">
        <is>
          <t>COTIZACION DEL DISEÑO DE DETECCIÓN DE INCENDIOS PARA EL PROYECTO PLANTA ORANGE FAMILIA RIONEGRO</t>
        </is>
      </c>
      <c r="D313" s="312" t="n"/>
      <c r="E313" s="312" t="n"/>
      <c r="F313" s="312" t="n"/>
      <c r="G313" s="312" t="n"/>
      <c r="H313" s="312" t="n"/>
      <c r="I313" s="313" t="n"/>
      <c r="J313" s="199" t="inlineStr">
        <is>
          <t>SERIINCO</t>
        </is>
      </c>
      <c r="K313" s="314" t="n">
        <v>5950000</v>
      </c>
      <c r="L313" s="2" t="n">
        <v>44753</v>
      </c>
      <c r="M313" s="170" t="n"/>
      <c r="N313" s="170" t="n">
        <v>44442074</v>
      </c>
      <c r="O313" s="172" t="inlineStr">
        <is>
          <t>Alvaro Eduardo Garcia Lopez</t>
        </is>
      </c>
      <c r="P313" s="52" t="inlineStr">
        <is>
          <t>alvaro.garcia@seriinco.com</t>
        </is>
      </c>
    </row>
    <row r="314">
      <c r="B314" s="170" t="n">
        <v>302</v>
      </c>
      <c r="C314" s="199" t="inlineStr">
        <is>
          <t>COTIZACION DEL DISEÑO DE DETECCIÓN DE INCENDIOS PARA EL PROYECTO LOCAL 111 MIMOS CAUCASIA</t>
        </is>
      </c>
      <c r="D314" s="312" t="n"/>
      <c r="E314" s="312" t="n"/>
      <c r="F314" s="312" t="n"/>
      <c r="G314" s="312" t="n"/>
      <c r="H314" s="312" t="n"/>
      <c r="I314" s="313" t="n"/>
      <c r="J314" s="235" t="inlineStr">
        <is>
          <t>SPCI</t>
        </is>
      </c>
      <c r="K314" s="314" t="n">
        <v>500000</v>
      </c>
      <c r="L314" s="2" t="n">
        <v>44761</v>
      </c>
      <c r="M314" s="170" t="inlineStr">
        <is>
          <t>X</t>
        </is>
      </c>
      <c r="N314" s="170" t="n"/>
      <c r="O314" s="172" t="inlineStr">
        <is>
          <t>Juan Camilo Quintero Bedoya</t>
        </is>
      </c>
      <c r="P314" s="52" t="inlineStr">
        <is>
          <t>camilo.quintero@spci.com.co</t>
        </is>
      </c>
    </row>
    <row r="315">
      <c r="B315" s="170" t="n">
        <v>303</v>
      </c>
      <c r="C315" s="199" t="inlineStr">
        <is>
          <t>COTIZACION DE LOS DISEÑOS DE PROTECCIÓN CONTRA INCENDIOS Y SEGURIDAD HUMANA PARA EL PROYECTO EDIFICIO</t>
        </is>
      </c>
      <c r="D315" s="312" t="n"/>
      <c r="E315" s="312" t="n"/>
      <c r="F315" s="312" t="n"/>
      <c r="G315" s="312" t="n"/>
      <c r="H315" s="312" t="n"/>
      <c r="I315" s="313" t="n"/>
      <c r="J315" s="199" t="inlineStr">
        <is>
          <t>Socomes</t>
        </is>
      </c>
      <c r="K315" s="314" t="n">
        <v>9970000</v>
      </c>
      <c r="L315" s="2" t="n">
        <v>44761</v>
      </c>
      <c r="M315" s="170" t="n"/>
      <c r="N315" s="170" t="n">
        <v>3137851941</v>
      </c>
      <c r="O315" s="172" t="inlineStr">
        <is>
          <t>David Lopera Medina</t>
        </is>
      </c>
      <c r="P315" s="52" t="inlineStr">
        <is>
          <t>david.lopera@socomes.com</t>
        </is>
      </c>
    </row>
    <row r="316">
      <c r="B316" s="170" t="n">
        <v>304</v>
      </c>
      <c r="C316" s="246" t="inlineStr">
        <is>
          <t xml:space="preserve">COTIZACION DEL DISEÑO DE EXTINCIÓN DE INCENDIOS PARA EL PROYECTO PARQUE INDUSTRIAL GUARNE P.H
</t>
        </is>
      </c>
      <c r="D316" s="312" t="n"/>
      <c r="E316" s="312" t="n"/>
      <c r="F316" s="312" t="n"/>
      <c r="G316" s="312" t="n"/>
      <c r="H316" s="312" t="n"/>
      <c r="I316" s="313" t="n"/>
      <c r="J316" s="199" t="inlineStr">
        <is>
          <t>Prosperar SAS</t>
        </is>
      </c>
      <c r="K316" s="314" t="n">
        <v>11950000</v>
      </c>
      <c r="L316" s="2" t="n">
        <v>44757</v>
      </c>
      <c r="M316" s="170" t="n"/>
      <c r="N316" s="170" t="inlineStr">
        <is>
          <t>316 482 26 08</t>
        </is>
      </c>
      <c r="O316" s="172" t="inlineStr">
        <is>
          <t>Robinson Rivera Henao</t>
        </is>
      </c>
      <c r="P316" s="52" t="inlineStr">
        <is>
          <t>copropiedades2@une.net.co</t>
        </is>
      </c>
    </row>
    <row r="317">
      <c r="B317" s="170" t="n">
        <v>305</v>
      </c>
      <c r="C317" s="246" t="inlineStr">
        <is>
          <t xml:space="preserve">COTIZACION HORAS DIBUJANTE SECURETEC
</t>
        </is>
      </c>
      <c r="D317" s="312" t="n"/>
      <c r="E317" s="312" t="n"/>
      <c r="F317" s="312" t="n"/>
      <c r="G317" s="312" t="n"/>
      <c r="H317" s="312" t="n"/>
      <c r="I317" s="313" t="n"/>
      <c r="J317" s="199" t="inlineStr">
        <is>
          <t>SECURETEC</t>
        </is>
      </c>
      <c r="K317" s="314" t="n">
        <v>120000</v>
      </c>
      <c r="L317" s="2" t="inlineStr">
        <is>
          <t>16/07/2022</t>
        </is>
      </c>
      <c r="M317" s="170" t="n"/>
      <c r="N317" s="170" t="inlineStr">
        <is>
          <t xml:space="preserve"> 312 405 4584</t>
        </is>
      </c>
      <c r="O317" s="170" t="inlineStr">
        <is>
          <t xml:space="preserve">Maribel Osorio E. </t>
        </is>
      </c>
      <c r="P317" s="52" t="inlineStr">
        <is>
          <t>ascomercial@securetec.com.co</t>
        </is>
      </c>
    </row>
    <row r="318">
      <c r="B318" s="170" t="n">
        <v>306</v>
      </c>
      <c r="C318" s="199" t="inlineStr">
        <is>
          <t>COTIZACION DE LOS DISEÑOS DE PROTECCIÓN CONTRA INCENDIOS Y SEGURIDAD HUMANA PARA EL PROYECTO EDIFICIO</t>
        </is>
      </c>
      <c r="D318" s="312" t="n"/>
      <c r="E318" s="312" t="n"/>
      <c r="F318" s="312" t="n"/>
      <c r="G318" s="312" t="n"/>
      <c r="H318" s="312" t="n"/>
      <c r="I318" s="313" t="n"/>
      <c r="J318" s="199" t="inlineStr">
        <is>
          <t>SPCI</t>
        </is>
      </c>
      <c r="K318" s="314" t="n">
        <v>9970000</v>
      </c>
      <c r="L318" s="2" t="n">
        <v>44761</v>
      </c>
      <c r="M318" s="170" t="n"/>
      <c r="N318" s="172" t="n">
        <v>3104165783</v>
      </c>
      <c r="O318" s="170" t="inlineStr">
        <is>
          <t>Cristiam Gustavo Mondragón Cortés</t>
        </is>
      </c>
      <c r="P318" s="52" t="inlineStr">
        <is>
          <t>cristiam.mondragon@spci.com.co</t>
        </is>
      </c>
    </row>
    <row r="319">
      <c r="B319" s="170" t="n">
        <v>307</v>
      </c>
      <c r="C319" s="233" t="inlineStr">
        <is>
          <t>COTIZACION DE LOS DISEÑOS DE PROTECCIÓN CONTRA INCENDIOS Y SEGURIDAD HUMANA PARA EL PROYECTO EL CEDRO</t>
        </is>
      </c>
      <c r="D319" s="312" t="n"/>
      <c r="E319" s="312" t="n"/>
      <c r="F319" s="312" t="n"/>
      <c r="G319" s="312" t="n"/>
      <c r="H319" s="312" t="n"/>
      <c r="I319" s="313" t="n"/>
      <c r="J319" s="199" t="inlineStr">
        <is>
          <t>SOLUCIONES INMOBILIARIAS</t>
        </is>
      </c>
      <c r="K319" s="314" t="n">
        <v>10550000</v>
      </c>
      <c r="L319" s="2" t="n">
        <v>44763</v>
      </c>
      <c r="M319" s="2" t="n"/>
      <c r="N319" s="170" t="n">
        <v>3165394946</v>
      </c>
      <c r="O319" s="172" t="inlineStr">
        <is>
          <t>Andrés Felipe Hernández Cardona</t>
        </is>
      </c>
      <c r="P319" s="52" t="inlineStr">
        <is>
          <t>&lt;ahernandez@solucionesinmobiliariassas.com</t>
        </is>
      </c>
    </row>
    <row r="320">
      <c r="B320" s="170" t="n">
        <v>308</v>
      </c>
      <c r="C320" s="199" t="inlineStr">
        <is>
          <t>COTIZACION DEL DISEÑO DE EXTINCIÓN DE INCENDIOS PARA EL PROYECTO LOCAL PISO 5 ORIENTAL</t>
        </is>
      </c>
      <c r="D320" s="312" t="n"/>
      <c r="E320" s="312" t="n"/>
      <c r="F320" s="312" t="n"/>
      <c r="G320" s="312" t="n"/>
      <c r="H320" s="312" t="n"/>
      <c r="I320" s="313" t="n"/>
      <c r="J320" s="199" t="inlineStr">
        <is>
          <t>INTERVE</t>
        </is>
      </c>
      <c r="K320" s="314" t="n">
        <v>4550000</v>
      </c>
      <c r="L320" s="2" t="n">
        <v>44763</v>
      </c>
      <c r="M320" s="170" t="inlineStr">
        <is>
          <t>X</t>
        </is>
      </c>
      <c r="N320" s="170" t="inlineStr">
        <is>
          <t>310 386 17 63</t>
        </is>
      </c>
      <c r="O320" s="172" t="inlineStr">
        <is>
          <t>DARIO A. SALDARRIAGA R.</t>
        </is>
      </c>
      <c r="P320" s="52" t="inlineStr">
        <is>
          <t>dsaldarriaga@interve.co</t>
        </is>
      </c>
    </row>
    <row r="321">
      <c r="B321" s="170" t="n">
        <v>309</v>
      </c>
      <c r="C321" s="246" t="inlineStr">
        <is>
          <t xml:space="preserve">COTIZACION DEL DISEÑO DE DETECCIÓN DE INCENDIOS PARA EL PROYECTO QUARZZO
</t>
        </is>
      </c>
      <c r="D321" s="312" t="n"/>
      <c r="E321" s="312" t="n"/>
      <c r="F321" s="312" t="n"/>
      <c r="G321" s="312" t="n"/>
      <c r="H321" s="312" t="n"/>
      <c r="I321" s="313" t="n"/>
      <c r="J321" s="199" t="inlineStr">
        <is>
          <t>FCR SAS</t>
        </is>
      </c>
      <c r="K321" s="314" t="n">
        <v>3250000</v>
      </c>
      <c r="L321" s="2" t="n">
        <v>44763</v>
      </c>
      <c r="M321" s="170" t="n"/>
      <c r="N321" s="170" t="n"/>
      <c r="O321" s="172" t="inlineStr">
        <is>
          <t>Vanessa Zapata</t>
        </is>
      </c>
      <c r="P321" s="52" t="inlineStr">
        <is>
          <t>Vanessazapata.fcr@gmail.com</t>
        </is>
      </c>
    </row>
    <row r="322">
      <c r="B322" s="170" t="n">
        <v>310</v>
      </c>
      <c r="C322" s="199" t="inlineStr">
        <is>
          <t>COTIZACION DE LOS DISEÑOS DE PROTECCIÓN CONTRA INCENDIOS PARA EL PROYECTO CANELIA</t>
        </is>
      </c>
      <c r="D322" s="312" t="n"/>
      <c r="E322" s="312" t="n"/>
      <c r="F322" s="312" t="n"/>
      <c r="G322" s="312" t="n"/>
      <c r="H322" s="312" t="n"/>
      <c r="I322" s="313" t="n"/>
      <c r="J322" s="199" t="inlineStr">
        <is>
          <t>BIENES Y BIENES</t>
        </is>
      </c>
      <c r="K322" s="314" t="n">
        <v>5900000</v>
      </c>
      <c r="L322" s="2" t="n">
        <v>44763</v>
      </c>
      <c r="M322" s="170" t="inlineStr">
        <is>
          <t>X</t>
        </is>
      </c>
      <c r="N322" s="170" t="n">
        <v>3217324763</v>
      </c>
      <c r="O322" s="172" t="inlineStr">
        <is>
          <t>Angela Daniela Toro Ceron</t>
        </is>
      </c>
      <c r="P322" s="52" t="inlineStr">
        <is>
          <t>angela.toro@bienesybienes.com.co</t>
        </is>
      </c>
    </row>
    <row r="323">
      <c r="B323" s="170" t="n">
        <v>311</v>
      </c>
      <c r="C323" s="199" t="inlineStr">
        <is>
          <t>COTIZACION DE LOS DISEÑOS DE SEGURIDAD HUMANA Y PROTECCIÓN CONTRA INCENDIOS - PROYECTO FUNDACION UDEA</t>
        </is>
      </c>
      <c r="D323" s="312" t="n"/>
      <c r="E323" s="312" t="n"/>
      <c r="F323" s="312" t="n"/>
      <c r="G323" s="312" t="n"/>
      <c r="H323" s="312" t="n"/>
      <c r="I323" s="313" t="n"/>
      <c r="J323" s="199" t="inlineStr">
        <is>
          <t>CONVECCIÓN</t>
        </is>
      </c>
      <c r="K323" s="314" t="n">
        <v>13990000</v>
      </c>
      <c r="L323" s="2" t="inlineStr">
        <is>
          <t>21/07/2022</t>
        </is>
      </c>
      <c r="M323" s="170" t="inlineStr">
        <is>
          <t>X</t>
        </is>
      </c>
      <c r="N323" s="170" t="inlineStr">
        <is>
          <t>301 3491498</t>
        </is>
      </c>
      <c r="O323" s="172" t="inlineStr">
        <is>
          <t>Jorge Lopez</t>
        </is>
      </c>
      <c r="P323" s="52" t="inlineStr">
        <is>
          <t>jorge.lopez@conveccion.com</t>
        </is>
      </c>
    </row>
    <row r="324">
      <c r="B324" s="170" t="n">
        <v>312</v>
      </c>
      <c r="C324" s="199" t="inlineStr">
        <is>
          <t>COTIZACION DEL ANÁLISIS DE SEGURIDAD HUMANA - PROYECTO SAN JORGE TORRES 1 Y 2</t>
        </is>
      </c>
      <c r="D324" s="312" t="n"/>
      <c r="E324" s="312" t="n"/>
      <c r="F324" s="312" t="n"/>
      <c r="G324" s="312" t="n"/>
      <c r="H324" s="312" t="n"/>
      <c r="I324" s="313" t="n"/>
      <c r="J324" s="199" t="inlineStr">
        <is>
          <t>FONDO INMOBILIARIO COLOMBIA</t>
        </is>
      </c>
      <c r="K324" s="314" t="n">
        <v>5950000</v>
      </c>
      <c r="L324" s="2" t="n">
        <v>44763</v>
      </c>
      <c r="M324" s="170" t="inlineStr">
        <is>
          <t>X</t>
        </is>
      </c>
      <c r="N324" s="170" t="n">
        <v>3014228936</v>
      </c>
      <c r="O324" s="172" t="inlineStr">
        <is>
          <t>Juan Gabriel Sánchez</t>
        </is>
      </c>
      <c r="P324" s="90" t="inlineStr">
        <is>
          <t>jugsanch@bancolombia.com.co</t>
        </is>
      </c>
    </row>
    <row r="325">
      <c r="B325" s="170" t="n">
        <v>313</v>
      </c>
      <c r="C325" s="199" t="inlineStr">
        <is>
          <t>COTIZACION DE LOS DISEÑOS DE PROTECCIÓN CONTRA INCENDIOS PARA EL PROYECTO SILVESTRA MALL COMERCIAL</t>
        </is>
      </c>
      <c r="D325" s="312" t="n"/>
      <c r="E325" s="312" t="n"/>
      <c r="F325" s="312" t="n"/>
      <c r="G325" s="312" t="n"/>
      <c r="H325" s="312" t="n"/>
      <c r="I325" s="313" t="n"/>
      <c r="J325" s="199" t="inlineStr">
        <is>
          <t>BIENES Y BIENES</t>
        </is>
      </c>
      <c r="K325" s="314" t="n">
        <v>12750000</v>
      </c>
      <c r="L325" s="2" t="n">
        <v>44764</v>
      </c>
      <c r="M325" s="170" t="inlineStr">
        <is>
          <t>X</t>
        </is>
      </c>
      <c r="N325" s="170" t="n">
        <v>3217324763</v>
      </c>
      <c r="O325" s="172" t="inlineStr">
        <is>
          <t>Angela Daniela Toro Ceron</t>
        </is>
      </c>
      <c r="P325" s="82" t="inlineStr">
        <is>
          <t>angela.toro@bienesybienes.com.co</t>
        </is>
      </c>
    </row>
    <row r="326">
      <c r="B326" s="170" t="n">
        <v>314</v>
      </c>
      <c r="C326" s="199" t="inlineStr">
        <is>
          <t>COTIZACION DE LOS DISEÑOS DE PROTECCIÓN CONTRA INCENDIOS PARA EL PROYECTO NUVICA BLOQUE 4 CASAS</t>
        </is>
      </c>
      <c r="D326" s="312" t="n"/>
      <c r="E326" s="312" t="n"/>
      <c r="F326" s="312" t="n"/>
      <c r="G326" s="312" t="n"/>
      <c r="H326" s="312" t="n"/>
      <c r="I326" s="313" t="n"/>
      <c r="J326" s="199" t="inlineStr">
        <is>
          <t>BIENES Y BIENES</t>
        </is>
      </c>
      <c r="K326" s="314" t="n">
        <v>3500000</v>
      </c>
      <c r="L326" s="2" t="n">
        <v>44764</v>
      </c>
      <c r="M326" s="2" t="inlineStr">
        <is>
          <t>X</t>
        </is>
      </c>
      <c r="N326" s="170" t="n">
        <v>3217324763</v>
      </c>
      <c r="O326" s="172" t="inlineStr">
        <is>
          <t>Angela Daniela Toro Ceron</t>
        </is>
      </c>
      <c r="P326" s="82" t="inlineStr">
        <is>
          <t>angela.toro@bienesybienes.com.co</t>
        </is>
      </c>
    </row>
    <row r="327">
      <c r="B327" s="170" t="n">
        <v>315</v>
      </c>
      <c r="C327" s="199" t="inlineStr">
        <is>
          <t>COTIZACION DE LOS DISEÑOS DE PROTECCIÓN CONTRA INCENDIOS PARA EL PROYECTO NUVICA CASA ESQUINERA</t>
        </is>
      </c>
      <c r="D327" s="312" t="n"/>
      <c r="E327" s="312" t="n"/>
      <c r="F327" s="312" t="n"/>
      <c r="G327" s="312" t="n"/>
      <c r="H327" s="312" t="n"/>
      <c r="I327" s="313" t="n"/>
      <c r="J327" s="199" t="inlineStr">
        <is>
          <t>BIENES Y BIENES</t>
        </is>
      </c>
      <c r="K327" s="314" t="n">
        <v>3500000</v>
      </c>
      <c r="L327" s="2" t="n">
        <v>44764</v>
      </c>
      <c r="M327" s="170" t="inlineStr">
        <is>
          <t>X</t>
        </is>
      </c>
      <c r="N327" s="170" t="n">
        <v>3217324763</v>
      </c>
      <c r="O327" s="172" t="inlineStr">
        <is>
          <t>Angela Daniela Toro Ceron</t>
        </is>
      </c>
      <c r="P327" s="82" t="inlineStr">
        <is>
          <t>angela.toro@bienesybienes.com.co</t>
        </is>
      </c>
    </row>
    <row r="328">
      <c r="B328" s="170" t="n">
        <v>316</v>
      </c>
      <c r="C328" s="199" t="inlineStr">
        <is>
          <t>COTIZACION DEL ANÁLISIS DE SEGURIDAD HUMANA PARA EL PROYECTO EDIFICIO GUARNE</t>
        </is>
      </c>
      <c r="D328" s="312" t="n"/>
      <c r="E328" s="312" t="n"/>
      <c r="F328" s="312" t="n"/>
      <c r="G328" s="312" t="n"/>
      <c r="H328" s="312" t="n"/>
      <c r="I328" s="313" t="n"/>
      <c r="J328" s="199" t="inlineStr">
        <is>
          <t>Yaddy Girón Martínez</t>
        </is>
      </c>
      <c r="K328" s="314" t="n">
        <v>1500000</v>
      </c>
      <c r="L328" s="2" t="n">
        <v>44764</v>
      </c>
      <c r="M328" s="170" t="n"/>
      <c r="N328" s="170" t="n"/>
      <c r="O328" s="170" t="inlineStr">
        <is>
          <t>Yaddy Girón Martínez</t>
        </is>
      </c>
      <c r="P328" s="52" t="n"/>
    </row>
    <row r="329">
      <c r="B329" s="170" t="n">
        <v>317</v>
      </c>
      <c r="C329" s="199" t="inlineStr">
        <is>
          <t>COTIZACION DEL ANÁLISIS DE SEGURIDAD HUMANA PARA EL PROYECTO TORRES DE ALTAMIRA</t>
        </is>
      </c>
      <c r="D329" s="312" t="n"/>
      <c r="E329" s="312" t="n"/>
      <c r="F329" s="312" t="n"/>
      <c r="G329" s="312" t="n"/>
      <c r="H329" s="312" t="n"/>
      <c r="I329" s="313" t="n"/>
      <c r="J329" s="199" t="inlineStr">
        <is>
          <t xml:space="preserve"> M+D CONSTRUCTORA</t>
        </is>
      </c>
      <c r="K329" s="314" t="n">
        <v>4750000</v>
      </c>
      <c r="L329" s="2" t="n">
        <v>44768</v>
      </c>
      <c r="M329" s="2" t="n"/>
      <c r="N329" s="170" t="inlineStr">
        <is>
          <t>601-7451900</t>
        </is>
      </c>
      <c r="O329" s="172" t="inlineStr">
        <is>
          <t>Angelica Cely</t>
        </is>
      </c>
      <c r="P329" s="52" t="inlineStr">
        <is>
          <t>lcely@mdconstructora.com</t>
        </is>
      </c>
    </row>
    <row r="330">
      <c r="B330" s="170" t="n">
        <v>318</v>
      </c>
      <c r="C330" s="199" t="inlineStr">
        <is>
          <t>COTIZACION DE LOS DISEÑOS DE PROTECCIÓN CONTRA INCENDIOS Y SEGURIDAD HUMANA PARA EL PROYECTO MENORCA</t>
        </is>
      </c>
      <c r="D330" s="312" t="n"/>
      <c r="E330" s="312" t="n"/>
      <c r="F330" s="312" t="n"/>
      <c r="G330" s="312" t="n"/>
      <c r="H330" s="312" t="n"/>
      <c r="I330" s="313" t="n"/>
      <c r="J330" s="199" t="inlineStr">
        <is>
          <t>MORERA ARBELAEZ SAS</t>
        </is>
      </c>
      <c r="K330" s="314" t="n">
        <v>4600000</v>
      </c>
      <c r="L330" s="2" t="n">
        <v>44768</v>
      </c>
      <c r="M330" s="170" t="n"/>
      <c r="N330" s="170" t="n"/>
      <c r="O330" s="172" t="inlineStr">
        <is>
          <t>Claudia Hincapié</t>
        </is>
      </c>
      <c r="P330" s="52" t="n"/>
    </row>
    <row r="331">
      <c r="B331" s="170" t="n">
        <v>319</v>
      </c>
      <c r="C331" s="199" t="inlineStr">
        <is>
          <t>COTIZACION DEL DISEÑO DE EXTINCIÓN DE INCENDIOS PARA EL PROYECTO PLANTA DE PRODUCCION ESPUMA DE POLIERUTANO</t>
        </is>
      </c>
      <c r="D331" s="312" t="n"/>
      <c r="E331" s="312" t="n"/>
      <c r="F331" s="312" t="n"/>
      <c r="G331" s="312" t="n"/>
      <c r="H331" s="312" t="n"/>
      <c r="I331" s="313" t="n"/>
      <c r="J331" s="199" t="inlineStr">
        <is>
          <t>SPCI</t>
        </is>
      </c>
      <c r="K331" s="314" t="n">
        <v>4000000</v>
      </c>
      <c r="L331" s="2" t="inlineStr">
        <is>
          <t>28/07/20222</t>
        </is>
      </c>
      <c r="M331" s="170" t="n"/>
      <c r="N331" s="170" t="n">
        <v>3104165783</v>
      </c>
      <c r="O331" s="172" t="inlineStr">
        <is>
          <t>Cristiam Gustavo Mondragon Cortes</t>
        </is>
      </c>
      <c r="P331" s="52" t="inlineStr">
        <is>
          <t>cristiam.mondragon@spci.com.co</t>
        </is>
      </c>
    </row>
    <row r="332">
      <c r="B332" s="170" t="n">
        <v>320</v>
      </c>
      <c r="C332" s="199" t="inlineStr">
        <is>
          <t>COTIZACION DE LOS PLANOS RECORD DE DETECCIÓN DE INCENDIOS PARA ESTOCOLMO</t>
        </is>
      </c>
      <c r="D332" s="312" t="n"/>
      <c r="E332" s="312" t="n"/>
      <c r="F332" s="312" t="n"/>
      <c r="G332" s="312" t="n"/>
      <c r="H332" s="312" t="n"/>
      <c r="I332" s="313" t="n"/>
      <c r="J332" s="199" t="inlineStr">
        <is>
          <t>SPCI</t>
        </is>
      </c>
      <c r="K332" s="314" t="n">
        <v>2000000</v>
      </c>
      <c r="L332" s="2" t="inlineStr">
        <is>
          <t>27/07/20222</t>
        </is>
      </c>
      <c r="M332" s="170" t="n"/>
      <c r="N332" s="170" t="n">
        <v>3104165783</v>
      </c>
      <c r="O332" s="172" t="inlineStr">
        <is>
          <t>Cristiam Gustavo Mondragon Cortes</t>
        </is>
      </c>
      <c r="P332" s="52" t="inlineStr">
        <is>
          <t>cristiam.mondragon@spci.com.co</t>
        </is>
      </c>
    </row>
    <row r="333">
      <c r="B333" s="170" t="n">
        <v>321</v>
      </c>
      <c r="C333" s="233" t="inlineStr">
        <is>
          <t>COTIZACION DE LOS DISEÑOS DE PROTECCIÓN CONTRA INCENDIOS PARA EL PROYECTO REFORMA EDIFICIO MINDALA</t>
        </is>
      </c>
      <c r="D333" s="312" t="n"/>
      <c r="E333" s="312" t="n"/>
      <c r="F333" s="312" t="n"/>
      <c r="G333" s="312" t="n"/>
      <c r="H333" s="312" t="n"/>
      <c r="I333" s="313" t="n"/>
      <c r="J333" s="199" t="inlineStr">
        <is>
          <t>unespacioarquitectos</t>
        </is>
      </c>
      <c r="K333" s="314" t="n">
        <v>5390000</v>
      </c>
      <c r="L333" s="2" t="n">
        <v>44774</v>
      </c>
      <c r="M333" s="170" t="inlineStr">
        <is>
          <t>X</t>
        </is>
      </c>
      <c r="N333" s="170" t="n">
        <v>3117649050</v>
      </c>
      <c r="O333" s="172" t="inlineStr">
        <is>
          <t>Juan Esteban Ramírez</t>
        </is>
      </c>
      <c r="P333" s="52" t="inlineStr">
        <is>
          <t>unespacioarquitectos@gmail.com</t>
        </is>
      </c>
    </row>
    <row r="334">
      <c r="B334" s="170" t="n">
        <v>322</v>
      </c>
      <c r="C334" s="199" t="inlineStr">
        <is>
          <t>COTIZACION DE LOS DISEÑOS DE PROTECCIÓN CONTRA INCENDIOS PARA EL PROYECTO BODEGA REFRIGERADA</t>
        </is>
      </c>
      <c r="D334" s="312" t="n"/>
      <c r="E334" s="312" t="n"/>
      <c r="F334" s="312" t="n"/>
      <c r="G334" s="312" t="n"/>
      <c r="H334" s="312" t="n"/>
      <c r="I334" s="313" t="n"/>
      <c r="J334" s="199" t="inlineStr">
        <is>
          <t>COINSI</t>
        </is>
      </c>
      <c r="K334" s="314" t="n">
        <v>22950000</v>
      </c>
      <c r="L334" s="2" t="n">
        <v>44774</v>
      </c>
      <c r="M334" s="170" t="n"/>
      <c r="N334" s="170" t="n">
        <v>3218381675</v>
      </c>
      <c r="O334" s="172" t="inlineStr">
        <is>
          <t>Jonathan Hincapié</t>
        </is>
      </c>
      <c r="P334" s="52" t="inlineStr">
        <is>
          <t>disenos@coinsi.com</t>
        </is>
      </c>
    </row>
    <row r="335">
      <c r="B335" s="170" t="n">
        <v>323</v>
      </c>
      <c r="C335" s="199" t="inlineStr">
        <is>
          <t>COTIZACION DEL ANÁLISIS DE SEGURIDAD HUMANA PARA EL PROYECTO JERONIMO MARTINS</t>
        </is>
      </c>
      <c r="D335" s="312" t="n"/>
      <c r="E335" s="312" t="n"/>
      <c r="F335" s="312" t="n"/>
      <c r="G335" s="312" t="n"/>
      <c r="H335" s="312" t="n"/>
      <c r="I335" s="313" t="n"/>
      <c r="J335" s="199" t="inlineStr">
        <is>
          <t>CONCONCRETO</t>
        </is>
      </c>
      <c r="K335" s="314" t="n">
        <v>6550000</v>
      </c>
      <c r="L335" s="2" t="n">
        <v>44775</v>
      </c>
      <c r="M335" s="170" t="n"/>
      <c r="N335" s="170" t="n"/>
      <c r="O335" s="172" t="n"/>
      <c r="P335" s="52" t="n"/>
    </row>
    <row r="336">
      <c r="B336" s="170" t="n">
        <v>324</v>
      </c>
      <c r="C336" s="246" t="inlineStr">
        <is>
          <t xml:space="preserve">COTIZACION DEL DISEÑO DE DETECCIÓN DE INCENDIOS PARA EL PROYECTO DIACO
</t>
        </is>
      </c>
      <c r="D336" s="312" t="n"/>
      <c r="E336" s="312" t="n"/>
      <c r="F336" s="312" t="n"/>
      <c r="G336" s="312" t="n"/>
      <c r="H336" s="312" t="n"/>
      <c r="I336" s="313" t="n"/>
      <c r="J336" s="199" t="inlineStr">
        <is>
          <t>SPCI</t>
        </is>
      </c>
      <c r="K336" s="314" t="n">
        <v>2950000</v>
      </c>
      <c r="L336" s="2" t="n">
        <v>44777</v>
      </c>
      <c r="M336" s="170" t="n"/>
      <c r="N336" s="172" t="n">
        <v>3104165783</v>
      </c>
      <c r="O336" s="170" t="inlineStr">
        <is>
          <t>Cristiam Gustavo Mondragón Cortés</t>
        </is>
      </c>
      <c r="P336" s="52" t="inlineStr">
        <is>
          <t>cristiam.mondragon@spci.com.co</t>
        </is>
      </c>
    </row>
    <row r="337">
      <c r="B337" s="170" t="n">
        <v>325</v>
      </c>
      <c r="C337" s="246" t="inlineStr">
        <is>
          <t xml:space="preserve">COTIZACION DEL DISEÑO DE EXTINCIÓN DE INCENDIOS PARA EL PROYECTO DIACO
</t>
        </is>
      </c>
      <c r="D337" s="312" t="n"/>
      <c r="E337" s="312" t="n"/>
      <c r="F337" s="312" t="n"/>
      <c r="G337" s="312" t="n"/>
      <c r="H337" s="312" t="n"/>
      <c r="I337" s="313" t="n"/>
      <c r="J337" s="199" t="inlineStr">
        <is>
          <t>SPCI</t>
        </is>
      </c>
      <c r="K337" s="314" t="n">
        <v>6270000</v>
      </c>
      <c r="L337" s="2" t="n">
        <v>44777</v>
      </c>
      <c r="M337" s="170" t="n"/>
      <c r="N337" s="172" t="n">
        <v>3104165783</v>
      </c>
      <c r="O337" s="170" t="inlineStr">
        <is>
          <t>Cristiam Gustavo Mondragón Cortés</t>
        </is>
      </c>
      <c r="P337" s="52" t="inlineStr">
        <is>
          <t>cristiam.mondragon@spci.com.co</t>
        </is>
      </c>
    </row>
    <row r="338">
      <c r="B338" s="170" t="n">
        <v>326</v>
      </c>
      <c r="C338" s="246" t="inlineStr">
        <is>
          <t>COTIZACION DEL DISEÑO DE DETECCIÓN DE INCENDIOS PARA EL PROYECTO LOCAL 271 CC VIVA ENVIGADO</t>
        </is>
      </c>
      <c r="D338" s="312" t="n"/>
      <c r="E338" s="312" t="n"/>
      <c r="F338" s="312" t="n"/>
      <c r="G338" s="312" t="n"/>
      <c r="H338" s="312" t="n"/>
      <c r="I338" s="313" t="n"/>
      <c r="J338" s="23" t="inlineStr">
        <is>
          <t>SPCI</t>
        </is>
      </c>
      <c r="K338" s="314" t="n">
        <v>750000</v>
      </c>
      <c r="L338" s="2" t="n">
        <v>44777</v>
      </c>
      <c r="M338" s="170" t="inlineStr">
        <is>
          <t>X</t>
        </is>
      </c>
      <c r="N338" s="170" t="n">
        <v>3137546144</v>
      </c>
      <c r="O338" s="172" t="inlineStr">
        <is>
          <t>Juan Camilo Quintero Bedoya</t>
        </is>
      </c>
      <c r="P338" s="52" t="inlineStr">
        <is>
          <t>camilo.quintero@spci.com.co</t>
        </is>
      </c>
    </row>
    <row r="339">
      <c r="B339" s="170" t="n">
        <v>327</v>
      </c>
      <c r="C339" s="199" t="inlineStr">
        <is>
          <t>COTIZACION DEL ANÁLISIS DE SEGURIDAD HUMANA PARA EL PROYECTO CENTRO DE EVENTOS</t>
        </is>
      </c>
      <c r="D339" s="312" t="n"/>
      <c r="E339" s="312" t="n"/>
      <c r="F339" s="312" t="n"/>
      <c r="G339" s="312" t="n"/>
      <c r="H339" s="312" t="n"/>
      <c r="I339" s="313" t="n"/>
      <c r="J339" s="199" t="inlineStr">
        <is>
          <t>CONCONCRETO</t>
        </is>
      </c>
      <c r="K339" s="314" t="n">
        <v>5100000</v>
      </c>
      <c r="L339" s="2" t="n">
        <v>44776</v>
      </c>
      <c r="M339" s="170" t="inlineStr">
        <is>
          <t>X</t>
        </is>
      </c>
      <c r="N339" s="170" t="n">
        <v>3117208117</v>
      </c>
      <c r="O339" s="172" t="inlineStr">
        <is>
          <t>Mary Luz Henao Cadavid</t>
        </is>
      </c>
      <c r="P339" s="52" t="inlineStr">
        <is>
          <t>mlhenao@conconcreto.com</t>
        </is>
      </c>
    </row>
    <row r="340">
      <c r="B340" s="170" t="n">
        <v>328</v>
      </c>
      <c r="C340" s="248" t="inlineStr">
        <is>
          <t>COTIZACION DE LOS DISEÑOS DE PROTECCIÓN CONTRA INCENDIOS Y SEGURIDAD HUMANA PARA EL PROYECTO EL EDEN ETAPA 1</t>
        </is>
      </c>
      <c r="D340" s="312" t="n"/>
      <c r="E340" s="312" t="n"/>
      <c r="F340" s="312" t="n"/>
      <c r="G340" s="312" t="n"/>
      <c r="H340" s="312" t="n"/>
      <c r="I340" s="313" t="n"/>
      <c r="J340" s="199" t="inlineStr">
        <is>
          <t>EDYFICA</t>
        </is>
      </c>
      <c r="K340" s="314" t="n">
        <v>6270000</v>
      </c>
      <c r="L340" s="2" t="n">
        <v>44777</v>
      </c>
      <c r="M340" s="170" t="n"/>
      <c r="N340" s="170" t="n">
        <v>3104057513</v>
      </c>
      <c r="O340" s="172" t="inlineStr">
        <is>
          <t>Claudia Marcela Ramirez Gomez</t>
        </is>
      </c>
      <c r="P340" s="91" t="inlineStr">
        <is>
          <t>claudia.ramirez@edyfica.co</t>
        </is>
      </c>
    </row>
    <row r="341">
      <c r="B341" s="170" t="n">
        <v>329</v>
      </c>
      <c r="C341" s="199" t="inlineStr">
        <is>
          <t>COTIZACION DEL DISEÑO DE EXTINCIÓN DE INCENDIOS PARA EL PROYECTO ZONAS COMUNES PISO 1 JARDINES DE LLANO GRANDE</t>
        </is>
      </c>
      <c r="D341" s="312" t="n"/>
      <c r="E341" s="312" t="n"/>
      <c r="F341" s="312" t="n"/>
      <c r="G341" s="312" t="n"/>
      <c r="H341" s="312" t="n"/>
      <c r="I341" s="313" t="n"/>
      <c r="J341" s="199" t="inlineStr">
        <is>
          <t>SPCI</t>
        </is>
      </c>
      <c r="K341" s="314" t="n">
        <v>1000000</v>
      </c>
      <c r="L341" s="2" t="n">
        <v>44777</v>
      </c>
      <c r="M341" s="170" t="n"/>
      <c r="N341" s="170" t="n">
        <v>3137546144</v>
      </c>
      <c r="O341" s="172" t="inlineStr">
        <is>
          <t>Juan Camilo Quintero Bedoya</t>
        </is>
      </c>
      <c r="P341" s="52" t="inlineStr">
        <is>
          <t>camilo.quintero@spci.com.co</t>
        </is>
      </c>
    </row>
    <row r="342" ht="15" customHeight="1">
      <c r="B342" s="170" t="n">
        <v>330</v>
      </c>
      <c r="C342" s="199" t="inlineStr">
        <is>
          <t xml:space="preserve">
COTIZACION DEL ANÁLISIS DE SEGURIDAD HUMANA PARA EL PROYECTO INSTITUTO PASTORAL DEL CLERO – RODEO SANTA ANA</t>
        </is>
      </c>
      <c r="D342" s="312" t="n"/>
      <c r="E342" s="312" t="n"/>
      <c r="F342" s="312" t="n"/>
      <c r="G342" s="312" t="n"/>
      <c r="H342" s="312" t="n"/>
      <c r="I342" s="313" t="n"/>
      <c r="J342" s="199" t="inlineStr">
        <is>
          <t>HUNDINCO</t>
        </is>
      </c>
      <c r="K342" s="314" t="n">
        <v>1250000</v>
      </c>
      <c r="L342" s="2" t="n">
        <v>44777</v>
      </c>
      <c r="M342" s="170" t="inlineStr">
        <is>
          <t>X</t>
        </is>
      </c>
      <c r="N342" s="170" t="inlineStr">
        <is>
          <t>316 5393372</t>
        </is>
      </c>
      <c r="O342" s="172" t="inlineStr">
        <is>
          <t>Hugo Donado</t>
        </is>
      </c>
      <c r="P342" s="52" t="inlineStr">
        <is>
          <t>hudinco@gmail.com</t>
        </is>
      </c>
    </row>
    <row r="343">
      <c r="B343" s="170" t="n">
        <v>331</v>
      </c>
      <c r="C343" s="199" t="inlineStr">
        <is>
          <t>COTIZACION DE LOS DISEÑOS DE PROTECCIÓN CONTRA INCENDIOS Y SEGURIDAD HUMANA PARA EL PROYECTO SAN JORGE</t>
        </is>
      </c>
      <c r="D343" s="312" t="n"/>
      <c r="E343" s="312" t="n"/>
      <c r="F343" s="312" t="n"/>
      <c r="G343" s="312" t="n"/>
      <c r="H343" s="312" t="n"/>
      <c r="I343" s="313" t="n"/>
      <c r="J343" s="199" t="inlineStr">
        <is>
          <t>FIC</t>
        </is>
      </c>
      <c r="K343" s="314" t="n">
        <v>28780000</v>
      </c>
      <c r="L343" s="2" t="n">
        <v>44781</v>
      </c>
      <c r="M343" s="170" t="inlineStr">
        <is>
          <t>X</t>
        </is>
      </c>
      <c r="N343" s="170" t="n">
        <v>3014228936</v>
      </c>
      <c r="O343" s="172" t="inlineStr">
        <is>
          <t>Juan Gabriel Sánchez</t>
        </is>
      </c>
      <c r="P343" s="52" t="inlineStr">
        <is>
          <t>jugsanch@bancolombia.com.co</t>
        </is>
      </c>
    </row>
    <row r="344">
      <c r="B344" s="170" t="n">
        <v>332</v>
      </c>
      <c r="C344" s="199" t="inlineStr">
        <is>
          <t>COTIZACION DE LOS DISEÑOS DE PROTECCIÓN CONTRA INCENDIOS Y SEGURIDAD HUMANA PARA EL PROYECTO CANTAGIRONE VERDDE</t>
        </is>
      </c>
      <c r="D344" s="312" t="n"/>
      <c r="E344" s="312" t="n"/>
      <c r="F344" s="312" t="n"/>
      <c r="G344" s="312" t="n"/>
      <c r="H344" s="312" t="n"/>
      <c r="I344" s="313" t="n"/>
      <c r="J344" s="199" t="inlineStr">
        <is>
          <t>CANTAGIRONE</t>
        </is>
      </c>
      <c r="K344" s="314" t="n">
        <v>26500000</v>
      </c>
      <c r="L344" s="2" t="n">
        <v>44781</v>
      </c>
      <c r="M344" s="170" t="n"/>
      <c r="N344" s="170" t="inlineStr">
        <is>
          <t xml:space="preserve">(604) 322 86 25  ext 120 </t>
        </is>
      </c>
      <c r="O344" s="172" t="inlineStr">
        <is>
          <t>Isabel Cristina Botero Lopez</t>
        </is>
      </c>
      <c r="P344" s="52" t="inlineStr">
        <is>
          <t>proyectosbim@cantagirone.com</t>
        </is>
      </c>
    </row>
    <row r="345">
      <c r="B345" s="170" t="n">
        <v>333</v>
      </c>
      <c r="C345" s="199" t="inlineStr">
        <is>
          <t>COTIZACION DEL DIAGNÓSTICO DE SEGURIDAD HUMANA Y PROTECCIÓN CONTRA INCENDIOS - PROYECTO IBAGUÉ</t>
        </is>
      </c>
      <c r="D345" s="312" t="n"/>
      <c r="E345" s="312" t="n"/>
      <c r="F345" s="312" t="n"/>
      <c r="G345" s="312" t="n"/>
      <c r="H345" s="312" t="n"/>
      <c r="I345" s="313" t="n"/>
      <c r="J345" s="199" t="inlineStr">
        <is>
          <t>CONDISEÑO</t>
        </is>
      </c>
      <c r="K345" s="314" t="n">
        <v>6900000</v>
      </c>
      <c r="L345" s="2" t="n">
        <v>44781</v>
      </c>
      <c r="M345" s="170" t="n"/>
      <c r="N345" s="170" t="n">
        <v>3175594091</v>
      </c>
      <c r="O345" s="170" t="inlineStr">
        <is>
          <t>Nakary García Romero</t>
        </is>
      </c>
      <c r="P345" s="52" t="inlineStr">
        <is>
          <t>n.garcia@condiseno.co</t>
        </is>
      </c>
    </row>
    <row r="346">
      <c r="B346" s="170" t="n">
        <v>334</v>
      </c>
      <c r="C346" s="199" t="inlineStr">
        <is>
          <t>COTIZACION DE LOS DISEÑOS DE PROTECCIÓN CONTRA INCENDIOS Y SEGURIDAD HUMANA PARA EL PROYECTO PLANTA EDITORIAL PILOTO DE GUARNE</t>
        </is>
      </c>
      <c r="D346" s="312" t="n"/>
      <c r="E346" s="312" t="n"/>
      <c r="F346" s="312" t="n"/>
      <c r="G346" s="312" t="n"/>
      <c r="H346" s="312" t="n"/>
      <c r="I346" s="313" t="n"/>
      <c r="J346" s="199" t="inlineStr">
        <is>
          <t>SPCI</t>
        </is>
      </c>
      <c r="K346" s="314" t="n">
        <v>22770000</v>
      </c>
      <c r="L346" s="2" t="n">
        <v>44784</v>
      </c>
      <c r="M346" s="170" t="n"/>
      <c r="N346" s="170" t="inlineStr">
        <is>
          <t>321 482 61 68</t>
        </is>
      </c>
      <c r="O346" s="170" t="inlineStr">
        <is>
          <t>Ana Maria Restrepo Mayo.</t>
        </is>
      </c>
      <c r="P346" s="52" t="inlineStr">
        <is>
          <t>ana.restrepo@spci.com.co</t>
        </is>
      </c>
    </row>
    <row r="347">
      <c r="B347" s="170" t="n">
        <v>335</v>
      </c>
      <c r="C347" s="199" t="inlineStr">
        <is>
          <t>COTIZACION DE LA INGENIERÍA CONCEPTUAL Y BÁSICA DEL SISTEMA DE EXTINCIÓN DE INCENDIOS PARA LA MINA EL SILENCIO GCG</t>
        </is>
      </c>
      <c r="D347" s="312" t="n"/>
      <c r="E347" s="312" t="n"/>
      <c r="F347" s="312" t="n"/>
      <c r="G347" s="312" t="n"/>
      <c r="H347" s="312" t="n"/>
      <c r="I347" s="313" t="n"/>
      <c r="J347" s="199" t="n"/>
      <c r="K347" s="314" t="n">
        <v>26950000</v>
      </c>
      <c r="L347" s="2" t="n">
        <v>44781</v>
      </c>
      <c r="M347" s="170" t="n"/>
      <c r="N347" s="170" t="inlineStr">
        <is>
          <t>301 542 1412</t>
        </is>
      </c>
      <c r="O347" s="170" t="inlineStr">
        <is>
          <t>Juan Santiago Londoño Quiceno</t>
        </is>
      </c>
      <c r="P347" s="52" t="inlineStr">
        <is>
          <t>juan.londono@serviciosipm.com</t>
        </is>
      </c>
    </row>
    <row r="348">
      <c r="B348" s="170" t="n">
        <v>336</v>
      </c>
      <c r="C348" s="199" t="inlineStr">
        <is>
          <t>COTIZACION DEL DISEÑO DE EXTINCIÓN DE INCENDIOS PARA EL PROYECTO BURITICÁ CENTRO DE DISTRIBUCIÓN ALIMENTOS-PLANTA HIGABRA</t>
        </is>
      </c>
      <c r="D348" s="312" t="n"/>
      <c r="E348" s="312" t="n"/>
      <c r="F348" s="312" t="n"/>
      <c r="G348" s="312" t="n"/>
      <c r="H348" s="312" t="n"/>
      <c r="I348" s="313" t="n"/>
      <c r="J348" s="199" t="inlineStr">
        <is>
          <t>COMEX INTERNACIONAL SAS</t>
        </is>
      </c>
      <c r="K348" s="314" t="n">
        <v>6500000</v>
      </c>
      <c r="L348" s="2" t="n">
        <v>44782</v>
      </c>
      <c r="M348" s="170" t="n"/>
      <c r="N348" s="170" t="inlineStr">
        <is>
          <t>316 496 20 26</t>
        </is>
      </c>
      <c r="O348" s="172" t="inlineStr">
        <is>
          <t>Juan David Ossa Salazar</t>
        </is>
      </c>
      <c r="P348" s="52" t="inlineStr">
        <is>
          <t>omercial@comexinternacional.com.co</t>
        </is>
      </c>
    </row>
    <row r="349" ht="15" customHeight="1">
      <c r="B349" s="170" t="n">
        <v>337</v>
      </c>
      <c r="C349" s="199" t="inlineStr">
        <is>
          <t xml:space="preserve">
COTIZACION DEL DISEÑO DE EXTINCIÓN DE INCENDIOS PARA EL PROYECTO ZONA DE MEZZANINE OFICINAS</t>
        </is>
      </c>
      <c r="D349" s="312" t="n"/>
      <c r="E349" s="312" t="n"/>
      <c r="F349" s="312" t="n"/>
      <c r="G349" s="312" t="n"/>
      <c r="H349" s="312" t="n"/>
      <c r="I349" s="313" t="n"/>
      <c r="J349" s="199" t="inlineStr">
        <is>
          <t>Jomark Seguridad</t>
        </is>
      </c>
      <c r="K349" s="314" t="n">
        <v>16305000</v>
      </c>
      <c r="L349" s="2" t="n">
        <v>44782</v>
      </c>
      <c r="M349" s="170" t="n"/>
      <c r="N349" s="170" t="n"/>
      <c r="O349" s="172" t="inlineStr">
        <is>
          <t>Laura Duque Betancur</t>
        </is>
      </c>
      <c r="P349" s="52" t="n"/>
    </row>
    <row r="350">
      <c r="B350" s="170" t="n">
        <v>338</v>
      </c>
      <c r="C350" s="199" t="inlineStr">
        <is>
          <t>COTIZACION DE LOS DISEÑOS DE PROTECCIÓN CONTRA INCENDIOS Y SEGURIDAD HUMANA PARA EL PROYECTO EL EDEN ETAPA 1</t>
        </is>
      </c>
      <c r="D350" s="312" t="n"/>
      <c r="E350" s="312" t="n"/>
      <c r="F350" s="312" t="n"/>
      <c r="G350" s="312" t="n"/>
      <c r="H350" s="312" t="n"/>
      <c r="I350" s="313" t="n"/>
      <c r="J350" s="199" t="inlineStr">
        <is>
          <t>COMEX INTERNACIONAL SAS</t>
        </is>
      </c>
      <c r="K350" s="314" t="n">
        <v>6270000</v>
      </c>
      <c r="L350" s="2" t="n">
        <v>44783</v>
      </c>
      <c r="M350" s="170" t="n"/>
      <c r="N350" s="170" t="inlineStr">
        <is>
          <t>316 496 20 26</t>
        </is>
      </c>
      <c r="O350" s="172" t="inlineStr">
        <is>
          <t>Juan Dacid Ossa Salazar</t>
        </is>
      </c>
      <c r="P350" s="52" t="inlineStr">
        <is>
          <t>comercial@comexinternacional.com.co</t>
        </is>
      </c>
    </row>
    <row r="351">
      <c r="B351" s="170" t="n">
        <v>339</v>
      </c>
      <c r="C351" s="246" t="inlineStr">
        <is>
          <t>COTIZACION DE LOS DISEÑOS DE PROTECCIÓN CONTRA INCENDIOS Y SEGURIDAD HUMANA PARA EL PROYECTO PLANTA EDITORIAL PILOTO DE GUARNE</t>
        </is>
      </c>
      <c r="D351" s="312" t="n"/>
      <c r="E351" s="312" t="n"/>
      <c r="F351" s="312" t="n"/>
      <c r="G351" s="312" t="n"/>
      <c r="H351" s="312" t="n"/>
      <c r="I351" s="313" t="n"/>
      <c r="J351" s="199" t="inlineStr">
        <is>
          <t>MENSULA</t>
        </is>
      </c>
      <c r="K351" s="314" t="n">
        <v>20700000</v>
      </c>
      <c r="L351" s="2" t="n">
        <v>44783</v>
      </c>
      <c r="M351" s="170" t="n"/>
      <c r="N351" s="170" t="inlineStr">
        <is>
          <t xml:space="preserve">314 619 81 44 </t>
        </is>
      </c>
      <c r="O351" s="172" t="inlineStr">
        <is>
          <t>Angela María Bravo Zapata</t>
        </is>
      </c>
      <c r="P351" s="52" t="inlineStr">
        <is>
          <t>angelabravo@mensulaingenieros.com</t>
        </is>
      </c>
    </row>
    <row r="352">
      <c r="B352" s="170" t="n">
        <v>340</v>
      </c>
      <c r="C352" s="233" t="inlineStr">
        <is>
          <t xml:space="preserve">COTIZACION DEL ANÁLISIS DE SEGURIDAD HUMANA PARA EL PROYECTO FUNDACION UNIVERSITARIA MARIA CANO
</t>
        </is>
      </c>
      <c r="D352" s="312" t="n"/>
      <c r="E352" s="312" t="n"/>
      <c r="F352" s="312" t="n"/>
      <c r="G352" s="312" t="n"/>
      <c r="H352" s="312" t="n"/>
      <c r="I352" s="313" t="n"/>
      <c r="J352" s="199" t="inlineStr">
        <is>
          <t>CONYMAC INGENIERIA Y CONSTRUCCIONES SAS.</t>
        </is>
      </c>
      <c r="K352" s="314" t="n">
        <v>6950000</v>
      </c>
      <c r="L352" s="2" t="n">
        <v>44784</v>
      </c>
      <c r="M352" s="170" t="n"/>
      <c r="N352" s="170" t="n">
        <v>3165296912</v>
      </c>
      <c r="O352" s="172" t="inlineStr">
        <is>
          <t>Luis Fernando Restrepo Molina</t>
        </is>
      </c>
      <c r="P352" s="52" t="inlineStr">
        <is>
          <t>luiferrestrepo@gmail.com</t>
        </is>
      </c>
    </row>
    <row r="353">
      <c r="B353" s="170" t="n">
        <v>341</v>
      </c>
      <c r="C353" s="199" t="inlineStr">
        <is>
          <t>COTIZACION DEL DISEÑO DE EXTINCIÓN DE INCENDIOS PARA EL PROYECTO BAXTER</t>
        </is>
      </c>
      <c r="D353" s="312" t="n"/>
      <c r="E353" s="312" t="n"/>
      <c r="F353" s="312" t="n"/>
      <c r="G353" s="312" t="n"/>
      <c r="H353" s="312" t="n"/>
      <c r="I353" s="313" t="n"/>
      <c r="J353" s="199" t="inlineStr">
        <is>
          <t>BAXTER</t>
        </is>
      </c>
      <c r="K353" s="314" t="n">
        <v>95000000</v>
      </c>
      <c r="L353" s="2" t="n">
        <v>44784</v>
      </c>
      <c r="M353" s="170" t="n"/>
      <c r="N353" s="170" t="n"/>
      <c r="O353" s="172" t="n"/>
      <c r="P353" s="52" t="n"/>
    </row>
    <row r="354">
      <c r="B354" s="170" t="n">
        <v>342</v>
      </c>
      <c r="C354" s="233" t="inlineStr">
        <is>
          <t xml:space="preserve">COTIZACION DE LOS DISEÑOS DE PROTECCIÓN CONTRA INCENDIOS Y SEGURIDAD HUMANA PARA EL PROYECTO CONFITECOL PLANTA DE CHICLES
</t>
        </is>
      </c>
      <c r="D354" s="312" t="n"/>
      <c r="E354" s="312" t="n"/>
      <c r="F354" s="312" t="n"/>
      <c r="G354" s="312" t="n"/>
      <c r="H354" s="312" t="n"/>
      <c r="I354" s="313" t="n"/>
      <c r="J354" s="199" t="inlineStr">
        <is>
          <t>SPCI</t>
        </is>
      </c>
      <c r="K354" s="314" t="n">
        <v>29980000</v>
      </c>
      <c r="L354" s="2" t="n">
        <v>44792</v>
      </c>
      <c r="M354" s="170" t="n"/>
      <c r="N354" s="172" t="n">
        <v>3104165783</v>
      </c>
      <c r="O354" s="170" t="inlineStr">
        <is>
          <t>Cristiam Gustavo Mondragón Cortés</t>
        </is>
      </c>
      <c r="P354" s="52" t="inlineStr">
        <is>
          <t>cristiam.mondragon@spci.com.co</t>
        </is>
      </c>
    </row>
    <row r="355">
      <c r="B355" s="170" t="n">
        <v>343</v>
      </c>
      <c r="C355" s="199" t="inlineStr">
        <is>
          <t>COTIZACION DE LOS DISEÑOS DE PROTECCIÓN CONTRA INCENDIOS - PROYECTO PALERMO</t>
        </is>
      </c>
      <c r="D355" s="312" t="n"/>
      <c r="E355" s="312" t="n"/>
      <c r="F355" s="312" t="n"/>
      <c r="G355" s="312" t="n"/>
      <c r="H355" s="312" t="n"/>
      <c r="I355" s="313" t="n"/>
      <c r="J355" s="199" t="inlineStr">
        <is>
          <t>MAB INGENIERÍA</t>
        </is>
      </c>
      <c r="K355" s="314" t="n">
        <v>199540000</v>
      </c>
      <c r="L355" s="2" t="n">
        <v>44789</v>
      </c>
      <c r="M355" s="170" t="n"/>
      <c r="N355" s="170" t="inlineStr">
        <is>
          <t>313 8974765</t>
        </is>
      </c>
      <c r="O355" s="172" t="inlineStr">
        <is>
          <t>Hartmann S. Borda P.</t>
        </is>
      </c>
      <c r="P355" s="52" t="inlineStr">
        <is>
          <t xml:space="preserve">hborda@mab.com.co </t>
        </is>
      </c>
    </row>
    <row r="356">
      <c r="B356" s="170" t="n">
        <v>344</v>
      </c>
      <c r="C356" s="246" t="inlineStr">
        <is>
          <t>COTIZACION DEL DIAGNÓSTICO DE SEGURIDAD HUMANA Y PROTECCIÓN CONTRA INCENDIOS - UNICENTRO VILLAVICENCIO</t>
        </is>
      </c>
      <c r="D356" s="312" t="n"/>
      <c r="E356" s="312" t="n"/>
      <c r="F356" s="312" t="n"/>
      <c r="G356" s="312" t="n"/>
      <c r="H356" s="312" t="n"/>
      <c r="I356" s="313" t="n"/>
      <c r="J356" s="199" t="inlineStr">
        <is>
          <t>CONDISEÑO</t>
        </is>
      </c>
      <c r="K356" s="314" t="n">
        <v>11990000</v>
      </c>
      <c r="L356" s="2" t="n">
        <v>44790</v>
      </c>
      <c r="M356" s="2" t="n"/>
      <c r="N356" s="170" t="n">
        <v>3175594091</v>
      </c>
      <c r="O356" s="170" t="inlineStr">
        <is>
          <t>Nakary García Romero</t>
        </is>
      </c>
      <c r="P356" s="52" t="inlineStr">
        <is>
          <t>n.garcia@condiseno.co</t>
        </is>
      </c>
    </row>
    <row r="357">
      <c r="B357" s="170" t="n">
        <v>345</v>
      </c>
      <c r="C357" s="246" t="inlineStr">
        <is>
          <t>COTIZACION DEL DISEÑO DE EXTINCIÓN DE INCENDIOS PARA EL PROYECTO PISO 6 SALUD VEGAS</t>
        </is>
      </c>
      <c r="D357" s="312" t="n"/>
      <c r="E357" s="312" t="n"/>
      <c r="F357" s="312" t="n"/>
      <c r="G357" s="312" t="n"/>
      <c r="H357" s="312" t="n"/>
      <c r="I357" s="313" t="n"/>
      <c r="J357" s="199" t="inlineStr">
        <is>
          <t>Project&amp;Solution</t>
        </is>
      </c>
      <c r="K357" s="314" t="n">
        <v>3950000</v>
      </c>
      <c r="L357" s="2" t="n">
        <v>44790</v>
      </c>
      <c r="M357" s="170" t="inlineStr">
        <is>
          <t>X</t>
        </is>
      </c>
      <c r="N357" s="170" t="inlineStr">
        <is>
          <t>311 3079477</t>
        </is>
      </c>
      <c r="O357" s="170" t="inlineStr">
        <is>
          <t>Sebastian Lopez Duque</t>
        </is>
      </c>
      <c r="P357" s="52" t="inlineStr">
        <is>
          <t>gerencia@projectsolutions.com.co</t>
        </is>
      </c>
    </row>
    <row r="358">
      <c r="B358" s="170" t="n">
        <v>346</v>
      </c>
      <c r="C358" s="199" t="inlineStr">
        <is>
          <t>COTIZACION DEL DISEÑO DE EXTINCIÓN DE INCENDIOS PARA EL PROYECTO BODEGA 152 TANIA</t>
        </is>
      </c>
      <c r="D358" s="312" t="n"/>
      <c r="E358" s="312" t="n"/>
      <c r="F358" s="312" t="n"/>
      <c r="G358" s="312" t="n"/>
      <c r="H358" s="312" t="n"/>
      <c r="I358" s="313" t="n"/>
      <c r="J358" s="199" t="inlineStr">
        <is>
          <t>SPCI</t>
        </is>
      </c>
      <c r="K358" s="314" t="n">
        <v>7500000</v>
      </c>
      <c r="L358" s="2" t="n">
        <v>44790</v>
      </c>
      <c r="M358" s="170" t="n"/>
      <c r="N358" s="172" t="n">
        <v>3104165783</v>
      </c>
      <c r="O358" s="170" t="inlineStr">
        <is>
          <t>Cristiam Gustavo Mondragón Cortés</t>
        </is>
      </c>
      <c r="P358" s="52" t="inlineStr">
        <is>
          <t>cristiam.mondragon@spci.com.co</t>
        </is>
      </c>
    </row>
    <row r="359">
      <c r="B359" s="170" t="n">
        <v>347</v>
      </c>
      <c r="C359" s="199" t="inlineStr">
        <is>
          <t xml:space="preserve">COTIZACION DE LOS DISEÑOS DE PROTECCIÓN CONTRA INCENDIOS Y SEGURIDAD HUMANA PARA EL PROYECTO IPS BASICAS SAN NICOLAS </t>
        </is>
      </c>
      <c r="D359" s="312" t="n"/>
      <c r="E359" s="312" t="n"/>
      <c r="F359" s="312" t="n"/>
      <c r="G359" s="312" t="n"/>
      <c r="H359" s="312" t="n"/>
      <c r="I359" s="313" t="n"/>
      <c r="J359" s="199" t="inlineStr">
        <is>
          <t>SOLUCIONES INMOBILIARIAS</t>
        </is>
      </c>
      <c r="K359" s="314" t="n">
        <v>3950000</v>
      </c>
      <c r="L359" s="2" t="n">
        <v>44790</v>
      </c>
      <c r="M359" s="170" t="n"/>
      <c r="N359" s="170" t="n">
        <v>3165394946</v>
      </c>
      <c r="O359" s="172" t="inlineStr">
        <is>
          <t>Andrés Felipe Hernandez Cardona</t>
        </is>
      </c>
      <c r="P359" s="52" t="inlineStr">
        <is>
          <t>ahernandez@solucionesinmobiliariassas.com</t>
        </is>
      </c>
    </row>
    <row r="360">
      <c r="B360" s="170" t="n">
        <v>348</v>
      </c>
      <c r="C360" s="199" t="inlineStr">
        <is>
          <t>COTIZACION DE LOS DISEÑOS DE PROTECCIÓN CONTRA INCENDIOS Y SEGURIDAD HUMANA PARA EL PROYECTO CLINICA LAS VEGAS</t>
        </is>
      </c>
      <c r="D360" s="312" t="n"/>
      <c r="E360" s="312" t="n"/>
      <c r="F360" s="312" t="n"/>
      <c r="G360" s="312" t="n"/>
      <c r="H360" s="312" t="n"/>
      <c r="I360" s="313" t="n"/>
      <c r="J360" s="199" t="inlineStr">
        <is>
          <t>Grupo Quiron Salud</t>
        </is>
      </c>
      <c r="K360" s="314" t="n">
        <v>52650000</v>
      </c>
      <c r="L360" s="2" t="n">
        <v>44791</v>
      </c>
      <c r="M360" s="170" t="n"/>
      <c r="N360" s="170" t="inlineStr">
        <is>
          <t>604 315 9000 Ext: 8600</t>
        </is>
      </c>
      <c r="O360" s="172" t="inlineStr">
        <is>
          <t>Nathalie Orozco Arboleda</t>
        </is>
      </c>
      <c r="P360" s="52" t="inlineStr">
        <is>
          <t>Proyectos@clinicalasvegas.com</t>
        </is>
      </c>
    </row>
    <row r="361">
      <c r="B361" s="170" t="n">
        <v>349</v>
      </c>
      <c r="C361" s="199" t="inlineStr">
        <is>
          <t>COTIZACION DEL DISEÑO DE EXTINCIÓN DE INCENDIOS PARA EL PROYECTO COMUNNITY HUB</t>
        </is>
      </c>
      <c r="D361" s="312" t="n"/>
      <c r="E361" s="312" t="n"/>
      <c r="F361" s="312" t="n"/>
      <c r="G361" s="312" t="n"/>
      <c r="H361" s="312" t="n"/>
      <c r="I361" s="313" t="n"/>
      <c r="J361" s="199" t="inlineStr">
        <is>
          <t>COMEX INTERNACIONAL SAS</t>
        </is>
      </c>
      <c r="K361" s="314" t="n">
        <v>2500000</v>
      </c>
      <c r="L361" s="2" t="n">
        <v>44791</v>
      </c>
      <c r="M361" s="170" t="n"/>
      <c r="N361" s="170" t="n"/>
      <c r="O361" s="172" t="n"/>
      <c r="P361" s="52" t="inlineStr">
        <is>
          <t>comercial@comexinternacional.com.co</t>
        </is>
      </c>
    </row>
    <row r="362">
      <c r="B362" s="170" t="n">
        <v>350</v>
      </c>
      <c r="C362" s="233" t="inlineStr">
        <is>
          <t xml:space="preserve">COTIZACION DE LOS DISEÑOS DE PROTECCIÓN CONTRA INCENDIOS PARA EL PROYECTO LOCAL DOGGER AEROPUERTO BARRANQUILLA
</t>
        </is>
      </c>
      <c r="D362" s="312" t="n"/>
      <c r="E362" s="312" t="n"/>
      <c r="F362" s="312" t="n"/>
      <c r="G362" s="312" t="n"/>
      <c r="H362" s="312" t="n"/>
      <c r="I362" s="313" t="n"/>
      <c r="J362" s="199" t="inlineStr">
        <is>
          <t>Espiral</t>
        </is>
      </c>
      <c r="K362" s="314" t="n">
        <v>1500000</v>
      </c>
      <c r="L362" s="2" t="n">
        <v>44792</v>
      </c>
      <c r="M362" s="170" t="n"/>
      <c r="N362" s="170" t="n">
        <v>3207198907</v>
      </c>
      <c r="O362" s="172" t="inlineStr">
        <is>
          <t xml:space="preserve">Cristian Marin </t>
        </is>
      </c>
      <c r="P362" s="52" t="inlineStr">
        <is>
          <t>cristian.marin@espiral.com.co</t>
        </is>
      </c>
    </row>
    <row r="363">
      <c r="B363" s="170" t="n">
        <v>351</v>
      </c>
      <c r="C363" s="199" t="inlineStr">
        <is>
          <t>COTIZACION DE LOS DISEÑOS DE PROTECCIÓN CONTRA INCENDIOS Y SEGURIDAD HUMANA PARA EL PROYECTO SR LOTE 6A</t>
        </is>
      </c>
      <c r="D363" s="312" t="n"/>
      <c r="E363" s="312" t="n"/>
      <c r="F363" s="312" t="n"/>
      <c r="G363" s="312" t="n"/>
      <c r="H363" s="312" t="n"/>
      <c r="I363" s="313" t="n"/>
      <c r="J363" s="199" t="inlineStr">
        <is>
          <t>FCR SAS</t>
        </is>
      </c>
      <c r="K363" s="314" t="n">
        <v>27570000</v>
      </c>
      <c r="L363" s="2" t="n">
        <v>44792</v>
      </c>
      <c r="M363" s="170" t="n"/>
      <c r="N363" s="170" t="n"/>
      <c r="O363" s="172" t="inlineStr">
        <is>
          <t>Daniela Vélez Cortés</t>
        </is>
      </c>
      <c r="P363" s="52" t="inlineStr">
        <is>
          <t>danielavelez.fcr@gmail.com</t>
        </is>
      </c>
    </row>
    <row r="364">
      <c r="B364" s="170" t="n">
        <v>352</v>
      </c>
      <c r="C364" s="246" t="inlineStr">
        <is>
          <t>COTIZACION DEL DISEÑO DE DETECCIÓN DE INCENDIOS PARA EL PROYECTO CENTRO COMERCIAL VIVA BARRANQUILLA</t>
        </is>
      </c>
      <c r="D364" s="312" t="n"/>
      <c r="E364" s="312" t="n"/>
      <c r="F364" s="312" t="n"/>
      <c r="G364" s="312" t="n"/>
      <c r="H364" s="312" t="n"/>
      <c r="I364" s="313" t="n"/>
      <c r="J364" s="199" t="inlineStr">
        <is>
          <t>SPCI</t>
        </is>
      </c>
      <c r="K364" s="314" t="n">
        <v>12550000</v>
      </c>
      <c r="L364" s="2" t="n">
        <v>44795</v>
      </c>
      <c r="M364" s="170" t="n"/>
      <c r="N364" s="170" t="n">
        <v>3004601567</v>
      </c>
      <c r="O364" s="172" t="inlineStr">
        <is>
          <t>Jahir Manrique</t>
        </is>
      </c>
      <c r="P364" s="52" t="inlineStr">
        <is>
          <t>jahir.manrique@spci.com.co</t>
        </is>
      </c>
    </row>
    <row r="365">
      <c r="B365" s="170" t="n">
        <v>353</v>
      </c>
      <c r="C365" s="199" t="inlineStr">
        <is>
          <t>COTIZACION DE LOS DISEÑOS DE PROTECCIÓN CONTRA INCENDIOS Y SEGURIDAD HUMANA PARA EL PROYECTO EDIFICIO ZELECT APARTAMENTOS</t>
        </is>
      </c>
      <c r="D365" s="312" t="n"/>
      <c r="E365" s="312" t="n"/>
      <c r="F365" s="312" t="n"/>
      <c r="G365" s="312" t="n"/>
      <c r="H365" s="312" t="n"/>
      <c r="I365" s="313" t="n"/>
      <c r="J365" s="199" t="inlineStr">
        <is>
          <t>IPM</t>
        </is>
      </c>
      <c r="K365" s="314" t="n">
        <v>5950000</v>
      </c>
      <c r="L365" s="2" t="n">
        <v>44795</v>
      </c>
      <c r="M365" s="170" t="inlineStr">
        <is>
          <t>X</t>
        </is>
      </c>
      <c r="N365" s="170" t="n">
        <v>3015421412</v>
      </c>
      <c r="O365" s="172" t="inlineStr">
        <is>
          <t>Juan Santiago Londoño Quiceno</t>
        </is>
      </c>
      <c r="P365" s="52" t="inlineStr">
        <is>
          <t>juan.londono@serviciosipm.com</t>
        </is>
      </c>
    </row>
    <row r="366">
      <c r="B366" s="170" t="n">
        <v>354</v>
      </c>
      <c r="C366" s="199" t="inlineStr">
        <is>
          <t>COTIZACION DEL DISEÑO DE DETECCIÓN DE INCENDIOS PARA EL PROYECTO OFICINAS LA INDUSTRIA INC</t>
        </is>
      </c>
      <c r="D366" s="312" t="n"/>
      <c r="E366" s="312" t="n"/>
      <c r="F366" s="312" t="n"/>
      <c r="G366" s="312" t="n"/>
      <c r="H366" s="312" t="n"/>
      <c r="I366" s="313" t="n"/>
      <c r="J366" s="199" t="inlineStr">
        <is>
          <t>SERIINCO</t>
        </is>
      </c>
      <c r="K366" s="314" t="n">
        <v>1250000</v>
      </c>
      <c r="L366" s="2" t="n">
        <v>44796</v>
      </c>
      <c r="M366" s="170" t="n"/>
      <c r="N366" s="170" t="n">
        <v>3113391008</v>
      </c>
      <c r="O366" s="172" t="inlineStr">
        <is>
          <t>Carlos Enrique Henao</t>
        </is>
      </c>
      <c r="P366" s="52" t="inlineStr">
        <is>
          <t>carlos.henao@seriinco.com</t>
        </is>
      </c>
    </row>
    <row r="367">
      <c r="B367" s="170" t="n">
        <v>355</v>
      </c>
      <c r="C367" s="246" t="inlineStr">
        <is>
          <t>COTIZACION DEL DISEÑO DE DETECCIÓN DE INCENDIOS PARA EL PROYECTO PLANTA REFORMA NIVEL 1 CONSULTA PAF</t>
        </is>
      </c>
      <c r="D367" s="312" t="n"/>
      <c r="E367" s="312" t="n"/>
      <c r="F367" s="312" t="n"/>
      <c r="G367" s="312" t="n"/>
      <c r="H367" s="312" t="n"/>
      <c r="I367" s="313" t="n"/>
      <c r="J367" s="199" t="inlineStr">
        <is>
          <t>CLINICA LAS AMERICAS</t>
        </is>
      </c>
      <c r="K367" s="314" t="n">
        <v>1650000</v>
      </c>
      <c r="L367" s="2" t="n">
        <v>44796</v>
      </c>
      <c r="M367" s="170" t="n"/>
      <c r="N367" s="170" t="n">
        <v>3458345</v>
      </c>
      <c r="O367" s="172" t="inlineStr">
        <is>
          <t>Milton Andrés Garzón</t>
        </is>
      </c>
      <c r="P367" s="52" t="inlineStr">
        <is>
          <t>milton.garzon@lasamericas.com.co</t>
        </is>
      </c>
    </row>
    <row r="368">
      <c r="B368" s="170" t="n">
        <v>356</v>
      </c>
      <c r="C368" s="199" t="inlineStr">
        <is>
          <t>COTIZACION DE LOS DISEÑOS DE PROTECCIÓN CONTRA INCENDIOS PARA EL PROYECTO DISTRI PLAZA ETAPA 1</t>
        </is>
      </c>
      <c r="D368" s="312" t="n"/>
      <c r="E368" s="312" t="n"/>
      <c r="F368" s="312" t="n"/>
      <c r="G368" s="312" t="n"/>
      <c r="H368" s="312" t="n"/>
      <c r="I368" s="313" t="n"/>
      <c r="J368" s="199" t="inlineStr">
        <is>
          <t>BIENES Y BIENES</t>
        </is>
      </c>
      <c r="K368" s="314" t="n">
        <v>23850000</v>
      </c>
      <c r="L368" s="2" t="n">
        <v>44796</v>
      </c>
      <c r="M368" s="170" t="n"/>
      <c r="N368" s="170" t="n">
        <v>3217324763</v>
      </c>
      <c r="O368" s="172" t="inlineStr">
        <is>
          <t>Angela Daniela Toro Ceron</t>
        </is>
      </c>
      <c r="P368" s="52" t="inlineStr">
        <is>
          <t>angela.toro@bienesybienes.com.co</t>
        </is>
      </c>
    </row>
    <row r="369">
      <c r="B369" s="170" t="n">
        <v>357</v>
      </c>
      <c r="C369" s="199" t="inlineStr">
        <is>
          <t>COTIZACION DEL ANÁLISIS DE SEGURIDAD HUMANA - ED ENSAMBLE HA BICICLETAS</t>
        </is>
      </c>
      <c r="D369" s="312" t="n"/>
      <c r="E369" s="312" t="n"/>
      <c r="F369" s="312" t="n"/>
      <c r="G369" s="312" t="n"/>
      <c r="H369" s="312" t="n"/>
      <c r="I369" s="313" t="n"/>
      <c r="J369" s="199" t="inlineStr">
        <is>
          <t>CONCONCRETO</t>
        </is>
      </c>
      <c r="K369" s="314" t="n">
        <v>1950000</v>
      </c>
      <c r="L369" s="2" t="inlineStr">
        <is>
          <t>24/08/2022</t>
        </is>
      </c>
      <c r="M369" s="170" t="inlineStr">
        <is>
          <t>X</t>
        </is>
      </c>
      <c r="N369" s="170" t="inlineStr">
        <is>
          <t>300 3404902</t>
        </is>
      </c>
      <c r="O369" s="172" t="inlineStr">
        <is>
          <t>Pilar Arango</t>
        </is>
      </c>
      <c r="P369" s="52" t="inlineStr">
        <is>
          <t>parangor@conconcreto.com</t>
        </is>
      </c>
    </row>
    <row r="370">
      <c r="B370" s="170" t="n">
        <v>358</v>
      </c>
      <c r="C370" s="199" t="inlineStr">
        <is>
          <t>COTIZACION DE LOS DISEÑOS DE SEGURIDAD HUMANA Y PROTECCIÓN CONTRA INCENDIOS - PROYECTO CLINICA LAS VEGAS</t>
        </is>
      </c>
      <c r="D370" s="312" t="n"/>
      <c r="E370" s="312" t="n"/>
      <c r="F370" s="312" t="n"/>
      <c r="G370" s="312" t="n"/>
      <c r="H370" s="312" t="n"/>
      <c r="I370" s="313" t="n"/>
      <c r="J370" s="199" t="inlineStr">
        <is>
          <t>JOMARK</t>
        </is>
      </c>
      <c r="K370" s="314" t="n">
        <v>52650000</v>
      </c>
      <c r="L370" s="2" t="inlineStr">
        <is>
          <t>25/08/2022</t>
        </is>
      </c>
      <c r="M370" s="2" t="n"/>
      <c r="N370" s="170" t="n">
        <v>3147943785</v>
      </c>
      <c r="O370" s="172" t="inlineStr">
        <is>
          <t>Laura Duque Betancur</t>
        </is>
      </c>
      <c r="P370" s="52" t="inlineStr">
        <is>
          <t>proyectos2@jomarkseguridad.com</t>
        </is>
      </c>
    </row>
    <row r="371">
      <c r="B371" s="170" t="n">
        <v>359</v>
      </c>
      <c r="C371" s="199" t="inlineStr">
        <is>
          <t>COTIZACION DEL DISEÑO DE DETECCIÓN DE INCENDIOS PARA EL PROYECTO LOCAL TISSOT CENTRO COMERCIAL VIVA</t>
        </is>
      </c>
      <c r="D371" s="312" t="n"/>
      <c r="E371" s="312" t="n"/>
      <c r="F371" s="312" t="n"/>
      <c r="G371" s="312" t="n"/>
      <c r="H371" s="312" t="n"/>
      <c r="I371" s="313" t="n"/>
      <c r="J371" s="199" t="inlineStr">
        <is>
          <t>SPCI</t>
        </is>
      </c>
      <c r="K371" s="314" t="n">
        <v>670000</v>
      </c>
      <c r="L371" s="2" t="n">
        <v>44799</v>
      </c>
      <c r="M371" s="170" t="n"/>
      <c r="N371" s="172" t="n">
        <v>3104165783</v>
      </c>
      <c r="O371" s="170" t="inlineStr">
        <is>
          <t>Cristiam Gustavo Mondragón Cortés</t>
        </is>
      </c>
      <c r="P371" s="52" t="inlineStr">
        <is>
          <t>cristiam.mondragon@spci.com.co</t>
        </is>
      </c>
    </row>
    <row r="372">
      <c r="B372" s="170" t="n">
        <v>360</v>
      </c>
      <c r="C372" s="199" t="inlineStr">
        <is>
          <t>COTIZACION DEL DISEÑO DE DETECCIÓN DE INCENDIOS - NUTRESA SEDE REGIONAL CN</t>
        </is>
      </c>
      <c r="D372" s="312" t="n"/>
      <c r="E372" s="312" t="n"/>
      <c r="F372" s="312" t="n"/>
      <c r="G372" s="312" t="n"/>
      <c r="H372" s="312" t="n"/>
      <c r="I372" s="313" t="n"/>
      <c r="J372" s="199" t="inlineStr">
        <is>
          <t>SEDIC</t>
        </is>
      </c>
      <c r="K372" s="314" t="n">
        <v>6990000</v>
      </c>
      <c r="L372" s="2" t="n">
        <v>44799</v>
      </c>
      <c r="M372" s="170" t="n"/>
      <c r="N372" s="170" t="n">
        <v>3043388706</v>
      </c>
      <c r="O372" s="172" t="inlineStr">
        <is>
          <t>Eduar Alexander Taborda Valencia</t>
        </is>
      </c>
      <c r="P372" s="52" t="inlineStr">
        <is>
          <t>eataborda.sedic@serviciosnutresa.com</t>
        </is>
      </c>
    </row>
    <row r="373">
      <c r="B373" s="170" t="n">
        <v>361</v>
      </c>
      <c r="C373" s="199" t="inlineStr">
        <is>
          <t>COTIZACION DEL DISEÑO DE OPORTES SISMORRESISTENTE NUTRESA SEDE REGIONAL CN</t>
        </is>
      </c>
      <c r="D373" s="312" t="n"/>
      <c r="E373" s="312" t="n"/>
      <c r="F373" s="312" t="n"/>
      <c r="G373" s="312" t="n"/>
      <c r="H373" s="312" t="n"/>
      <c r="I373" s="313" t="n"/>
      <c r="J373" s="199" t="inlineStr">
        <is>
          <t>SEDIC</t>
        </is>
      </c>
      <c r="K373" s="314" t="n">
        <v>1990000</v>
      </c>
      <c r="L373" s="2" t="n">
        <v>44799</v>
      </c>
      <c r="M373" s="170" t="n"/>
      <c r="N373" s="170" t="n">
        <v>3043388707</v>
      </c>
      <c r="O373" s="172" t="inlineStr">
        <is>
          <t>Eduar Alexander Taborda Valencia</t>
        </is>
      </c>
      <c r="P373" s="52" t="inlineStr">
        <is>
          <t>eataborda.sedic@serviciosnutresa.com</t>
        </is>
      </c>
    </row>
    <row r="374">
      <c r="B374" s="170" t="n">
        <v>362</v>
      </c>
      <c r="C374" s="246" t="inlineStr">
        <is>
          <t>COTIZACION DE LOS DISEÑOS DE PROTECCIÓN CONTRA INCENDIOS PARA EL PROYECTO SEDE COMFENALCO EN TURBO</t>
        </is>
      </c>
      <c r="D374" s="312" t="n"/>
      <c r="E374" s="312" t="n"/>
      <c r="F374" s="312" t="n"/>
      <c r="G374" s="312" t="n"/>
      <c r="H374" s="312" t="n"/>
      <c r="I374" s="313" t="n"/>
      <c r="J374" s="199" t="inlineStr">
        <is>
          <t>SPCI</t>
        </is>
      </c>
      <c r="K374" s="314" t="n">
        <v>8970000</v>
      </c>
      <c r="L374" s="2" t="n">
        <v>44799</v>
      </c>
      <c r="M374" s="170" t="n"/>
      <c r="N374" s="172" t="n">
        <v>3104165783</v>
      </c>
      <c r="O374" s="170" t="inlineStr">
        <is>
          <t>Cristiam Gustavo Mondragón Cortés</t>
        </is>
      </c>
      <c r="P374" s="52" t="inlineStr">
        <is>
          <t>cristiam.mondragon@spci.com.co</t>
        </is>
      </c>
    </row>
    <row r="375">
      <c r="B375" s="170" t="n">
        <v>363</v>
      </c>
      <c r="C375" s="246" t="inlineStr">
        <is>
          <t>COTIZACION DEL DISEÑO DE DETECCIÓN DE INCENDIOS PARA EL PROYECTO EDIFICIO CAMACOL PISO 8</t>
        </is>
      </c>
      <c r="D375" s="312" t="n"/>
      <c r="E375" s="312" t="n"/>
      <c r="F375" s="312" t="n"/>
      <c r="G375" s="312" t="n"/>
      <c r="H375" s="312" t="n"/>
      <c r="I375" s="313" t="n"/>
      <c r="J375" s="199" t="inlineStr">
        <is>
          <t>SOCOMES</t>
        </is>
      </c>
      <c r="K375" s="314" t="n">
        <v>1250000</v>
      </c>
      <c r="L375" s="2" t="inlineStr">
        <is>
          <t>29/08/202</t>
        </is>
      </c>
      <c r="M375" s="170" t="n"/>
      <c r="N375" s="170" t="n">
        <v>3137851941</v>
      </c>
      <c r="O375" s="172" t="inlineStr">
        <is>
          <t>David Lopera Medina</t>
        </is>
      </c>
      <c r="P375" s="52" t="inlineStr">
        <is>
          <t>david.lopera@socomes.com</t>
        </is>
      </c>
    </row>
    <row r="376">
      <c r="B376" s="170" t="n">
        <v>364</v>
      </c>
      <c r="C376" s="199" t="inlineStr">
        <is>
          <t>COTIZACION DEL ANÁLISIS DE SEGURIDAD HUMANA PARA EL PROYECTO RESIDENCIAL RUA19</t>
        </is>
      </c>
      <c r="D376" s="312" t="n"/>
      <c r="E376" s="312" t="n"/>
      <c r="F376" s="312" t="n"/>
      <c r="G376" s="312" t="n"/>
      <c r="H376" s="312" t="n"/>
      <c r="I376" s="313" t="n"/>
      <c r="J376" s="199" t="inlineStr">
        <is>
          <t>CONCONCRETO</t>
        </is>
      </c>
      <c r="K376" s="314" t="n">
        <v>3550000</v>
      </c>
      <c r="L376" s="2" t="n">
        <v>44802</v>
      </c>
      <c r="M376" s="170" t="inlineStr">
        <is>
          <t>X</t>
        </is>
      </c>
      <c r="N376" s="170" t="n"/>
      <c r="O376" s="172" t="inlineStr">
        <is>
          <t>Ana Maria Torres</t>
        </is>
      </c>
      <c r="P376" s="52" t="n"/>
    </row>
    <row r="377">
      <c r="B377" s="170" t="n">
        <v>365</v>
      </c>
      <c r="C377" s="199" t="inlineStr">
        <is>
          <t>COTIZACION DE LOS DISEÑOS DE PROTECCIÓN CONTRA INCENDIOS PARA EL PROYECTO LOCAL COMEX</t>
        </is>
      </c>
      <c r="D377" s="312" t="n"/>
      <c r="E377" s="312" t="n"/>
      <c r="F377" s="312" t="n"/>
      <c r="G377" s="312" t="n"/>
      <c r="H377" s="312" t="n"/>
      <c r="I377" s="313" t="n"/>
      <c r="J377" s="199" t="inlineStr">
        <is>
          <t>Juan David Ossa</t>
        </is>
      </c>
      <c r="K377" s="314" t="n">
        <v>3900000</v>
      </c>
      <c r="L377" s="2" t="n">
        <v>44802</v>
      </c>
      <c r="M377" s="170" t="n"/>
      <c r="N377" s="170" t="n"/>
      <c r="O377" s="172" t="inlineStr">
        <is>
          <t>Juan Daid Ossa</t>
        </is>
      </c>
      <c r="P377" s="52" t="inlineStr">
        <is>
          <t>truanda@hotmail.com</t>
        </is>
      </c>
    </row>
    <row r="378">
      <c r="B378" s="170" t="n">
        <v>366</v>
      </c>
      <c r="C378" s="246" t="inlineStr">
        <is>
          <t>COTIZACION DE LOS DISEÑOS DE PROTECCIÓN CONTRA INCENDIOS PARA EL PROYECTO LATINA STEREO</t>
        </is>
      </c>
      <c r="D378" s="312" t="n"/>
      <c r="E378" s="312" t="n"/>
      <c r="F378" s="312" t="n"/>
      <c r="G378" s="312" t="n"/>
      <c r="H378" s="312" t="n"/>
      <c r="I378" s="313" t="n"/>
      <c r="J378" s="199" t="inlineStr">
        <is>
          <t>Jomark</t>
        </is>
      </c>
      <c r="K378" s="314" t="n">
        <v>4950000</v>
      </c>
      <c r="L378" s="2" t="n">
        <v>44802</v>
      </c>
      <c r="M378" s="170" t="n"/>
      <c r="N378" s="170" t="n"/>
      <c r="O378" s="172" t="inlineStr">
        <is>
          <t>Laura Duque Betancur</t>
        </is>
      </c>
      <c r="P378" s="52" t="inlineStr">
        <is>
          <t>proyectos2@jomarkseguridad.com</t>
        </is>
      </c>
    </row>
    <row r="379">
      <c r="B379" s="170" t="n">
        <v>367</v>
      </c>
      <c r="C379" s="199" t="inlineStr">
        <is>
          <t>COTIZACION DE LOS DISEÑOS DE PROTECCIÓN CONTRA INCENDIOS Y SEGURIDAD HUMANA PARA EL PROYECTO DEMODA -CODING SCHOOL</t>
        </is>
      </c>
      <c r="D379" s="312" t="n"/>
      <c r="E379" s="312" t="n"/>
      <c r="F379" s="312" t="n"/>
      <c r="G379" s="312" t="n"/>
      <c r="H379" s="312" t="n"/>
      <c r="I379" s="313" t="n"/>
      <c r="J379" s="199" t="inlineStr">
        <is>
          <t>IA&amp;C</t>
        </is>
      </c>
      <c r="K379" s="314" t="n">
        <v>12950000</v>
      </c>
      <c r="L379" s="2" t="n">
        <v>44803</v>
      </c>
      <c r="M379" s="170" t="n"/>
      <c r="N379" s="170" t="inlineStr">
        <is>
          <t>312 653 62 46</t>
        </is>
      </c>
      <c r="O379" s="172" t="inlineStr">
        <is>
          <t>JORGE ANDRES ROJAS C.</t>
        </is>
      </c>
      <c r="P379" s="52" t="inlineStr">
        <is>
          <t>jorgerojas@iayc.co</t>
        </is>
      </c>
    </row>
    <row r="380">
      <c r="B380" s="170" t="n">
        <v>368</v>
      </c>
      <c r="C380" s="199" t="inlineStr">
        <is>
          <t>COTIZACION DE LOS DISEÑOS DE PROTECCIÓN CONTRA INCENDIOS PARA EL PROYECTO LOCAL 131 RESTAURANTE TITPICO ANTOJO VIVA LAURELES</t>
        </is>
      </c>
      <c r="D380" s="312" t="n"/>
      <c r="E380" s="312" t="n"/>
      <c r="F380" s="312" t="n"/>
      <c r="G380" s="312" t="n"/>
      <c r="H380" s="312" t="n"/>
      <c r="I380" s="313" t="n"/>
      <c r="J380" s="199" t="inlineStr">
        <is>
          <t>SPCI</t>
        </is>
      </c>
      <c r="K380" s="314" t="n">
        <v>1690000</v>
      </c>
      <c r="L380" s="2" t="n">
        <v>44803</v>
      </c>
      <c r="M380" s="170" t="n"/>
      <c r="N380" s="170" t="n">
        <v>3207253060</v>
      </c>
      <c r="O380" s="172" t="inlineStr">
        <is>
          <t>Hernan Ortiz</t>
        </is>
      </c>
      <c r="P380" s="52" t="inlineStr">
        <is>
          <t>ccvivas@spci.com.co</t>
        </is>
      </c>
    </row>
    <row r="381">
      <c r="B381" s="170" t="n">
        <v>369</v>
      </c>
      <c r="C381" s="199" t="inlineStr">
        <is>
          <t>COTIZACION DEL DISEÑO DE EXTINCIÓN DE INCENDIOS PARA EL PROYECTO LA VIDA ES BELLA ETAPA 1</t>
        </is>
      </c>
      <c r="D381" s="312" t="n"/>
      <c r="E381" s="312" t="n"/>
      <c r="F381" s="312" t="n"/>
      <c r="G381" s="312" t="n"/>
      <c r="H381" s="312" t="n"/>
      <c r="I381" s="313" t="n"/>
      <c r="J381" s="199" t="inlineStr">
        <is>
          <t>SOLUCIONES CIVILES</t>
        </is>
      </c>
      <c r="K381" s="314" t="n">
        <v>17990000</v>
      </c>
      <c r="L381" s="2" t="n">
        <v>44805</v>
      </c>
      <c r="M381" s="170" t="inlineStr">
        <is>
          <t>X</t>
        </is>
      </c>
      <c r="N381" s="170" t="n"/>
      <c r="O381" s="172" t="n"/>
      <c r="P381" s="52" t="n"/>
    </row>
    <row r="382">
      <c r="B382" s="170" t="n">
        <v>370</v>
      </c>
      <c r="C382" s="199" t="inlineStr">
        <is>
          <t>COTIZACION DEL ANÁLISIS DE SEGURIDAD HUMANA PARA EL PROYECTO I.E EL SALADO</t>
        </is>
      </c>
      <c r="D382" s="312" t="n"/>
      <c r="E382" s="312" t="n"/>
      <c r="F382" s="312" t="n"/>
      <c r="G382" s="312" t="n"/>
      <c r="H382" s="312" t="n"/>
      <c r="I382" s="313" t="n"/>
      <c r="J382" s="199" t="inlineStr">
        <is>
          <t xml:space="preserve">GINO </t>
        </is>
      </c>
      <c r="K382" s="314" t="n">
        <v>5960000</v>
      </c>
      <c r="L382" s="2" t="n">
        <v>44805</v>
      </c>
      <c r="M382" s="170" t="n"/>
      <c r="N382" s="170" t="n"/>
      <c r="O382" s="172" t="inlineStr">
        <is>
          <t>Gino Alejandro Montoya Mazo</t>
        </is>
      </c>
      <c r="P382" s="52" t="inlineStr">
        <is>
          <t>gino1037@hotmail.com</t>
        </is>
      </c>
    </row>
    <row r="383">
      <c r="B383" s="170" t="n">
        <v>371</v>
      </c>
      <c r="C383" s="199" t="inlineStr">
        <is>
          <t>COTIZACION DE LOS DISEÑOS DE PROTECCIÓN CONTRA INCENDIOS PARA EL PROYECTO BILANCO MAYORCA</t>
        </is>
      </c>
      <c r="D383" s="312" t="n"/>
      <c r="E383" s="312" t="n"/>
      <c r="F383" s="312" t="n"/>
      <c r="G383" s="312" t="n"/>
      <c r="H383" s="312" t="n"/>
      <c r="I383" s="313" t="n"/>
      <c r="J383" s="199" t="inlineStr">
        <is>
          <t xml:space="preserve">GINO </t>
        </is>
      </c>
      <c r="K383" s="314" t="n">
        <v>20990000</v>
      </c>
      <c r="L383" s="2" t="n">
        <v>44805</v>
      </c>
      <c r="M383" s="170" t="inlineStr">
        <is>
          <t>X</t>
        </is>
      </c>
      <c r="N383" s="170" t="n"/>
      <c r="O383" s="172" t="inlineStr">
        <is>
          <t>Gino Alejandro Montoya Mazo</t>
        </is>
      </c>
      <c r="P383" s="52" t="inlineStr">
        <is>
          <t>gino1037@hotmail.com</t>
        </is>
      </c>
    </row>
    <row r="384">
      <c r="B384" s="170" t="n">
        <v>372</v>
      </c>
      <c r="C384" s="199" t="inlineStr">
        <is>
          <t>COTIZACION DE LOS DISEÑOS DE SEGURIDAD HUMANA Y PROTECCIÓN CONTRA INCENDIOS - ALTO NATURA</t>
        </is>
      </c>
      <c r="D384" s="312" t="n"/>
      <c r="E384" s="312" t="n"/>
      <c r="F384" s="312" t="n"/>
      <c r="G384" s="312" t="n"/>
      <c r="H384" s="312" t="n"/>
      <c r="I384" s="313" t="n"/>
      <c r="J384" s="199" t="inlineStr">
        <is>
          <t>Arquitectura y Concreto</t>
        </is>
      </c>
      <c r="K384" s="314" t="n">
        <v>25950000</v>
      </c>
      <c r="L384" s="2" t="n">
        <v>44690</v>
      </c>
      <c r="M384" s="170" t="inlineStr">
        <is>
          <t>X</t>
        </is>
      </c>
      <c r="N384" s="170" t="inlineStr">
        <is>
          <t>312 7218621</t>
        </is>
      </c>
      <c r="O384" s="172" t="inlineStr">
        <is>
          <t>Robinson Marulanda</t>
        </is>
      </c>
      <c r="P384" s="52" t="inlineStr">
        <is>
          <t>obinsonmarulanda@arquitecturayconcreto.com</t>
        </is>
      </c>
    </row>
    <row r="385">
      <c r="B385" s="170" t="n">
        <v>373</v>
      </c>
      <c r="C385" s="199" t="inlineStr">
        <is>
          <t>COTIZACION DE LOS DISEÑOS DE SEGURIDAD HUMANA Y PROTECCIÓN CONTRA INCENDIOS - ALTO NATURA</t>
        </is>
      </c>
      <c r="D385" s="312" t="n"/>
      <c r="E385" s="312" t="n"/>
      <c r="F385" s="312" t="n"/>
      <c r="G385" s="312" t="n"/>
      <c r="H385" s="312" t="n"/>
      <c r="I385" s="313" t="n"/>
      <c r="J385" s="199" t="inlineStr">
        <is>
          <t>Arquitectura y Concreto</t>
        </is>
      </c>
      <c r="K385" s="314" t="n">
        <v>25950000</v>
      </c>
      <c r="L385" s="2" t="n">
        <v>44809</v>
      </c>
      <c r="M385" s="170" t="n"/>
      <c r="N385" s="170" t="inlineStr">
        <is>
          <t>312 7218621</t>
        </is>
      </c>
      <c r="O385" s="172" t="inlineStr">
        <is>
          <t>Robinson Marulanda</t>
        </is>
      </c>
      <c r="P385" s="52" t="inlineStr">
        <is>
          <t>obinsonmarulanda@arquitecturayconcreto.com</t>
        </is>
      </c>
    </row>
    <row r="386">
      <c r="B386" s="170" t="n">
        <v>374</v>
      </c>
      <c r="C386" s="199" t="inlineStr">
        <is>
          <t>COTIZACION DEL DISEÑO DE DETECCIÓN DE INCENDIOS PARA EL PROYECTO EDIFICIO URBIT</t>
        </is>
      </c>
      <c r="D386" s="312" t="n"/>
      <c r="E386" s="312" t="n"/>
      <c r="F386" s="312" t="n"/>
      <c r="G386" s="312" t="n"/>
      <c r="H386" s="312" t="n"/>
      <c r="I386" s="313" t="n"/>
      <c r="J386" s="199" t="inlineStr">
        <is>
          <t>ELEVEN</t>
        </is>
      </c>
      <c r="K386" s="314" t="inlineStr">
        <is>
          <t>No se cotizó</t>
        </is>
      </c>
      <c r="L386" s="2" t="n">
        <v>44809</v>
      </c>
      <c r="M386" s="170" t="n"/>
      <c r="N386" s="170" t="n">
        <v>3105178936</v>
      </c>
      <c r="O386" s="172" t="inlineStr">
        <is>
          <t>Gonzalo Rendon Gavira</t>
        </is>
      </c>
      <c r="P386" s="52" t="inlineStr">
        <is>
          <t>eleven.obras@gmail.com</t>
        </is>
      </c>
    </row>
    <row r="387">
      <c r="B387" s="170" t="n">
        <v>375</v>
      </c>
      <c r="C387" s="199" t="inlineStr">
        <is>
          <t>COTIZACION DE LOS DISEÑOS DE PROTECCIÓN CONTRA INCENDIOS Y SEGURIDAD HUMANA PARA EL PROYECTO LA VEGA COPACABANA</t>
        </is>
      </c>
      <c r="D387" s="312" t="n"/>
      <c r="E387" s="312" t="n"/>
      <c r="F387" s="312" t="n"/>
      <c r="G387" s="312" t="n"/>
      <c r="H387" s="312" t="n"/>
      <c r="I387" s="313" t="n"/>
      <c r="J387" s="199" t="inlineStr">
        <is>
          <t>COMEX INTERNACIONAL SAS</t>
        </is>
      </c>
      <c r="K387" s="314" t="n">
        <v>27550000</v>
      </c>
      <c r="L387" s="2" t="n">
        <v>44809</v>
      </c>
      <c r="M387" s="170" t="n"/>
      <c r="N387" s="170" t="inlineStr">
        <is>
          <t>316 496 20 26</t>
        </is>
      </c>
      <c r="O387" s="172" t="inlineStr">
        <is>
          <t>Juan David Ossa Salazar</t>
        </is>
      </c>
      <c r="P387" s="52" t="inlineStr">
        <is>
          <t>omercial@comexinternacional.com.co</t>
        </is>
      </c>
    </row>
    <row r="388">
      <c r="B388" s="170" t="n">
        <v>376</v>
      </c>
      <c r="C388" s="233" t="inlineStr">
        <is>
          <t>COTIZACION DE LOS DISEÑOS DE PROTECCIÓN CONTRA INCENDIOS PARA EL PROYECTO LOCAL 9801</t>
        </is>
      </c>
      <c r="D388" s="312" t="n"/>
      <c r="E388" s="312" t="n"/>
      <c r="F388" s="312" t="n"/>
      <c r="G388" s="312" t="n"/>
      <c r="H388" s="312" t="n"/>
      <c r="I388" s="313" t="n"/>
      <c r="J388" s="199" t="inlineStr">
        <is>
          <t>G4 Proyectos Inmobiliarios</t>
        </is>
      </c>
      <c r="K388" s="314" t="n">
        <v>1880000</v>
      </c>
      <c r="L388" s="2" t="n">
        <v>44809</v>
      </c>
      <c r="M388" s="170" t="n"/>
      <c r="N388" s="170" t="n"/>
      <c r="O388" s="172" t="inlineStr">
        <is>
          <t>Adriana Molina</t>
        </is>
      </c>
      <c r="P388" s="52" t="n"/>
    </row>
    <row r="389">
      <c r="B389" s="170" t="n">
        <v>377</v>
      </c>
      <c r="C389" s="247" t="inlineStr">
        <is>
          <t>COTIZACION DE LOS DISEÑOS DE PROTECCIÓN CONTRA INCENDIOS PARA EL PROYECTO LOCAL VIVA SINCELEJO JOYROOM</t>
        </is>
      </c>
      <c r="D389" s="312" t="n"/>
      <c r="E389" s="312" t="n"/>
      <c r="F389" s="312" t="n"/>
      <c r="G389" s="312" t="n"/>
      <c r="H389" s="312" t="n"/>
      <c r="I389" s="313" t="n"/>
      <c r="J389" s="199" t="inlineStr">
        <is>
          <t>SPCI</t>
        </is>
      </c>
      <c r="K389" s="314" t="n">
        <v>1880000</v>
      </c>
      <c r="L389" s="2" t="n">
        <v>44810</v>
      </c>
      <c r="M389" s="2" t="n"/>
      <c r="N389" s="170" t="n">
        <v>3137546144</v>
      </c>
      <c r="O389" s="172" t="inlineStr">
        <is>
          <t>Juan Camilo Quintero Bedoya</t>
        </is>
      </c>
      <c r="P389" s="52" t="inlineStr">
        <is>
          <t>camilo.quintero@spci.com.co</t>
        </is>
      </c>
    </row>
    <row r="390">
      <c r="B390" s="170" t="n">
        <v>378</v>
      </c>
      <c r="C390" s="199" t="inlineStr">
        <is>
          <t>COTIZACION DE REVISIÓN DE LOS DISEÑOS DE EXTINCIÓN DE INCENDIOS - PROYECTO PLEXA</t>
        </is>
      </c>
      <c r="D390" s="312" t="n"/>
      <c r="E390" s="312" t="n"/>
      <c r="F390" s="312" t="n"/>
      <c r="G390" s="312" t="n"/>
      <c r="H390" s="312" t="n"/>
      <c r="I390" s="313" t="n"/>
      <c r="J390" s="199" t="inlineStr">
        <is>
          <t>SPCI</t>
        </is>
      </c>
      <c r="K390" s="314" t="n">
        <v>1750000</v>
      </c>
      <c r="L390" s="2" t="n">
        <v>44810</v>
      </c>
      <c r="M390" s="2" t="inlineStr">
        <is>
          <t>X</t>
        </is>
      </c>
      <c r="N390" s="172" t="n">
        <v>3104165783</v>
      </c>
      <c r="O390" s="170" t="inlineStr">
        <is>
          <t>Cristiam Gustavo Mondragón Cortés</t>
        </is>
      </c>
      <c r="P390" s="52" t="inlineStr">
        <is>
          <t>cristiam.mondragon@spci.com.co</t>
        </is>
      </c>
    </row>
    <row r="391">
      <c r="B391" s="170" t="n">
        <v>379</v>
      </c>
      <c r="C391" s="199" t="inlineStr">
        <is>
          <t>COTIZACION DEL DISEÑO DEL CUARTO DE BOMBAS Y RED GENRAL DE EXTINCIÓN DE INCENDIOS - VIVA FONTIBÓN</t>
        </is>
      </c>
      <c r="D391" s="312" t="n"/>
      <c r="E391" s="312" t="n"/>
      <c r="F391" s="312" t="n"/>
      <c r="G391" s="312" t="n"/>
      <c r="H391" s="312" t="n"/>
      <c r="I391" s="313" t="n"/>
      <c r="J391" s="199" t="inlineStr">
        <is>
          <t>SPCI</t>
        </is>
      </c>
      <c r="K391" s="314" t="n">
        <v>6400000</v>
      </c>
      <c r="L391" s="2" t="n">
        <v>44810</v>
      </c>
      <c r="M391" s="170" t="n"/>
      <c r="N391" s="170" t="n">
        <v>3137546144</v>
      </c>
      <c r="O391" s="172" t="inlineStr">
        <is>
          <t>Juan Camilo Quintero Bedoya</t>
        </is>
      </c>
      <c r="P391" s="52" t="inlineStr">
        <is>
          <t>camilo.quintero@spci.com.co</t>
        </is>
      </c>
    </row>
    <row r="392">
      <c r="B392" s="170" t="n">
        <v>380</v>
      </c>
      <c r="C392" s="199" t="inlineStr">
        <is>
          <t>COTIZACION DEL DISEÑO DE EXTINCIÓN DE INCENDIOS PARA EL PROYECTO AUTOSPRINK LOCALES CC VIVA ENVIGADO</t>
        </is>
      </c>
      <c r="D392" s="312" t="n"/>
      <c r="E392" s="312" t="n"/>
      <c r="F392" s="312" t="n"/>
      <c r="G392" s="312" t="n"/>
      <c r="H392" s="312" t="n"/>
      <c r="I392" s="313" t="n"/>
      <c r="J392" s="199" t="inlineStr">
        <is>
          <t>SPCI</t>
        </is>
      </c>
      <c r="K392" s="314" t="n">
        <v>1600000</v>
      </c>
      <c r="L392" s="2" t="n">
        <v>44812</v>
      </c>
      <c r="M392" s="170" t="inlineStr">
        <is>
          <t>X</t>
        </is>
      </c>
      <c r="N392" s="170" t="n">
        <v>3229057649</v>
      </c>
      <c r="O392" s="172" t="inlineStr">
        <is>
          <t>Santiago Cardona Zapata</t>
        </is>
      </c>
      <c r="P392" s="52" t="inlineStr">
        <is>
          <t>santiago.cardona@spci.com.co</t>
        </is>
      </c>
    </row>
    <row r="393">
      <c r="B393" s="170" t="n">
        <v>381</v>
      </c>
      <c r="C393" s="199" t="inlineStr">
        <is>
          <t>COTIZACION DE LOS DISEÑOS DE PROTECCIÓN CONTRA INCENDIOS Y SEGURIDAD HUMANA PARA EL PROYECTO SUEÑOS DE VIDA</t>
        </is>
      </c>
      <c r="D393" s="312" t="n"/>
      <c r="E393" s="312" t="n"/>
      <c r="F393" s="312" t="n"/>
      <c r="G393" s="312" t="n"/>
      <c r="H393" s="312" t="n"/>
      <c r="I393" s="313" t="n"/>
      <c r="J393" s="199" t="inlineStr">
        <is>
          <t>Constructora Zinerco</t>
        </is>
      </c>
      <c r="K393" s="314" t="inlineStr">
        <is>
          <t>No se cotizó</t>
        </is>
      </c>
      <c r="L393" s="2" t="n">
        <v>44812</v>
      </c>
      <c r="M393" s="170" t="n"/>
      <c r="N393" s="170" t="inlineStr">
        <is>
          <t>444 27 77 | 316 5234137</t>
        </is>
      </c>
      <c r="O393" s="172" t="inlineStr">
        <is>
          <t>Guillermo Galeano Restrepo</t>
        </is>
      </c>
      <c r="P393" s="52" t="inlineStr">
        <is>
          <t>dir.vispenol@gmail.com</t>
        </is>
      </c>
    </row>
    <row r="394">
      <c r="B394" s="170" t="n">
        <v>382</v>
      </c>
      <c r="C394" s="199" t="inlineStr">
        <is>
          <t>COTIZACION DEL DISEÑO DE DETECCIÓN DE INCENDIOS PARA EL PROYECTO CIGARRERIA LA ROSA</t>
        </is>
      </c>
      <c r="D394" s="312" t="n"/>
      <c r="E394" s="312" t="n"/>
      <c r="F394" s="312" t="n"/>
      <c r="G394" s="312" t="n"/>
      <c r="H394" s="312" t="n"/>
      <c r="I394" s="313" t="n"/>
      <c r="J394" s="199" t="inlineStr">
        <is>
          <t>SURA</t>
        </is>
      </c>
      <c r="K394" s="314" t="n">
        <v>2550000</v>
      </c>
      <c r="L394" s="2" t="n">
        <v>44812</v>
      </c>
      <c r="M394" s="170" t="n"/>
      <c r="N394" s="170" t="n"/>
      <c r="O394" s="172" t="inlineStr">
        <is>
          <t>Cindy Lorena Robayo Benitez</t>
        </is>
      </c>
      <c r="P394" s="52" t="inlineStr">
        <is>
          <t>clrobayo@sura.com.co</t>
        </is>
      </c>
    </row>
    <row r="395">
      <c r="B395" s="170" t="n">
        <v>383</v>
      </c>
      <c r="C395" s="199" t="inlineStr">
        <is>
          <t>COTIZACION DE LOS DISEÑOS DE PROTECCIÓN CONTRA INCENDIOS PARA EL PROYECTO ASTILLERO BIJAGUAL</t>
        </is>
      </c>
      <c r="D395" s="312" t="n"/>
      <c r="E395" s="312" t="n"/>
      <c r="F395" s="312" t="n"/>
      <c r="G395" s="312" t="n"/>
      <c r="H395" s="312" t="n"/>
      <c r="I395" s="313" t="n"/>
      <c r="J395" s="199" t="inlineStr">
        <is>
          <t>Mineros</t>
        </is>
      </c>
      <c r="K395" s="314" t="n">
        <v>15800000</v>
      </c>
      <c r="L395" s="2" t="n">
        <v>44812</v>
      </c>
      <c r="M395" s="170" t="n"/>
      <c r="N395" s="334" t="inlineStr">
        <is>
          <t>266 57 57 EXT 4197</t>
        </is>
      </c>
      <c r="O395" s="172" t="inlineStr">
        <is>
          <t>Daniel Felipe Melguizo Montoya</t>
        </is>
      </c>
      <c r="P395" s="52" t="inlineStr">
        <is>
          <t>daniel.melguizo@mineros.com.co</t>
        </is>
      </c>
    </row>
    <row r="396" ht="15" customHeight="1">
      <c r="B396" s="170" t="n">
        <v>384</v>
      </c>
      <c r="C396" s="199" t="inlineStr">
        <is>
          <t>COTIZACION DE LOS DISEÑOS DE PROTECCIÓN CONTRA INCENDIOS PARA EL PROYECTO INCODOL TORRE 5</t>
        </is>
      </c>
      <c r="D396" s="312" t="n"/>
      <c r="E396" s="312" t="n"/>
      <c r="F396" s="312" t="n"/>
      <c r="G396" s="312" t="n"/>
      <c r="H396" s="312" t="n"/>
      <c r="I396" s="313" t="n"/>
      <c r="J396" s="199" t="inlineStr">
        <is>
          <t>SOLUCIONES INMOBILIARIAS</t>
        </is>
      </c>
      <c r="K396" s="314" t="n">
        <v>15990000</v>
      </c>
      <c r="L396" s="2" t="n">
        <v>44812</v>
      </c>
      <c r="M396" s="170" t="n"/>
      <c r="N396" s="170" t="inlineStr">
        <is>
          <t>310 459 2285</t>
        </is>
      </c>
      <c r="O396" s="172" t="inlineStr">
        <is>
          <t>Santiago Duque Salazar</t>
        </is>
      </c>
      <c r="P396" s="52" t="inlineStr">
        <is>
          <t>santiagoduque@solucionesinmobiliariassas.com</t>
        </is>
      </c>
    </row>
    <row r="397">
      <c r="B397" s="170" t="n">
        <v>385</v>
      </c>
      <c r="C397" s="247" t="inlineStr">
        <is>
          <t>COTIZACION DE LOS DISEÑOS DE PROTECCIÓN CONTRA INCENDIOS Y SEGURIDAD HUMANA PARA EL ROYECTO BODEGA CAFÉ PERGAMINO</t>
        </is>
      </c>
      <c r="D397" s="312" t="n"/>
      <c r="E397" s="312" t="n"/>
      <c r="F397" s="312" t="n"/>
      <c r="G397" s="312" t="n"/>
      <c r="H397" s="312" t="n"/>
      <c r="I397" s="313" t="n"/>
      <c r="J397" s="199" t="inlineStr">
        <is>
          <t>SOLUCIONES INMOBILIARIAS</t>
        </is>
      </c>
      <c r="K397" s="314" t="n">
        <v>19940000</v>
      </c>
      <c r="L397" s="2" t="n">
        <v>44812</v>
      </c>
      <c r="M397" s="170" t="n"/>
      <c r="N397" s="170" t="inlineStr">
        <is>
          <t>310 459 2285</t>
        </is>
      </c>
      <c r="O397" s="172" t="inlineStr">
        <is>
          <t>Santiago Duque Salazar</t>
        </is>
      </c>
      <c r="P397" s="52" t="inlineStr">
        <is>
          <t>santiagoduque@solucionesinmobiliariassas.com</t>
        </is>
      </c>
    </row>
    <row r="398">
      <c r="B398" s="170" t="n">
        <v>386</v>
      </c>
      <c r="C398" s="199" t="inlineStr">
        <is>
          <t>COTIZACION DEL RE-DISEÑO DE SEGURIDAD HUMANA Y PROTECCIÓN CONTRA  INCENDIOS - LOCALIZA LAS VEGAS</t>
        </is>
      </c>
      <c r="D398" s="312" t="n"/>
      <c r="E398" s="312" t="n"/>
      <c r="F398" s="312" t="n"/>
      <c r="G398" s="312" t="n"/>
      <c r="H398" s="312" t="n"/>
      <c r="I398" s="313" t="n"/>
      <c r="J398" s="199" t="inlineStr">
        <is>
          <t>CONDISEÑO</t>
        </is>
      </c>
      <c r="K398" s="314" t="n">
        <v>1000000</v>
      </c>
      <c r="L398" s="2" t="n">
        <v>44812</v>
      </c>
      <c r="M398" s="170" t="inlineStr">
        <is>
          <t>X</t>
        </is>
      </c>
      <c r="N398" s="170" t="n">
        <v>3175594091</v>
      </c>
      <c r="O398" s="170" t="inlineStr">
        <is>
          <t>Nakary García Romero</t>
        </is>
      </c>
      <c r="P398" s="52" t="inlineStr">
        <is>
          <t>n.garcia@condiseno.co</t>
        </is>
      </c>
    </row>
    <row r="399">
      <c r="B399" s="170" t="n">
        <v>387</v>
      </c>
      <c r="C399" s="199" t="inlineStr">
        <is>
          <t>COTIZACION DEL DISEÑO DE EXTINCIÓN DE INCENDIOS - PLANTA TRUHER NUEVA</t>
        </is>
      </c>
      <c r="D399" s="312" t="n"/>
      <c r="E399" s="312" t="n"/>
      <c r="F399" s="312" t="n"/>
      <c r="G399" s="312" t="n"/>
      <c r="H399" s="312" t="n"/>
      <c r="I399" s="313" t="n"/>
      <c r="J399" s="199" t="inlineStr">
        <is>
          <t>GINO</t>
        </is>
      </c>
      <c r="K399" s="314" t="n">
        <v>9990000</v>
      </c>
      <c r="L399" s="2" t="n">
        <v>44813</v>
      </c>
      <c r="M399" s="170" t="n"/>
      <c r="N399" s="170" t="n"/>
      <c r="O399" s="172" t="inlineStr">
        <is>
          <t>Gino Alejandro Montoya Mazo</t>
        </is>
      </c>
      <c r="P399" s="52" t="inlineStr">
        <is>
          <t>gino1037@hotmail.com</t>
        </is>
      </c>
    </row>
    <row r="400">
      <c r="B400" s="170" t="n">
        <v>388</v>
      </c>
      <c r="C400" s="247" t="inlineStr">
        <is>
          <t>COTIZACION DE LOS DISEÑOS DE SEGURIDAD HUMANA Y PROTECCIÓN CONTRA INCENDIOS - THE CORNER</t>
        </is>
      </c>
      <c r="D400" s="312" t="n"/>
      <c r="E400" s="312" t="n"/>
      <c r="F400" s="312" t="n"/>
      <c r="G400" s="312" t="n"/>
      <c r="H400" s="312" t="n"/>
      <c r="I400" s="313" t="n"/>
      <c r="J400" s="199" t="inlineStr">
        <is>
          <t>MENSULA</t>
        </is>
      </c>
      <c r="K400" s="314" t="n">
        <v>14950000</v>
      </c>
      <c r="L400" s="2" t="n">
        <v>44813</v>
      </c>
      <c r="M400" s="170" t="n"/>
      <c r="N400" s="170" t="inlineStr">
        <is>
          <t>300 864 37 10</t>
        </is>
      </c>
      <c r="O400" s="172" t="inlineStr">
        <is>
          <t>Cristina Palacio Pérez</t>
        </is>
      </c>
      <c r="P400" s="52" t="inlineStr">
        <is>
          <t>cristinapalacio@mensulaingenieros.com</t>
        </is>
      </c>
    </row>
    <row r="401">
      <c r="B401" s="170" t="n">
        <v>389</v>
      </c>
      <c r="C401" s="199" t="inlineStr">
        <is>
          <t xml:space="preserve">COTIZACION DEL ANÁLISIS DE SEGURIDAD HUMANA PARA EL PROYECTO BLOQUE 14 IUE </t>
        </is>
      </c>
      <c r="D401" s="312" t="n"/>
      <c r="E401" s="312" t="n"/>
      <c r="F401" s="312" t="n"/>
      <c r="G401" s="312" t="n"/>
      <c r="H401" s="312" t="n"/>
      <c r="I401" s="313" t="n"/>
      <c r="J401" s="199" t="inlineStr">
        <is>
          <t>CONINTEC SAS</t>
        </is>
      </c>
      <c r="K401" s="314" t="n">
        <v>6950000</v>
      </c>
      <c r="L401" s="2" t="n">
        <v>44813</v>
      </c>
      <c r="M401" s="170" t="inlineStr">
        <is>
          <t>X</t>
        </is>
      </c>
      <c r="N401" s="170" t="n"/>
      <c r="O401" s="172" t="inlineStr">
        <is>
          <t>David Chavarriaga M.</t>
        </is>
      </c>
      <c r="P401" s="52" t="inlineStr">
        <is>
          <t>interventoriaiuebloque14@gmail.com</t>
        </is>
      </c>
    </row>
    <row r="402">
      <c r="B402" s="170" t="n">
        <v>390</v>
      </c>
      <c r="C402" s="199" t="inlineStr">
        <is>
          <t>COTIZACION DE LOS DISEÑOS DE SEGURIDAD HUMANA Y PROTECCIÓN CONTRA INCENDIOS - MULTIFAMILY B3</t>
        </is>
      </c>
      <c r="D402" s="312" t="n"/>
      <c r="E402" s="312" t="n"/>
      <c r="F402" s="312" t="n"/>
      <c r="G402" s="312" t="n"/>
      <c r="H402" s="312" t="n"/>
      <c r="I402" s="313" t="n"/>
      <c r="J402" s="199" t="inlineStr">
        <is>
          <t>SPCI</t>
        </is>
      </c>
      <c r="K402" s="314" t="n">
        <v>25490000</v>
      </c>
      <c r="L402" s="2" t="n">
        <v>44818</v>
      </c>
      <c r="M402" s="170" t="n"/>
      <c r="N402" s="172" t="n">
        <v>3104165783</v>
      </c>
      <c r="O402" s="170" t="inlineStr">
        <is>
          <t>Cristiam Gustavo Mondragón Cortés</t>
        </is>
      </c>
      <c r="P402" s="52" t="inlineStr">
        <is>
          <t>cristiam.mondragon@spci.com.co</t>
        </is>
      </c>
    </row>
    <row r="403">
      <c r="B403" s="170" t="n">
        <v>391</v>
      </c>
      <c r="C403" s="199" t="inlineStr">
        <is>
          <t>COTIZACION DE LOS DISEÑOS DE SEGURIDAD HUMANA Y PROTECCIÓN CONTRA INCENDIOS - MALL BASALTO LA ESTRELLA</t>
        </is>
      </c>
      <c r="D403" s="312" t="n"/>
      <c r="E403" s="312" t="n"/>
      <c r="F403" s="312" t="n"/>
      <c r="G403" s="312" t="n"/>
      <c r="H403" s="312" t="n"/>
      <c r="I403" s="313" t="n"/>
      <c r="J403" s="199" t="inlineStr">
        <is>
          <t>SPCI</t>
        </is>
      </c>
      <c r="K403" s="314" t="n">
        <v>14380000</v>
      </c>
      <c r="L403" s="2" t="n">
        <v>44818</v>
      </c>
      <c r="M403" s="170" t="n"/>
      <c r="N403" s="172" t="n">
        <v>3104165783</v>
      </c>
      <c r="O403" s="170" t="inlineStr">
        <is>
          <t>Cristiam Gustavo Mondragón Cortés</t>
        </is>
      </c>
      <c r="P403" s="52" t="inlineStr">
        <is>
          <t>cristiam.mondragon@spci.com.co</t>
        </is>
      </c>
    </row>
    <row r="404">
      <c r="B404" s="170" t="n">
        <v>392</v>
      </c>
      <c r="C404" s="199" t="inlineStr">
        <is>
          <t>COTIZACION DEL DISEÑO DE EXTINCIÓN DE INCENDIOS - BODEGA MM21</t>
        </is>
      </c>
      <c r="D404" s="312" t="n"/>
      <c r="E404" s="312" t="n"/>
      <c r="F404" s="312" t="n"/>
      <c r="G404" s="312" t="n"/>
      <c r="H404" s="312" t="n"/>
      <c r="I404" s="313" t="n"/>
      <c r="J404" s="199" t="inlineStr">
        <is>
          <t>ALEJANDRO</t>
        </is>
      </c>
      <c r="K404" s="314" t="n">
        <v>9970000</v>
      </c>
      <c r="L404" s="2" t="n">
        <v>44823</v>
      </c>
      <c r="M404" s="170" t="n"/>
      <c r="N404" s="170" t="inlineStr">
        <is>
          <t>301 3573437</t>
        </is>
      </c>
      <c r="O404" s="172" t="inlineStr">
        <is>
          <t>Aejandro</t>
        </is>
      </c>
      <c r="P404" s="52" t="n"/>
    </row>
    <row r="405">
      <c r="B405" s="170" t="n">
        <v>393</v>
      </c>
      <c r="C405" s="199" t="inlineStr">
        <is>
          <t>COTIZACION DEL DISEÑO DE EXTINCIÓN DE INCENDIOS - ARCLAD CARTAGENA QUINTA ETAPA</t>
        </is>
      </c>
      <c r="D405" s="312" t="n"/>
      <c r="E405" s="312" t="n"/>
      <c r="F405" s="312" t="n"/>
      <c r="G405" s="312" t="n"/>
      <c r="H405" s="312" t="n"/>
      <c r="I405" s="313" t="n"/>
      <c r="J405" s="199" t="inlineStr">
        <is>
          <t>PROJECT&amp;SOLUCTION</t>
        </is>
      </c>
      <c r="K405" s="314" t="n">
        <v>15930000</v>
      </c>
      <c r="L405" s="2" t="n">
        <v>44586</v>
      </c>
      <c r="M405" s="170" t="n"/>
      <c r="N405" s="170" t="n">
        <v>3113079477</v>
      </c>
      <c r="O405" s="172" t="inlineStr">
        <is>
          <t>Sebastián López Duque</t>
        </is>
      </c>
      <c r="P405" s="52" t="inlineStr">
        <is>
          <t>gerencia@projectsolutions.com.co</t>
        </is>
      </c>
    </row>
    <row r="406">
      <c r="B406" s="170" t="n">
        <v>394</v>
      </c>
      <c r="C406" s="199" t="inlineStr">
        <is>
          <t>COTIZACION DE LOS DISEÑOS DE PROTECCIÓN CONTRA INCENDIOS PARA EL PROYECTO SUBESTACIONES DE ENERGIA EPM</t>
        </is>
      </c>
      <c r="D406" s="312" t="n"/>
      <c r="E406" s="312" t="n"/>
      <c r="F406" s="312" t="n"/>
      <c r="G406" s="312" t="n"/>
      <c r="H406" s="312" t="n"/>
      <c r="I406" s="313" t="n"/>
      <c r="J406" s="71" t="inlineStr">
        <is>
          <t>COINSI</t>
        </is>
      </c>
      <c r="K406" s="328" t="n">
        <v>5500000</v>
      </c>
      <c r="L406" s="2" t="n">
        <v>44824</v>
      </c>
      <c r="M406" s="170" t="n"/>
      <c r="N406" s="170" t="n">
        <v>3126658022</v>
      </c>
      <c r="O406" s="172" t="inlineStr">
        <is>
          <t>Sergio Rodriguez</t>
        </is>
      </c>
      <c r="P406" s="52" t="inlineStr">
        <is>
          <t>diseno4@gyd.com.co</t>
        </is>
      </c>
    </row>
    <row r="407" ht="15" customHeight="1">
      <c r="B407" s="170" t="n">
        <v>395</v>
      </c>
      <c r="C407" s="199" t="inlineStr">
        <is>
          <t xml:space="preserve">
COTIZACION DEL ANÁLISIS DE SEGURIDAD HUMANA PARA EL PROYECTO EDIFICIO C UNIVERSIDAD C SEDE POBLADO</t>
        </is>
      </c>
      <c r="D407" s="312" t="n"/>
      <c r="E407" s="312" t="n"/>
      <c r="F407" s="312" t="n"/>
      <c r="G407" s="312" t="n"/>
      <c r="H407" s="312" t="n"/>
      <c r="I407" s="313" t="n"/>
      <c r="J407" s="199" t="inlineStr">
        <is>
          <t>interve</t>
        </is>
      </c>
      <c r="K407" s="314" t="n">
        <v>6950000</v>
      </c>
      <c r="L407" s="2" t="n">
        <v>44824</v>
      </c>
      <c r="M407" s="170" t="n"/>
      <c r="N407" s="170" t="n">
        <v>3174008840</v>
      </c>
      <c r="O407" s="172" t="inlineStr">
        <is>
          <t xml:space="preserve"> Marcela Montoya </t>
        </is>
      </c>
      <c r="P407" s="52" t="inlineStr">
        <is>
          <t>mmontoya@interve.co</t>
        </is>
      </c>
    </row>
    <row r="408">
      <c r="B408" s="170" t="n">
        <v>396</v>
      </c>
      <c r="C408" s="199" t="inlineStr">
        <is>
          <t>COTIZACION DE LOS DISEÑOS DE SEGURIDAD HUMANA Y PROTECCIÓN CONTRA INCENDIOS - VILLALACAZAR</t>
        </is>
      </c>
      <c r="D408" s="312" t="n"/>
      <c r="E408" s="312" t="n"/>
      <c r="F408" s="312" t="n"/>
      <c r="G408" s="312" t="n"/>
      <c r="H408" s="312" t="n"/>
      <c r="I408" s="313" t="n"/>
      <c r="J408" s="199" t="n"/>
      <c r="K408" s="314" t="n">
        <v>14900000</v>
      </c>
      <c r="L408" s="2" t="inlineStr">
        <is>
          <t>21/09/2022</t>
        </is>
      </c>
      <c r="M408" s="170" t="n"/>
      <c r="N408" s="170" t="n">
        <v>4483960</v>
      </c>
      <c r="O408" s="78" t="inlineStr">
        <is>
          <t>Gustavo Aguirre Arcila</t>
        </is>
      </c>
      <c r="P408" s="52" t="inlineStr">
        <is>
          <t>gaguirre@solciviles.com</t>
        </is>
      </c>
    </row>
    <row r="409">
      <c r="B409" s="170" t="n">
        <v>397</v>
      </c>
      <c r="C409" s="246" t="inlineStr">
        <is>
          <t xml:space="preserve">COTIZACION DEL DISEÑO DE EXTINCIÓN DE INCENDIOS PARA EL PROYECTO ESCUELA DE TALLER TUMACO
</t>
        </is>
      </c>
      <c r="D409" s="312" t="n"/>
      <c r="E409" s="312" t="n"/>
      <c r="F409" s="312" t="n"/>
      <c r="G409" s="312" t="n"/>
      <c r="H409" s="312" t="n"/>
      <c r="I409" s="313" t="n"/>
      <c r="J409" s="199" t="inlineStr">
        <is>
          <t>COMEX INTERNACIONAL SAS</t>
        </is>
      </c>
      <c r="K409" s="314" t="n">
        <v>6750000</v>
      </c>
      <c r="L409" s="2" t="n">
        <v>44825</v>
      </c>
      <c r="M409" s="170" t="n"/>
      <c r="N409" s="170" t="inlineStr">
        <is>
          <t>316 496 20 26</t>
        </is>
      </c>
      <c r="O409" s="172" t="inlineStr">
        <is>
          <t>Juan David Ossa Salazar</t>
        </is>
      </c>
      <c r="P409" s="52" t="inlineStr">
        <is>
          <t>comercial@comexinternacional.com.co</t>
        </is>
      </c>
    </row>
    <row r="410">
      <c r="B410" s="170" t="n">
        <v>398</v>
      </c>
      <c r="C410" s="246" t="inlineStr">
        <is>
          <t xml:space="preserve">COTIZACION DE LOS DISEÑOS DE PROTECCIÓN CONTRA INCENDIOS PARA EL PROYECTO LOCAL COMERCIAL AUDIFARMA
</t>
        </is>
      </c>
      <c r="D410" s="312" t="n"/>
      <c r="E410" s="312" t="n"/>
      <c r="F410" s="312" t="n"/>
      <c r="G410" s="312" t="n"/>
      <c r="H410" s="312" t="n"/>
      <c r="I410" s="313" t="n"/>
      <c r="J410" s="199" t="inlineStr">
        <is>
          <t>SECURETEC</t>
        </is>
      </c>
      <c r="K410" s="314" t="n">
        <v>3750000</v>
      </c>
      <c r="L410" s="2" t="n">
        <v>44826</v>
      </c>
      <c r="M410" s="170" t="n"/>
      <c r="N410" s="170" t="n">
        <v>3014111727</v>
      </c>
      <c r="O410" s="172" t="inlineStr">
        <is>
          <t>Julian David Camacho Galvis</t>
        </is>
      </c>
      <c r="P410" s="52" t="inlineStr">
        <is>
          <t>ascomercial2@securetec.com.co</t>
        </is>
      </c>
    </row>
    <row r="411">
      <c r="B411" s="170" t="n">
        <v>399</v>
      </c>
      <c r="C411" s="199" t="inlineStr">
        <is>
          <t>COTIZACION DE LOS DISEÑOS DE PROTECCIÓN CONTRA INCENDIOS PARA EL PROYECTO SENA SANTUARIO</t>
        </is>
      </c>
      <c r="D411" s="312" t="n"/>
      <c r="E411" s="312" t="n"/>
      <c r="F411" s="312" t="n"/>
      <c r="G411" s="312" t="n"/>
      <c r="H411" s="312" t="n"/>
      <c r="I411" s="313" t="n"/>
      <c r="J411" s="199" t="inlineStr">
        <is>
          <t>COMEX INTERNACIONAL SAS</t>
        </is>
      </c>
      <c r="K411" s="314" t="n">
        <v>5990000</v>
      </c>
      <c r="L411" s="2" t="n">
        <v>44830</v>
      </c>
      <c r="M411" s="170" t="n"/>
      <c r="N411" s="170" t="inlineStr">
        <is>
          <t>316 496 20 26</t>
        </is>
      </c>
      <c r="O411" s="172" t="inlineStr">
        <is>
          <t>Juan David Ossa Salazar</t>
        </is>
      </c>
      <c r="P411" s="52" t="inlineStr">
        <is>
          <t>comercial@comexinternacional.com.co</t>
        </is>
      </c>
    </row>
    <row r="412">
      <c r="B412" s="170" t="n">
        <v>400</v>
      </c>
      <c r="C412" s="199" t="inlineStr">
        <is>
          <t>COTIZACION DE LOS DISEÑOS DE PROTECCIÓN CONTRA INCENDIOS PARA EL PROYECTO CENTRO COMERCIAL EL CID</t>
        </is>
      </c>
      <c r="D412" s="312" t="n"/>
      <c r="E412" s="312" t="n"/>
      <c r="F412" s="312" t="n"/>
      <c r="G412" s="312" t="n"/>
      <c r="H412" s="312" t="n"/>
      <c r="I412" s="313" t="n"/>
      <c r="J412" s="199" t="inlineStr">
        <is>
          <t>Joan Manuel</t>
        </is>
      </c>
      <c r="K412" s="314" t="n">
        <v>15990000</v>
      </c>
      <c r="L412" s="2" t="n">
        <v>44839</v>
      </c>
      <c r="M412" s="170" t="n"/>
      <c r="N412" s="170" t="inlineStr">
        <is>
          <t xml:space="preserve"> 312 203 4405</t>
        </is>
      </c>
      <c r="O412" s="172" t="inlineStr">
        <is>
          <t xml:space="preserve">Joan Manuel Durango </t>
        </is>
      </c>
      <c r="P412" s="52" t="inlineStr">
        <is>
          <t>joan.manuel.durango@gmail.com</t>
        </is>
      </c>
    </row>
    <row r="413">
      <c r="B413" s="170" t="n">
        <v>401</v>
      </c>
      <c r="C413" s="199" t="inlineStr">
        <is>
          <t>COTIZACION DE LOS DISEÑOS DE PROTECCIÓN CONTRA INCENDIOS PARA EL PROYECTO SENA APARTADÓ</t>
        </is>
      </c>
      <c r="D413" s="312" t="n"/>
      <c r="E413" s="312" t="n"/>
      <c r="F413" s="312" t="n"/>
      <c r="G413" s="312" t="n"/>
      <c r="H413" s="312" t="n"/>
      <c r="I413" s="313" t="n"/>
      <c r="J413" s="199" t="inlineStr">
        <is>
          <t>COMEX INTERNACIONAL SAS</t>
        </is>
      </c>
      <c r="K413" s="314" t="n">
        <v>4990000</v>
      </c>
      <c r="L413" s="2" t="n">
        <v>44830</v>
      </c>
      <c r="M413" s="170" t="n"/>
      <c r="N413" s="170" t="inlineStr">
        <is>
          <t>316 496 20 26</t>
        </is>
      </c>
      <c r="O413" s="172" t="inlineStr">
        <is>
          <t>Juan David Ossa Salazar</t>
        </is>
      </c>
      <c r="P413" s="52" t="inlineStr">
        <is>
          <t>comercial@comexinternacional.com.co</t>
        </is>
      </c>
    </row>
    <row r="414">
      <c r="B414" s="170" t="n">
        <v>402</v>
      </c>
      <c r="C414" s="247" t="inlineStr">
        <is>
          <t>COTIZACION DE LOS DISEÑOS DE PROTECCIÓN CONTRA INCENDIOS Y SEGURIDAD HUMANA PARA EL PROYECTO EDIFICIO SERPI</t>
        </is>
      </c>
      <c r="D414" s="312" t="n"/>
      <c r="E414" s="312" t="n"/>
      <c r="F414" s="312" t="n"/>
      <c r="G414" s="312" t="n"/>
      <c r="H414" s="312" t="n"/>
      <c r="I414" s="313" t="n"/>
      <c r="J414" s="199" t="inlineStr">
        <is>
          <t>Jomark</t>
        </is>
      </c>
      <c r="K414" s="314" t="n">
        <v>7850000</v>
      </c>
      <c r="L414" s="2" t="n">
        <v>44831</v>
      </c>
      <c r="M414" s="170" t="n"/>
      <c r="N414" s="170" t="n"/>
      <c r="O414" s="172" t="inlineStr">
        <is>
          <t>Laura Duque Betancur</t>
        </is>
      </c>
      <c r="P414" s="52" t="inlineStr">
        <is>
          <t>proyectos2@jomarkseguridad.com</t>
        </is>
      </c>
    </row>
    <row r="415">
      <c r="B415" s="170" t="n">
        <v>403</v>
      </c>
      <c r="C415" s="246" t="inlineStr">
        <is>
          <t xml:space="preserve">COTIZACION DE LOS DISEÑOS DE EXTINCIÓN DE INCENDIOS Y SEGURIDAD HUMANA PARA EL PROYECTO FLORES DEL CAMPO
</t>
        </is>
      </c>
      <c r="D415" s="312" t="n"/>
      <c r="E415" s="312" t="n"/>
      <c r="F415" s="312" t="n"/>
      <c r="G415" s="312" t="n"/>
      <c r="H415" s="312" t="n"/>
      <c r="I415" s="313" t="n"/>
      <c r="J415" s="199" t="inlineStr">
        <is>
          <t>Solida</t>
        </is>
      </c>
      <c r="K415" s="314" t="n">
        <v>24500000</v>
      </c>
      <c r="L415" s="2" t="n">
        <v>44831</v>
      </c>
      <c r="M415" s="170" t="n"/>
      <c r="N415" s="170" t="n"/>
      <c r="O415" s="172" t="inlineStr">
        <is>
          <t>Juliana Duque Hoyos</t>
        </is>
      </c>
      <c r="P415" s="52" t="inlineStr">
        <is>
          <t>juliana.hoyos@solida.com.co</t>
        </is>
      </c>
    </row>
    <row r="416">
      <c r="B416" s="170" t="n">
        <v>404</v>
      </c>
      <c r="C416" s="199" t="inlineStr">
        <is>
          <t>COTIZACION DEL ANÁLISIS DE SEGURIDAD HUMANA PARA EL PROYECTO CENTRO VETERINARIO ESCOBERO CES</t>
        </is>
      </c>
      <c r="D416" s="312" t="n"/>
      <c r="E416" s="312" t="n"/>
      <c r="F416" s="312" t="n"/>
      <c r="G416" s="312" t="n"/>
      <c r="H416" s="312" t="n"/>
      <c r="I416" s="313" t="n"/>
      <c r="J416" s="199" t="inlineStr">
        <is>
          <t>interve</t>
        </is>
      </c>
      <c r="K416" s="314" t="n">
        <v>1000000</v>
      </c>
      <c r="L416" s="2" t="n">
        <v>44831</v>
      </c>
      <c r="M416" s="170" t="inlineStr">
        <is>
          <t>X</t>
        </is>
      </c>
      <c r="N416" s="170" t="n">
        <v>3174008840</v>
      </c>
      <c r="O416" s="172" t="inlineStr">
        <is>
          <t>Marcela Montoya Abad</t>
        </is>
      </c>
      <c r="P416" s="52" t="inlineStr">
        <is>
          <t>mmontoya@interve.co</t>
        </is>
      </c>
    </row>
    <row r="417">
      <c r="B417" s="170" t="n">
        <v>405</v>
      </c>
      <c r="C417" s="199" t="inlineStr">
        <is>
          <t>COTIZACION DEL DISEÑO DE EXTINCIÓN DE INCENDIOS PARA EL PROYECTO VITHA AJUSTE 2</t>
        </is>
      </c>
      <c r="D417" s="312" t="n"/>
      <c r="E417" s="312" t="n"/>
      <c r="F417" s="312" t="n"/>
      <c r="G417" s="312" t="n"/>
      <c r="H417" s="312" t="n"/>
      <c r="I417" s="313" t="n"/>
      <c r="J417" s="199" t="inlineStr">
        <is>
          <t>BIENES Y BIENES</t>
        </is>
      </c>
      <c r="K417" s="314" t="inlineStr">
        <is>
          <t>No se presentó</t>
        </is>
      </c>
      <c r="L417" s="2" t="n">
        <v>44831</v>
      </c>
      <c r="M417" s="170" t="inlineStr">
        <is>
          <t>X</t>
        </is>
      </c>
      <c r="N417" s="170" t="inlineStr">
        <is>
          <t>304 245 58 81</t>
        </is>
      </c>
      <c r="O417" s="172" t="inlineStr">
        <is>
          <t>Carlos Andres Quintero Ángel</t>
        </is>
      </c>
      <c r="P417" s="52" t="inlineStr">
        <is>
          <t>carlos.quintero@bienesybienes.com.co</t>
        </is>
      </c>
    </row>
    <row r="418">
      <c r="B418" s="170" t="n">
        <v>406</v>
      </c>
      <c r="C418" s="199" t="inlineStr">
        <is>
          <t>COTIZACION DEL ANÁLISIS DE SEGURIDAD HUMANA PARA EL PROYECTO FORESTA ETAPA 4</t>
        </is>
      </c>
      <c r="D418" s="312" t="n"/>
      <c r="E418" s="312" t="n"/>
      <c r="F418" s="312" t="n"/>
      <c r="G418" s="312" t="n"/>
      <c r="H418" s="312" t="n"/>
      <c r="I418" s="313" t="n"/>
      <c r="J418" s="199" t="inlineStr">
        <is>
          <t>CONALTURA</t>
        </is>
      </c>
      <c r="K418" s="314" t="n">
        <v>4610000</v>
      </c>
      <c r="L418" s="2" t="n">
        <v>44846</v>
      </c>
      <c r="M418" s="170" t="n"/>
      <c r="N418" s="170" t="n">
        <v>2662277</v>
      </c>
      <c r="O418" s="172" t="inlineStr">
        <is>
          <t>Jhony Aristizabal Lopez</t>
        </is>
      </c>
      <c r="P418" s="52" t="inlineStr">
        <is>
          <t>jaristizabal@conaltura.com</t>
        </is>
      </c>
    </row>
    <row r="419">
      <c r="B419" s="170" t="n">
        <v>407</v>
      </c>
      <c r="C419" s="199" t="inlineStr">
        <is>
          <t>COTIZACION DE LOS DISEÑOS DE PROTECCIÓN CONTRA INCENDIOS PARA EL PROYECTO FORESTA ETAPA 4</t>
        </is>
      </c>
      <c r="D419" s="312" t="n"/>
      <c r="E419" s="312" t="n"/>
      <c r="F419" s="312" t="n"/>
      <c r="G419" s="312" t="n"/>
      <c r="H419" s="312" t="n"/>
      <c r="I419" s="313" t="n"/>
      <c r="J419" s="199" t="inlineStr">
        <is>
          <t>CONALTURA</t>
        </is>
      </c>
      <c r="K419" s="314" t="n">
        <v>17950000</v>
      </c>
      <c r="L419" s="2" t="n">
        <v>44846</v>
      </c>
      <c r="M419" s="170" t="n"/>
      <c r="N419" s="170" t="n">
        <v>2662277</v>
      </c>
      <c r="O419" s="172" t="inlineStr">
        <is>
          <t>Jhony Aristizabal Lopez</t>
        </is>
      </c>
      <c r="P419" s="52" t="inlineStr">
        <is>
          <t>jaristizabal@conaltura.com</t>
        </is>
      </c>
    </row>
    <row r="420">
      <c r="B420" s="170" t="n">
        <v>408</v>
      </c>
      <c r="C420" s="199" t="inlineStr">
        <is>
          <t>COTIZACION DE LOS DISEÑOS DE PROTECCIÓN CONTRA INCENDIOS Y SEGURIDAD HUMANA PARA EL PROYECTO BODEGA TANIA LA REGIONAL</t>
        </is>
      </c>
      <c r="D420" s="312" t="n"/>
      <c r="E420" s="312" t="n"/>
      <c r="F420" s="312" t="n"/>
      <c r="G420" s="312" t="n"/>
      <c r="H420" s="312" t="n"/>
      <c r="I420" s="313" t="n"/>
      <c r="J420" s="254" t="inlineStr">
        <is>
          <t>INTERVET</t>
        </is>
      </c>
      <c r="K420" s="314" t="n">
        <v>14440000</v>
      </c>
      <c r="L420" s="2" t="n">
        <v>44833</v>
      </c>
      <c r="M420" s="170" t="n"/>
      <c r="N420" s="170" t="inlineStr">
        <is>
          <t>57(4) 352 3434</t>
        </is>
      </c>
      <c r="O420" s="172" t="inlineStr">
        <is>
          <t xml:space="preserve">Jhon Jairo Gomez </t>
        </is>
      </c>
      <c r="P420" s="52" t="inlineStr">
        <is>
          <t>jgomez@interve.co</t>
        </is>
      </c>
    </row>
    <row r="421">
      <c r="B421" s="170" t="n">
        <v>409</v>
      </c>
      <c r="C421" s="247" t="inlineStr">
        <is>
          <t>COTIZACION DE LOS DISEÑOS DE PROTECCIÓN CONTRA INCENDIOS PARA EL PROYECTO BODEGA LA TOLVA CALDAS PRIMAVERA</t>
        </is>
      </c>
      <c r="D421" s="312" t="n"/>
      <c r="E421" s="312" t="n"/>
      <c r="F421" s="312" t="n"/>
      <c r="G421" s="312" t="n"/>
      <c r="H421" s="312" t="n"/>
      <c r="I421" s="313" t="n"/>
      <c r="J421" s="199" t="inlineStr">
        <is>
          <t>SPCI</t>
        </is>
      </c>
      <c r="K421" s="314" t="n">
        <v>16930000</v>
      </c>
      <c r="L421" s="2" t="n">
        <v>44809</v>
      </c>
      <c r="M421" s="170" t="inlineStr">
        <is>
          <t>X</t>
        </is>
      </c>
      <c r="N421" s="172" t="n">
        <v>3104165783</v>
      </c>
      <c r="O421" s="170" t="inlineStr">
        <is>
          <t>Cristiam Gustavo Mondragón Cortés</t>
        </is>
      </c>
      <c r="P421" s="52" t="inlineStr">
        <is>
          <t>cristiam.mondragon@spci.com.co</t>
        </is>
      </c>
    </row>
    <row r="422">
      <c r="B422" s="170" t="n">
        <v>410</v>
      </c>
      <c r="C422" s="199" t="inlineStr">
        <is>
          <t>COTIZACION DEL ANÁLISIS DE SEGURIDAD HUMANA PARA EL PROYECTO WTW PISO 16 TORRE SIGMA</t>
        </is>
      </c>
      <c r="D422" s="312" t="n"/>
      <c r="E422" s="312" t="n"/>
      <c r="F422" s="312" t="n"/>
      <c r="G422" s="312" t="n"/>
      <c r="H422" s="312" t="n"/>
      <c r="I422" s="313" t="n"/>
      <c r="J422" s="199" t="inlineStr">
        <is>
          <t>SS STUDIO SUR</t>
        </is>
      </c>
      <c r="K422" s="314" t="n">
        <v>1550000</v>
      </c>
      <c r="L422" s="2" t="n">
        <v>44833</v>
      </c>
      <c r="M422" s="170" t="inlineStr">
        <is>
          <t>X</t>
        </is>
      </c>
      <c r="N422" s="57" t="n">
        <v>5712357612</v>
      </c>
      <c r="O422" s="172" t="inlineStr">
        <is>
          <t>LAURA ARIAS ABAD</t>
        </is>
      </c>
      <c r="P422" s="52" t="inlineStr">
        <is>
          <t>laura.arias@studiosur.net</t>
        </is>
      </c>
    </row>
    <row r="423">
      <c r="B423" s="170" t="n">
        <v>411</v>
      </c>
      <c r="C423" s="199" t="inlineStr">
        <is>
          <t>COTIZACION DE LOS DISEÑOS DE PROTECCIÓN CONTRA INCENDIOS PARA EL PROYECTO CCM EVAPORADORES</t>
        </is>
      </c>
      <c r="D423" s="312" t="n"/>
      <c r="E423" s="312" t="n"/>
      <c r="F423" s="312" t="n"/>
      <c r="G423" s="312" t="n"/>
      <c r="H423" s="312" t="n"/>
      <c r="I423" s="313" t="n"/>
      <c r="J423" s="199" t="inlineStr">
        <is>
          <t>Smurfit Kappa</t>
        </is>
      </c>
      <c r="K423" s="314" t="inlineStr">
        <is>
          <t>Es instalación</t>
        </is>
      </c>
      <c r="L423" s="2" t="n">
        <v>44833</v>
      </c>
      <c r="M423" s="170" t="n"/>
      <c r="N423" s="170" t="n">
        <v>3102185403</v>
      </c>
      <c r="O423" s="172" t="inlineStr">
        <is>
          <t>Daniela Alzate Vélez</t>
        </is>
      </c>
      <c r="P423" s="52" t="inlineStr">
        <is>
          <t>Daniela.Alzate@smurfitkappa.com</t>
        </is>
      </c>
    </row>
    <row r="424">
      <c r="B424" s="170" t="n">
        <v>412</v>
      </c>
      <c r="C424" s="199" t="inlineStr">
        <is>
          <t>COTIZACION DE LOS DISEÑOS DE PROTECCIÓN CONTRA INCENDIOS PARA EL PROYECTO ALMACENAMIENTO DE TREMENTINA,METANOL Y TANQUE DE CONDENSADOS CONTAMINADOS</t>
        </is>
      </c>
      <c r="D424" s="312" t="n"/>
      <c r="E424" s="312" t="n"/>
      <c r="F424" s="312" t="n"/>
      <c r="G424" s="312" t="n"/>
      <c r="H424" s="312" t="n"/>
      <c r="I424" s="313" t="n"/>
      <c r="J424" s="199" t="inlineStr">
        <is>
          <t>Smurfit Kappa</t>
        </is>
      </c>
      <c r="K424" s="314" t="inlineStr">
        <is>
          <t>Es instalación</t>
        </is>
      </c>
      <c r="L424" s="2" t="n">
        <v>44833</v>
      </c>
      <c r="M424" s="170" t="n"/>
      <c r="N424" s="170" t="n">
        <v>3102185403</v>
      </c>
      <c r="O424" s="172" t="inlineStr">
        <is>
          <t>Daniela Alzate Vélez</t>
        </is>
      </c>
      <c r="P424" s="52" t="inlineStr">
        <is>
          <t>Daniela.Alzate@smurfitkappa.com</t>
        </is>
      </c>
    </row>
    <row r="425">
      <c r="B425" s="170" t="n">
        <v>413</v>
      </c>
      <c r="C425" s="199" t="inlineStr">
        <is>
          <t>COTIZACION DE LOS DISEÑOS DE PROTECCIÓN CONTRA INCENDIOS Y SEGURIDAD HUMANA PARA EL PROYECTO HOSTAL Y PARQUEADERO ELCID</t>
        </is>
      </c>
      <c r="D425" s="312" t="n"/>
      <c r="E425" s="312" t="n"/>
      <c r="F425" s="312" t="n"/>
      <c r="G425" s="312" t="n"/>
      <c r="H425" s="312" t="n"/>
      <c r="I425" s="313" t="n"/>
      <c r="J425" s="199" t="inlineStr">
        <is>
          <t>IPM</t>
        </is>
      </c>
      <c r="K425" s="314" t="n">
        <v>19700000</v>
      </c>
      <c r="L425" s="2" t="n">
        <v>44838</v>
      </c>
      <c r="M425" s="170" t="n"/>
      <c r="N425" s="170" t="inlineStr">
        <is>
          <t>301 542 1412</t>
        </is>
      </c>
      <c r="O425" s="172" t="inlineStr">
        <is>
          <t>Juan Santiago Londoño Quiceno</t>
        </is>
      </c>
      <c r="P425" s="52" t="inlineStr">
        <is>
          <t>juan.londono@serviciosipm.com</t>
        </is>
      </c>
    </row>
    <row r="426">
      <c r="B426" s="170" t="n">
        <v>414</v>
      </c>
      <c r="C426" s="199" t="inlineStr">
        <is>
          <t>COTIZACIÓN DE VISITA Y CANTIDADES DE OBRA SOBRE FALTANTES DE EXTINCIÓN EN PISO 3 JARDINES DE LLANOGRANDE</t>
        </is>
      </c>
      <c r="D426" s="312" t="n"/>
      <c r="E426" s="312" t="n"/>
      <c r="F426" s="312" t="n"/>
      <c r="G426" s="312" t="n"/>
      <c r="H426" s="312" t="n"/>
      <c r="I426" s="313" t="n"/>
      <c r="J426" s="199" t="inlineStr">
        <is>
          <t>SPCI</t>
        </is>
      </c>
      <c r="K426" s="314" t="n">
        <v>2000000</v>
      </c>
      <c r="L426" s="2" t="n">
        <v>44809</v>
      </c>
      <c r="M426" s="170" t="n"/>
      <c r="N426" s="170" t="n">
        <v>3137546144</v>
      </c>
      <c r="O426" s="172" t="inlineStr">
        <is>
          <t>Juan Camilo Quintero Bedoya</t>
        </is>
      </c>
      <c r="P426" s="52" t="inlineStr">
        <is>
          <t>camilo.quintero@spci.com.co</t>
        </is>
      </c>
    </row>
    <row r="427">
      <c r="B427" s="170" t="n">
        <v>415</v>
      </c>
      <c r="C427" s="199" t="inlineStr">
        <is>
          <t>COTIZACION DE LOS DISEÑOS DE PROTECCIÓN CONTRA INCENDIOS - CUARTO DE BASURAS OVIEDO</t>
        </is>
      </c>
      <c r="D427" s="312" t="n"/>
      <c r="E427" s="312" t="n"/>
      <c r="F427" s="312" t="n"/>
      <c r="G427" s="312" t="n"/>
      <c r="H427" s="312" t="n"/>
      <c r="I427" s="313" t="n"/>
      <c r="J427" s="199" t="inlineStr">
        <is>
          <t>SPCI</t>
        </is>
      </c>
      <c r="K427" s="314" t="n">
        <v>2250000</v>
      </c>
      <c r="L427" s="2" t="n">
        <v>44809</v>
      </c>
      <c r="M427" s="170" t="inlineStr">
        <is>
          <t>X</t>
        </is>
      </c>
      <c r="N427" s="170" t="n">
        <v>3137546144</v>
      </c>
      <c r="O427" s="172" t="inlineStr">
        <is>
          <t>Juan Camilo Quintero Bedoya</t>
        </is>
      </c>
      <c r="P427" s="52" t="inlineStr">
        <is>
          <t>camilo.quintero@spci.com.co</t>
        </is>
      </c>
    </row>
    <row r="428">
      <c r="B428" s="170" t="n">
        <v>416</v>
      </c>
      <c r="C428" s="199" t="inlineStr">
        <is>
          <t>COTIZACION DE LA REVISIÓN DE LOS DISEÑOS DE EXTINCIÓN DE INCENDIOS - PROYECTO RANSA</t>
        </is>
      </c>
      <c r="D428" s="312" t="n"/>
      <c r="E428" s="312" t="n"/>
      <c r="F428" s="312" t="n"/>
      <c r="G428" s="312" t="n"/>
      <c r="H428" s="312" t="n"/>
      <c r="I428" s="313" t="n"/>
      <c r="J428" s="199" t="inlineStr">
        <is>
          <t>SPCI</t>
        </is>
      </c>
      <c r="K428" s="314" t="n">
        <v>2500000</v>
      </c>
      <c r="L428" s="2" t="n">
        <v>44840</v>
      </c>
      <c r="M428" s="170" t="inlineStr">
        <is>
          <t>X</t>
        </is>
      </c>
      <c r="N428" s="172" t="n">
        <v>3104165783</v>
      </c>
      <c r="O428" s="170" t="inlineStr">
        <is>
          <t>Cristiam Gustavo Mondragón Cortés</t>
        </is>
      </c>
      <c r="P428" s="52" t="inlineStr">
        <is>
          <t>cristiam.mondragon@spci.com.co</t>
        </is>
      </c>
    </row>
    <row r="429">
      <c r="B429" s="170" t="n">
        <v>417</v>
      </c>
      <c r="C429" s="199" t="inlineStr">
        <is>
          <t>COTIZACION DEL ANÁLISIS DE SEGURIDAD HUMANA - CESDE SEDE CENTRAL</t>
        </is>
      </c>
      <c r="D429" s="312" t="n"/>
      <c r="E429" s="312" t="n"/>
      <c r="F429" s="312" t="n"/>
      <c r="G429" s="312" t="n"/>
      <c r="H429" s="312" t="n"/>
      <c r="I429" s="313" t="n"/>
      <c r="J429" s="199" t="inlineStr">
        <is>
          <t>CESDE</t>
        </is>
      </c>
      <c r="K429" s="314" t="n">
        <v>6270000</v>
      </c>
      <c r="L429" s="2" t="n">
        <v>44811</v>
      </c>
      <c r="M429" s="170" t="inlineStr">
        <is>
          <t>X</t>
        </is>
      </c>
      <c r="N429" s="170" t="n">
        <v>4808822</v>
      </c>
      <c r="O429" s="172" t="inlineStr">
        <is>
          <t xml:space="preserve">Gabriel Jaime Cortés Acevedo </t>
        </is>
      </c>
      <c r="P429" s="52" t="inlineStr">
        <is>
          <t>gcortes@cesde.edu.co</t>
        </is>
      </c>
    </row>
    <row r="430">
      <c r="B430" s="170" t="n">
        <v>418</v>
      </c>
      <c r="C430" s="199" t="inlineStr">
        <is>
          <t>COTIZACION DEL ANÁLISIS DE SEGURIDAD HUMANA PARA EL PROYECTO EDIFICIO LIMONAR EN CALI</t>
        </is>
      </c>
      <c r="D430" s="312" t="n"/>
      <c r="E430" s="312" t="n"/>
      <c r="F430" s="312" t="n"/>
      <c r="G430" s="312" t="n"/>
      <c r="H430" s="312" t="n"/>
      <c r="I430" s="313" t="n"/>
      <c r="J430" s="199" t="inlineStr">
        <is>
          <t>Coprocenva</t>
        </is>
      </c>
      <c r="K430" s="314" t="n">
        <v>1850000</v>
      </c>
      <c r="L430" s="2" t="n">
        <v>44839</v>
      </c>
      <c r="M430" s="170" t="inlineStr">
        <is>
          <t>X</t>
        </is>
      </c>
      <c r="N430" s="170" t="n"/>
      <c r="O430" s="172" t="inlineStr">
        <is>
          <t>Luz Angela Caicedo Ordoñez</t>
        </is>
      </c>
      <c r="P430" s="52" t="inlineStr">
        <is>
          <t>director.administrativo@coprocenva.coop</t>
        </is>
      </c>
    </row>
    <row r="431">
      <c r="B431" s="170" t="n">
        <v>419</v>
      </c>
      <c r="C431" s="233" t="inlineStr">
        <is>
          <t xml:space="preserve">COTIZACION DE LOS DISEÑOS DE EXTINCIÓN DE INCENDIOS Y SEGURIDAD HUMANA PARA EL PROYECTO CLINICA PRIMAVERA VILLAVICENCIO PISO 2
</t>
        </is>
      </c>
      <c r="D431" s="312" t="n"/>
      <c r="E431" s="312" t="n"/>
      <c r="F431" s="312" t="n"/>
      <c r="G431" s="312" t="n"/>
      <c r="H431" s="312" t="n"/>
      <c r="I431" s="313" t="n"/>
      <c r="J431" s="199" t="inlineStr">
        <is>
          <t>SOLUCIONES INMOBILIARIAS</t>
        </is>
      </c>
      <c r="K431" s="314" t="n">
        <v>4740000</v>
      </c>
      <c r="L431" s="2" t="n">
        <v>44839</v>
      </c>
      <c r="M431" s="170" t="n"/>
      <c r="N431" s="170" t="n">
        <v>3165394946</v>
      </c>
      <c r="O431" s="172" t="inlineStr">
        <is>
          <t>Andrés Felipe Hernandez Cardona.</t>
        </is>
      </c>
      <c r="P431" s="52" t="inlineStr">
        <is>
          <t xml:space="preserve"> ahernandez@solucionesinmobiliariassas.com</t>
        </is>
      </c>
    </row>
    <row r="432">
      <c r="B432" s="170" t="n">
        <v>420</v>
      </c>
      <c r="C432" s="246" t="inlineStr">
        <is>
          <t>COTIZACION DEL DISEÑO DE EXTINCIÓN DE INCENDIOS - LOCAL PLAZA FABRICATO</t>
        </is>
      </c>
      <c r="D432" s="312" t="n"/>
      <c r="E432" s="312" t="n"/>
      <c r="F432" s="312" t="n"/>
      <c r="G432" s="312" t="n"/>
      <c r="H432" s="312" t="n"/>
      <c r="I432" s="313" t="n"/>
      <c r="J432" s="199" t="inlineStr">
        <is>
          <t>PICSO</t>
        </is>
      </c>
      <c r="K432" s="314" t="n">
        <v>1500000</v>
      </c>
      <c r="L432" s="2" t="n">
        <v>44840</v>
      </c>
      <c r="M432" s="170" t="n"/>
      <c r="N432" s="170" t="n">
        <v>3017340763</v>
      </c>
      <c r="O432" s="172" t="inlineStr">
        <is>
          <t xml:space="preserve">Ernesto Castrillón Fernández </t>
        </is>
      </c>
      <c r="P432" s="52" t="inlineStr">
        <is>
          <t>ernesto.castrillon@picso.com.co</t>
        </is>
      </c>
    </row>
    <row r="433">
      <c r="B433" s="170" t="n">
        <v>421</v>
      </c>
      <c r="C433" s="199" t="inlineStr">
        <is>
          <t>COTIZACION DE LOS PLANOS AS-BUIT MIRADOR DE AYURÁ</t>
        </is>
      </c>
      <c r="D433" s="312" t="n"/>
      <c r="E433" s="312" t="n"/>
      <c r="F433" s="312" t="n"/>
      <c r="G433" s="312" t="n"/>
      <c r="H433" s="312" t="n"/>
      <c r="I433" s="313" t="n"/>
      <c r="J433" s="199" t="inlineStr">
        <is>
          <t>JORMARK</t>
        </is>
      </c>
      <c r="K433" s="314" t="n">
        <v>1850000</v>
      </c>
      <c r="L433" s="2" t="n">
        <v>44722</v>
      </c>
      <c r="M433" s="170" t="n"/>
      <c r="N433" s="170" t="n"/>
      <c r="O433" s="172" t="inlineStr">
        <is>
          <t>Laura Duque Betancur</t>
        </is>
      </c>
      <c r="P433" s="52" t="inlineStr">
        <is>
          <t>proyectos2@jomarkseguridad.com</t>
        </is>
      </c>
    </row>
    <row r="434">
      <c r="B434" s="170" t="n">
        <v>422</v>
      </c>
      <c r="C434" s="199" t="inlineStr">
        <is>
          <t>COTIZACION DEL DISEÑO DE EXTINCIÓN DE INCENDIOS PARA EL PROYECTO CUARTO DE BATERÍAS Y HANGAR</t>
        </is>
      </c>
      <c r="D434" s="312" t="n"/>
      <c r="E434" s="312" t="n"/>
      <c r="F434" s="312" t="n"/>
      <c r="G434" s="312" t="n"/>
      <c r="H434" s="312" t="n"/>
      <c r="I434" s="313" t="n"/>
      <c r="J434" s="199" t="inlineStr">
        <is>
          <t>SPCI</t>
        </is>
      </c>
      <c r="K434" s="314" t="n">
        <v>14990000</v>
      </c>
      <c r="L434" s="2" t="n">
        <v>44840</v>
      </c>
      <c r="M434" s="170" t="n"/>
      <c r="N434" s="172" t="n">
        <v>3104165783</v>
      </c>
      <c r="O434" s="170" t="inlineStr">
        <is>
          <t>Cristiam Gustavo Mondragón Cortés</t>
        </is>
      </c>
      <c r="P434" s="52" t="inlineStr">
        <is>
          <t>cristiam.mondragon@spci.com.co</t>
        </is>
      </c>
    </row>
    <row r="435">
      <c r="B435" s="170" t="n">
        <v>423</v>
      </c>
      <c r="C435" s="199" t="inlineStr">
        <is>
          <t>COTIZACION DEL DISEÑO DE EXTINCIÓN DE INCENDIOS PARA EL PROYECTO IN CARE SALUD VENGAS SEXTO PISO</t>
        </is>
      </c>
      <c r="D435" s="312" t="n"/>
      <c r="E435" s="312" t="n"/>
      <c r="F435" s="312" t="n"/>
      <c r="G435" s="312" t="n"/>
      <c r="H435" s="312" t="n"/>
      <c r="I435" s="313" t="n"/>
      <c r="J435" s="199" t="inlineStr">
        <is>
          <t>INCARE</t>
        </is>
      </c>
      <c r="K435" s="314" t="n">
        <v>3950000</v>
      </c>
      <c r="L435" s="2" t="n">
        <v>44840</v>
      </c>
      <c r="M435" s="170" t="inlineStr">
        <is>
          <t>X</t>
        </is>
      </c>
      <c r="N435" s="170" t="inlineStr">
        <is>
          <t>311 94 95 Ext. 103</t>
        </is>
      </c>
      <c r="O435" s="172" t="inlineStr">
        <is>
          <t>Lorena Gonzalez Monsalve</t>
        </is>
      </c>
      <c r="P435" s="52" t="inlineStr">
        <is>
          <t>coordinacionbiomedica@incare.com.co</t>
        </is>
      </c>
    </row>
    <row r="436">
      <c r="B436" s="170" t="n">
        <v>424</v>
      </c>
      <c r="C436" s="233" t="inlineStr">
        <is>
          <t>COTIZACION DE LOS DISEÑOS DE PROTECCIÓN CONTRA INCENDIOS PARA BANCOLOMBIA PUERTA DEL NORTE</t>
        </is>
      </c>
      <c r="D436" s="312" t="n"/>
      <c r="E436" s="312" t="n"/>
      <c r="F436" s="312" t="n"/>
      <c r="G436" s="312" t="n"/>
      <c r="H436" s="312" t="n"/>
      <c r="I436" s="313" t="n"/>
      <c r="J436" s="199" t="inlineStr">
        <is>
          <t>CONDISEÑO</t>
        </is>
      </c>
      <c r="K436" s="314" t="n">
        <v>5640650</v>
      </c>
      <c r="L436" s="2" t="n">
        <v>44840</v>
      </c>
      <c r="M436" s="170" t="inlineStr">
        <is>
          <t>X</t>
        </is>
      </c>
      <c r="N436" s="170" t="n">
        <v>3175594091</v>
      </c>
      <c r="O436" s="170" t="inlineStr">
        <is>
          <t>Nakary García Romero</t>
        </is>
      </c>
      <c r="P436" s="52" t="inlineStr">
        <is>
          <t>n.garcia@condiseno.co</t>
        </is>
      </c>
    </row>
    <row r="437">
      <c r="B437" s="170" t="n">
        <v>425</v>
      </c>
      <c r="C437" s="233" t="inlineStr">
        <is>
          <t>PRUEBAS A LOS SISTEMAS DE PROTECIÓN CONTRA INCENDIOS PARA PLANTA ALMACOL BUENAVENTURA</t>
        </is>
      </c>
      <c r="D437" s="312" t="n"/>
      <c r="E437" s="312" t="n"/>
      <c r="F437" s="312" t="n"/>
      <c r="G437" s="312" t="n"/>
      <c r="H437" s="312" t="n"/>
      <c r="I437" s="313" t="n"/>
      <c r="J437" s="199" t="inlineStr">
        <is>
          <t>ALMACOL</t>
        </is>
      </c>
      <c r="K437" s="314" t="inlineStr">
        <is>
          <t>No se realizó</t>
        </is>
      </c>
      <c r="L437" s="2" t="n">
        <v>44840</v>
      </c>
      <c r="M437" s="170" t="n"/>
    </row>
    <row r="438">
      <c r="B438" s="170" t="n">
        <v>426</v>
      </c>
      <c r="C438" s="199" t="inlineStr">
        <is>
          <t>COTIZACION DE LOS DISEÑOS DE PROTECCIÓN CONTRA INCENDIOS PARA EL PROYECTO LINEA DE COMBUSTIBLE</t>
        </is>
      </c>
      <c r="D438" s="312" t="n"/>
      <c r="E438" s="312" t="n"/>
      <c r="F438" s="312" t="n"/>
      <c r="G438" s="312" t="n"/>
      <c r="H438" s="312" t="n"/>
      <c r="I438" s="313" t="n"/>
      <c r="J438" s="199" t="inlineStr">
        <is>
          <t>SFIRE</t>
        </is>
      </c>
      <c r="K438" s="314" t="n">
        <v>4000</v>
      </c>
      <c r="L438" s="2" t="n">
        <v>44841</v>
      </c>
      <c r="M438" s="170" t="n"/>
      <c r="N438" s="170" t="n"/>
      <c r="O438" s="172" t="inlineStr">
        <is>
          <t>Miguel Robayo</t>
        </is>
      </c>
      <c r="P438" s="52" t="n"/>
    </row>
    <row r="439">
      <c r="B439" s="170" t="n">
        <v>427</v>
      </c>
      <c r="C439" s="199" t="inlineStr">
        <is>
          <t>COTIZACION DE LOS DISEÑOS DE PROTECCIÓN CONTRA INCENDIOS Y SEGURIDAD HUMANA PARA EL PROYECTO RIBERO</t>
        </is>
      </c>
      <c r="D439" s="312" t="n"/>
      <c r="E439" s="312" t="n"/>
      <c r="F439" s="312" t="n"/>
      <c r="G439" s="312" t="n"/>
      <c r="H439" s="312" t="n"/>
      <c r="I439" s="313" t="n"/>
      <c r="J439" s="199" t="inlineStr">
        <is>
          <t>MENSULA</t>
        </is>
      </c>
      <c r="K439" s="314" t="n">
        <v>21950000</v>
      </c>
      <c r="L439" s="2" t="n">
        <v>44844</v>
      </c>
      <c r="M439" s="170" t="inlineStr">
        <is>
          <t>X</t>
        </is>
      </c>
      <c r="N439" s="170" t="n">
        <v>3207091752</v>
      </c>
      <c r="O439" s="172" t="inlineStr">
        <is>
          <t>Cristian Londoño Montoya</t>
        </is>
      </c>
      <c r="P439" s="52" t="inlineStr">
        <is>
          <t>cristianlondono@mensulaingenieros.com</t>
        </is>
      </c>
    </row>
    <row r="440">
      <c r="B440" s="170" t="n">
        <v>428</v>
      </c>
      <c r="C440" s="199" t="inlineStr">
        <is>
          <t>COTIZACION DEL DISEÑO DE EXTINCIÓN DE INCENDIOS PARA EL PROYECTO PARQUEADERO SUR TORRE CONSULTORIOS</t>
        </is>
      </c>
      <c r="D440" s="312" t="n"/>
      <c r="E440" s="312" t="n"/>
      <c r="F440" s="312" t="n"/>
      <c r="G440" s="312" t="n"/>
      <c r="H440" s="312" t="n"/>
      <c r="I440" s="313" t="n"/>
      <c r="J440" s="254" t="inlineStr">
        <is>
          <t>intervet</t>
        </is>
      </c>
      <c r="K440" s="314" t="n">
        <v>4750000</v>
      </c>
      <c r="L440" s="2" t="n">
        <v>44844</v>
      </c>
      <c r="M440" s="170" t="n"/>
      <c r="N440" s="170" t="inlineStr">
        <is>
          <t>310 386 17 63</t>
        </is>
      </c>
      <c r="O440" s="172" t="inlineStr">
        <is>
          <t>DARIO A. SALDARRIAGA R.</t>
        </is>
      </c>
      <c r="P440" s="52" t="inlineStr">
        <is>
          <t>dsaldarriaga@interve.co</t>
        </is>
      </c>
    </row>
    <row r="441">
      <c r="B441" s="170" t="n">
        <v>429</v>
      </c>
      <c r="C441" s="233" t="inlineStr">
        <is>
          <t>COTIZACION DE LOS DISEÑOS DE PROTECCIÓN CONTRA INCENDIOS PARA EL PROYECTO LOCAL BELINNI</t>
        </is>
      </c>
      <c r="D441" s="312" t="n"/>
      <c r="E441" s="312" t="n"/>
      <c r="F441" s="312" t="n"/>
      <c r="G441" s="312" t="n"/>
      <c r="H441" s="312" t="n"/>
      <c r="I441" s="313" t="n"/>
      <c r="J441" s="199" t="inlineStr">
        <is>
          <t>SPCI</t>
        </is>
      </c>
      <c r="K441" s="314" t="n">
        <v>1950000</v>
      </c>
      <c r="L441" s="2" t="n">
        <v>44844</v>
      </c>
      <c r="M441" s="170" t="n"/>
      <c r="N441" s="170" t="n">
        <v>3137546144</v>
      </c>
      <c r="O441" s="172" t="inlineStr">
        <is>
          <t>Juan Camilo Quintero Bedoya</t>
        </is>
      </c>
      <c r="P441" s="52" t="inlineStr">
        <is>
          <t>camilo.quintero@spci.com.co</t>
        </is>
      </c>
    </row>
    <row r="442">
      <c r="B442" s="170" t="n">
        <v>430</v>
      </c>
      <c r="C442" s="199" t="inlineStr">
        <is>
          <t>COTIZACION DE LOS DISEÑOS DE EXTINCIÓN DE INCENDIOS Y SEGURIDAD HUMANA PARA EL PROYECTO AIRA</t>
        </is>
      </c>
      <c r="D442" s="312" t="n"/>
      <c r="E442" s="312" t="n"/>
      <c r="F442" s="312" t="n"/>
      <c r="G442" s="312" t="n"/>
      <c r="H442" s="312" t="n"/>
      <c r="I442" s="313" t="n"/>
      <c r="J442" s="199" t="inlineStr">
        <is>
          <t>C.A.S.A</t>
        </is>
      </c>
      <c r="K442" s="314" t="n">
        <v>21450000</v>
      </c>
      <c r="L442" s="2" t="n">
        <v>44844</v>
      </c>
      <c r="M442" s="170" t="n"/>
      <c r="N442" s="170" t="n">
        <v>3146177478</v>
      </c>
      <c r="O442" s="172" t="inlineStr">
        <is>
          <t>Bernardo White Narváez</t>
        </is>
      </c>
      <c r="P442" s="52" t="inlineStr">
        <is>
          <t>bernardo.white@casa.com.co</t>
        </is>
      </c>
    </row>
    <row r="443">
      <c r="B443" s="170" t="n">
        <v>431</v>
      </c>
      <c r="C443" s="199" t="inlineStr">
        <is>
          <t>COTIZACION DEL LEVANTAMIENTO Y ELABORACIÓN DE CORTES ARQUITECTÓNICOS - BODEGAS ALMACENAMIENTO PPG</t>
        </is>
      </c>
      <c r="D443" s="312" t="n"/>
      <c r="E443" s="312" t="n"/>
      <c r="F443" s="312" t="n"/>
      <c r="G443" s="312" t="n"/>
      <c r="H443" s="312" t="n"/>
      <c r="I443" s="313" t="n"/>
      <c r="J443" s="199" t="inlineStr">
        <is>
          <t>SPCI</t>
        </is>
      </c>
      <c r="K443" s="314" t="n">
        <v>900000</v>
      </c>
      <c r="L443" s="2" t="n">
        <v>44845</v>
      </c>
      <c r="M443" s="170" t="inlineStr">
        <is>
          <t>X</t>
        </is>
      </c>
      <c r="N443" s="170" t="n">
        <v>3137546144</v>
      </c>
      <c r="O443" s="172" t="inlineStr">
        <is>
          <t>Juan Camilo Quintero Bedoya</t>
        </is>
      </c>
      <c r="P443" s="52" t="inlineStr">
        <is>
          <t>camilo.quintero@spci.com.co</t>
        </is>
      </c>
    </row>
    <row r="444">
      <c r="B444" s="170" t="n">
        <v>432</v>
      </c>
      <c r="C444" s="199" t="inlineStr">
        <is>
          <t>COTIZACION DEL DISEÑO DE EXTINCIÓN DE INCENDIOS - REDISEÑO PISO 5 FAJAS</t>
        </is>
      </c>
      <c r="D444" s="312" t="n"/>
      <c r="E444" s="312" t="n"/>
      <c r="F444" s="312" t="n"/>
      <c r="G444" s="312" t="n"/>
      <c r="H444" s="312" t="n"/>
      <c r="I444" s="313" t="n"/>
      <c r="J444" s="199" t="inlineStr">
        <is>
          <t>SAHA</t>
        </is>
      </c>
      <c r="K444" s="314" t="n">
        <v>1000000</v>
      </c>
      <c r="L444" s="2" t="n">
        <v>44905</v>
      </c>
      <c r="M444" s="170" t="inlineStr">
        <is>
          <t>X</t>
        </is>
      </c>
      <c r="N444" s="170" t="inlineStr">
        <is>
          <t>300 8248429</t>
        </is>
      </c>
      <c r="O444" s="172" t="inlineStr">
        <is>
          <t>Veronica Arango</t>
        </is>
      </c>
      <c r="P444" s="52" t="inlineStr">
        <is>
          <t>director@calfa2019.com</t>
        </is>
      </c>
    </row>
    <row r="445">
      <c r="B445" s="170" t="n">
        <v>433</v>
      </c>
      <c r="C445" s="199" t="inlineStr">
        <is>
          <t>COTIZACION DEL DISEÑO DE EXTINCIÓN DE INCENDIOS PARA EL PROYECTO PABELLONES PLAZA MAYOR</t>
        </is>
      </c>
      <c r="D445" s="312" t="n"/>
      <c r="E445" s="312" t="n"/>
      <c r="F445" s="312" t="n"/>
      <c r="G445" s="312" t="n"/>
      <c r="H445" s="312" t="n"/>
      <c r="I445" s="313" t="n"/>
      <c r="J445" s="199" t="inlineStr">
        <is>
          <t>SECURETEC</t>
        </is>
      </c>
      <c r="K445" s="314" t="n">
        <v>2500000</v>
      </c>
      <c r="L445" s="2" t="n">
        <v>44846</v>
      </c>
      <c r="M445" s="170" t="n"/>
      <c r="N445" s="170" t="n">
        <v>3206678830</v>
      </c>
      <c r="O445" s="172" t="inlineStr">
        <is>
          <t>Jhonny Castro</t>
        </is>
      </c>
      <c r="P445" s="52" t="inlineStr">
        <is>
          <t>dirproyectos@securetec.com.co</t>
        </is>
      </c>
    </row>
    <row r="446">
      <c r="B446" s="170" t="n">
        <v>434</v>
      </c>
      <c r="C446" s="246" t="inlineStr">
        <is>
          <t xml:space="preserve">COTIZACION DEL ANÁLISIS DE SEGURIDAD HUMANA PARA EL PROYECTO LORIENT
</t>
        </is>
      </c>
      <c r="D446" s="312" t="n"/>
      <c r="E446" s="312" t="n"/>
      <c r="F446" s="312" t="n"/>
      <c r="G446" s="312" t="n"/>
      <c r="H446" s="312" t="n"/>
      <c r="I446" s="313" t="n"/>
      <c r="J446" s="199" t="inlineStr">
        <is>
          <t>CONTEX</t>
        </is>
      </c>
      <c r="K446" s="314" t="n">
        <v>1950000</v>
      </c>
      <c r="L446" s="2" t="n">
        <v>44846</v>
      </c>
      <c r="M446" s="170" t="n"/>
      <c r="N446" s="170" t="n">
        <v>3104145629</v>
      </c>
      <c r="O446" s="172" t="inlineStr">
        <is>
          <t>Maria Camila Velásquez</t>
        </is>
      </c>
      <c r="P446" s="52" t="inlineStr">
        <is>
          <t>mcvelasquez@contex.com.co</t>
        </is>
      </c>
    </row>
    <row r="447">
      <c r="B447" s="170" t="n">
        <v>435</v>
      </c>
      <c r="C447" s="246" t="inlineStr">
        <is>
          <t xml:space="preserve">COTIZACION DEL DISEÑO DE EXTINCIÓN DE INCENDIOS PARA EL PROYECTO RIVER PALMS
</t>
        </is>
      </c>
      <c r="D447" s="312" t="n"/>
      <c r="E447" s="312" t="n"/>
      <c r="F447" s="312" t="n"/>
      <c r="G447" s="312" t="n"/>
      <c r="H447" s="312" t="n"/>
      <c r="I447" s="313" t="n"/>
      <c r="J447" s="199" t="inlineStr">
        <is>
          <t>IA&amp;C</t>
        </is>
      </c>
      <c r="K447" s="314" t="n">
        <v>9950000</v>
      </c>
      <c r="L447" s="2" t="n">
        <v>44847</v>
      </c>
      <c r="M447" s="170" t="n"/>
      <c r="N447" s="170" t="inlineStr">
        <is>
          <t>312 653 62 46</t>
        </is>
      </c>
      <c r="O447" s="172" t="inlineStr">
        <is>
          <t>JORGE ANDRES ROJAS C.</t>
        </is>
      </c>
      <c r="P447" s="52" t="inlineStr">
        <is>
          <t>jorgerojas@iayc.co</t>
        </is>
      </c>
    </row>
    <row r="448">
      <c r="B448" s="170" t="n">
        <v>436</v>
      </c>
      <c r="C448" s="246" t="inlineStr">
        <is>
          <t>COTIZACION DEL DISEÑO DE EXTINCIÓN DE INCENDIOS PARA EL PROYECTO LOCAL ORIENTAL P5 CENTRO DE ENTRENAMIENTO</t>
        </is>
      </c>
      <c r="D448" s="312" t="n"/>
      <c r="E448" s="312" t="n"/>
      <c r="F448" s="312" t="n"/>
      <c r="G448" s="312" t="n"/>
      <c r="H448" s="312" t="n"/>
      <c r="I448" s="313" t="n"/>
      <c r="J448" s="199" t="inlineStr">
        <is>
          <t>INTERVE</t>
        </is>
      </c>
      <c r="K448" s="314" t="n">
        <v>2500000</v>
      </c>
      <c r="L448" s="2" t="n">
        <v>44852</v>
      </c>
      <c r="M448" s="170" t="inlineStr">
        <is>
          <t>X</t>
        </is>
      </c>
      <c r="N448" s="170" t="n">
        <v>3005780522</v>
      </c>
      <c r="O448" s="172" t="inlineStr">
        <is>
          <t>DARIO ANTONIO SALDARRIAGA RAMIREZ</t>
        </is>
      </c>
      <c r="P448" s="52" t="inlineStr">
        <is>
          <t>dsaldarriaga@interve.co</t>
        </is>
      </c>
    </row>
    <row r="449">
      <c r="B449" s="170" t="n">
        <v>437</v>
      </c>
      <c r="C449" s="199" t="inlineStr">
        <is>
          <t>COTIZACION DEL DISEÑO DE DETECCIÓN DE INCENDIOS PARA EL PROYECTO CASA ENTREPINOS</t>
        </is>
      </c>
      <c r="D449" s="312" t="n"/>
      <c r="E449" s="312" t="n"/>
      <c r="F449" s="312" t="n"/>
      <c r="G449" s="312" t="n"/>
      <c r="H449" s="312" t="n"/>
      <c r="I449" s="313" t="n"/>
      <c r="J449" s="199" t="inlineStr">
        <is>
          <t>CANTAGIRONE</t>
        </is>
      </c>
      <c r="K449" s="314" t="n">
        <v>2100000</v>
      </c>
      <c r="L449" s="2" t="n">
        <v>44855</v>
      </c>
      <c r="M449" s="170" t="n"/>
      <c r="N449" s="170" t="inlineStr">
        <is>
          <t>(604) 322 86 25</t>
        </is>
      </c>
      <c r="O449" s="172" t="inlineStr">
        <is>
          <t>Natalia Marcela Pérez Garcia</t>
        </is>
      </c>
      <c r="P449" s="52" t="inlineStr">
        <is>
          <t>cadquisiciones@cantagirone.com</t>
        </is>
      </c>
    </row>
    <row r="450">
      <c r="B450" s="170" t="n">
        <v>438</v>
      </c>
      <c r="C450" s="199" t="inlineStr">
        <is>
          <t>COTIZACION DEL ANÁLISIS DE SEGURIDAD HUMANA - CESDE SEDE CENTRAL</t>
        </is>
      </c>
      <c r="D450" s="312" t="n"/>
      <c r="E450" s="312" t="n"/>
      <c r="F450" s="312" t="n"/>
      <c r="G450" s="312" t="n"/>
      <c r="H450" s="312" t="n"/>
      <c r="I450" s="313" t="n"/>
      <c r="J450" s="199" t="inlineStr">
        <is>
          <t>CESDE</t>
        </is>
      </c>
      <c r="K450" s="314" t="n">
        <v>1000000</v>
      </c>
      <c r="L450" s="2" t="n">
        <v>44853</v>
      </c>
      <c r="M450" s="170" t="n"/>
      <c r="N450" s="170" t="n">
        <v>4808822</v>
      </c>
      <c r="O450" s="172" t="inlineStr">
        <is>
          <t xml:space="preserve">Gabriel Jaime Cortés Acevedo </t>
        </is>
      </c>
      <c r="P450" s="52" t="inlineStr">
        <is>
          <t>gcortes@cesde.edu.co</t>
        </is>
      </c>
    </row>
    <row r="451">
      <c r="B451" s="170" t="n">
        <v>439</v>
      </c>
      <c r="C451" s="246" t="inlineStr">
        <is>
          <t>COTIZACION DEL DISEÑO DE EXTINCIÓN DE INCENDIOS PARA EL PROYECTO BODEGA HUMEDA</t>
        </is>
      </c>
      <c r="D451" s="312" t="n"/>
      <c r="E451" s="312" t="n"/>
      <c r="F451" s="312" t="n"/>
      <c r="G451" s="312" t="n"/>
      <c r="H451" s="312" t="n"/>
      <c r="I451" s="313" t="n"/>
      <c r="J451" s="199" t="inlineStr">
        <is>
          <t>JOMARK</t>
        </is>
      </c>
      <c r="K451" s="314" t="n">
        <v>13790000</v>
      </c>
      <c r="L451" s="2" t="n">
        <v>44853</v>
      </c>
      <c r="M451" s="170" t="n"/>
      <c r="N451" s="170" t="n"/>
      <c r="O451" s="172" t="inlineStr">
        <is>
          <t>Laura Duque Betancur</t>
        </is>
      </c>
      <c r="P451" s="52" t="inlineStr">
        <is>
          <t>proyectos2@jomarkseguridad.com</t>
        </is>
      </c>
    </row>
    <row r="452">
      <c r="B452" s="170" t="n">
        <v>440</v>
      </c>
      <c r="C452" s="199" t="inlineStr">
        <is>
          <t>COTIZACION DEL DISEÑO DE EXTINCIÓN DE INCENDIOS PARA EL PROYECTO BODEGA SECA</t>
        </is>
      </c>
      <c r="D452" s="312" t="n"/>
      <c r="E452" s="312" t="n"/>
      <c r="F452" s="312" t="n"/>
      <c r="G452" s="312" t="n"/>
      <c r="H452" s="312" t="n"/>
      <c r="I452" s="313" t="n"/>
      <c r="J452" s="199" t="inlineStr">
        <is>
          <t>JOMARK</t>
        </is>
      </c>
      <c r="K452" s="314" t="n">
        <v>13790000</v>
      </c>
      <c r="L452" s="2" t="n">
        <v>44853</v>
      </c>
      <c r="M452" s="170" t="n"/>
      <c r="N452" s="170" t="n"/>
      <c r="O452" s="172" t="inlineStr">
        <is>
          <t>Laura Duque Betancur</t>
        </is>
      </c>
      <c r="P452" s="52" t="inlineStr">
        <is>
          <t>proyectos2@jomarkseguridad.com</t>
        </is>
      </c>
    </row>
    <row r="453">
      <c r="B453" s="170" t="n">
        <v>441</v>
      </c>
      <c r="C453" s="199" t="inlineStr">
        <is>
          <t>COTIZACION DE LOS DISEÑOS DE PROTECCIÓN CONTRA INCENDIOS PARA EL PROYECTO CLINICA JOMARK</t>
        </is>
      </c>
      <c r="D453" s="312" t="n"/>
      <c r="E453" s="312" t="n"/>
      <c r="F453" s="312" t="n"/>
      <c r="G453" s="312" t="n"/>
      <c r="H453" s="312" t="n"/>
      <c r="I453" s="313" t="n"/>
      <c r="J453" s="199" t="inlineStr">
        <is>
          <t>JOMARK</t>
        </is>
      </c>
      <c r="K453" s="314" t="n">
        <v>10100000</v>
      </c>
      <c r="L453" s="2" t="n">
        <v>44853</v>
      </c>
      <c r="M453" s="170" t="n"/>
      <c r="N453" s="170" t="n">
        <v>3194913179</v>
      </c>
      <c r="O453" s="172" t="inlineStr">
        <is>
          <t>Carlos Almanya Patiño</t>
        </is>
      </c>
      <c r="P453" s="52" t="inlineStr">
        <is>
          <t>calmanya@jomarkseguridad.com</t>
        </is>
      </c>
    </row>
    <row r="454">
      <c r="B454" s="170" t="n">
        <v>442</v>
      </c>
      <c r="C454" s="199" t="inlineStr">
        <is>
          <t>COTIZACION DEL DISEÑO DE EXTINCIÓN DE INCENDIOS PARA EL PROYECTO BODENORTE</t>
        </is>
      </c>
      <c r="D454" s="312" t="n"/>
      <c r="E454" s="312" t="n"/>
      <c r="F454" s="312" t="n"/>
      <c r="G454" s="312" t="n"/>
      <c r="H454" s="312" t="n"/>
      <c r="I454" s="313" t="n"/>
      <c r="J454" s="199" t="inlineStr">
        <is>
          <t>JOMARK</t>
        </is>
      </c>
      <c r="K454" s="314" t="n">
        <v>4150000</v>
      </c>
      <c r="L454" s="2" t="n">
        <v>44853</v>
      </c>
      <c r="M454" s="170" t="n"/>
      <c r="N454" s="170" t="n"/>
      <c r="O454" s="172" t="inlineStr">
        <is>
          <t>Laura Duque Betancur</t>
        </is>
      </c>
      <c r="P454" s="52" t="inlineStr">
        <is>
          <t>proyectos2@jomarkseguridad.com</t>
        </is>
      </c>
    </row>
    <row r="455">
      <c r="B455" s="170" t="n">
        <v>443</v>
      </c>
      <c r="C455" s="199" t="inlineStr">
        <is>
          <t>COTIZACION DE LOS DISEÑOS DE PROTECCIÓN CONTRA INCENDIOS Y SEGURIDAD HUMANA PARA EL PROYECTO COLOR SELVA ETAPA 1</t>
        </is>
      </c>
      <c r="D455" s="312" t="n"/>
      <c r="E455" s="312" t="n"/>
      <c r="F455" s="312" t="n"/>
      <c r="G455" s="312" t="n"/>
      <c r="H455" s="312" t="n"/>
      <c r="I455" s="313" t="n"/>
      <c r="J455" s="199" t="inlineStr">
        <is>
          <t>GrupoColviva</t>
        </is>
      </c>
      <c r="K455" s="314" t="n">
        <v>27960000</v>
      </c>
      <c r="L455" s="2" t="n">
        <v>44853</v>
      </c>
      <c r="M455" s="170" t="n"/>
      <c r="N455" s="170" t="n"/>
      <c r="O455" s="172" t="inlineStr">
        <is>
          <t>Maria Eugenia Zapata</t>
        </is>
      </c>
      <c r="P455" s="52" t="inlineStr">
        <is>
          <t>mzapata@grupocolviva.com</t>
        </is>
      </c>
    </row>
    <row r="456">
      <c r="B456" s="170" t="n">
        <v>444</v>
      </c>
      <c r="C456" s="199" t="inlineStr">
        <is>
          <t>COTIZACION DE LOS DISEÑOS DE PROTECCIÓN CONTRA INCENDIOS PARA EL PROYECTO LOCAL CONSULTORIO C.C VIVA LA CEJA</t>
        </is>
      </c>
      <c r="D456" s="312" t="n"/>
      <c r="E456" s="312" t="n"/>
      <c r="F456" s="312" t="n"/>
      <c r="G456" s="312" t="n"/>
      <c r="H456" s="312" t="n"/>
      <c r="I456" s="313" t="n"/>
      <c r="J456" s="199" t="inlineStr">
        <is>
          <t>SPCI</t>
        </is>
      </c>
      <c r="K456" s="314" t="n">
        <v>1980000</v>
      </c>
      <c r="L456" s="2" t="n">
        <v>44854</v>
      </c>
      <c r="M456" s="170" t="n"/>
      <c r="N456" s="170" t="n">
        <v>3104680508</v>
      </c>
      <c r="O456" s="172" t="inlineStr">
        <is>
          <t>Juan Pablo Grajales</t>
        </is>
      </c>
      <c r="P456" s="52" t="inlineStr">
        <is>
          <t>juan.grajales@spci.com.co</t>
        </is>
      </c>
    </row>
    <row r="457">
      <c r="B457" s="170" t="n">
        <v>445</v>
      </c>
      <c r="C457" s="199" t="inlineStr">
        <is>
          <t>COTIZACION DE LOS DISEÑOS DE PROTECCIÓN CONTRA INCENDIOS Y SEGURIDAD HUMANA PARA EL PROYECTO EDIFICIO BOLVAR</t>
        </is>
      </c>
      <c r="D457" s="312" t="n"/>
      <c r="E457" s="312" t="n"/>
      <c r="F457" s="312" t="n"/>
      <c r="G457" s="312" t="n"/>
      <c r="H457" s="312" t="n"/>
      <c r="I457" s="313" t="n"/>
      <c r="J457" s="199" t="inlineStr">
        <is>
          <t>Santiago Rojas</t>
        </is>
      </c>
      <c r="K457" s="314" t="n">
        <v>9910000</v>
      </c>
      <c r="L457" s="2" t="n">
        <v>44856</v>
      </c>
      <c r="M457" s="170" t="n"/>
      <c r="N457" s="170" t="n"/>
      <c r="O457" s="172" t="inlineStr">
        <is>
          <t>ELY YOHANA TAVERA</t>
        </is>
      </c>
      <c r="P457" s="52" t="inlineStr">
        <is>
          <t>sraic.asistente@gmail.com</t>
        </is>
      </c>
    </row>
    <row r="458">
      <c r="B458" s="170" t="n">
        <v>446</v>
      </c>
      <c r="C458" s="199" t="inlineStr">
        <is>
          <t>COTIZACION DE LOS DISEÑOS DE PROTECCIÓN CONTRA INCENDIOS PARA EL PROYECTO MALL MARINILLA</t>
        </is>
      </c>
      <c r="D458" s="312" t="n"/>
      <c r="E458" s="312" t="n"/>
      <c r="F458" s="312" t="n"/>
      <c r="G458" s="312" t="n"/>
      <c r="H458" s="312" t="n"/>
      <c r="I458" s="313" t="n"/>
      <c r="J458" s="199" t="inlineStr">
        <is>
          <t>RCIGASYREDES</t>
        </is>
      </c>
      <c r="K458" s="314" t="n">
        <v>9910000</v>
      </c>
      <c r="L458" s="2" t="n">
        <v>44856</v>
      </c>
      <c r="M458" s="170" t="n"/>
      <c r="N458" s="170" t="inlineStr">
        <is>
          <t>320 3334448</t>
        </is>
      </c>
      <c r="O458" s="172" t="inlineStr">
        <is>
          <t xml:space="preserve">Francy González </t>
        </is>
      </c>
      <c r="P458" s="52" t="inlineStr">
        <is>
          <t>rcigasyredes@gmail.com</t>
        </is>
      </c>
    </row>
    <row r="459">
      <c r="B459" s="170" t="n">
        <v>447</v>
      </c>
      <c r="C459" s="199" t="inlineStr">
        <is>
          <t>COTIZACION DE LOS DISEÑOS DE PROTECCIÓN CONTRA INCENDIOS Y SEGURIDAD HUMANA PARA EL PROYECTO YOUNIVERSE</t>
        </is>
      </c>
      <c r="D459" s="312" t="n"/>
      <c r="E459" s="312" t="n"/>
      <c r="F459" s="312" t="n"/>
      <c r="G459" s="312" t="n"/>
      <c r="H459" s="312" t="n"/>
      <c r="I459" s="313" t="n"/>
      <c r="J459" s="199" t="inlineStr">
        <is>
          <t>CONEXO</t>
        </is>
      </c>
      <c r="K459" s="314" t="n">
        <v>21250000</v>
      </c>
      <c r="L459" s="2" t="n">
        <v>44858</v>
      </c>
      <c r="M459" s="170" t="n"/>
      <c r="N459" s="170" t="n">
        <v>3005861916</v>
      </c>
      <c r="O459" s="172" t="inlineStr">
        <is>
          <t>John J. Jaramillo O</t>
        </is>
      </c>
      <c r="P459" s="91" t="inlineStr">
        <is>
          <t>jjaramillo@conexoinmobiliario.com</t>
        </is>
      </c>
    </row>
    <row r="460">
      <c r="B460" s="170" t="n">
        <v>448</v>
      </c>
      <c r="C460" s="233" t="inlineStr">
        <is>
          <t xml:space="preserve">COTIZACION DE LOS DISEÑOS DE PROTECCIÓN CONTRA INCENDIOS Y SEGURIDAD HUMANA PARA EL PROYECTO HOSPITAL LA MARIA
</t>
        </is>
      </c>
      <c r="D460" s="312" t="n"/>
      <c r="E460" s="312" t="n"/>
      <c r="F460" s="312" t="n"/>
      <c r="G460" s="312" t="n"/>
      <c r="H460" s="312" t="n"/>
      <c r="I460" s="313" t="n"/>
      <c r="J460" s="199" t="inlineStr">
        <is>
          <t>Luis Eduardo</t>
        </is>
      </c>
      <c r="K460" s="314" t="n">
        <v>3390000</v>
      </c>
      <c r="L460" s="2" t="n">
        <v>44859</v>
      </c>
      <c r="M460" s="170" t="n"/>
      <c r="N460" s="170" t="inlineStr">
        <is>
          <t>310 450 5708</t>
        </is>
      </c>
      <c r="O460" s="172" t="inlineStr">
        <is>
          <t>Luis Eduardo Cuartas</t>
        </is>
      </c>
      <c r="P460" s="52" t="inlineStr">
        <is>
          <t>luiscuartas@gmail.com</t>
        </is>
      </c>
    </row>
    <row r="461">
      <c r="B461" s="170" t="n">
        <v>449</v>
      </c>
      <c r="C461" s="199" t="inlineStr">
        <is>
          <t>COTIZACION DE LOS DISEÑOS DE PROTECCIÓN CONTRA INCENDIOS Y SEGURIDAD HUMANA PARA EL PROYECTO COLOR SELVA ETAPA 1</t>
        </is>
      </c>
      <c r="D461" s="312" t="n"/>
      <c r="E461" s="312" t="n"/>
      <c r="F461" s="312" t="n"/>
      <c r="G461" s="312" t="n"/>
      <c r="H461" s="312" t="n"/>
      <c r="I461" s="313" t="n"/>
      <c r="J461" s="199" t="inlineStr">
        <is>
          <t>GrupoColviva</t>
        </is>
      </c>
      <c r="K461" s="314" t="n">
        <v>27960000</v>
      </c>
      <c r="L461" s="2" t="n">
        <v>44859</v>
      </c>
      <c r="M461" s="170" t="n"/>
      <c r="N461" s="170" t="inlineStr">
        <is>
          <t>316 496 20 26</t>
        </is>
      </c>
      <c r="O461" s="172" t="inlineStr">
        <is>
          <t>Juan David Ossa Salazar</t>
        </is>
      </c>
      <c r="P461" s="52" t="inlineStr">
        <is>
          <t>comercial@comexinternacional.com.co</t>
        </is>
      </c>
    </row>
    <row r="462">
      <c r="B462" s="170" t="n">
        <v>450</v>
      </c>
      <c r="C462" s="199" t="inlineStr">
        <is>
          <t>COTIZACIÓN DE CAPACITACIÓN SISTEMAS CONTRA INCENDIO PARA SOLUCIONES CIVILES</t>
        </is>
      </c>
      <c r="D462" s="312" t="n"/>
      <c r="E462" s="312" t="n"/>
      <c r="F462" s="312" t="n"/>
      <c r="G462" s="312" t="n"/>
      <c r="H462" s="312" t="n"/>
      <c r="I462" s="313" t="n"/>
      <c r="J462" s="199" t="inlineStr">
        <is>
          <t>SOLUCIONES CIVILES</t>
        </is>
      </c>
      <c r="K462" s="314" t="n">
        <v>1000000</v>
      </c>
      <c r="L462" s="2" t="n">
        <v>44860</v>
      </c>
      <c r="M462" s="170" t="inlineStr">
        <is>
          <t>X</t>
        </is>
      </c>
      <c r="N462" s="170" t="n">
        <v>4483960</v>
      </c>
      <c r="O462" s="78" t="inlineStr">
        <is>
          <t>Gustavo Aguirre Arcila</t>
        </is>
      </c>
      <c r="P462" s="52" t="inlineStr">
        <is>
          <t>gaguirre@solciviles.com</t>
        </is>
      </c>
    </row>
    <row r="463">
      <c r="B463" s="170" t="n">
        <v>451</v>
      </c>
      <c r="C463" s="246" t="inlineStr">
        <is>
          <t xml:space="preserve">COTIZACION DE LOS DISEÑOS DE PROTECCIÓN CONTRA INCENDIOS Y SEGURIDAD HUMANA PARA EL PROYECTO EDIFICIO DE OFICINAS
</t>
        </is>
      </c>
      <c r="D463" s="312" t="n"/>
      <c r="E463" s="312" t="n"/>
      <c r="F463" s="312" t="n"/>
      <c r="G463" s="312" t="n"/>
      <c r="H463" s="312" t="n"/>
      <c r="I463" s="313" t="n"/>
      <c r="J463" s="199" t="inlineStr">
        <is>
          <t>ESPIRAL</t>
        </is>
      </c>
      <c r="K463" s="314" t="n">
        <v>5960000</v>
      </c>
      <c r="L463" s="2" t="n">
        <v>44861</v>
      </c>
      <c r="M463" s="170" t="n"/>
      <c r="N463" s="170" t="inlineStr">
        <is>
          <t>320 6350734</t>
        </is>
      </c>
      <c r="O463" s="172" t="inlineStr">
        <is>
          <t>Maria Isabel</t>
        </is>
      </c>
      <c r="P463" s="52" t="inlineStr">
        <is>
          <t>maria.correa@espiral.com.co</t>
        </is>
      </c>
    </row>
    <row r="464">
      <c r="B464" s="170" t="n">
        <v>452</v>
      </c>
      <c r="C464" s="199" t="inlineStr">
        <is>
          <t>COTIZACION DE LOS DISEÑOS DE PROTECCIÓN CONTRA INCENDIOS Y SEGURIDAD HUMANA PARA EL PROYECTO PREESCOLARE PINARES</t>
        </is>
      </c>
      <c r="D464" s="312" t="n"/>
      <c r="E464" s="312" t="n"/>
      <c r="F464" s="312" t="n"/>
      <c r="G464" s="312" t="n"/>
      <c r="H464" s="312" t="n"/>
      <c r="I464" s="313" t="n"/>
      <c r="J464" s="199" t="inlineStr">
        <is>
          <t>CNV</t>
        </is>
      </c>
      <c r="K464" s="314" t="n">
        <v>11950000</v>
      </c>
      <c r="L464" s="2" t="n">
        <v>44862</v>
      </c>
      <c r="M464" s="170" t="n"/>
      <c r="N464" s="170" t="n">
        <v>3016975955</v>
      </c>
      <c r="O464" s="172" t="inlineStr">
        <is>
          <t>Laura Jaramillo</t>
        </is>
      </c>
      <c r="P464" s="52" t="inlineStr">
        <is>
          <t>laura.jaramillo@cnv.com.co</t>
        </is>
      </c>
    </row>
    <row r="465">
      <c r="B465" s="170" t="n">
        <v>453</v>
      </c>
      <c r="C465" s="246" t="inlineStr">
        <is>
          <t xml:space="preserve">COTIZACION DE LOS DISEÑOS DE PROTECCIÓN CONTRA INCENDIOS Y SEGURIDAD HUMANA PARA EL PROYECTO CENTRO COMERCIAL UNICENTRO CALI
</t>
        </is>
      </c>
      <c r="D465" s="312" t="n"/>
      <c r="E465" s="312" t="n"/>
      <c r="F465" s="312" t="n"/>
      <c r="G465" s="312" t="n"/>
      <c r="H465" s="312" t="n"/>
      <c r="I465" s="313" t="n"/>
      <c r="J465" s="199" t="inlineStr">
        <is>
          <t>Santiago Rojas</t>
        </is>
      </c>
      <c r="K465" s="314" t="n">
        <v>5000000</v>
      </c>
      <c r="L465" s="2" t="n">
        <v>44862</v>
      </c>
      <c r="M465" s="170" t="n"/>
      <c r="N465" s="170" t="n"/>
      <c r="O465" s="172" t="inlineStr">
        <is>
          <t>Ely Tavera</t>
        </is>
      </c>
      <c r="P465" s="52" t="inlineStr">
        <is>
          <t>sraic.asistente@gmail.com</t>
        </is>
      </c>
    </row>
    <row r="466">
      <c r="B466" s="170" t="n">
        <v>454</v>
      </c>
      <c r="C466" s="199" t="inlineStr">
        <is>
          <t>COTIZACION DE LOS DISEÑOS DE PROTECCIÓN CONTRA INCENDIOS PARA EL PROYECTO YOUNIVERSE</t>
        </is>
      </c>
      <c r="D466" s="312" t="n"/>
      <c r="E466" s="312" t="n"/>
      <c r="F466" s="312" t="n"/>
      <c r="G466" s="312" t="n"/>
      <c r="H466" s="312" t="n"/>
      <c r="I466" s="313" t="n"/>
      <c r="J466" s="199" t="inlineStr">
        <is>
          <t>SPCI</t>
        </is>
      </c>
      <c r="K466" s="314" t="n">
        <v>17500000</v>
      </c>
      <c r="L466" s="2" t="n">
        <v>44862</v>
      </c>
      <c r="M466" s="72" t="n"/>
      <c r="N466" s="172" t="n">
        <v>3104165783</v>
      </c>
      <c r="O466" s="170" t="inlineStr">
        <is>
          <t>Cristiam Gustavo Mondragón Cortés</t>
        </is>
      </c>
      <c r="P466" s="52" t="inlineStr">
        <is>
          <t>cristiam.mondragon@spci.com.co</t>
        </is>
      </c>
    </row>
    <row r="467">
      <c r="B467" s="170" t="n">
        <v>455</v>
      </c>
      <c r="C467" s="199" t="inlineStr">
        <is>
          <t>COTIZACION DE LOS DISEÑOS DE PROTECCIÓN CONTRA INCENDIOS PARA EL PROYECTO M3 STORAGE CENTRO COMERCIAL VIVA BARRANQUILLA</t>
        </is>
      </c>
      <c r="D467" s="312" t="n"/>
      <c r="E467" s="312" t="n"/>
      <c r="F467" s="312" t="n"/>
      <c r="G467" s="312" t="n"/>
      <c r="H467" s="312" t="n"/>
      <c r="I467" s="313" t="n"/>
      <c r="J467" s="199" t="inlineStr">
        <is>
          <t>SPCI</t>
        </is>
      </c>
      <c r="K467" s="314" t="n">
        <v>1950000</v>
      </c>
      <c r="L467" s="2" t="n">
        <v>44862</v>
      </c>
      <c r="M467" s="2" t="n"/>
      <c r="N467" s="170" t="n"/>
      <c r="O467" s="172" t="inlineStr">
        <is>
          <t>Hernán Ortiz Grajales</t>
        </is>
      </c>
      <c r="P467" s="52" t="inlineStr">
        <is>
          <t>hernan.ortiz@spci.com.co</t>
        </is>
      </c>
    </row>
    <row r="468">
      <c r="B468" s="170" t="n">
        <v>456</v>
      </c>
      <c r="C468" s="246" t="inlineStr">
        <is>
          <t xml:space="preserve">COTIZACION DEL DISEÑO DE EXTINCIÓN DE INCENDIOS PARA EL PROYECTO PRIMARIO AYD
</t>
        </is>
      </c>
      <c r="D468" s="312" t="n"/>
      <c r="E468" s="312" t="n"/>
      <c r="F468" s="312" t="n"/>
      <c r="G468" s="312" t="n"/>
      <c r="H468" s="312" t="n"/>
      <c r="I468" s="313" t="n"/>
      <c r="J468" s="199" t="inlineStr">
        <is>
          <t>PRIMARIO</t>
        </is>
      </c>
      <c r="K468" s="314" t="n">
        <v>3950000</v>
      </c>
      <c r="L468" s="2" t="n">
        <v>44865</v>
      </c>
      <c r="M468" s="170" t="n"/>
      <c r="N468" s="170" t="n">
        <v>3118766153</v>
      </c>
      <c r="O468" s="172" t="inlineStr">
        <is>
          <t>Juan Pablo Garcia</t>
        </is>
      </c>
      <c r="P468" s="52" t="inlineStr">
        <is>
          <t>jpgarcia@primarioayd.com</t>
        </is>
      </c>
    </row>
    <row r="469">
      <c r="B469" s="170" t="n">
        <v>457</v>
      </c>
      <c r="C469" s="199" t="inlineStr">
        <is>
          <t>COTIZACION DEL DISEÑO DE EXTINCIÓN DE INCENDIOS PARA EL PROYECTO MODELADO DISLICORES</t>
        </is>
      </c>
      <c r="D469" s="312" t="n"/>
      <c r="E469" s="312" t="n"/>
      <c r="F469" s="312" t="n"/>
      <c r="G469" s="312" t="n"/>
      <c r="H469" s="312" t="n"/>
      <c r="I469" s="313" t="n"/>
      <c r="J469" s="199" t="inlineStr">
        <is>
          <t>I+CONSTRUCTORA</t>
        </is>
      </c>
      <c r="K469" s="314" t="n">
        <v>14350000</v>
      </c>
      <c r="L469" s="2" t="n">
        <v>44865</v>
      </c>
      <c r="M469" s="170" t="n"/>
      <c r="N469" s="170" t="n">
        <v>4443091</v>
      </c>
      <c r="O469" s="172" t="inlineStr">
        <is>
          <t>Lina Maria Montoya Gonzalez</t>
        </is>
      </c>
      <c r="P469" s="52" t="inlineStr">
        <is>
          <t>lmontoya@iconstructora.com.co</t>
        </is>
      </c>
    </row>
    <row r="470">
      <c r="B470" s="170" t="n">
        <v>458</v>
      </c>
      <c r="C470" s="246" t="inlineStr">
        <is>
          <t>COTIZACION DE LOS DISEÑOS DE SEGURIDAD HUMANA Y PROTECCIÓN CONTRA INCENDIOS - VERDE VENTURA</t>
        </is>
      </c>
      <c r="D470" s="312" t="n"/>
      <c r="E470" s="312" t="n"/>
      <c r="F470" s="312" t="n"/>
      <c r="G470" s="312" t="n"/>
      <c r="H470" s="312" t="n"/>
      <c r="I470" s="313" t="n"/>
      <c r="J470" s="199" t="inlineStr">
        <is>
          <t>Arquitectura y Concreto</t>
        </is>
      </c>
      <c r="K470" s="314" t="n">
        <v>28750000</v>
      </c>
      <c r="L470" s="2" t="n">
        <v>44572</v>
      </c>
      <c r="M470" s="170" t="n"/>
      <c r="N470" s="170" t="n"/>
      <c r="O470" s="172" t="inlineStr">
        <is>
          <t>Cristian Ospina</t>
        </is>
      </c>
      <c r="P470" s="52" t="inlineStr">
        <is>
          <t>cristianospina@arquitecturayconcreto.com</t>
        </is>
      </c>
    </row>
    <row r="471">
      <c r="B471" s="170" t="n">
        <v>459</v>
      </c>
      <c r="C471" s="199" t="inlineStr">
        <is>
          <t>COTIZACION DE LOS DISEÑOS DE PROTECCIÓN CONTRA INCENDIOS PARA EL PROYECTO ENSENEDA</t>
        </is>
      </c>
      <c r="D471" s="312" t="n"/>
      <c r="E471" s="312" t="n"/>
      <c r="F471" s="312" t="n"/>
      <c r="G471" s="312" t="n"/>
      <c r="H471" s="312" t="n"/>
      <c r="I471" s="313" t="n"/>
      <c r="J471" s="199" t="inlineStr">
        <is>
          <t>BIENES Y BIENES</t>
        </is>
      </c>
      <c r="K471" s="314" t="n">
        <v>7450000</v>
      </c>
      <c r="L471" s="2" t="n">
        <v>44867</v>
      </c>
      <c r="M471" s="170" t="inlineStr">
        <is>
          <t>X</t>
        </is>
      </c>
      <c r="N471" s="170" t="inlineStr">
        <is>
          <t>321 838 59 65</t>
        </is>
      </c>
      <c r="O471" s="172" t="inlineStr">
        <is>
          <t>Ana Catalina Ramirez Zapata</t>
        </is>
      </c>
      <c r="P471" s="52" t="inlineStr">
        <is>
          <t>ana.ramirez@bienesybienes.com.co</t>
        </is>
      </c>
    </row>
    <row r="472">
      <c r="B472" s="170" t="n">
        <v>460</v>
      </c>
      <c r="C472" s="199" t="inlineStr">
        <is>
          <t>COTIZACION DE LOS DISEÑOS DE PROTECCIÓN CONTRA INCENDIOS Y SEGURIDAD HUMANA PARA EL PROYECTO ALLEGRO</t>
        </is>
      </c>
      <c r="D472" s="312" t="n"/>
      <c r="E472" s="312" t="n"/>
      <c r="F472" s="312" t="n"/>
      <c r="G472" s="312" t="n"/>
      <c r="H472" s="312" t="n"/>
      <c r="I472" s="313" t="n"/>
      <c r="J472" s="199" t="inlineStr">
        <is>
          <t>CENTRO SUR</t>
        </is>
      </c>
      <c r="K472" s="314" t="n">
        <v>9950000</v>
      </c>
      <c r="L472" s="2" t="n">
        <v>44867</v>
      </c>
      <c r="M472" s="170" t="inlineStr">
        <is>
          <t>X</t>
        </is>
      </c>
      <c r="N472" s="170" t="n">
        <v>4480648</v>
      </c>
      <c r="O472" s="172" t="inlineStr">
        <is>
          <t>Daniel Pernett Patiño</t>
        </is>
      </c>
      <c r="P472" s="52" t="inlineStr">
        <is>
          <t>danielpernett@centrosur.co</t>
        </is>
      </c>
    </row>
    <row r="473">
      <c r="B473" s="170" t="n">
        <v>461</v>
      </c>
      <c r="C473" s="246" t="inlineStr">
        <is>
          <t xml:space="preserve">COTIZACION DEL DISEÑO DE EXTINCIÓN DE INCENDIOS PARA EL PROYECTO EDUARDOÑO CARTAGENA
</t>
        </is>
      </c>
      <c r="D473" s="312" t="n"/>
      <c r="E473" s="312" t="n"/>
      <c r="F473" s="312" t="n"/>
      <c r="G473" s="312" t="n"/>
      <c r="H473" s="312" t="n"/>
      <c r="I473" s="313" t="n"/>
      <c r="J473" s="199" t="inlineStr">
        <is>
          <t>PC Mejia Ingenieria</t>
        </is>
      </c>
      <c r="K473" s="314" t="n">
        <v>17950000</v>
      </c>
      <c r="L473" s="2" t="n">
        <v>44868</v>
      </c>
      <c r="M473" s="170" t="n"/>
      <c r="N473" s="170" t="n">
        <v>3194807733</v>
      </c>
      <c r="O473" s="172" t="inlineStr">
        <is>
          <t>Carlos Cuello</t>
        </is>
      </c>
      <c r="P473" s="52" t="inlineStr">
        <is>
          <t>carlos.cuello@pcmejia.com.co</t>
        </is>
      </c>
    </row>
    <row r="474">
      <c r="B474" s="170" t="n">
        <v>462</v>
      </c>
      <c r="C474" s="199" t="inlineStr">
        <is>
          <t>COTIZACION DEL DISEÑO DE EXTINCIÓN DE INCENDIOS -PROYECTO FUERTE SCOUT VILLA VERDE</t>
        </is>
      </c>
      <c r="D474" s="312" t="n"/>
      <c r="E474" s="312" t="n"/>
      <c r="F474" s="312" t="n"/>
      <c r="G474" s="312" t="n"/>
      <c r="H474" s="312" t="n"/>
      <c r="I474" s="313" t="n"/>
      <c r="J474" s="199" t="inlineStr">
        <is>
          <t>SPCI</t>
        </is>
      </c>
      <c r="K474" s="314" t="n">
        <v>1250000</v>
      </c>
      <c r="L474" s="2" t="n">
        <v>44874</v>
      </c>
      <c r="M474" s="170" t="n"/>
      <c r="N474" s="170" t="n">
        <v>3104278593</v>
      </c>
      <c r="O474" s="172" t="inlineStr">
        <is>
          <t>Daniel Uribe</t>
        </is>
      </c>
      <c r="P474" s="52" t="inlineStr">
        <is>
          <t>daniel.uribe@spcisas.com.co</t>
        </is>
      </c>
    </row>
    <row r="475">
      <c r="B475" s="170" t="n">
        <v>463</v>
      </c>
      <c r="C475" s="199" t="inlineStr">
        <is>
          <t>COTIZACION DE LOS DISEÑOS DE PROTECCIÓN CONTRA INCENDIOS Y SEGURIDAD HUMANA PARA EL PROYECTO MIURA</t>
        </is>
      </c>
      <c r="D475" s="312" t="n"/>
      <c r="E475" s="312" t="n"/>
      <c r="F475" s="312" t="n"/>
      <c r="G475" s="312" t="n"/>
      <c r="H475" s="312" t="n"/>
      <c r="I475" s="313" t="n"/>
      <c r="J475" s="199" t="inlineStr">
        <is>
          <t>Project Solutions Integral s.a.s</t>
        </is>
      </c>
      <c r="K475" s="314" t="n">
        <v>7960000</v>
      </c>
      <c r="L475" s="2" t="n">
        <v>44874</v>
      </c>
      <c r="M475" s="170" t="n"/>
      <c r="N475" s="170" t="n">
        <v>3113079477</v>
      </c>
      <c r="O475" s="172" t="inlineStr">
        <is>
          <t>Sebastián López Duque</t>
        </is>
      </c>
      <c r="P475" s="52" t="inlineStr">
        <is>
          <t>gerencia@projectsolutions.com.co</t>
        </is>
      </c>
    </row>
    <row r="476">
      <c r="B476" s="170" t="n">
        <v>464</v>
      </c>
      <c r="C476" s="199" t="inlineStr">
        <is>
          <t>COTIZACION DE LOS DISEÑOS DE PROTECCIÓN CONTRA INCENDIOS Y SEGURIDAD HUMANA PARA EL PROYECTO EDIFICIO SUEZ</t>
        </is>
      </c>
      <c r="D476" s="312" t="n"/>
      <c r="E476" s="312" t="n"/>
      <c r="F476" s="312" t="n"/>
      <c r="G476" s="312" t="n"/>
      <c r="H476" s="312" t="n"/>
      <c r="I476" s="313" t="n"/>
      <c r="J476" s="199" t="inlineStr">
        <is>
          <t>Project Solutions Integral s.a.s</t>
        </is>
      </c>
      <c r="K476" s="314" t="n">
        <v>7900000</v>
      </c>
      <c r="L476" s="2" t="n">
        <v>44874</v>
      </c>
      <c r="M476" s="170" t="n"/>
      <c r="N476" s="170" t="n">
        <v>3113079477</v>
      </c>
      <c r="O476" s="172" t="inlineStr">
        <is>
          <t>Sebastián López Duque</t>
        </is>
      </c>
      <c r="P476" s="52" t="inlineStr">
        <is>
          <t>gerencia@projectsolutions.com.co</t>
        </is>
      </c>
    </row>
    <row r="477">
      <c r="B477" s="170" t="n">
        <v>465</v>
      </c>
      <c r="C477" s="233" t="inlineStr">
        <is>
          <t xml:space="preserve">COTIZACION DE LOS DISEÑOS DE PROTECCIÓN CONTRA INCENDIOS Y SEGURIDAD HUMANA PARA EL PROYECTO CIRUELOS ETAPA 2
</t>
        </is>
      </c>
      <c r="D477" s="312" t="n"/>
      <c r="E477" s="312" t="n"/>
      <c r="F477" s="312" t="n"/>
      <c r="G477" s="312" t="n"/>
      <c r="H477" s="312" t="n"/>
      <c r="I477" s="313" t="n"/>
      <c r="J477" s="199" t="inlineStr">
        <is>
          <t>CONINSA RAMÓN H</t>
        </is>
      </c>
      <c r="K477" s="314" t="n">
        <v>29920000</v>
      </c>
      <c r="L477" s="2" t="n">
        <v>44874</v>
      </c>
      <c r="M477" s="170" t="n"/>
      <c r="N477" s="170" t="inlineStr">
        <is>
          <t>300 754 96 49</t>
        </is>
      </c>
      <c r="O477" s="172" t="inlineStr">
        <is>
          <t>Zully Milena López Molina</t>
        </is>
      </c>
      <c r="P477" s="52" t="inlineStr">
        <is>
          <t>zmlopez@coninsa.co</t>
        </is>
      </c>
    </row>
    <row r="478">
      <c r="B478" s="170" t="n">
        <v>466</v>
      </c>
      <c r="C478" s="199" t="inlineStr">
        <is>
          <t>COTIZACION DEL DIAGNÓSTICO DE SEGURIDAD HUMANA Y LOS SISTEMAS DE PROTECCIÓN CONTRA INCENIDOS PARA LA CLINICA IBANACO GRUPO QUIRON SALUD</t>
        </is>
      </c>
      <c r="D478" s="312" t="n"/>
      <c r="E478" s="312" t="n"/>
      <c r="F478" s="312" t="n"/>
      <c r="G478" s="312" t="n"/>
      <c r="H478" s="312" t="n"/>
      <c r="I478" s="313" t="n"/>
      <c r="J478" s="199" t="inlineStr">
        <is>
          <t>CLÍNICA IMBANACO</t>
        </is>
      </c>
      <c r="K478" s="314" t="n"/>
      <c r="L478" s="2" t="n">
        <v>44869</v>
      </c>
      <c r="M478" s="170" t="n"/>
      <c r="N478" s="170" t="n">
        <v>3205535416</v>
      </c>
      <c r="O478" s="172" t="inlineStr">
        <is>
          <t>Camilo Andrés Chávez Sandoval</t>
        </is>
      </c>
      <c r="P478" s="52" t="inlineStr">
        <is>
          <t>Camilo.Chavez@quironsalud.com</t>
        </is>
      </c>
    </row>
    <row r="479">
      <c r="B479" s="170" t="n">
        <v>467</v>
      </c>
      <c r="C479" s="233" t="inlineStr">
        <is>
          <t>COTIZACION DE LOS DISEÑOS DE PROTECCIÓN CONTRA INCENDIOS Y SEGURIDAD HUMANA PARA EL PROYECTO KUNA</t>
        </is>
      </c>
      <c r="D479" s="312" t="n"/>
      <c r="E479" s="312" t="n"/>
      <c r="F479" s="312" t="n"/>
      <c r="G479" s="312" t="n"/>
      <c r="H479" s="312" t="n"/>
      <c r="I479" s="313" t="n"/>
      <c r="J479" s="199" t="inlineStr">
        <is>
          <t>BIENES Y BIENES</t>
        </is>
      </c>
      <c r="K479" s="314" t="n">
        <v>13950000</v>
      </c>
      <c r="L479" s="2" t="n">
        <v>44873</v>
      </c>
      <c r="M479" s="170" t="inlineStr">
        <is>
          <t>X</t>
        </is>
      </c>
      <c r="N479" s="170" t="n">
        <v>3217324763</v>
      </c>
      <c r="O479" s="172" t="inlineStr">
        <is>
          <t>Angela Daniela Toro Cerón</t>
        </is>
      </c>
      <c r="P479" s="52" t="inlineStr">
        <is>
          <t>angela.toro@bienesybienes.com.co</t>
        </is>
      </c>
    </row>
    <row r="480">
      <c r="B480" s="170" t="n">
        <v>468</v>
      </c>
      <c r="C480" s="251" t="inlineStr">
        <is>
          <t>COTIZACION DEL ANÁLISIS DE SEGURIDAD HUMANA PARA EL PROYECTO GALERIA COMERCIAL</t>
        </is>
      </c>
      <c r="D480" s="312" t="n"/>
      <c r="E480" s="312" t="n"/>
      <c r="F480" s="312" t="n"/>
      <c r="G480" s="312" t="n"/>
      <c r="H480" s="312" t="n"/>
      <c r="I480" s="313" t="n"/>
      <c r="J480" s="199" t="inlineStr">
        <is>
          <t>CONDISEÑO</t>
        </is>
      </c>
      <c r="K480" s="314" t="n">
        <v>3950000</v>
      </c>
      <c r="L480" s="2" t="n">
        <v>44874</v>
      </c>
      <c r="M480" s="170" t="n"/>
      <c r="N480" s="170" t="n">
        <v>3175594091</v>
      </c>
      <c r="O480" s="172" t="inlineStr">
        <is>
          <t>Nakary Garcia Romero</t>
        </is>
      </c>
      <c r="P480" s="52" t="inlineStr">
        <is>
          <t>n.garcia@condiseno.co</t>
        </is>
      </c>
    </row>
    <row r="481">
      <c r="B481" s="170" t="n">
        <v>469</v>
      </c>
      <c r="C481" s="199" t="inlineStr">
        <is>
          <t>COTIZACION DEL DISEÑO DE DETECCIÓN DE INCENDIOS PARA EL PROYECTO PISO 6 EDIFICIO SELF MEDELLIN</t>
        </is>
      </c>
      <c r="D481" s="312" t="n"/>
      <c r="E481" s="312" t="n"/>
      <c r="F481" s="312" t="n"/>
      <c r="G481" s="312" t="n"/>
      <c r="H481" s="312" t="n"/>
      <c r="I481" s="313" t="n"/>
      <c r="J481" s="199" t="inlineStr">
        <is>
          <t>SPCI</t>
        </is>
      </c>
      <c r="K481" s="314" t="n">
        <v>1880000</v>
      </c>
      <c r="L481" s="2" t="n">
        <v>44874</v>
      </c>
      <c r="M481" s="170" t="n"/>
      <c r="N481" s="170" t="n">
        <v>3214826168</v>
      </c>
      <c r="O481" s="170" t="inlineStr">
        <is>
          <t>Ana Maria Restrepo Mayo</t>
        </is>
      </c>
      <c r="P481" s="52" t="inlineStr">
        <is>
          <t>ana.restrepo@spci.com.co</t>
        </is>
      </c>
    </row>
    <row r="482">
      <c r="B482" s="170" t="n">
        <v>470</v>
      </c>
      <c r="C482" s="246" t="inlineStr">
        <is>
          <t xml:space="preserve">COTIZACION DE LOS DISEÑOS DE PROTECCIÓN CONTRA INCENDIOS Y SEGURIDAD HUMANA PARA EL PROYECTO DE VIVIENDA SEGOVIA
</t>
        </is>
      </c>
      <c r="D482" s="312" t="n"/>
      <c r="E482" s="312" t="n"/>
      <c r="F482" s="312" t="n"/>
      <c r="G482" s="312" t="n"/>
      <c r="H482" s="312" t="n"/>
      <c r="I482" s="313" t="n"/>
      <c r="J482" s="199" t="inlineStr">
        <is>
          <t>Metalcimento</t>
        </is>
      </c>
      <c r="K482" s="314" t="n">
        <v>7900000</v>
      </c>
      <c r="L482" s="2" t="n">
        <v>44874</v>
      </c>
      <c r="M482" s="170" t="n"/>
      <c r="N482" s="170" t="n">
        <v>3238128214</v>
      </c>
      <c r="O482" s="172" t="inlineStr">
        <is>
          <t>JESUS ALBERTO MEZA ARCIA</t>
        </is>
      </c>
      <c r="P482" s="52" t="inlineStr">
        <is>
          <t>jmezaarcia@gmail.com</t>
        </is>
      </c>
    </row>
    <row r="483">
      <c r="B483" s="170" t="n">
        <v>471</v>
      </c>
      <c r="C483" s="199" t="inlineStr">
        <is>
          <t>COTIZACION DE LOS DISEÑOS DE PROTECCIÓN CONTRA INCENDIOS PARA EL PROYECTO SALON COMUNAL VILLA VENTURA</t>
        </is>
      </c>
      <c r="D483" s="312" t="n"/>
      <c r="E483" s="312" t="n"/>
      <c r="F483" s="312" t="n"/>
      <c r="G483" s="312" t="n"/>
      <c r="H483" s="312" t="n"/>
      <c r="I483" s="313" t="n"/>
      <c r="J483" s="199" t="inlineStr">
        <is>
          <t>SPCI</t>
        </is>
      </c>
      <c r="K483" s="314" t="n">
        <v>2250000</v>
      </c>
      <c r="L483" s="2" t="n">
        <v>44874</v>
      </c>
      <c r="M483" s="170" t="n"/>
      <c r="N483" s="170" t="n">
        <v>3104278593</v>
      </c>
      <c r="O483" s="172" t="inlineStr">
        <is>
          <t>Daniel Uribe</t>
        </is>
      </c>
      <c r="P483" s="52" t="inlineStr">
        <is>
          <t>daniel.uribe@spcisas.com.co</t>
        </is>
      </c>
    </row>
    <row r="484">
      <c r="B484" s="170" t="n">
        <v>472</v>
      </c>
      <c r="C484" s="199" t="inlineStr">
        <is>
          <t>COTIZACION DE REVISIÓN Y PRUEBAS DE LOS SISTEMAS DE PROTECCIÓN CONTRA INCENDIOS INSTALADOS Y LA SEGURIDAD HUMANA PARA EL PROYECTO OLIVE</t>
        </is>
      </c>
      <c r="D484" s="312" t="n"/>
      <c r="E484" s="312" t="n"/>
      <c r="F484" s="312" t="n"/>
      <c r="G484" s="312" t="n"/>
      <c r="H484" s="312" t="n"/>
      <c r="I484" s="313" t="n"/>
      <c r="J484" s="199" t="inlineStr">
        <is>
          <t>Gerencia Integral</t>
        </is>
      </c>
      <c r="K484" s="314" t="n">
        <v>7800000</v>
      </c>
      <c r="L484" s="2" t="n">
        <v>44874</v>
      </c>
      <c r="M484" s="170" t="n"/>
      <c r="N484" s="170" t="inlineStr">
        <is>
          <t>312 2967935</t>
        </is>
      </c>
      <c r="O484" s="172" t="inlineStr">
        <is>
          <t>Maria Teresa</t>
        </is>
      </c>
      <c r="P484" s="52" t="inlineStr">
        <is>
          <t>mlopez@hdgerenciaintegral.com</t>
        </is>
      </c>
    </row>
    <row r="485">
      <c r="B485" s="170" t="n">
        <v>473</v>
      </c>
      <c r="C485" s="199" t="inlineStr">
        <is>
          <t>COTIZACION DEL ANÁLISIS DE SEGURIDAD HUMANA PARA EL PROYECTO BODEGA TIPO N, TIPO O Y TIPO P</t>
        </is>
      </c>
      <c r="D485" s="312" t="n"/>
      <c r="E485" s="312" t="n"/>
      <c r="F485" s="312" t="n"/>
      <c r="G485" s="312" t="n"/>
      <c r="H485" s="312" t="n"/>
      <c r="I485" s="313" t="n"/>
      <c r="J485" s="199" t="inlineStr">
        <is>
          <t>CONCONCRETO</t>
        </is>
      </c>
      <c r="K485" s="314" t="n">
        <v>5050000</v>
      </c>
      <c r="L485" s="2" t="n">
        <v>44875</v>
      </c>
      <c r="M485" s="170" t="inlineStr">
        <is>
          <t>X</t>
        </is>
      </c>
      <c r="N485" s="170" t="n"/>
      <c r="O485" s="172" t="inlineStr">
        <is>
          <t>BIMBAU</t>
        </is>
      </c>
      <c r="P485" s="52" t="n"/>
    </row>
    <row r="486">
      <c r="B486" s="170" t="n">
        <v>474</v>
      </c>
      <c r="C486" s="199" t="inlineStr">
        <is>
          <t>COTIZACION DEL DISEÑO DE EXTINCIÓN DE INCENDIOS PARA EL PROYECTO REFORMA OFICINA MONITOREO CENTRO COMERCIAL VIVA COV SAN PEDRO</t>
        </is>
      </c>
      <c r="D486" s="312" t="n"/>
      <c r="E486" s="312" t="n"/>
      <c r="F486" s="312" t="n"/>
      <c r="G486" s="312" t="n"/>
      <c r="H486" s="312" t="n"/>
      <c r="I486" s="313" t="n"/>
      <c r="J486" s="199" t="inlineStr">
        <is>
          <t>SPCI</t>
        </is>
      </c>
      <c r="K486" s="314" t="n">
        <v>1250000</v>
      </c>
      <c r="L486" s="2" t="n">
        <v>44881</v>
      </c>
      <c r="M486" s="170" t="n"/>
      <c r="N486" s="170" t="n"/>
      <c r="O486" s="172" t="inlineStr">
        <is>
          <t>Juan Camilo Quintero Bedoya</t>
        </is>
      </c>
      <c r="P486" s="52" t="inlineStr">
        <is>
          <t>camilo.quintero@spci.com.co</t>
        </is>
      </c>
    </row>
    <row r="487">
      <c r="B487" s="170" t="n">
        <v>475</v>
      </c>
      <c r="C487" s="233" t="inlineStr">
        <is>
          <t>COTIZACION DE LOS DISEÑOS DE PROTECCIÓN CONTRA INCENDIOS PARA EL PROYECTO SUBESTACIONES ELECTRICAS</t>
        </is>
      </c>
      <c r="D487" s="312" t="n"/>
      <c r="E487" s="312" t="n"/>
      <c r="F487" s="312" t="n"/>
      <c r="G487" s="312" t="n"/>
      <c r="H487" s="312" t="n"/>
      <c r="I487" s="313" t="n"/>
      <c r="J487" s="199" t="inlineStr">
        <is>
          <t>SECURETEC</t>
        </is>
      </c>
      <c r="K487" s="314" t="n">
        <v>27600000</v>
      </c>
      <c r="L487" s="2" t="n">
        <v>44876</v>
      </c>
      <c r="M487" s="170" t="n"/>
      <c r="N487" s="170" t="n">
        <v>3206678830</v>
      </c>
      <c r="O487" s="172" t="inlineStr">
        <is>
          <t>Jhonny Castro</t>
        </is>
      </c>
      <c r="P487" s="52" t="inlineStr">
        <is>
          <t>dirproyectos@securetec.com.co</t>
        </is>
      </c>
    </row>
    <row r="488">
      <c r="B488" s="170" t="n">
        <v>476</v>
      </c>
      <c r="C488" s="233" t="inlineStr">
        <is>
          <t>COTIZACION DE LOS DISEÑOS DE PROTECCIÓN CONTRA INCENDIOS PARA EL PROYECTO SUBESTACIONES ELECTRICAS ESTADIO Y MAGDALENA</t>
        </is>
      </c>
      <c r="D488" s="312" t="n"/>
      <c r="E488" s="312" t="n"/>
      <c r="F488" s="312" t="n"/>
      <c r="G488" s="312" t="n"/>
      <c r="H488" s="312" t="n"/>
      <c r="I488" s="313" t="n"/>
      <c r="J488" s="199" t="inlineStr">
        <is>
          <t>SPCI</t>
        </is>
      </c>
      <c r="K488" s="314" t="n"/>
      <c r="L488" s="2" t="n">
        <v>44876</v>
      </c>
      <c r="M488" s="170" t="n"/>
      <c r="N488" s="170" t="n">
        <v>3104165783</v>
      </c>
      <c r="O488" s="172" t="inlineStr">
        <is>
          <t xml:space="preserve"> Cristiam Gustavo Mondragon Cortes</t>
        </is>
      </c>
      <c r="P488" s="52" t="inlineStr">
        <is>
          <t>cristiam.mondragon@spci.com.co</t>
        </is>
      </c>
    </row>
    <row r="489">
      <c r="B489" s="170" t="n">
        <v>477</v>
      </c>
      <c r="C489" s="199" t="inlineStr">
        <is>
          <t>COTIZACION DEL ANÁLISIS DE SEGURIDAD HUMANA - JADE</t>
        </is>
      </c>
      <c r="D489" s="312" t="n"/>
      <c r="E489" s="312" t="n"/>
      <c r="F489" s="312" t="n"/>
      <c r="G489" s="312" t="n"/>
      <c r="H489" s="312" t="n"/>
      <c r="I489" s="313" t="n"/>
      <c r="J489" s="199" t="inlineStr">
        <is>
          <t>=</t>
        </is>
      </c>
      <c r="K489" s="314" t="n">
        <v>6250000</v>
      </c>
      <c r="L489" s="2" t="n">
        <v>44881</v>
      </c>
      <c r="M489" s="170" t="n"/>
      <c r="N489" s="170" t="n">
        <v>350614861</v>
      </c>
      <c r="O489" s="172" t="inlineStr">
        <is>
          <t>Andrea Poveda Castrillón</t>
        </is>
      </c>
      <c r="P489" s="52" t="inlineStr">
        <is>
          <t>andrea.poveda@ospinas.com.co</t>
        </is>
      </c>
    </row>
    <row r="490">
      <c r="B490" s="170" t="n">
        <v>478</v>
      </c>
      <c r="C490" s="199" t="inlineStr">
        <is>
          <t>COTIZACION DE LOS DISEÑOS DE PROTECCIÓN CONTRA INCENDIOS PARA EL PROYECTO OFICINA 614</t>
        </is>
      </c>
      <c r="D490" s="312" t="n"/>
      <c r="E490" s="312" t="n"/>
      <c r="F490" s="312" t="n"/>
      <c r="G490" s="312" t="n"/>
      <c r="H490" s="312" t="n"/>
      <c r="I490" s="313" t="n"/>
      <c r="J490" s="199" t="inlineStr">
        <is>
          <t>SPCI</t>
        </is>
      </c>
      <c r="K490" s="314" t="n">
        <v>1880000</v>
      </c>
      <c r="L490" s="2" t="n">
        <v>44883</v>
      </c>
      <c r="M490" s="170" t="n"/>
      <c r="N490" s="170" t="n">
        <v>3137546144</v>
      </c>
      <c r="O490" s="172" t="inlineStr">
        <is>
          <t>Juan Camilo Quintero Bedoya</t>
        </is>
      </c>
      <c r="P490" s="52" t="inlineStr">
        <is>
          <t>camilo.quintero@spci.com.co</t>
        </is>
      </c>
    </row>
    <row r="491">
      <c r="B491" s="170" t="n">
        <v>479</v>
      </c>
      <c r="C491" s="246" t="inlineStr">
        <is>
          <t xml:space="preserve">COTIZACION DEL DISEÑO DE EXTINCIÓN DE INCENDIOS PARA EL PROYECTO OFICINA 1614 CCI
</t>
        </is>
      </c>
      <c r="D491" s="312" t="n"/>
      <c r="E491" s="312" t="n"/>
      <c r="F491" s="312" t="n"/>
      <c r="G491" s="312" t="n"/>
      <c r="H491" s="312" t="n"/>
      <c r="I491" s="313" t="n"/>
      <c r="J491" s="199" t="inlineStr">
        <is>
          <t>SPCI</t>
        </is>
      </c>
      <c r="K491" s="314" t="n">
        <v>1250000</v>
      </c>
      <c r="L491" s="2" t="n">
        <v>44883</v>
      </c>
      <c r="M491" s="170" t="n"/>
      <c r="N491" s="170" t="n">
        <v>3137546144</v>
      </c>
      <c r="O491" s="172" t="inlineStr">
        <is>
          <t>Juan Camilo Quintero Bedoya</t>
        </is>
      </c>
      <c r="P491" s="52" t="inlineStr">
        <is>
          <t>camilo.quintero@spci.com.co</t>
        </is>
      </c>
    </row>
    <row r="492">
      <c r="B492" s="170" t="n">
        <v>480</v>
      </c>
      <c r="C492" s="199" t="inlineStr">
        <is>
          <t>COTIZACION DEL DISEÑO DE DETECCIÓN DE INCENDIOS PARA EL PROYECTO ZONA DOS SUR</t>
        </is>
      </c>
      <c r="D492" s="312" t="n"/>
      <c r="E492" s="312" t="n"/>
      <c r="F492" s="312" t="n"/>
      <c r="G492" s="312" t="n"/>
      <c r="H492" s="312" t="n"/>
      <c r="I492" s="313" t="n"/>
      <c r="J492" s="199" t="inlineStr">
        <is>
          <t>SPCI</t>
        </is>
      </c>
      <c r="K492" s="314" t="n">
        <v>6270000</v>
      </c>
      <c r="L492" s="2" t="n">
        <v>44883</v>
      </c>
      <c r="M492" s="170" t="n"/>
      <c r="N492" s="170" t="n"/>
      <c r="O492" s="172" t="inlineStr">
        <is>
          <t>Cristiam Gustavo Mondragon Cortes</t>
        </is>
      </c>
      <c r="P492" s="52" t="inlineStr">
        <is>
          <t>cristiam.mondragon@spci.com.co</t>
        </is>
      </c>
    </row>
    <row r="493">
      <c r="B493" s="170" t="n">
        <v>481</v>
      </c>
      <c r="C493" s="199" t="inlineStr">
        <is>
          <t>COTIZACION DEL DISEÑO DE EXTINCIÓN DE INCENDIOS PARA EL PROYECTO PLAZA FABRICATO ETAPA 2</t>
        </is>
      </c>
      <c r="D493" s="312" t="n"/>
      <c r="E493" s="312" t="n"/>
      <c r="F493" s="312" t="n"/>
      <c r="G493" s="312" t="n"/>
      <c r="H493" s="312" t="n"/>
      <c r="I493" s="313" t="n"/>
      <c r="J493" s="254" t="inlineStr">
        <is>
          <t>intervet</t>
        </is>
      </c>
      <c r="K493" s="314" t="n">
        <v>14950000</v>
      </c>
      <c r="L493" s="2" t="n">
        <v>44883</v>
      </c>
      <c r="M493" s="170" t="inlineStr">
        <is>
          <t>X</t>
        </is>
      </c>
      <c r="N493" s="170" t="inlineStr">
        <is>
          <t xml:space="preserve"> 310 386 17 63</t>
        </is>
      </c>
      <c r="O493" s="172" t="inlineStr">
        <is>
          <t xml:space="preserve"> DARIO ANTONIO SALDARRIAGA RAMIREZ </t>
        </is>
      </c>
      <c r="P493" s="52" t="inlineStr">
        <is>
          <t>dsaldarriaga@interve.co</t>
        </is>
      </c>
    </row>
    <row r="494">
      <c r="B494" s="170" t="n">
        <v>482</v>
      </c>
      <c r="C494" s="246" t="inlineStr">
        <is>
          <t>COTIZACION DEL DISEÑO DE EXTINCIÓN DE INCENDIOS PARA EL PROYECTO LOCAL PLAA FABRICATO</t>
        </is>
      </c>
      <c r="D494" s="312" t="n"/>
      <c r="E494" s="312" t="n"/>
      <c r="F494" s="312" t="n"/>
      <c r="G494" s="312" t="n"/>
      <c r="H494" s="312" t="n"/>
      <c r="I494" s="313" t="n"/>
      <c r="J494" s="199" t="inlineStr">
        <is>
          <t>SPCI</t>
        </is>
      </c>
      <c r="K494" s="314" t="n">
        <v>1780000</v>
      </c>
      <c r="L494" s="2" t="n">
        <v>44886</v>
      </c>
      <c r="M494" s="170" t="n"/>
      <c r="N494" s="170" t="n">
        <v>3146920966</v>
      </c>
      <c r="O494" s="84" t="inlineStr">
        <is>
          <t>Daniel Uribe Sierra</t>
        </is>
      </c>
      <c r="P494" s="82" t="inlineStr">
        <is>
          <t>daniel.uribe@spci.com.co</t>
        </is>
      </c>
    </row>
    <row r="495">
      <c r="B495" s="170" t="n">
        <v>483</v>
      </c>
      <c r="C495" s="199" t="inlineStr">
        <is>
          <t>COTIZACION DE LOS DISEÑOS DE PROTECCIÓN CONTRA INCENDIOS Y SEGURIDAD HUMANA PARA EL PROYECTO LOCALIZA LAS VEGAS PISO 2</t>
        </is>
      </c>
      <c r="D495" s="312" t="n"/>
      <c r="E495" s="312" t="n"/>
      <c r="F495" s="312" t="n"/>
      <c r="G495" s="312" t="n"/>
      <c r="H495" s="312" t="n"/>
      <c r="I495" s="313" t="n"/>
      <c r="J495" s="199" t="inlineStr">
        <is>
          <t>CONDISEÑO</t>
        </is>
      </c>
      <c r="K495" s="314" t="n">
        <v>3880000</v>
      </c>
      <c r="L495" s="2" t="n">
        <v>44887</v>
      </c>
      <c r="M495" s="170" t="n"/>
      <c r="N495" s="170" t="n">
        <v>3175594091</v>
      </c>
      <c r="O495" s="170" t="inlineStr">
        <is>
          <t xml:space="preserve">Nakary Garcia Romero </t>
        </is>
      </c>
      <c r="P495" s="82" t="inlineStr">
        <is>
          <t>n.garcia@condiseno.co</t>
        </is>
      </c>
    </row>
    <row r="496">
      <c r="B496" s="170" t="n">
        <v>484</v>
      </c>
      <c r="C496" s="233" t="inlineStr">
        <is>
          <t xml:space="preserve">COTIZACION DE LOS DISEÑOS DE PROTECCIÓN CONTRA INCENDIOS Y SEGURIDAD HUMANA PARA EL PROYECTO BOSKE
</t>
        </is>
      </c>
      <c r="D496" s="312" t="n"/>
      <c r="E496" s="312" t="n"/>
      <c r="F496" s="312" t="n"/>
      <c r="G496" s="312" t="n"/>
      <c r="H496" s="312" t="n"/>
      <c r="I496" s="313" t="n"/>
      <c r="J496" s="199" t="inlineStr">
        <is>
          <t>FCR SAS</t>
        </is>
      </c>
      <c r="K496" s="314" t="n">
        <v>23950000</v>
      </c>
      <c r="L496" s="2" t="n">
        <v>44888</v>
      </c>
      <c r="M496" s="170" t="n"/>
      <c r="N496" s="170" t="n"/>
      <c r="O496" s="172" t="inlineStr">
        <is>
          <t>Judith Elena Trujillo Ramírez</t>
        </is>
      </c>
      <c r="P496" s="52" t="inlineStr">
        <is>
          <t>judithelenatrujillo@gmail.com</t>
        </is>
      </c>
    </row>
    <row r="497">
      <c r="B497" s="170" t="n">
        <v>485</v>
      </c>
      <c r="C497" s="199" t="inlineStr">
        <is>
          <t>COTIZACION DEL DISEÑO DE EXTINCIÓN DE INCENDIOS PARA EL PROYECTO CAVAS BODEGA LEBRIJA</t>
        </is>
      </c>
      <c r="D497" s="312" t="n"/>
      <c r="E497" s="312" t="n"/>
      <c r="F497" s="312" t="n"/>
      <c r="G497" s="312" t="n"/>
      <c r="H497" s="312" t="n"/>
      <c r="I497" s="313" t="n"/>
      <c r="J497" s="199" t="inlineStr">
        <is>
          <t>SPCI</t>
        </is>
      </c>
      <c r="K497" s="314" t="n">
        <v>7500000</v>
      </c>
      <c r="L497" s="2" t="n">
        <v>44889</v>
      </c>
      <c r="M497" s="170" t="inlineStr">
        <is>
          <t>X</t>
        </is>
      </c>
      <c r="N497" s="170" t="n">
        <v>3104278593</v>
      </c>
      <c r="O497" s="170" t="inlineStr">
        <is>
          <t>Daniel Uribe Sierra</t>
        </is>
      </c>
      <c r="P497" s="52" t="inlineStr">
        <is>
          <t>daniel.uribe@spci.com.co</t>
        </is>
      </c>
    </row>
    <row r="498">
      <c r="B498" s="170" t="n">
        <v>486</v>
      </c>
      <c r="C498" s="199" t="inlineStr">
        <is>
          <t>COTIZACION DE LA REVISIÓN DEL DISEÑO DE EXTINCIÓN DE INCENDIOS PARA EL PROYECTO BODEGA LEBRIJA</t>
        </is>
      </c>
      <c r="D498" s="312" t="n"/>
      <c r="E498" s="312" t="n"/>
      <c r="F498" s="312" t="n"/>
      <c r="G498" s="312" t="n"/>
      <c r="H498" s="312" t="n"/>
      <c r="I498" s="313" t="n"/>
      <c r="J498" s="199" t="inlineStr">
        <is>
          <t>SPCI</t>
        </is>
      </c>
      <c r="K498" s="314" t="n">
        <v>3000000</v>
      </c>
      <c r="L498" s="2" t="n">
        <v>44889</v>
      </c>
      <c r="M498" s="170" t="inlineStr">
        <is>
          <t>X</t>
        </is>
      </c>
      <c r="N498" s="170" t="n">
        <v>3104278593</v>
      </c>
      <c r="O498" s="170" t="inlineStr">
        <is>
          <t>Daniel Uribe Sierra</t>
        </is>
      </c>
      <c r="P498" s="52" t="inlineStr">
        <is>
          <t>daniel.uribe@spci.com.co</t>
        </is>
      </c>
    </row>
    <row r="499">
      <c r="B499" s="170" t="n">
        <v>487</v>
      </c>
      <c r="C499" s="199" t="inlineStr">
        <is>
          <t>COTIZACION DE LOS DISEÑOS DE PROTECCIÓN CONTRA INCENDIOS Y SEGURIDAD HUMANA PARA EL PROYECTO UNIVERSIDAD EIA BLOQUE A</t>
        </is>
      </c>
      <c r="D499" s="312" t="n"/>
      <c r="E499" s="312" t="n"/>
      <c r="F499" s="312" t="n"/>
      <c r="G499" s="312" t="n"/>
      <c r="H499" s="312" t="n"/>
      <c r="I499" s="313" t="n"/>
      <c r="J499" s="199" t="inlineStr">
        <is>
          <t>INTERVE</t>
        </is>
      </c>
      <c r="K499" s="314" t="n">
        <v>18950000</v>
      </c>
      <c r="L499" s="2" t="n">
        <v>44889</v>
      </c>
      <c r="M499" s="170" t="n"/>
      <c r="N499" s="170" t="n">
        <v>3004659012</v>
      </c>
      <c r="O499" s="172" t="inlineStr">
        <is>
          <t>MARTHA LUCIA FERRER BOTERO</t>
        </is>
      </c>
      <c r="P499" s="52" t="inlineStr">
        <is>
          <t>mferrer@interve.co</t>
        </is>
      </c>
    </row>
    <row r="500">
      <c r="B500" s="170" t="n">
        <v>488</v>
      </c>
      <c r="C500" s="233" t="inlineStr">
        <is>
          <t>COTIZACION DE LOS DISEÑOS DE PROTECCIÓN CONTRA INCENDIOS Y SEGURIDAD HUMANA PARA EL PROYECTO FANTASIA TORRE 1</t>
        </is>
      </c>
      <c r="D500" s="312" t="n"/>
      <c r="E500" s="312" t="n"/>
      <c r="F500" s="312" t="n"/>
      <c r="G500" s="312" t="n"/>
      <c r="H500" s="312" t="n"/>
      <c r="I500" s="313" t="n"/>
      <c r="J500" s="199" t="inlineStr">
        <is>
          <t>VERTICE</t>
        </is>
      </c>
      <c r="K500" s="314" t="n">
        <v>28970000</v>
      </c>
      <c r="L500" s="2" t="n">
        <v>44889</v>
      </c>
      <c r="M500" s="170" t="n"/>
      <c r="N500" s="170" t="inlineStr">
        <is>
          <t xml:space="preserve">(604) 4486800 Ext. 172 </t>
        </is>
      </c>
      <c r="O500" s="172" t="inlineStr">
        <is>
          <t>Luz Aleidy Cuartas Perez</t>
        </is>
      </c>
      <c r="P500" s="89" t="inlineStr">
        <is>
          <t>l.cuartas@verticeing.com</t>
        </is>
      </c>
    </row>
    <row r="501">
      <c r="B501" s="170" t="n">
        <v>489</v>
      </c>
      <c r="C501" s="233" t="inlineStr">
        <is>
          <t>COTIZACION DE LOS DISEÑOS DE PROTECCIÓN CONTRA INCENDIOS Y SEGURIDAD HUMANA PARA EL PROYECTO UNIVERSIDAD EIA BLOQUE A</t>
        </is>
      </c>
      <c r="D501" s="312" t="n"/>
      <c r="E501" s="312" t="n"/>
      <c r="F501" s="312" t="n"/>
      <c r="G501" s="312" t="n"/>
      <c r="H501" s="312" t="n"/>
      <c r="I501" s="313" t="n"/>
      <c r="J501" s="199" t="inlineStr">
        <is>
          <t>SPCI</t>
        </is>
      </c>
      <c r="K501" s="314" t="n">
        <v>18950000</v>
      </c>
      <c r="L501" s="2" t="n">
        <v>44889</v>
      </c>
      <c r="M501" s="170" t="n"/>
      <c r="N501" s="170" t="n">
        <v>3104165783</v>
      </c>
      <c r="O501" s="172" t="inlineStr">
        <is>
          <t xml:space="preserve">Cristiam Gustavo Mondragon Cortes </t>
        </is>
      </c>
      <c r="P501" s="52" t="inlineStr">
        <is>
          <t>cristiam.mondragon@spci.com.co</t>
        </is>
      </c>
    </row>
    <row r="502">
      <c r="B502" s="170" t="n">
        <v>490</v>
      </c>
      <c r="C502" s="199" t="inlineStr">
        <is>
          <t>COTIZACION DEL ANÁLISIS DE SEGURIDAD HUMANA PARA EL PROYECTO HOSPITAL UNIVERSITARIO SAN IGNACIO</t>
        </is>
      </c>
      <c r="D502" s="312" t="n"/>
      <c r="E502" s="312" t="n"/>
      <c r="F502" s="312" t="n"/>
      <c r="G502" s="312" t="n"/>
      <c r="H502" s="312" t="n"/>
      <c r="I502" s="313" t="n"/>
      <c r="J502" s="199" t="inlineStr">
        <is>
          <t>CONCONCRETO</t>
        </is>
      </c>
      <c r="K502" s="314" t="n">
        <v>7900000</v>
      </c>
      <c r="L502" s="2" t="n">
        <v>44889</v>
      </c>
      <c r="M502" s="170" t="n"/>
      <c r="N502" s="170" t="n">
        <v>3003675022</v>
      </c>
      <c r="O502" s="84" t="inlineStr">
        <is>
          <t>Andres Restrepo Escobar</t>
        </is>
      </c>
      <c r="P502" s="85" t="inlineStr">
        <is>
          <t>arestrepoe@conconcreto.com</t>
        </is>
      </c>
    </row>
    <row r="503">
      <c r="B503" s="170" t="n">
        <v>491</v>
      </c>
      <c r="C503" s="199" t="inlineStr">
        <is>
          <t>COTIZACION DEL DISEÑO DE EXTINCIÓN DE INCENDIOS PARA EL PROYECTO EDIFICIO DE 3.400 M2</t>
        </is>
      </c>
      <c r="D503" s="312" t="n"/>
      <c r="E503" s="312" t="n"/>
      <c r="F503" s="312" t="n"/>
      <c r="G503" s="312" t="n"/>
      <c r="H503" s="312" t="n"/>
      <c r="I503" s="313" t="n"/>
      <c r="J503" s="199" t="inlineStr">
        <is>
          <t>SPCI</t>
        </is>
      </c>
      <c r="K503" s="314" t="n">
        <v>11290000</v>
      </c>
      <c r="L503" s="2" t="n">
        <v>44889</v>
      </c>
      <c r="M503" s="170" t="n"/>
      <c r="N503" s="170" t="n">
        <v>3104165783</v>
      </c>
      <c r="O503" s="172" t="inlineStr">
        <is>
          <t>Cristiam Gustavo Mondragon Cortes</t>
        </is>
      </c>
      <c r="P503" s="52" t="inlineStr">
        <is>
          <t>cristiam.mondragon@spci.com.co</t>
        </is>
      </c>
    </row>
    <row r="504">
      <c r="B504" s="170" t="n">
        <v>492</v>
      </c>
      <c r="C504" s="199" t="inlineStr">
        <is>
          <t>COTIZACION DEL DISEÑO DE EXTINCIÓN DE INCENDIOS - COLTEFINANCIERA P6</t>
        </is>
      </c>
      <c r="D504" s="312" t="n"/>
      <c r="E504" s="312" t="n"/>
      <c r="F504" s="312" t="n"/>
      <c r="G504" s="312" t="n"/>
      <c r="H504" s="312" t="n"/>
      <c r="I504" s="313" t="n"/>
      <c r="J504" s="199" t="inlineStr">
        <is>
          <t>HIDRÁULICA Y MONTAJES</t>
        </is>
      </c>
      <c r="K504" s="314" t="n">
        <v>1950000</v>
      </c>
      <c r="L504" s="2" t="n">
        <v>44890</v>
      </c>
      <c r="M504" s="170" t="n"/>
      <c r="N504" s="170" t="n">
        <v>3014487912</v>
      </c>
      <c r="O504" s="39" t="inlineStr">
        <is>
          <t>Evelin Rojas</t>
        </is>
      </c>
      <c r="P504" s="52" t="inlineStr">
        <is>
          <t>hidraulicaymontajes@gmail.com</t>
        </is>
      </c>
    </row>
    <row r="505">
      <c r="B505" s="170" t="n">
        <v>493</v>
      </c>
      <c r="C505" s="199" t="inlineStr">
        <is>
          <t>COTIZACION DE LOS DISEÑOS DE SEGURIDAD HUMANA Y PROTECCIÓN CONTRA INCENDIOS - VIVA 1A IPS ENVIGADO</t>
        </is>
      </c>
      <c r="D505" s="312" t="n"/>
      <c r="E505" s="312" t="n"/>
      <c r="F505" s="312" t="n"/>
      <c r="G505" s="312" t="n"/>
      <c r="H505" s="312" t="n"/>
      <c r="I505" s="313" t="n"/>
      <c r="J505" s="199" t="inlineStr">
        <is>
          <t>VIVA 1A IPS</t>
        </is>
      </c>
      <c r="K505" s="314" t="n">
        <v>9790000</v>
      </c>
      <c r="L505" s="2" t="n">
        <v>44891</v>
      </c>
      <c r="M505" s="170" t="inlineStr">
        <is>
          <t>X</t>
        </is>
      </c>
      <c r="N505" s="170" t="inlineStr">
        <is>
          <t>320 2161792</t>
        </is>
      </c>
      <c r="O505" s="172" t="inlineStr">
        <is>
          <t>Carlos Andrés López</t>
        </is>
      </c>
      <c r="P505" s="52" t="inlineStr">
        <is>
          <t>clopez@viva1a.com.co</t>
        </is>
      </c>
    </row>
    <row r="506">
      <c r="B506" s="170" t="n">
        <v>494</v>
      </c>
      <c r="C506" s="199" t="inlineStr">
        <is>
          <t>COTIZACION DE LOS DISEÑOS DE PROTECCIÓN CONTRA INCENDIOS - EDIFICIO LA MARIA</t>
        </is>
      </c>
      <c r="D506" s="312" t="n"/>
      <c r="E506" s="312" t="n"/>
      <c r="F506" s="312" t="n"/>
      <c r="G506" s="312" t="n"/>
      <c r="H506" s="312" t="n"/>
      <c r="I506" s="313" t="n"/>
      <c r="J506" s="199" t="inlineStr">
        <is>
          <t>RCIGASYREDES</t>
        </is>
      </c>
      <c r="K506" s="314" t="n">
        <v>5640000</v>
      </c>
      <c r="L506" s="2" t="n">
        <v>44893</v>
      </c>
      <c r="M506" s="170" t="n"/>
      <c r="N506" s="170" t="inlineStr">
        <is>
          <t>320 3334448</t>
        </is>
      </c>
      <c r="O506" s="172" t="inlineStr">
        <is>
          <t xml:space="preserve">Francy González </t>
        </is>
      </c>
      <c r="P506" s="52" t="inlineStr">
        <is>
          <t>rcigasyredes@gmail.com</t>
        </is>
      </c>
    </row>
    <row r="507" ht="15" customHeight="1">
      <c r="B507" s="170" t="n">
        <v>495</v>
      </c>
      <c r="C507" s="199" t="inlineStr">
        <is>
          <t xml:space="preserve">
COTIZACION DE LOS DISEÑOS DE PROTECCIÓN CONTRA INCENDIOS PARA EL PROYECTO FABRICA DE MUEBLES</t>
        </is>
      </c>
      <c r="D507" s="312" t="n"/>
      <c r="E507" s="312" t="n"/>
      <c r="F507" s="312" t="n"/>
      <c r="G507" s="312" t="n"/>
      <c r="H507" s="312" t="n"/>
      <c r="I507" s="313" t="n"/>
      <c r="J507" s="199" t="inlineStr">
        <is>
          <t>Mercomputo</t>
        </is>
      </c>
      <c r="K507" s="314" t="n">
        <v>12950000</v>
      </c>
      <c r="L507" s="2" t="n">
        <v>44893</v>
      </c>
      <c r="M507" s="170" t="n"/>
      <c r="N507" s="170" t="n">
        <v>3164002004</v>
      </c>
      <c r="O507" s="172" t="inlineStr">
        <is>
          <t>Eduardo Castro P.</t>
        </is>
      </c>
      <c r="P507" s="52" t="inlineStr">
        <is>
          <t>info@mercomputo.com</t>
        </is>
      </c>
    </row>
    <row r="508">
      <c r="B508" s="170" t="n">
        <v>496</v>
      </c>
      <c r="C508" s="233" t="inlineStr">
        <is>
          <t>COTIZACION DE LOS DISEÑOS DE PROTECCIÓN CONTRA INCENDIOS PARA EL PROYECTO LOCAL MEDIPIEL VIVA LAURELES</t>
        </is>
      </c>
      <c r="D508" s="312" t="n"/>
      <c r="E508" s="312" t="n"/>
      <c r="F508" s="312" t="n"/>
      <c r="G508" s="312" t="n"/>
      <c r="H508" s="312" t="n"/>
      <c r="I508" s="313" t="n"/>
      <c r="J508" s="199" t="inlineStr">
        <is>
          <t>SPCI</t>
        </is>
      </c>
      <c r="K508" s="314" t="n">
        <v>2450000</v>
      </c>
      <c r="L508" s="2" t="n">
        <v>44894</v>
      </c>
      <c r="M508" s="170" t="n"/>
      <c r="N508" s="170" t="n">
        <v>3104165783</v>
      </c>
      <c r="O508" s="172" t="inlineStr">
        <is>
          <t xml:space="preserve"> Cristiam Gustavo Mondragon Cortes</t>
        </is>
      </c>
      <c r="P508" s="52" t="inlineStr">
        <is>
          <t>cristiam.mondragon@spci.com.co</t>
        </is>
      </c>
    </row>
    <row r="509" ht="15" customHeight="1">
      <c r="B509" s="170" t="n">
        <v>497</v>
      </c>
      <c r="C509" s="233" t="inlineStr">
        <is>
          <t>COTIZACION DEL DISEÑO DE EXTINCIÓN DE INCENDIOS PARA EL PROYECTO BODEGA 254 ZONA FRANCA</t>
        </is>
      </c>
      <c r="D509" s="312" t="n"/>
      <c r="E509" s="312" t="n"/>
      <c r="F509" s="312" t="n"/>
      <c r="G509" s="312" t="n"/>
      <c r="H509" s="312" t="n"/>
      <c r="I509" s="313" t="n"/>
      <c r="J509" s="199" t="inlineStr">
        <is>
          <t>CONVEL</t>
        </is>
      </c>
      <c r="K509" s="314" t="n">
        <v>9950000</v>
      </c>
      <c r="L509" s="2" t="n">
        <v>44894</v>
      </c>
      <c r="M509" s="170" t="n"/>
      <c r="N509" s="170" t="inlineStr">
        <is>
          <t>350 88 66 ext. 148</t>
        </is>
      </c>
      <c r="O509" s="172" t="inlineStr">
        <is>
          <t>Santiago Isaza Uribe</t>
        </is>
      </c>
      <c r="P509" s="52" t="inlineStr">
        <is>
          <t>santiagoisaza@convel.co</t>
        </is>
      </c>
    </row>
    <row r="510">
      <c r="B510" s="170" t="n">
        <v>498</v>
      </c>
      <c r="C510" s="199" t="inlineStr">
        <is>
          <t>COTIZACION DEL DISEÑO DE DETECCIÓN DE INCENDIOS PARA EL PROYECTO PDC</t>
        </is>
      </c>
      <c r="D510" s="312" t="n"/>
      <c r="E510" s="312" t="n"/>
      <c r="F510" s="312" t="n"/>
      <c r="G510" s="312" t="n"/>
      <c r="H510" s="312" t="n"/>
      <c r="I510" s="313" t="n"/>
      <c r="J510" s="199" t="inlineStr">
        <is>
          <t>SERIINCO</t>
        </is>
      </c>
      <c r="K510" s="314" t="n">
        <v>14950000</v>
      </c>
      <c r="L510" s="2" t="n">
        <v>44895</v>
      </c>
      <c r="M510" s="170" t="n"/>
      <c r="N510" s="170" t="n">
        <v>3113391008</v>
      </c>
      <c r="O510" s="172" t="inlineStr">
        <is>
          <t>Carlos Enrique Henao</t>
        </is>
      </c>
      <c r="P510" s="52" t="inlineStr">
        <is>
          <t>carlos.henao@seriinco.com</t>
        </is>
      </c>
    </row>
    <row r="511">
      <c r="B511" s="170" t="n">
        <v>499</v>
      </c>
      <c r="C511" s="199" t="inlineStr">
        <is>
          <t>COTIZACION DE LOS DISEÑOS DE SEGURIDAD HUMANA Y PROTECCIÓN CONTRA INCENDIOS - VIVA 1A IPS ENVIGADO</t>
        </is>
      </c>
      <c r="D511" s="312" t="n"/>
      <c r="E511" s="312" t="n"/>
      <c r="F511" s="312" t="n"/>
      <c r="G511" s="312" t="n"/>
      <c r="H511" s="312" t="n"/>
      <c r="I511" s="313" t="n"/>
      <c r="J511" s="199" t="inlineStr">
        <is>
          <t>SPCI</t>
        </is>
      </c>
      <c r="K511" s="314" t="n">
        <v>9790000</v>
      </c>
      <c r="L511" s="2" t="n">
        <v>44895</v>
      </c>
      <c r="M511" s="170" t="inlineStr">
        <is>
          <t>X</t>
        </is>
      </c>
      <c r="N511" s="170" t="n">
        <v>3104165783</v>
      </c>
      <c r="O511" s="172" t="inlineStr">
        <is>
          <t>Cristiam Gustavo Mondragon Cortes</t>
        </is>
      </c>
      <c r="P511" s="52" t="inlineStr">
        <is>
          <t>cristiam.mondragon@spci.com.co</t>
        </is>
      </c>
    </row>
    <row r="512">
      <c r="B512" s="170" t="n">
        <v>500</v>
      </c>
      <c r="C512" s="199" t="inlineStr">
        <is>
          <t>COTIZACION DE LOS DISEÑOS DE PROTECCIÓN CONTRA INCENDIOS Y SEGURIDAD HUMANA PARA EL PROYECTO CENTRO COMERCIAL SAN PEDRO DE URABA</t>
        </is>
      </c>
      <c r="D512" s="312" t="n"/>
      <c r="E512" s="312" t="n"/>
      <c r="F512" s="312" t="n"/>
      <c r="G512" s="312" t="n"/>
      <c r="H512" s="312" t="n"/>
      <c r="I512" s="313" t="n"/>
      <c r="J512" s="199" t="inlineStr">
        <is>
          <t>Project Solutions Integral s.a.s</t>
        </is>
      </c>
      <c r="K512" s="314" t="n">
        <v>14420000</v>
      </c>
      <c r="L512" s="2" t="n">
        <v>44901</v>
      </c>
      <c r="M512" s="170" t="n"/>
      <c r="N512" s="170" t="inlineStr">
        <is>
          <t>311 3079477</t>
        </is>
      </c>
      <c r="O512" s="172" t="inlineStr">
        <is>
          <t xml:space="preserve">Sebastian Lopez </t>
        </is>
      </c>
      <c r="P512" s="52" t="inlineStr">
        <is>
          <t>gerencia@projectsolutions.com.co</t>
        </is>
      </c>
    </row>
    <row r="513">
      <c r="B513" s="170" t="n">
        <v>501</v>
      </c>
      <c r="C513" s="199" t="inlineStr">
        <is>
          <t>COTIZACION DEL DISEÑO DE EXTINCIÓN DE INCENDIOS PARA EL PROYECTO BELLOTA PARQUE INDUSTRIAL JUANCHITO</t>
        </is>
      </c>
      <c r="D513" s="312" t="n"/>
      <c r="E513" s="312" t="n"/>
      <c r="F513" s="312" t="n"/>
      <c r="G513" s="312" t="n"/>
      <c r="H513" s="312" t="n"/>
      <c r="I513" s="313" t="n"/>
      <c r="J513" s="199" t="inlineStr">
        <is>
          <t>SPCI</t>
        </is>
      </c>
      <c r="K513" s="314" t="n">
        <v>24950000</v>
      </c>
      <c r="L513" s="2" t="n">
        <v>44901</v>
      </c>
      <c r="M513" s="170" t="n"/>
      <c r="N513" s="170" t="n">
        <v>3104165783</v>
      </c>
      <c r="O513" s="172" t="inlineStr">
        <is>
          <t>Cristiam Gustavo Mondragon Cortes</t>
        </is>
      </c>
      <c r="P513" s="52" t="inlineStr">
        <is>
          <t>cristiam.mondragon@spci.com.co</t>
        </is>
      </c>
    </row>
    <row r="514">
      <c r="B514" s="170" t="n">
        <v>502</v>
      </c>
      <c r="C514" s="246" t="inlineStr">
        <is>
          <t>COTIZACION REVISIÓN Y PRUEBAS SISTEMA EXTINCIÓN DE INCENDIOS INSTALADOS PARA EL PROYECTO QBOX</t>
        </is>
      </c>
      <c r="D514" s="312" t="n"/>
      <c r="E514" s="312" t="n"/>
      <c r="F514" s="312" t="n"/>
      <c r="G514" s="312" t="n"/>
      <c r="H514" s="312" t="n"/>
      <c r="I514" s="313" t="n"/>
      <c r="J514" s="199" t="inlineStr">
        <is>
          <t>Gerencia Integral</t>
        </is>
      </c>
      <c r="K514" s="314" t="n">
        <v>7450000</v>
      </c>
      <c r="L514" s="2" t="n">
        <v>44900</v>
      </c>
      <c r="M514" s="170" t="n"/>
      <c r="N514" s="170" t="inlineStr">
        <is>
          <t>57 312 2967935</t>
        </is>
      </c>
      <c r="O514" s="172" t="inlineStr">
        <is>
          <t>Maria Teresa</t>
        </is>
      </c>
      <c r="P514" s="52" t="inlineStr">
        <is>
          <t>mlopez@hdgerenciaintegral.com</t>
        </is>
      </c>
    </row>
    <row r="515">
      <c r="B515" s="170" t="n">
        <v>503</v>
      </c>
      <c r="C515" s="246" t="inlineStr">
        <is>
          <t xml:space="preserve">COTIZACION DEL ANÁLISIS DE SEGURIDAD HUMANA PARA EL PROYECTO CENTRO DE FE Y ESPERANZA
</t>
        </is>
      </c>
      <c r="D515" s="312" t="n"/>
      <c r="E515" s="312" t="n"/>
      <c r="F515" s="312" t="n"/>
      <c r="G515" s="312" t="n"/>
      <c r="H515" s="312" t="n"/>
      <c r="I515" s="313" t="n"/>
      <c r="J515" s="199" t="inlineStr">
        <is>
          <t>MARIA GONZALEZ</t>
        </is>
      </c>
      <c r="K515" s="314" t="n">
        <v>7950000</v>
      </c>
      <c r="L515" s="2" t="n">
        <v>44900</v>
      </c>
      <c r="M515" s="170" t="inlineStr">
        <is>
          <t>X</t>
        </is>
      </c>
      <c r="N515" s="170" t="n"/>
      <c r="O515" s="172" t="inlineStr">
        <is>
          <t>Maria Gonzalez</t>
        </is>
      </c>
      <c r="P515" s="89" t="inlineStr">
        <is>
          <t>maria1998gonzalez@hotmail.com</t>
        </is>
      </c>
    </row>
    <row r="516">
      <c r="B516" s="170" t="n">
        <v>504</v>
      </c>
      <c r="C516" s="199" t="inlineStr">
        <is>
          <t>COTIZACION DEL DISEÑO DE EXTINCIÓN DE INCENDIOS - INZOLENTE ROOFTOP</t>
        </is>
      </c>
      <c r="D516" s="312" t="n"/>
      <c r="E516" s="312" t="n"/>
      <c r="F516" s="312" t="n"/>
      <c r="G516" s="312" t="n"/>
      <c r="H516" s="312" t="n"/>
      <c r="I516" s="313" t="n"/>
      <c r="J516" s="199" t="inlineStr">
        <is>
          <t>Project Solutions Integral s.a.s</t>
        </is>
      </c>
      <c r="K516" s="314" t="n">
        <v>1350000</v>
      </c>
      <c r="L516" s="2" t="n">
        <v>44901</v>
      </c>
      <c r="M516" s="170" t="n"/>
      <c r="N516" s="170" t="inlineStr">
        <is>
          <t>311 3079477</t>
        </is>
      </c>
      <c r="O516" s="172" t="inlineStr">
        <is>
          <t xml:space="preserve">Sebastian López </t>
        </is>
      </c>
      <c r="P516" s="52" t="inlineStr">
        <is>
          <t>gerencia@projectsolutions.com.co</t>
        </is>
      </c>
    </row>
    <row r="517">
      <c r="B517" s="170" t="n">
        <v>505</v>
      </c>
      <c r="C517" s="199" t="inlineStr">
        <is>
          <t>COTIZACION DE LOS DISEÑOS DE PROTECCIÓN CONTRA INCENDIOS PARA EL PROYECTO HALL CAJEROS AEROPUERTO QUIBDÓ</t>
        </is>
      </c>
      <c r="D517" s="312" t="n"/>
      <c r="E517" s="312" t="n"/>
      <c r="F517" s="312" t="n"/>
      <c r="G517" s="312" t="n"/>
      <c r="H517" s="312" t="n"/>
      <c r="I517" s="313" t="n"/>
      <c r="J517" s="199" t="inlineStr">
        <is>
          <t>Santiago Rojas</t>
        </is>
      </c>
      <c r="K517" s="314" t="n">
        <v>1640000</v>
      </c>
      <c r="L517" s="2" t="n">
        <v>44901</v>
      </c>
      <c r="M517" s="170" t="n"/>
      <c r="N517" s="170" t="n"/>
      <c r="O517" s="172" t="inlineStr">
        <is>
          <t>Aurora</t>
        </is>
      </c>
      <c r="P517" s="52" t="n"/>
    </row>
    <row r="518">
      <c r="B518" s="170" t="n">
        <v>506</v>
      </c>
      <c r="C518" s="199" t="inlineStr">
        <is>
          <t>COTIZACION DE LOS DISEÑOS DE PROTECCIÓN CONTRA INCENDIOS PARA EL PROYECTO OFICINA CORTEZZA</t>
        </is>
      </c>
      <c r="D518" s="312" t="n"/>
      <c r="E518" s="312" t="n"/>
      <c r="F518" s="312" t="n"/>
      <c r="G518" s="312" t="n"/>
      <c r="H518" s="312" t="n"/>
      <c r="I518" s="313" t="n"/>
      <c r="J518" s="199" t="inlineStr">
        <is>
          <t>SPCI</t>
        </is>
      </c>
      <c r="K518" s="314" t="n">
        <v>4950000</v>
      </c>
      <c r="L518" s="2" t="n">
        <v>44901</v>
      </c>
      <c r="M518" s="170" t="n"/>
      <c r="N518" s="170" t="inlineStr">
        <is>
          <t>310 389 80 43</t>
        </is>
      </c>
      <c r="O518" s="172" t="inlineStr">
        <is>
          <t xml:space="preserve"> Andres Mauricio Gutierrez Bohorquez</t>
        </is>
      </c>
      <c r="P518" s="52" t="inlineStr">
        <is>
          <t>mauricio.gutierrez@spci.com.co</t>
        </is>
      </c>
    </row>
    <row r="519">
      <c r="B519" s="170" t="n">
        <v>507</v>
      </c>
      <c r="C519" s="199" t="inlineStr">
        <is>
          <t>COTIZACION DEL DISEÑO DE EXTINCIÓN DE INCENDIOS - ALAMO BODEGA 1</t>
        </is>
      </c>
      <c r="D519" s="312" t="n"/>
      <c r="E519" s="312" t="n"/>
      <c r="F519" s="312" t="n"/>
      <c r="G519" s="312" t="n"/>
      <c r="H519" s="312" t="n"/>
      <c r="I519" s="313" t="n"/>
      <c r="J519" s="199" t="inlineStr">
        <is>
          <t>Muros y Techos</t>
        </is>
      </c>
      <c r="K519" s="314" t="n"/>
      <c r="L519" s="2" t="n">
        <v>44902</v>
      </c>
      <c r="M519" s="170" t="n"/>
      <c r="N519" s="170" t="inlineStr">
        <is>
          <t>321 8800007</t>
        </is>
      </c>
      <c r="O519" s="172" t="inlineStr">
        <is>
          <t>Fernando Mazo</t>
        </is>
      </c>
      <c r="P519" s="52" t="inlineStr">
        <is>
          <t>famazo@mt.com.co</t>
        </is>
      </c>
    </row>
    <row r="520" ht="15" customHeight="1">
      <c r="B520" s="170" t="n">
        <v>508</v>
      </c>
      <c r="C520" s="246" t="inlineStr">
        <is>
          <t xml:space="preserve">COTIZACION DEL ANÁLISIS DE SEGURIDAD HUMANA PARA EL PROYECTO MONTEBIANCO CARTAGENA
</t>
        </is>
      </c>
      <c r="D520" s="312" t="n"/>
      <c r="E520" s="312" t="n"/>
      <c r="F520" s="312" t="n"/>
      <c r="G520" s="312" t="n"/>
      <c r="H520" s="312" t="n"/>
      <c r="I520" s="313" t="n"/>
      <c r="J520" s="199" t="inlineStr">
        <is>
          <t>CONCONCRETO</t>
        </is>
      </c>
      <c r="K520" s="314" t="n"/>
      <c r="L520" s="2" t="n">
        <v>44902</v>
      </c>
      <c r="M520" s="170" t="inlineStr">
        <is>
          <t>X</t>
        </is>
      </c>
      <c r="N520" s="170" t="n">
        <v>3136106856</v>
      </c>
      <c r="O520" s="172" t="inlineStr">
        <is>
          <t>Javier Andrés Herrera Uribe</t>
        </is>
      </c>
      <c r="P520" s="89" t="inlineStr">
        <is>
          <t>jherrerau@conconcreto.com</t>
        </is>
      </c>
    </row>
    <row r="521">
      <c r="B521" s="170" t="n">
        <v>509</v>
      </c>
      <c r="C521" s="233" t="inlineStr">
        <is>
          <t>COTIZACION DEL DISEÑO DE EXTINCIÓN DE INCENDIOS PARA EL PROYECTO LOS ALAMOS</t>
        </is>
      </c>
      <c r="D521" s="312" t="n"/>
      <c r="E521" s="312" t="n"/>
      <c r="F521" s="312" t="n"/>
      <c r="G521" s="312" t="n"/>
      <c r="H521" s="312" t="n"/>
      <c r="I521" s="313" t="n"/>
      <c r="J521" s="199" t="inlineStr">
        <is>
          <t>SPCI</t>
        </is>
      </c>
      <c r="K521" s="314">
        <f>9950000+2510000</f>
        <v/>
      </c>
      <c r="L521" s="2" t="n">
        <v>44909</v>
      </c>
      <c r="M521" s="2" t="inlineStr">
        <is>
          <t>X</t>
        </is>
      </c>
      <c r="N521" s="170" t="inlineStr">
        <is>
          <t>310 389 80 43</t>
        </is>
      </c>
      <c r="O521" s="170" t="inlineStr">
        <is>
          <t>Mauricio Gutiérrez Bohórquez</t>
        </is>
      </c>
      <c r="P521" s="86" t="inlineStr">
        <is>
          <t>mauricio.gutierrez@spci.com.co</t>
        </is>
      </c>
    </row>
    <row r="522">
      <c r="B522" s="170" t="n">
        <v>510</v>
      </c>
      <c r="C522" s="199" t="inlineStr">
        <is>
          <t>COTIZACION DE LOS DISEÑOS DE PROTECCIÓN CONTRA INCENDIOS PARA EL PROYECTO LOCAL 138 VIVA SINCELEJO</t>
        </is>
      </c>
      <c r="D522" s="312" t="n"/>
      <c r="E522" s="312" t="n"/>
      <c r="F522" s="312" t="n"/>
      <c r="G522" s="312" t="n"/>
      <c r="H522" s="312" t="n"/>
      <c r="I522" s="313" t="n"/>
      <c r="J522" s="199" t="inlineStr">
        <is>
          <t>SPCI</t>
        </is>
      </c>
      <c r="K522" s="314" t="n">
        <v>1980000</v>
      </c>
      <c r="L522" s="2" t="n">
        <v>44910</v>
      </c>
      <c r="M522" s="170" t="n"/>
      <c r="N522" s="170" t="n">
        <v>3137546144</v>
      </c>
      <c r="O522" s="172" t="inlineStr">
        <is>
          <t>Juan Camilo Quintero Bedoya</t>
        </is>
      </c>
      <c r="P522" s="89" t="inlineStr">
        <is>
          <t>camilo.quintero@spci.com.co</t>
        </is>
      </c>
    </row>
    <row r="523">
      <c r="B523" s="170" t="n">
        <v>511</v>
      </c>
      <c r="C523" s="199" t="inlineStr">
        <is>
          <t>COTIZACION DEL ANÁLISIS DE SEGURIDAD HUMANA PARA EL PROYECTO VILLA CAMPESTRE</t>
        </is>
      </c>
      <c r="D523" s="312" t="n"/>
      <c r="E523" s="312" t="n"/>
      <c r="F523" s="312" t="n"/>
      <c r="G523" s="312" t="n"/>
      <c r="H523" s="312" t="n"/>
      <c r="I523" s="313" t="n"/>
      <c r="J523" s="199" t="inlineStr">
        <is>
          <t>OSPINAS</t>
        </is>
      </c>
      <c r="K523" s="314" t="n"/>
      <c r="L523" s="2" t="n">
        <v>44911</v>
      </c>
      <c r="M523" s="170" t="n"/>
      <c r="N523" s="170" t="n">
        <v>3502655263</v>
      </c>
      <c r="O523" s="172" t="inlineStr">
        <is>
          <t>Johanna Manjarres Carmona</t>
        </is>
      </c>
      <c r="P523" s="52" t="inlineStr">
        <is>
          <t>johanna.manjarres@ospinas.com.co</t>
        </is>
      </c>
    </row>
    <row r="524">
      <c r="B524" s="170" t="n">
        <v>512</v>
      </c>
      <c r="C524" s="199" t="inlineStr">
        <is>
          <t>COTIZACION DE LOS DISEÑOS DE PROTECCIÓN CONTRA INCENDIOS - PROYECTO MEDICAL CENTER JARDINES DE LLANOGRANDE</t>
        </is>
      </c>
      <c r="D524" s="312" t="n"/>
      <c r="E524" s="312" t="n"/>
      <c r="F524" s="312" t="n"/>
      <c r="G524" s="312" t="n"/>
      <c r="H524" s="312" t="n"/>
      <c r="I524" s="313" t="n"/>
      <c r="J524" s="199" t="inlineStr">
        <is>
          <t>SPCI</t>
        </is>
      </c>
      <c r="K524" s="314" t="n">
        <v>1880000</v>
      </c>
      <c r="L524" s="2" t="n">
        <v>44912</v>
      </c>
      <c r="M524" s="170" t="n"/>
      <c r="N524" s="170" t="n">
        <v>3137546144</v>
      </c>
      <c r="O524" s="172" t="inlineStr">
        <is>
          <t>Juan Camilo Quintero Bedoya</t>
        </is>
      </c>
      <c r="P524" s="89" t="inlineStr">
        <is>
          <t>camilo.quintero@spci.com.co</t>
        </is>
      </c>
    </row>
    <row r="525">
      <c r="B525" s="170" t="n">
        <v>513</v>
      </c>
      <c r="C525" s="199" t="inlineStr">
        <is>
          <t>COTIZACION DE LOS DISEÑOS DE PROTECCIÓN CONTRA INCENDIOS PARA EL PROYECTO ZONA COMUN VIVA PARK</t>
        </is>
      </c>
      <c r="D525" s="312" t="n"/>
      <c r="E525" s="312" t="n"/>
      <c r="F525" s="312" t="n"/>
      <c r="G525" s="312" t="n"/>
      <c r="H525" s="312" t="n"/>
      <c r="I525" s="313" t="n"/>
      <c r="J525" s="199" t="inlineStr">
        <is>
          <t>SPCI</t>
        </is>
      </c>
      <c r="K525" s="314" t="n"/>
      <c r="L525" s="2" t="n">
        <v>44914</v>
      </c>
      <c r="M525" s="170" t="inlineStr">
        <is>
          <t>X</t>
        </is>
      </c>
      <c r="N525" s="170" t="n">
        <v>3104680508</v>
      </c>
      <c r="O525" s="172" t="inlineStr">
        <is>
          <t>Juan Pablo Grajales Gomez</t>
        </is>
      </c>
      <c r="P525" s="52" t="inlineStr">
        <is>
          <t>juan.grajales@spci.com.co</t>
        </is>
      </c>
    </row>
    <row r="526">
      <c r="B526" s="170" t="n">
        <v>514</v>
      </c>
      <c r="C526" s="246" t="inlineStr">
        <is>
          <t xml:space="preserve">COTIZACION DE LOS DISEÑOS DE PROTECCIÓN CONTRA INCENDIOS Y SEGURIDAD HUMANA PARA EL PROYECTO EL RECINTO
</t>
        </is>
      </c>
      <c r="D526" s="312" t="n"/>
      <c r="E526" s="312" t="n"/>
      <c r="F526" s="312" t="n"/>
      <c r="G526" s="312" t="n"/>
      <c r="H526" s="312" t="n"/>
      <c r="I526" s="313" t="n"/>
      <c r="J526" s="199" t="inlineStr">
        <is>
          <t xml:space="preserve">CONSTRUCCIÓN SAC PROYECTOS </t>
        </is>
      </c>
      <c r="K526" s="314" t="n"/>
      <c r="L526" s="2" t="n">
        <v>44915</v>
      </c>
      <c r="M526" s="170" t="n"/>
      <c r="N526" s="170" t="inlineStr">
        <is>
          <t>314 739 24 03</t>
        </is>
      </c>
      <c r="O526" s="172" t="inlineStr">
        <is>
          <t>Andrés Felipe Jiménez Rodríguez</t>
        </is>
      </c>
      <c r="P526" s="52" t="inlineStr">
        <is>
          <t>construccion.sacproyectos@gmail.com</t>
        </is>
      </c>
    </row>
    <row r="527">
      <c r="B527" s="170" t="n">
        <v>515</v>
      </c>
      <c r="C527" s="233" t="inlineStr">
        <is>
          <t>COTIZACION DE LOS DISEÑOS DE SEGURIDAD HUMANA Y PROTECCIÓN CONTRA  INCENDIOS - ANTALYA</t>
        </is>
      </c>
      <c r="D527" s="312" t="n"/>
      <c r="E527" s="312" t="n"/>
      <c r="F527" s="312" t="n"/>
      <c r="G527" s="312" t="n"/>
      <c r="H527" s="312" t="n"/>
      <c r="I527" s="313" t="n"/>
      <c r="J527" s="199" t="inlineStr">
        <is>
          <t>EDYFICA</t>
        </is>
      </c>
      <c r="K527" s="314" t="n">
        <v>22100000</v>
      </c>
      <c r="L527" s="2" t="n">
        <v>44915</v>
      </c>
      <c r="M527" s="170" t="inlineStr">
        <is>
          <t>X</t>
        </is>
      </c>
      <c r="N527" s="170" t="n">
        <v>3127575897</v>
      </c>
      <c r="O527" s="172" t="inlineStr">
        <is>
          <t>Juan Manuel Russi</t>
        </is>
      </c>
      <c r="P527" s="52" t="n"/>
    </row>
    <row r="528">
      <c r="B528" s="170" t="n">
        <v>516</v>
      </c>
      <c r="C528" s="246" t="inlineStr">
        <is>
          <t xml:space="preserve">COTIZACION DEL DISEÑO DE EXTINCIÓN DE INCENDIOS PARA EL PROYECTO CLINICA
</t>
        </is>
      </c>
      <c r="D528" s="312" t="n"/>
      <c r="E528" s="312" t="n"/>
      <c r="F528" s="312" t="n"/>
      <c r="G528" s="312" t="n"/>
      <c r="H528" s="312" t="n"/>
      <c r="I528" s="313" t="n"/>
      <c r="J528" s="199" t="inlineStr">
        <is>
          <t>Jhon garcia</t>
        </is>
      </c>
      <c r="K528" s="314" t="n"/>
      <c r="L528" s="2" t="n">
        <v>44915</v>
      </c>
      <c r="M528" s="170" t="n"/>
      <c r="N528" s="170" t="inlineStr">
        <is>
          <t>317 5012957</t>
        </is>
      </c>
      <c r="O528" s="172" t="inlineStr">
        <is>
          <t>Jhon garcia</t>
        </is>
      </c>
      <c r="P528" s="52" t="inlineStr">
        <is>
          <t>jhhhongarcia@gmail.com</t>
        </is>
      </c>
    </row>
    <row r="529">
      <c r="B529" s="170" t="n">
        <v>517</v>
      </c>
      <c r="C529" s="199" t="inlineStr">
        <is>
          <t>COTIZACION DEL DISEÑO DE EXTINCIÓN DE INCENDIOS PARA EL PROYECTO MICROBIOLOGIA NIVEL 3 – 230 M2</t>
        </is>
      </c>
      <c r="D529" s="312" t="n"/>
      <c r="E529" s="312" t="n"/>
      <c r="F529" s="312" t="n"/>
      <c r="G529" s="312" t="n"/>
      <c r="H529" s="312" t="n"/>
      <c r="I529" s="313" t="n"/>
      <c r="J529" s="199" t="inlineStr">
        <is>
          <t>Hidráulica y Montajes</t>
        </is>
      </c>
      <c r="K529" s="314" t="n">
        <v>1900000</v>
      </c>
      <c r="L529" s="2" t="n">
        <v>44915</v>
      </c>
      <c r="M529" s="170" t="n"/>
      <c r="N529" s="170" t="n">
        <v>3014487912</v>
      </c>
      <c r="O529" s="172" t="inlineStr">
        <is>
          <t>Evelin Rojas</t>
        </is>
      </c>
      <c r="P529" s="52" t="n"/>
    </row>
    <row r="530">
      <c r="B530" s="170" t="n">
        <v>518</v>
      </c>
      <c r="C530" s="199" t="inlineStr">
        <is>
          <t>COTIZACION DE LOS DISEÑOS DE PROTECCIÓN CONTRA INCENDIOS Y SEGURIDAD HUMANA PARA EL PROYECTO CURIA RIONEGRO</t>
        </is>
      </c>
      <c r="D530" s="312" t="n"/>
      <c r="E530" s="312" t="n"/>
      <c r="F530" s="312" t="n"/>
      <c r="G530" s="312" t="n"/>
      <c r="H530" s="312" t="n"/>
      <c r="I530" s="313" t="n"/>
      <c r="J530" s="199" t="inlineStr">
        <is>
          <t>ARQUITECTURA Y CONCRETO</t>
        </is>
      </c>
      <c r="K530" s="314" t="n"/>
      <c r="L530" s="2" t="n">
        <v>44915</v>
      </c>
      <c r="M530" s="170" t="n"/>
      <c r="N530" s="170" t="inlineStr">
        <is>
          <t>312 36 18 Ext. 2177</t>
        </is>
      </c>
      <c r="O530" s="172" t="inlineStr">
        <is>
          <t>Robinson Marulanda Guarin</t>
        </is>
      </c>
      <c r="P530" s="52" t="inlineStr">
        <is>
          <t>robinsonmarulanda@arquitecturayconcreto.com</t>
        </is>
      </c>
    </row>
    <row r="531">
      <c r="B531" s="170" t="n">
        <v>519</v>
      </c>
      <c r="C531" s="199" t="n"/>
      <c r="D531" s="312" t="n"/>
      <c r="E531" s="312" t="n"/>
      <c r="F531" s="312" t="n"/>
      <c r="G531" s="312" t="n"/>
      <c r="H531" s="312" t="n"/>
      <c r="I531" s="313" t="n"/>
      <c r="J531" s="199" t="n"/>
      <c r="K531" s="314" t="n"/>
      <c r="L531" s="2" t="n"/>
      <c r="M531" s="170" t="n"/>
      <c r="N531" s="170" t="n"/>
      <c r="O531" s="172" t="n"/>
      <c r="P531" s="52" t="n"/>
    </row>
    <row r="532">
      <c r="B532" s="170" t="n">
        <v>520</v>
      </c>
      <c r="C532" s="199" t="n"/>
      <c r="D532" s="312" t="n"/>
      <c r="E532" s="312" t="n"/>
      <c r="F532" s="312" t="n"/>
      <c r="G532" s="312" t="n"/>
      <c r="H532" s="312" t="n"/>
      <c r="I532" s="313" t="n"/>
      <c r="J532" s="199" t="n"/>
      <c r="K532" s="314" t="n"/>
      <c r="L532" s="2" t="n"/>
      <c r="M532" s="170" t="n"/>
      <c r="N532" s="170" t="n"/>
      <c r="O532" s="172" t="n"/>
      <c r="P532" s="52" t="n"/>
    </row>
    <row r="533">
      <c r="B533" s="170" t="n">
        <v>521</v>
      </c>
      <c r="C533" s="199" t="n"/>
      <c r="D533" s="312" t="n"/>
      <c r="E533" s="312" t="n"/>
      <c r="F533" s="312" t="n"/>
      <c r="G533" s="312" t="n"/>
      <c r="H533" s="312" t="n"/>
      <c r="I533" s="313" t="n"/>
      <c r="J533" s="199" t="n"/>
      <c r="K533" s="314" t="n"/>
      <c r="L533" s="2" t="n"/>
      <c r="M533" s="170" t="n"/>
      <c r="N533" s="170" t="n"/>
      <c r="O533" s="172" t="n"/>
      <c r="P533" s="52" t="n"/>
    </row>
    <row r="534">
      <c r="B534" s="170" t="n">
        <v>522</v>
      </c>
      <c r="C534" s="199" t="n"/>
      <c r="D534" s="312" t="n"/>
      <c r="E534" s="312" t="n"/>
      <c r="F534" s="312" t="n"/>
      <c r="G534" s="312" t="n"/>
      <c r="H534" s="312" t="n"/>
      <c r="I534" s="313" t="n"/>
      <c r="J534" s="199" t="n"/>
      <c r="K534" s="314" t="n"/>
      <c r="L534" s="2" t="n"/>
      <c r="M534" s="170" t="n"/>
      <c r="N534" s="170" t="n"/>
      <c r="O534" s="172" t="n"/>
      <c r="P534" s="52" t="n"/>
    </row>
    <row r="535">
      <c r="B535" s="170" t="n">
        <v>523</v>
      </c>
      <c r="C535" s="199" t="n"/>
      <c r="D535" s="312" t="n"/>
      <c r="E535" s="312" t="n"/>
      <c r="F535" s="312" t="n"/>
      <c r="G535" s="312" t="n"/>
      <c r="H535" s="312" t="n"/>
      <c r="I535" s="313" t="n"/>
      <c r="J535" s="199" t="n"/>
      <c r="K535" s="314" t="n"/>
      <c r="L535" s="2" t="n"/>
      <c r="M535" s="170" t="n"/>
      <c r="N535" s="170" t="n"/>
      <c r="O535" s="172" t="n"/>
      <c r="P535" s="52" t="n"/>
    </row>
    <row r="536">
      <c r="B536" s="170" t="n">
        <v>524</v>
      </c>
      <c r="C536" s="199" t="n"/>
      <c r="D536" s="312" t="n"/>
      <c r="E536" s="312" t="n"/>
      <c r="F536" s="312" t="n"/>
      <c r="G536" s="312" t="n"/>
      <c r="H536" s="312" t="n"/>
      <c r="I536" s="313" t="n"/>
      <c r="J536" s="199" t="n"/>
      <c r="K536" s="314" t="n"/>
      <c r="L536" s="2" t="n"/>
      <c r="M536" s="170" t="n"/>
      <c r="N536" s="170" t="n"/>
      <c r="O536" s="172" t="n"/>
      <c r="P536" s="52" t="n"/>
    </row>
    <row r="537">
      <c r="B537" s="170" t="n">
        <v>525</v>
      </c>
      <c r="C537" s="199" t="n"/>
      <c r="D537" s="312" t="n"/>
      <c r="E537" s="312" t="n"/>
      <c r="F537" s="312" t="n"/>
      <c r="G537" s="312" t="n"/>
      <c r="H537" s="312" t="n"/>
      <c r="I537" s="313" t="n"/>
      <c r="J537" s="199" t="n"/>
      <c r="K537" s="314" t="n"/>
      <c r="L537" s="2" t="n"/>
      <c r="M537" s="170" t="n"/>
      <c r="N537" s="170" t="n"/>
      <c r="O537" s="172" t="n"/>
      <c r="P537" s="52" t="n"/>
    </row>
    <row r="538">
      <c r="B538" s="170" t="n">
        <v>526</v>
      </c>
      <c r="C538" s="199" t="n"/>
      <c r="D538" s="312" t="n"/>
      <c r="E538" s="312" t="n"/>
      <c r="F538" s="312" t="n"/>
      <c r="G538" s="312" t="n"/>
      <c r="H538" s="312" t="n"/>
      <c r="I538" s="313" t="n"/>
      <c r="J538" s="199" t="n"/>
      <c r="K538" s="314" t="n"/>
      <c r="L538" s="2" t="n"/>
      <c r="M538" s="170" t="n"/>
      <c r="N538" s="170" t="n"/>
      <c r="O538" s="172" t="n"/>
      <c r="P538" s="52" t="n"/>
    </row>
    <row r="539">
      <c r="B539" s="170" t="n">
        <v>527</v>
      </c>
      <c r="C539" s="199" t="n"/>
      <c r="D539" s="312" t="n"/>
      <c r="E539" s="312" t="n"/>
      <c r="F539" s="312" t="n"/>
      <c r="G539" s="312" t="n"/>
      <c r="H539" s="312" t="n"/>
      <c r="I539" s="313" t="n"/>
      <c r="J539" s="199" t="n"/>
      <c r="K539" s="314" t="n"/>
      <c r="L539" s="2" t="n"/>
      <c r="M539" s="170" t="n"/>
      <c r="N539" s="170" t="n"/>
      <c r="O539" s="172" t="n"/>
      <c r="P539" s="52" t="n"/>
    </row>
    <row r="540">
      <c r="B540" s="170" t="n">
        <v>528</v>
      </c>
      <c r="C540" s="199" t="n"/>
      <c r="D540" s="312" t="n"/>
      <c r="E540" s="312" t="n"/>
      <c r="F540" s="312" t="n"/>
      <c r="G540" s="312" t="n"/>
      <c r="H540" s="312" t="n"/>
      <c r="I540" s="313" t="n"/>
      <c r="J540" s="199" t="n"/>
      <c r="K540" s="314" t="n"/>
      <c r="L540" s="2" t="n"/>
      <c r="M540" s="170" t="n"/>
      <c r="N540" s="170" t="n"/>
      <c r="O540" s="172" t="n"/>
      <c r="P540" s="172" t="n"/>
    </row>
    <row r="541">
      <c r="B541" s="170" t="n">
        <v>529</v>
      </c>
      <c r="C541" s="199" t="n"/>
      <c r="D541" s="312" t="n"/>
      <c r="E541" s="312" t="n"/>
      <c r="F541" s="312" t="n"/>
      <c r="G541" s="312" t="n"/>
      <c r="H541" s="312" t="n"/>
      <c r="I541" s="313" t="n"/>
      <c r="J541" s="199" t="n"/>
      <c r="K541" s="314" t="n"/>
      <c r="L541" s="2" t="n"/>
      <c r="M541" s="170" t="n"/>
      <c r="N541" s="170" t="n"/>
      <c r="O541" s="172" t="n"/>
      <c r="P541" s="52" t="n"/>
    </row>
    <row r="542">
      <c r="B542" s="170" t="n">
        <v>530</v>
      </c>
      <c r="C542" s="199" t="n"/>
      <c r="D542" s="312" t="n"/>
      <c r="E542" s="312" t="n"/>
      <c r="F542" s="312" t="n"/>
      <c r="G542" s="312" t="n"/>
      <c r="H542" s="312" t="n"/>
      <c r="I542" s="313" t="n"/>
      <c r="J542" s="199" t="n"/>
      <c r="K542" s="314" t="n"/>
      <c r="L542" s="2" t="n"/>
      <c r="M542" s="170" t="n"/>
      <c r="N542" s="170" t="n"/>
      <c r="O542" s="172" t="n"/>
      <c r="P542" s="52" t="n"/>
    </row>
    <row r="543">
      <c r="B543" s="170" t="n">
        <v>531</v>
      </c>
      <c r="C543" s="199" t="n"/>
      <c r="D543" s="312" t="n"/>
      <c r="E543" s="312" t="n"/>
      <c r="F543" s="312" t="n"/>
      <c r="G543" s="312" t="n"/>
      <c r="H543" s="312" t="n"/>
      <c r="I543" s="313" t="n"/>
      <c r="J543" s="199" t="n"/>
      <c r="K543" s="314" t="n"/>
      <c r="L543" s="2" t="n"/>
      <c r="M543" s="170" t="n"/>
      <c r="N543" s="170" t="n"/>
      <c r="O543" s="172" t="n"/>
      <c r="P543" s="52" t="n"/>
    </row>
    <row r="544">
      <c r="B544" s="170" t="n">
        <v>532</v>
      </c>
      <c r="C544" s="199" t="n"/>
      <c r="D544" s="312" t="n"/>
      <c r="E544" s="312" t="n"/>
      <c r="F544" s="312" t="n"/>
      <c r="G544" s="312" t="n"/>
      <c r="H544" s="312" t="n"/>
      <c r="I544" s="313" t="n"/>
      <c r="J544" s="199" t="n"/>
      <c r="K544" s="314" t="n"/>
      <c r="L544" s="2" t="n"/>
      <c r="M544" s="170" t="n"/>
      <c r="N544" s="170" t="n"/>
      <c r="O544" s="172" t="n"/>
      <c r="P544" s="52" t="n"/>
    </row>
    <row r="545">
      <c r="B545" s="170" t="n">
        <v>533</v>
      </c>
      <c r="C545" s="199" t="n"/>
      <c r="D545" s="312" t="n"/>
      <c r="E545" s="312" t="n"/>
      <c r="F545" s="312" t="n"/>
      <c r="G545" s="312" t="n"/>
      <c r="H545" s="312" t="n"/>
      <c r="I545" s="313" t="n"/>
      <c r="J545" s="199" t="n"/>
      <c r="K545" s="314" t="n"/>
      <c r="L545" s="2" t="n"/>
      <c r="M545" s="170" t="n"/>
      <c r="N545" s="170" t="n"/>
      <c r="O545" s="172" t="n"/>
      <c r="P545" s="172" t="n"/>
    </row>
    <row r="546">
      <c r="B546" s="170" t="n">
        <v>534</v>
      </c>
      <c r="C546" s="246" t="n"/>
      <c r="D546" s="312" t="n"/>
      <c r="E546" s="312" t="n"/>
      <c r="F546" s="312" t="n"/>
      <c r="G546" s="312" t="n"/>
      <c r="H546" s="312" t="n"/>
      <c r="I546" s="313" t="n"/>
      <c r="J546" s="199" t="n"/>
      <c r="K546" s="314" t="n"/>
      <c r="L546" s="170" t="n"/>
      <c r="M546" s="2" t="n"/>
      <c r="N546" s="170" t="n"/>
      <c r="O546" s="172" t="n"/>
      <c r="P546" s="327" t="n"/>
    </row>
    <row r="547">
      <c r="B547" s="170" t="n">
        <v>535</v>
      </c>
      <c r="C547" s="199" t="n"/>
      <c r="D547" s="312" t="n"/>
      <c r="E547" s="312" t="n"/>
      <c r="F547" s="312" t="n"/>
      <c r="G547" s="312" t="n"/>
      <c r="H547" s="312" t="n"/>
      <c r="I547" s="313" t="n"/>
      <c r="J547" s="199" t="n"/>
      <c r="K547" s="314" t="n"/>
      <c r="L547" s="2" t="n"/>
      <c r="M547" s="170" t="n"/>
      <c r="N547" s="170" t="n"/>
      <c r="O547" s="172" t="n"/>
      <c r="P547" s="52" t="n"/>
    </row>
    <row r="548">
      <c r="B548" s="170" t="n">
        <v>536</v>
      </c>
      <c r="C548" s="199" t="n"/>
      <c r="D548" s="312" t="n"/>
      <c r="E548" s="312" t="n"/>
      <c r="F548" s="312" t="n"/>
      <c r="G548" s="312" t="n"/>
      <c r="H548" s="312" t="n"/>
      <c r="I548" s="313" t="n"/>
      <c r="J548" s="199" t="n"/>
      <c r="K548" s="314" t="n"/>
      <c r="L548" s="2" t="n"/>
      <c r="M548" s="170" t="n"/>
      <c r="N548" s="170" t="n"/>
      <c r="O548" s="172" t="n"/>
      <c r="P548" s="52" t="n"/>
    </row>
    <row r="549">
      <c r="B549" s="170" t="n">
        <v>537</v>
      </c>
      <c r="C549" s="199" t="n"/>
      <c r="D549" s="312" t="n"/>
      <c r="E549" s="312" t="n"/>
      <c r="F549" s="312" t="n"/>
      <c r="G549" s="312" t="n"/>
      <c r="H549" s="312" t="n"/>
      <c r="I549" s="313" t="n"/>
      <c r="J549" s="199" t="n"/>
      <c r="K549" s="314" t="n"/>
      <c r="L549" s="2" t="n"/>
      <c r="M549" s="2" t="n"/>
      <c r="N549" s="170" t="n"/>
      <c r="O549" s="172" t="n"/>
      <c r="P549" s="52" t="n"/>
    </row>
    <row r="550">
      <c r="B550" s="170" t="n">
        <v>538</v>
      </c>
      <c r="C550" s="199" t="n"/>
      <c r="D550" s="312" t="n"/>
      <c r="E550" s="312" t="n"/>
      <c r="F550" s="312" t="n"/>
      <c r="G550" s="312" t="n"/>
      <c r="H550" s="312" t="n"/>
      <c r="I550" s="313" t="n"/>
      <c r="J550" s="199" t="n"/>
      <c r="K550" s="314" t="n"/>
      <c r="L550" s="2" t="n"/>
      <c r="M550" s="170" t="n"/>
      <c r="N550" s="170" t="n"/>
      <c r="O550" s="172" t="n"/>
      <c r="P550" s="52" t="n"/>
    </row>
    <row r="551">
      <c r="B551" s="170" t="n">
        <v>539</v>
      </c>
      <c r="C551" s="199" t="n"/>
      <c r="D551" s="312" t="n"/>
      <c r="E551" s="312" t="n"/>
      <c r="F551" s="312" t="n"/>
      <c r="G551" s="312" t="n"/>
      <c r="H551" s="312" t="n"/>
      <c r="I551" s="313" t="n"/>
      <c r="J551" s="199" t="n"/>
      <c r="K551" s="314" t="n"/>
      <c r="L551" s="2" t="n"/>
      <c r="M551" s="170" t="n"/>
      <c r="N551" s="170" t="n"/>
      <c r="O551" s="172" t="n"/>
      <c r="P551" s="52" t="n"/>
    </row>
    <row r="552">
      <c r="B552" s="170" t="n">
        <v>540</v>
      </c>
      <c r="C552" s="199" t="n"/>
      <c r="D552" s="312" t="n"/>
      <c r="E552" s="312" t="n"/>
      <c r="F552" s="312" t="n"/>
      <c r="G552" s="312" t="n"/>
      <c r="H552" s="312" t="n"/>
      <c r="I552" s="313" t="n"/>
      <c r="J552" s="199" t="n"/>
      <c r="K552" s="314" t="n"/>
      <c r="L552" s="2" t="n"/>
      <c r="M552" s="170" t="n"/>
      <c r="N552" s="170" t="n"/>
      <c r="O552" s="172" t="n"/>
      <c r="P552" s="52" t="n"/>
    </row>
    <row r="553">
      <c r="B553" s="170" t="n">
        <v>541</v>
      </c>
      <c r="C553" s="199" t="n"/>
      <c r="D553" s="312" t="n"/>
      <c r="E553" s="312" t="n"/>
      <c r="F553" s="312" t="n"/>
      <c r="G553" s="312" t="n"/>
      <c r="H553" s="312" t="n"/>
      <c r="I553" s="313" t="n"/>
      <c r="J553" s="199" t="n"/>
      <c r="K553" s="314" t="n"/>
      <c r="L553" s="2" t="n"/>
      <c r="M553" s="170" t="n"/>
      <c r="N553" s="170" t="n"/>
      <c r="O553" s="172" t="n"/>
      <c r="P553" s="52" t="n"/>
    </row>
    <row r="554">
      <c r="B554" s="170" t="n">
        <v>542</v>
      </c>
      <c r="C554" s="199" t="n"/>
      <c r="D554" s="312" t="n"/>
      <c r="E554" s="312" t="n"/>
      <c r="F554" s="312" t="n"/>
      <c r="G554" s="312" t="n"/>
      <c r="H554" s="312" t="n"/>
      <c r="I554" s="313" t="n"/>
      <c r="J554" s="199" t="n"/>
      <c r="K554" s="314" t="n"/>
      <c r="L554" s="2" t="n"/>
      <c r="M554" s="170" t="n"/>
      <c r="N554" s="170" t="n"/>
      <c r="O554" s="172" t="n"/>
      <c r="P554" s="52" t="n"/>
    </row>
    <row r="555">
      <c r="B555" s="170" t="n">
        <v>543</v>
      </c>
      <c r="C555" s="199" t="n"/>
      <c r="D555" s="312" t="n"/>
      <c r="E555" s="312" t="n"/>
      <c r="F555" s="312" t="n"/>
      <c r="G555" s="312" t="n"/>
      <c r="H555" s="312" t="n"/>
      <c r="I555" s="313" t="n"/>
      <c r="J555" s="199" t="n"/>
      <c r="K555" s="314" t="n"/>
      <c r="L555" s="2" t="n"/>
      <c r="M555" s="170" t="n"/>
      <c r="N555" s="170" t="n"/>
      <c r="O555" s="172" t="n"/>
      <c r="P555" s="52" t="n"/>
    </row>
    <row r="556">
      <c r="B556" s="170" t="n">
        <v>544</v>
      </c>
      <c r="C556" s="199" t="n"/>
      <c r="D556" s="312" t="n"/>
      <c r="E556" s="312" t="n"/>
      <c r="F556" s="312" t="n"/>
      <c r="G556" s="312" t="n"/>
      <c r="H556" s="312" t="n"/>
      <c r="I556" s="313" t="n"/>
      <c r="J556" s="199" t="n"/>
      <c r="K556" s="314" t="n"/>
      <c r="L556" s="2" t="n"/>
      <c r="M556" s="170" t="n"/>
      <c r="N556" s="170" t="n"/>
      <c r="O556" s="172" t="n"/>
      <c r="P556" s="52" t="n"/>
    </row>
    <row r="557">
      <c r="B557" s="170" t="n">
        <v>545</v>
      </c>
      <c r="C557" s="233" t="n"/>
      <c r="D557" s="312" t="n"/>
      <c r="E557" s="312" t="n"/>
      <c r="F557" s="312" t="n"/>
      <c r="G557" s="312" t="n"/>
      <c r="H557" s="312" t="n"/>
      <c r="I557" s="313" t="n"/>
      <c r="J557" s="199" t="n"/>
      <c r="K557" s="314" t="n"/>
      <c r="L557" s="2" t="n"/>
      <c r="M557" s="170" t="n"/>
      <c r="N557" s="170" t="n"/>
      <c r="O557" s="172" t="n"/>
      <c r="P557" s="52" t="n"/>
    </row>
    <row r="558">
      <c r="B558" s="170" t="n">
        <v>546</v>
      </c>
      <c r="C558" s="199" t="n"/>
      <c r="D558" s="312" t="n"/>
      <c r="E558" s="312" t="n"/>
      <c r="F558" s="312" t="n"/>
      <c r="G558" s="312" t="n"/>
      <c r="H558" s="312" t="n"/>
      <c r="I558" s="313" t="n"/>
      <c r="J558" s="199" t="n"/>
      <c r="K558" s="314" t="n"/>
      <c r="L558" s="2" t="n"/>
      <c r="M558" s="170" t="n"/>
      <c r="N558" s="170" t="n"/>
      <c r="O558" s="172" t="n"/>
      <c r="P558" s="52" t="n"/>
    </row>
    <row r="559">
      <c r="B559" s="170" t="n">
        <v>547</v>
      </c>
      <c r="C559" s="199" t="n"/>
      <c r="D559" s="312" t="n"/>
      <c r="E559" s="312" t="n"/>
      <c r="F559" s="312" t="n"/>
      <c r="G559" s="312" t="n"/>
      <c r="H559" s="312" t="n"/>
      <c r="I559" s="313" t="n"/>
      <c r="J559" s="199" t="n"/>
      <c r="K559" s="314" t="n"/>
      <c r="L559" s="2" t="n"/>
      <c r="M559" s="170" t="n"/>
      <c r="N559" s="170" t="n"/>
      <c r="O559" s="172" t="n"/>
      <c r="P559" s="52" t="n"/>
    </row>
    <row r="560">
      <c r="B560" s="170" t="n">
        <v>548</v>
      </c>
      <c r="C560" s="233" t="n"/>
      <c r="D560" s="312" t="n"/>
      <c r="E560" s="312" t="n"/>
      <c r="F560" s="312" t="n"/>
      <c r="G560" s="312" t="n"/>
      <c r="H560" s="312" t="n"/>
      <c r="I560" s="313" t="n"/>
      <c r="J560" s="199" t="n"/>
      <c r="K560" s="314" t="n"/>
      <c r="L560" s="2" t="n"/>
      <c r="M560" s="170" t="n"/>
      <c r="N560" s="170" t="n"/>
      <c r="O560" s="172" t="n"/>
      <c r="P560" s="52" t="n"/>
    </row>
    <row r="561">
      <c r="B561" s="170" t="n">
        <v>549</v>
      </c>
      <c r="C561" s="199" t="n"/>
      <c r="D561" s="312" t="n"/>
      <c r="E561" s="312" t="n"/>
      <c r="F561" s="312" t="n"/>
      <c r="G561" s="312" t="n"/>
      <c r="H561" s="312" t="n"/>
      <c r="I561" s="313" t="n"/>
      <c r="J561" s="199" t="n"/>
      <c r="K561" s="314" t="n"/>
      <c r="L561" s="2" t="n"/>
      <c r="M561" s="170" t="n"/>
      <c r="N561" s="170" t="n"/>
      <c r="O561" s="172" t="n"/>
      <c r="P561" s="52" t="n"/>
    </row>
    <row r="562">
      <c r="B562" s="170" t="n">
        <v>550</v>
      </c>
      <c r="C562" s="199" t="n"/>
      <c r="D562" s="312" t="n"/>
      <c r="E562" s="312" t="n"/>
      <c r="F562" s="312" t="n"/>
      <c r="G562" s="312" t="n"/>
      <c r="H562" s="312" t="n"/>
      <c r="I562" s="313" t="n"/>
      <c r="J562" s="199" t="n"/>
      <c r="K562" s="314" t="n"/>
      <c r="L562" s="2" t="n"/>
      <c r="M562" s="170" t="n"/>
      <c r="N562" s="170" t="n"/>
      <c r="O562" s="172" t="n"/>
      <c r="P562" s="52" t="n"/>
    </row>
    <row r="563">
      <c r="B563" s="170" t="n">
        <v>551</v>
      </c>
      <c r="C563" s="199" t="n"/>
      <c r="D563" s="312" t="n"/>
      <c r="E563" s="312" t="n"/>
      <c r="F563" s="312" t="n"/>
      <c r="G563" s="312" t="n"/>
      <c r="H563" s="312" t="n"/>
      <c r="I563" s="313" t="n"/>
      <c r="J563" s="199" t="n"/>
      <c r="K563" s="314" t="n"/>
      <c r="L563" s="2" t="n"/>
      <c r="M563" s="170" t="n"/>
      <c r="N563" s="170" t="n"/>
      <c r="O563" s="172" t="n"/>
      <c r="P563" s="52" t="n"/>
    </row>
    <row r="564">
      <c r="B564" s="170" t="n">
        <v>552</v>
      </c>
      <c r="C564" s="199" t="n"/>
      <c r="D564" s="312" t="n"/>
      <c r="E564" s="312" t="n"/>
      <c r="F564" s="312" t="n"/>
      <c r="G564" s="312" t="n"/>
      <c r="H564" s="312" t="n"/>
      <c r="I564" s="313" t="n"/>
      <c r="J564" s="199" t="n"/>
      <c r="K564" s="330" t="n"/>
      <c r="L564" s="2" t="n"/>
      <c r="M564" s="170" t="n"/>
      <c r="N564" s="170" t="n"/>
      <c r="O564" s="172" t="n"/>
      <c r="P564" s="52" t="n"/>
    </row>
    <row r="565">
      <c r="B565" s="170" t="n">
        <v>553</v>
      </c>
      <c r="C565" s="199" t="n"/>
      <c r="D565" s="312" t="n"/>
      <c r="E565" s="312" t="n"/>
      <c r="F565" s="312" t="n"/>
      <c r="G565" s="312" t="n"/>
      <c r="H565" s="312" t="n"/>
      <c r="I565" s="313" t="n"/>
      <c r="J565" s="199" t="n"/>
      <c r="K565" s="314" t="n"/>
      <c r="L565" s="170" t="n"/>
      <c r="M565" s="170" t="n"/>
      <c r="N565" s="170" t="n"/>
      <c r="O565" s="172" t="n"/>
      <c r="P565" s="52" t="n"/>
    </row>
    <row r="566">
      <c r="B566" s="170" t="n">
        <v>554</v>
      </c>
      <c r="C566" s="199" t="n"/>
      <c r="D566" s="312" t="n"/>
      <c r="E566" s="312" t="n"/>
      <c r="F566" s="312" t="n"/>
      <c r="G566" s="312" t="n"/>
      <c r="H566" s="312" t="n"/>
      <c r="I566" s="313" t="n"/>
      <c r="J566" s="199" t="n"/>
      <c r="K566" s="314" t="n"/>
      <c r="L566" s="170" t="n"/>
      <c r="M566" s="170" t="n"/>
      <c r="N566" s="170" t="n"/>
      <c r="O566" s="172" t="n"/>
      <c r="P566" s="172" t="n"/>
    </row>
    <row r="567">
      <c r="B567" s="170" t="n">
        <v>555</v>
      </c>
      <c r="C567" s="199" t="n"/>
      <c r="D567" s="312" t="n"/>
      <c r="E567" s="312" t="n"/>
      <c r="F567" s="312" t="n"/>
      <c r="G567" s="312" t="n"/>
      <c r="H567" s="312" t="n"/>
      <c r="I567" s="313" t="n"/>
      <c r="J567" s="199" t="n"/>
      <c r="K567" s="314" t="n"/>
      <c r="L567" s="170" t="n"/>
      <c r="M567" s="170" t="n"/>
      <c r="N567" s="170" t="n"/>
      <c r="O567" s="172" t="n"/>
      <c r="P567" s="172" t="n"/>
    </row>
    <row r="568">
      <c r="B568" s="170" t="n">
        <v>556</v>
      </c>
      <c r="C568" s="199" t="n"/>
      <c r="D568" s="312" t="n"/>
      <c r="E568" s="312" t="n"/>
      <c r="F568" s="312" t="n"/>
      <c r="G568" s="312" t="n"/>
      <c r="H568" s="312" t="n"/>
      <c r="I568" s="313" t="n"/>
      <c r="J568" s="199" t="n"/>
      <c r="K568" s="314" t="n"/>
      <c r="L568" s="170" t="n"/>
      <c r="M568" s="170" t="n"/>
      <c r="N568" s="170" t="n"/>
      <c r="O568" s="172" t="n"/>
      <c r="P568" s="172" t="n"/>
    </row>
    <row r="569">
      <c r="B569" s="170" t="n">
        <v>557</v>
      </c>
      <c r="C569" s="199" t="n"/>
      <c r="D569" s="312" t="n"/>
      <c r="E569" s="312" t="n"/>
      <c r="F569" s="312" t="n"/>
      <c r="G569" s="312" t="n"/>
      <c r="H569" s="312" t="n"/>
      <c r="I569" s="313" t="n"/>
      <c r="J569" s="199" t="n"/>
      <c r="K569" s="314" t="n"/>
      <c r="L569" s="170" t="n"/>
      <c r="M569" s="170" t="n"/>
      <c r="N569" s="170" t="n"/>
      <c r="O569" s="172" t="n"/>
      <c r="P569" s="172" t="n"/>
    </row>
    <row r="570">
      <c r="B570" s="170" t="n">
        <v>558</v>
      </c>
      <c r="C570" s="199" t="n"/>
      <c r="D570" s="312" t="n"/>
      <c r="E570" s="312" t="n"/>
      <c r="F570" s="312" t="n"/>
      <c r="G570" s="312" t="n"/>
      <c r="H570" s="312" t="n"/>
      <c r="I570" s="313" t="n"/>
      <c r="J570" s="199" t="n"/>
      <c r="K570" s="314" t="n"/>
      <c r="L570" s="170" t="n"/>
      <c r="M570" s="170" t="n"/>
      <c r="N570" s="170" t="n"/>
      <c r="O570" s="172" t="n"/>
      <c r="P570" s="172" t="n"/>
    </row>
    <row r="571">
      <c r="B571" s="170" t="n">
        <v>559</v>
      </c>
      <c r="C571" s="199" t="n"/>
      <c r="D571" s="312" t="n"/>
      <c r="E571" s="312" t="n"/>
      <c r="F571" s="312" t="n"/>
      <c r="G571" s="312" t="n"/>
      <c r="H571" s="312" t="n"/>
      <c r="I571" s="313" t="n"/>
      <c r="J571" s="199" t="n"/>
      <c r="K571" s="314" t="n"/>
      <c r="L571" s="170" t="n"/>
      <c r="M571" s="170" t="n"/>
      <c r="N571" s="170" t="n"/>
      <c r="O571" s="172" t="n"/>
      <c r="P571" s="172" t="n"/>
    </row>
    <row r="572">
      <c r="B572" s="170" t="n">
        <v>560</v>
      </c>
      <c r="C572" s="199" t="n"/>
      <c r="D572" s="312" t="n"/>
      <c r="E572" s="312" t="n"/>
      <c r="F572" s="312" t="n"/>
      <c r="G572" s="312" t="n"/>
      <c r="H572" s="312" t="n"/>
      <c r="I572" s="313" t="n"/>
      <c r="J572" s="199" t="n"/>
      <c r="K572" s="314" t="n"/>
      <c r="L572" s="170" t="n"/>
      <c r="M572" s="170" t="n"/>
      <c r="N572" s="170" t="n"/>
      <c r="O572" s="172" t="n"/>
      <c r="P572" s="172" t="n"/>
    </row>
    <row r="573">
      <c r="B573" s="170" t="n">
        <v>561</v>
      </c>
      <c r="C573" s="199" t="n"/>
      <c r="D573" s="312" t="n"/>
      <c r="E573" s="312" t="n"/>
      <c r="F573" s="312" t="n"/>
      <c r="G573" s="312" t="n"/>
      <c r="H573" s="312" t="n"/>
      <c r="I573" s="313" t="n"/>
      <c r="J573" s="199" t="n"/>
      <c r="K573" s="314" t="n"/>
      <c r="L573" s="170" t="n"/>
      <c r="M573" s="170" t="n"/>
      <c r="N573" s="170" t="n"/>
      <c r="O573" s="172" t="n"/>
      <c r="P573" s="172" t="n"/>
    </row>
    <row r="574">
      <c r="B574" s="170" t="n"/>
      <c r="C574" s="199" t="n"/>
      <c r="D574" s="312" t="n"/>
      <c r="E574" s="312" t="n"/>
      <c r="F574" s="312" t="n"/>
      <c r="G574" s="312" t="n"/>
      <c r="H574" s="312" t="n"/>
      <c r="I574" s="313" t="n"/>
      <c r="J574" s="199" t="n"/>
      <c r="K574" s="314" t="n"/>
      <c r="L574" s="170" t="n"/>
      <c r="M574" s="170" t="n"/>
      <c r="N574" s="170" t="n"/>
      <c r="O574" s="172" t="n"/>
      <c r="P574" s="172" t="n"/>
    </row>
    <row r="575">
      <c r="B575" s="170" t="n"/>
      <c r="C575" s="199" t="n"/>
      <c r="D575" s="312" t="n"/>
      <c r="E575" s="312" t="n"/>
      <c r="F575" s="312" t="n"/>
      <c r="G575" s="312" t="n"/>
      <c r="H575" s="312" t="n"/>
      <c r="I575" s="313" t="n"/>
      <c r="J575" s="199" t="n"/>
      <c r="K575" s="314" t="n"/>
      <c r="L575" s="170" t="n"/>
      <c r="M575" s="170" t="n"/>
      <c r="N575" s="170" t="n"/>
      <c r="O575" s="172" t="n"/>
      <c r="P575" s="172" t="n"/>
    </row>
    <row r="576">
      <c r="B576" s="170" t="n"/>
      <c r="C576" s="199" t="n"/>
      <c r="D576" s="312" t="n"/>
      <c r="E576" s="312" t="n"/>
      <c r="F576" s="312" t="n"/>
      <c r="G576" s="312" t="n"/>
      <c r="H576" s="312" t="n"/>
      <c r="I576" s="313" t="n"/>
      <c r="J576" s="199" t="n"/>
      <c r="K576" s="314" t="n"/>
      <c r="L576" s="170" t="n"/>
      <c r="M576" s="170" t="n"/>
      <c r="N576" s="170" t="n"/>
      <c r="O576" s="172" t="n"/>
      <c r="P576" s="172" t="n"/>
    </row>
    <row r="577">
      <c r="B577" s="170" t="n"/>
      <c r="C577" s="199" t="n"/>
      <c r="D577" s="312" t="n"/>
      <c r="E577" s="312" t="n"/>
      <c r="F577" s="312" t="n"/>
      <c r="G577" s="312" t="n"/>
      <c r="H577" s="312" t="n"/>
      <c r="I577" s="313" t="n"/>
      <c r="J577" s="199" t="n"/>
      <c r="K577" s="314" t="n"/>
      <c r="L577" s="170" t="n"/>
      <c r="M577" s="170" t="n"/>
      <c r="N577" s="170" t="n"/>
      <c r="O577" s="172" t="n"/>
      <c r="P577" s="172" t="n"/>
    </row>
    <row r="578">
      <c r="B578" s="170" t="n"/>
      <c r="C578" s="199" t="n"/>
      <c r="D578" s="312" t="n"/>
      <c r="E578" s="312" t="n"/>
      <c r="F578" s="312" t="n"/>
      <c r="G578" s="312" t="n"/>
      <c r="H578" s="312" t="n"/>
      <c r="I578" s="313" t="n"/>
      <c r="J578" s="199" t="n"/>
      <c r="K578" s="314" t="n"/>
      <c r="L578" s="170" t="n"/>
      <c r="M578" s="170" t="n"/>
      <c r="N578" s="170" t="n"/>
      <c r="O578" s="172" t="n"/>
      <c r="P578" s="172" t="n"/>
    </row>
    <row r="579">
      <c r="B579" s="170" t="n"/>
      <c r="C579" s="199" t="n"/>
      <c r="D579" s="312" t="n"/>
      <c r="E579" s="312" t="n"/>
      <c r="F579" s="312" t="n"/>
      <c r="G579" s="312" t="n"/>
      <c r="H579" s="312" t="n"/>
      <c r="I579" s="313" t="n"/>
      <c r="J579" s="199" t="n"/>
      <c r="K579" s="314" t="n"/>
      <c r="L579" s="170" t="n"/>
      <c r="M579" s="170" t="n"/>
      <c r="N579" s="170" t="n"/>
      <c r="O579" s="172" t="n"/>
      <c r="P579" s="172" t="n"/>
    </row>
    <row r="580">
      <c r="B580" s="170" t="n"/>
      <c r="C580" s="199" t="n"/>
      <c r="D580" s="312" t="n"/>
      <c r="E580" s="312" t="n"/>
      <c r="F580" s="312" t="n"/>
      <c r="G580" s="312" t="n"/>
      <c r="H580" s="312" t="n"/>
      <c r="I580" s="313" t="n"/>
      <c r="J580" s="199" t="n"/>
      <c r="K580" s="314" t="n"/>
      <c r="L580" s="170" t="n"/>
      <c r="M580" s="170" t="n"/>
      <c r="N580" s="170" t="n"/>
      <c r="O580" s="172" t="n"/>
      <c r="P580" s="172" t="n"/>
    </row>
    <row r="581">
      <c r="B581" s="170" t="n"/>
      <c r="C581" s="199" t="n"/>
      <c r="D581" s="312" t="n"/>
      <c r="E581" s="312" t="n"/>
      <c r="F581" s="312" t="n"/>
      <c r="G581" s="312" t="n"/>
      <c r="H581" s="312" t="n"/>
      <c r="I581" s="313" t="n"/>
      <c r="J581" s="199" t="n"/>
      <c r="K581" s="314" t="n"/>
      <c r="L581" s="170" t="n"/>
      <c r="M581" s="170" t="n"/>
      <c r="N581" s="170" t="n"/>
      <c r="O581" s="172" t="n"/>
      <c r="P581" s="172" t="n"/>
    </row>
    <row r="582">
      <c r="B582" s="170" t="n"/>
      <c r="C582" s="199" t="n"/>
      <c r="D582" s="312" t="n"/>
      <c r="E582" s="312" t="n"/>
      <c r="F582" s="312" t="n"/>
      <c r="G582" s="312" t="n"/>
      <c r="H582" s="312" t="n"/>
      <c r="I582" s="313" t="n"/>
      <c r="J582" s="199" t="n"/>
      <c r="K582" s="314" t="n"/>
      <c r="L582" s="170" t="n"/>
      <c r="M582" s="170" t="n"/>
      <c r="N582" s="170" t="n"/>
      <c r="O582" s="172" t="n"/>
      <c r="P582" s="172" t="n"/>
    </row>
    <row r="583">
      <c r="B583" s="170" t="n"/>
      <c r="C583" s="199" t="n"/>
      <c r="D583" s="312" t="n"/>
      <c r="E583" s="312" t="n"/>
      <c r="F583" s="312" t="n"/>
      <c r="G583" s="312" t="n"/>
      <c r="H583" s="312" t="n"/>
      <c r="I583" s="313" t="n"/>
      <c r="J583" s="199" t="n"/>
      <c r="K583" s="314" t="n"/>
      <c r="L583" s="170" t="n"/>
      <c r="M583" s="170" t="n"/>
      <c r="N583" s="170" t="n"/>
      <c r="O583" s="172" t="n"/>
      <c r="P583" s="172" t="n"/>
    </row>
    <row r="584">
      <c r="B584" s="170" t="n"/>
      <c r="C584" s="199" t="n"/>
      <c r="D584" s="312" t="n"/>
      <c r="E584" s="312" t="n"/>
      <c r="F584" s="312" t="n"/>
      <c r="G584" s="312" t="n"/>
      <c r="H584" s="312" t="n"/>
      <c r="I584" s="313" t="n"/>
      <c r="J584" s="199" t="n"/>
      <c r="K584" s="314" t="n"/>
      <c r="L584" s="170" t="n"/>
      <c r="M584" s="170" t="n"/>
      <c r="N584" s="170" t="n"/>
      <c r="O584" s="172" t="n"/>
      <c r="P584" s="172" t="n"/>
    </row>
    <row r="585">
      <c r="B585" s="170" t="n"/>
      <c r="C585" s="199" t="n"/>
      <c r="D585" s="312" t="n"/>
      <c r="E585" s="312" t="n"/>
      <c r="F585" s="312" t="n"/>
      <c r="G585" s="312" t="n"/>
      <c r="H585" s="312" t="n"/>
      <c r="I585" s="313" t="n"/>
      <c r="J585" s="199" t="n"/>
      <c r="K585" s="314" t="n"/>
      <c r="L585" s="170" t="n"/>
      <c r="M585" s="170" t="n"/>
      <c r="N585" s="170" t="n"/>
      <c r="O585" s="172" t="n"/>
      <c r="P585" s="172" t="n"/>
    </row>
    <row r="586">
      <c r="B586" s="170" t="n"/>
      <c r="C586" s="199" t="n"/>
      <c r="D586" s="312" t="n"/>
      <c r="E586" s="312" t="n"/>
      <c r="F586" s="312" t="n"/>
      <c r="G586" s="312" t="n"/>
      <c r="H586" s="312" t="n"/>
      <c r="I586" s="313" t="n"/>
      <c r="J586" s="199" t="n"/>
      <c r="K586" s="314" t="n"/>
      <c r="L586" s="170" t="n"/>
      <c r="M586" s="170" t="n"/>
      <c r="N586" s="170" t="n"/>
      <c r="O586" s="172" t="n"/>
      <c r="P586" s="172" t="n"/>
    </row>
    <row r="587">
      <c r="B587" s="170" t="n"/>
      <c r="C587" s="199" t="n"/>
      <c r="D587" s="312" t="n"/>
      <c r="E587" s="312" t="n"/>
      <c r="F587" s="312" t="n"/>
      <c r="G587" s="312" t="n"/>
      <c r="H587" s="312" t="n"/>
      <c r="I587" s="313" t="n"/>
      <c r="J587" s="199" t="n"/>
      <c r="K587" s="314" t="n"/>
      <c r="L587" s="170" t="n"/>
      <c r="M587" s="170" t="n"/>
      <c r="N587" s="170" t="n"/>
      <c r="O587" s="172" t="n"/>
      <c r="P587" s="172" t="n"/>
    </row>
    <row r="588">
      <c r="B588" s="170" t="n"/>
      <c r="C588" s="199" t="n"/>
      <c r="D588" s="312" t="n"/>
      <c r="E588" s="312" t="n"/>
      <c r="F588" s="312" t="n"/>
      <c r="G588" s="312" t="n"/>
      <c r="H588" s="312" t="n"/>
      <c r="I588" s="313" t="n"/>
      <c r="J588" s="199" t="n"/>
      <c r="K588" s="314" t="n"/>
      <c r="L588" s="170" t="n"/>
      <c r="M588" s="170" t="n"/>
      <c r="N588" s="170" t="n"/>
      <c r="O588" s="172" t="n"/>
      <c r="P588" s="172" t="n"/>
    </row>
    <row r="589">
      <c r="B589" s="170" t="n"/>
      <c r="C589" s="199" t="n"/>
      <c r="D589" s="312" t="n"/>
      <c r="E589" s="312" t="n"/>
      <c r="F589" s="312" t="n"/>
      <c r="G589" s="312" t="n"/>
      <c r="H589" s="312" t="n"/>
      <c r="I589" s="313" t="n"/>
      <c r="J589" s="199" t="n"/>
      <c r="K589" s="314" t="n"/>
      <c r="L589" s="170" t="n"/>
      <c r="M589" s="170" t="n"/>
      <c r="N589" s="170" t="n"/>
      <c r="O589" s="172" t="n"/>
      <c r="P589" s="172" t="n"/>
    </row>
    <row r="590">
      <c r="B590" s="170" t="n"/>
      <c r="C590" s="199" t="n"/>
      <c r="D590" s="312" t="n"/>
      <c r="E590" s="312" t="n"/>
      <c r="F590" s="312" t="n"/>
      <c r="G590" s="312" t="n"/>
      <c r="H590" s="312" t="n"/>
      <c r="I590" s="313" t="n"/>
      <c r="J590" s="199" t="n"/>
      <c r="K590" s="314" t="n"/>
      <c r="L590" s="170" t="n"/>
      <c r="M590" s="170" t="n"/>
      <c r="N590" s="170" t="n"/>
      <c r="O590" s="172" t="n"/>
      <c r="P590" s="172" t="n"/>
    </row>
    <row r="591">
      <c r="B591" s="170" t="n"/>
      <c r="C591" s="199" t="n"/>
      <c r="D591" s="312" t="n"/>
      <c r="E591" s="312" t="n"/>
      <c r="F591" s="312" t="n"/>
      <c r="G591" s="312" t="n"/>
      <c r="H591" s="312" t="n"/>
      <c r="I591" s="313" t="n"/>
      <c r="J591" s="199" t="n"/>
      <c r="K591" s="314" t="n"/>
      <c r="L591" s="170" t="n"/>
      <c r="M591" s="170" t="n"/>
      <c r="N591" s="170" t="n"/>
      <c r="O591" s="172" t="n"/>
      <c r="P591" s="172" t="n"/>
    </row>
    <row r="592">
      <c r="B592" s="170" t="n"/>
      <c r="C592" s="199" t="n"/>
      <c r="D592" s="312" t="n"/>
      <c r="E592" s="312" t="n"/>
      <c r="F592" s="312" t="n"/>
      <c r="G592" s="312" t="n"/>
      <c r="H592" s="312" t="n"/>
      <c r="I592" s="313" t="n"/>
      <c r="J592" s="199" t="n"/>
      <c r="K592" s="314" t="n"/>
      <c r="L592" s="170" t="n"/>
      <c r="M592" s="170" t="n"/>
      <c r="N592" s="170" t="n"/>
      <c r="O592" s="172" t="n"/>
      <c r="P592" s="172" t="n"/>
    </row>
    <row r="593">
      <c r="B593" s="170" t="n"/>
      <c r="C593" s="199" t="n"/>
      <c r="D593" s="312" t="n"/>
      <c r="E593" s="312" t="n"/>
      <c r="F593" s="312" t="n"/>
      <c r="G593" s="312" t="n"/>
      <c r="H593" s="312" t="n"/>
      <c r="I593" s="313" t="n"/>
      <c r="J593" s="199" t="n"/>
      <c r="K593" s="314" t="n"/>
      <c r="L593" s="170" t="n"/>
      <c r="M593" s="170" t="n"/>
      <c r="N593" s="170" t="n"/>
      <c r="O593" s="172" t="n"/>
      <c r="P593" s="172" t="n"/>
    </row>
    <row r="594">
      <c r="B594" s="170" t="n"/>
      <c r="C594" s="199" t="n"/>
      <c r="D594" s="312" t="n"/>
      <c r="E594" s="312" t="n"/>
      <c r="F594" s="312" t="n"/>
      <c r="G594" s="312" t="n"/>
      <c r="H594" s="312" t="n"/>
      <c r="I594" s="313" t="n"/>
      <c r="J594" s="199" t="n"/>
      <c r="K594" s="314" t="n"/>
      <c r="L594" s="170" t="n"/>
      <c r="M594" s="170" t="n"/>
      <c r="N594" s="170" t="n"/>
      <c r="O594" s="172" t="n"/>
      <c r="P594" s="172" t="n"/>
    </row>
    <row r="595">
      <c r="B595" s="170" t="n"/>
      <c r="C595" s="199" t="n"/>
      <c r="D595" s="312" t="n"/>
      <c r="E595" s="312" t="n"/>
      <c r="F595" s="312" t="n"/>
      <c r="G595" s="312" t="n"/>
      <c r="H595" s="312" t="n"/>
      <c r="I595" s="313" t="n"/>
      <c r="J595" s="199" t="n"/>
      <c r="K595" s="314" t="n"/>
      <c r="L595" s="170" t="n"/>
      <c r="M595" s="170" t="n"/>
      <c r="N595" s="170" t="n"/>
      <c r="O595" s="172" t="n"/>
      <c r="P595" s="172" t="n"/>
    </row>
    <row r="596">
      <c r="B596" s="170" t="n"/>
      <c r="C596" s="199" t="n"/>
      <c r="D596" s="312" t="n"/>
      <c r="E596" s="312" t="n"/>
      <c r="F596" s="312" t="n"/>
      <c r="G596" s="312" t="n"/>
      <c r="H596" s="312" t="n"/>
      <c r="I596" s="313" t="n"/>
      <c r="J596" s="199" t="n"/>
      <c r="K596" s="314" t="n"/>
      <c r="L596" s="170" t="n"/>
      <c r="M596" s="170" t="n"/>
      <c r="N596" s="170" t="n"/>
      <c r="O596" s="172" t="n"/>
      <c r="P596" s="172" t="n"/>
    </row>
    <row r="597">
      <c r="B597" s="170" t="n"/>
      <c r="C597" s="199" t="n"/>
      <c r="D597" s="312" t="n"/>
      <c r="E597" s="312" t="n"/>
      <c r="F597" s="312" t="n"/>
      <c r="G597" s="312" t="n"/>
      <c r="H597" s="312" t="n"/>
      <c r="I597" s="313" t="n"/>
      <c r="J597" s="199" t="n"/>
      <c r="K597" s="314" t="n"/>
      <c r="L597" s="170" t="n"/>
      <c r="M597" s="170" t="n"/>
      <c r="N597" s="170" t="n"/>
      <c r="O597" s="172" t="n"/>
      <c r="P597" s="172" t="n"/>
    </row>
    <row r="598">
      <c r="B598" s="170" t="n"/>
      <c r="C598" s="199" t="n"/>
      <c r="D598" s="312" t="n"/>
      <c r="E598" s="312" t="n"/>
      <c r="F598" s="312" t="n"/>
      <c r="G598" s="312" t="n"/>
      <c r="H598" s="312" t="n"/>
      <c r="I598" s="313" t="n"/>
      <c r="J598" s="199" t="n"/>
      <c r="K598" s="314" t="n"/>
      <c r="L598" s="170" t="n"/>
      <c r="M598" s="170" t="n"/>
      <c r="N598" s="170" t="n"/>
      <c r="O598" s="172" t="n"/>
      <c r="P598" s="172" t="n"/>
    </row>
    <row r="599">
      <c r="B599" s="170" t="n"/>
      <c r="C599" s="199" t="n"/>
      <c r="D599" s="312" t="n"/>
      <c r="E599" s="312" t="n"/>
      <c r="F599" s="312" t="n"/>
      <c r="G599" s="312" t="n"/>
      <c r="H599" s="312" t="n"/>
      <c r="I599" s="313" t="n"/>
      <c r="J599" s="199" t="n"/>
      <c r="K599" s="314" t="n"/>
      <c r="L599" s="170" t="n"/>
      <c r="M599" s="170" t="n"/>
      <c r="N599" s="170" t="n"/>
      <c r="O599" s="172" t="n"/>
      <c r="P599" s="172" t="n"/>
    </row>
    <row r="600">
      <c r="B600" s="170" t="n"/>
      <c r="C600" s="199" t="n"/>
      <c r="D600" s="312" t="n"/>
      <c r="E600" s="312" t="n"/>
      <c r="F600" s="312" t="n"/>
      <c r="G600" s="312" t="n"/>
      <c r="H600" s="312" t="n"/>
      <c r="I600" s="313" t="n"/>
      <c r="J600" s="199" t="n"/>
      <c r="K600" s="314" t="n"/>
      <c r="L600" s="170" t="n"/>
      <c r="M600" s="170" t="n"/>
      <c r="N600" s="170" t="n"/>
      <c r="O600" s="172" t="n"/>
      <c r="P600" s="172" t="n"/>
    </row>
    <row r="601">
      <c r="B601" s="170" t="n"/>
      <c r="C601" s="199" t="n"/>
      <c r="D601" s="312" t="n"/>
      <c r="E601" s="312" t="n"/>
      <c r="F601" s="312" t="n"/>
      <c r="G601" s="312" t="n"/>
      <c r="H601" s="312" t="n"/>
      <c r="I601" s="313" t="n"/>
      <c r="J601" s="199" t="n"/>
      <c r="K601" s="314" t="n"/>
      <c r="L601" s="170" t="n"/>
      <c r="M601" s="170" t="n"/>
      <c r="N601" s="170" t="n"/>
      <c r="O601" s="172" t="n"/>
      <c r="P601" s="172" t="n"/>
    </row>
    <row r="602">
      <c r="B602" s="170" t="n"/>
      <c r="C602" s="199" t="n"/>
      <c r="D602" s="312" t="n"/>
      <c r="E602" s="312" t="n"/>
      <c r="F602" s="312" t="n"/>
      <c r="G602" s="312" t="n"/>
      <c r="H602" s="312" t="n"/>
      <c r="I602" s="313" t="n"/>
      <c r="J602" s="199" t="n"/>
      <c r="K602" s="314" t="n"/>
      <c r="L602" s="170" t="n"/>
      <c r="M602" s="170" t="n"/>
      <c r="N602" s="170" t="n"/>
      <c r="O602" s="172" t="n"/>
      <c r="P602" s="172" t="n"/>
    </row>
    <row r="603">
      <c r="B603" s="170" t="n"/>
      <c r="C603" s="199" t="n"/>
      <c r="D603" s="312" t="n"/>
      <c r="E603" s="312" t="n"/>
      <c r="F603" s="312" t="n"/>
      <c r="G603" s="312" t="n"/>
      <c r="H603" s="312" t="n"/>
      <c r="I603" s="313" t="n"/>
      <c r="J603" s="199" t="n"/>
      <c r="K603" s="314" t="n"/>
      <c r="L603" s="170" t="n"/>
      <c r="M603" s="170" t="n"/>
      <c r="N603" s="170" t="n"/>
      <c r="O603" s="172" t="n"/>
      <c r="P603" s="172" t="n"/>
    </row>
    <row r="604">
      <c r="B604" s="170" t="n"/>
      <c r="C604" s="199" t="n"/>
      <c r="D604" s="312" t="n"/>
      <c r="E604" s="312" t="n"/>
      <c r="F604" s="312" t="n"/>
      <c r="G604" s="312" t="n"/>
      <c r="H604" s="312" t="n"/>
      <c r="I604" s="313" t="n"/>
      <c r="J604" s="199" t="n"/>
      <c r="K604" s="314" t="n"/>
      <c r="L604" s="170" t="n"/>
      <c r="M604" s="170" t="n"/>
      <c r="N604" s="170" t="n"/>
      <c r="O604" s="172" t="n"/>
      <c r="P604" s="172" t="n"/>
    </row>
    <row r="605">
      <c r="B605" s="170" t="n"/>
      <c r="C605" s="199" t="n"/>
      <c r="D605" s="312" t="n"/>
      <c r="E605" s="312" t="n"/>
      <c r="F605" s="312" t="n"/>
      <c r="G605" s="312" t="n"/>
      <c r="H605" s="312" t="n"/>
      <c r="I605" s="313" t="n"/>
      <c r="J605" s="199" t="n"/>
      <c r="K605" s="314" t="n"/>
      <c r="L605" s="170" t="n"/>
      <c r="M605" s="170" t="n"/>
      <c r="N605" s="170" t="n"/>
      <c r="O605" s="172" t="n"/>
      <c r="P605" s="172" t="n"/>
    </row>
    <row r="606">
      <c r="B606" s="170" t="n"/>
      <c r="C606" s="199" t="n"/>
      <c r="D606" s="312" t="n"/>
      <c r="E606" s="312" t="n"/>
      <c r="F606" s="312" t="n"/>
      <c r="G606" s="312" t="n"/>
      <c r="H606" s="312" t="n"/>
      <c r="I606" s="313" t="n"/>
      <c r="J606" s="199" t="n"/>
      <c r="K606" s="314" t="n"/>
      <c r="L606" s="170" t="n"/>
      <c r="M606" s="170" t="n"/>
      <c r="N606" s="170" t="n"/>
      <c r="O606" s="172" t="n"/>
      <c r="P606" s="172" t="n"/>
    </row>
    <row r="607">
      <c r="B607" s="170" t="n"/>
      <c r="C607" s="199" t="n"/>
      <c r="D607" s="312" t="n"/>
      <c r="E607" s="312" t="n"/>
      <c r="F607" s="312" t="n"/>
      <c r="G607" s="312" t="n"/>
      <c r="H607" s="312" t="n"/>
      <c r="I607" s="313" t="n"/>
      <c r="J607" s="199" t="n"/>
      <c r="K607" s="314" t="n"/>
      <c r="L607" s="170" t="n"/>
      <c r="M607" s="170" t="n"/>
      <c r="N607" s="170" t="n"/>
      <c r="O607" s="172" t="n"/>
      <c r="P607" s="172" t="n"/>
    </row>
    <row r="608">
      <c r="B608" s="170" t="n"/>
      <c r="C608" s="199" t="n"/>
      <c r="D608" s="312" t="n"/>
      <c r="E608" s="312" t="n"/>
      <c r="F608" s="312" t="n"/>
      <c r="G608" s="312" t="n"/>
      <c r="H608" s="312" t="n"/>
      <c r="I608" s="313" t="n"/>
      <c r="J608" s="199" t="n"/>
      <c r="K608" s="314" t="n"/>
      <c r="L608" s="170" t="n"/>
      <c r="M608" s="170" t="n"/>
      <c r="N608" s="170" t="n"/>
      <c r="O608" s="172" t="n"/>
      <c r="P608" s="172" t="n"/>
    </row>
    <row r="609">
      <c r="B609" s="170" t="n"/>
      <c r="C609" s="199" t="n"/>
      <c r="D609" s="312" t="n"/>
      <c r="E609" s="312" t="n"/>
      <c r="F609" s="312" t="n"/>
      <c r="G609" s="312" t="n"/>
      <c r="H609" s="312" t="n"/>
      <c r="I609" s="313" t="n"/>
      <c r="J609" s="199" t="n"/>
      <c r="K609" s="314" t="n"/>
      <c r="L609" s="170" t="n"/>
      <c r="M609" s="170" t="n"/>
      <c r="N609" s="170" t="n"/>
      <c r="O609" s="172" t="n"/>
      <c r="P609" s="172" t="n"/>
    </row>
    <row r="610">
      <c r="B610" s="170" t="n"/>
      <c r="C610" s="199" t="n"/>
      <c r="D610" s="312" t="n"/>
      <c r="E610" s="312" t="n"/>
      <c r="F610" s="312" t="n"/>
      <c r="G610" s="312" t="n"/>
      <c r="H610" s="312" t="n"/>
      <c r="I610" s="313" t="n"/>
      <c r="J610" s="199" t="n"/>
      <c r="K610" s="314" t="n"/>
      <c r="L610" s="170" t="n"/>
      <c r="M610" s="170" t="n"/>
      <c r="N610" s="170" t="n"/>
      <c r="O610" s="172" t="n"/>
      <c r="P610" s="172" t="n"/>
    </row>
    <row r="611">
      <c r="B611" s="170" t="n"/>
      <c r="C611" s="199" t="n"/>
      <c r="D611" s="312" t="n"/>
      <c r="E611" s="312" t="n"/>
      <c r="F611" s="312" t="n"/>
      <c r="G611" s="312" t="n"/>
      <c r="H611" s="312" t="n"/>
      <c r="I611" s="313" t="n"/>
      <c r="J611" s="199" t="n"/>
      <c r="K611" s="314" t="n"/>
      <c r="L611" s="170" t="n"/>
      <c r="M611" s="170" t="n"/>
      <c r="N611" s="170" t="n"/>
      <c r="O611" s="172" t="n"/>
      <c r="P611" s="172" t="n"/>
    </row>
    <row r="612">
      <c r="B612" s="170" t="n"/>
      <c r="C612" s="199" t="n"/>
      <c r="D612" s="312" t="n"/>
      <c r="E612" s="312" t="n"/>
      <c r="F612" s="312" t="n"/>
      <c r="G612" s="312" t="n"/>
      <c r="H612" s="312" t="n"/>
      <c r="I612" s="313" t="n"/>
      <c r="J612" s="199" t="n"/>
      <c r="K612" s="314" t="n"/>
      <c r="L612" s="170" t="n"/>
      <c r="M612" s="170" t="n"/>
      <c r="N612" s="170" t="n"/>
      <c r="O612" s="172" t="n"/>
      <c r="P612" s="172" t="n"/>
    </row>
    <row r="613">
      <c r="B613" s="170" t="n"/>
      <c r="C613" s="199" t="n"/>
      <c r="D613" s="312" t="n"/>
      <c r="E613" s="312" t="n"/>
      <c r="F613" s="312" t="n"/>
      <c r="G613" s="312" t="n"/>
      <c r="H613" s="312" t="n"/>
      <c r="I613" s="313" t="n"/>
      <c r="J613" s="199" t="n"/>
      <c r="K613" s="314" t="n"/>
      <c r="L613" s="170" t="n"/>
      <c r="M613" s="170" t="n"/>
      <c r="N613" s="170" t="n"/>
      <c r="O613" s="172" t="n"/>
      <c r="P613" s="172" t="n"/>
    </row>
    <row r="614">
      <c r="B614" s="170" t="n"/>
      <c r="C614" s="199" t="n"/>
      <c r="D614" s="312" t="n"/>
      <c r="E614" s="312" t="n"/>
      <c r="F614" s="312" t="n"/>
      <c r="G614" s="312" t="n"/>
      <c r="H614" s="312" t="n"/>
      <c r="I614" s="313" t="n"/>
      <c r="J614" s="199" t="n"/>
      <c r="K614" s="314" t="n"/>
      <c r="L614" s="170" t="n"/>
      <c r="M614" s="170" t="n"/>
      <c r="N614" s="170" t="n"/>
      <c r="O614" s="172" t="n"/>
      <c r="P614" s="172" t="n"/>
    </row>
    <row r="615">
      <c r="B615" s="170" t="n"/>
      <c r="C615" s="199" t="n"/>
      <c r="D615" s="312" t="n"/>
      <c r="E615" s="312" t="n"/>
      <c r="F615" s="312" t="n"/>
      <c r="G615" s="312" t="n"/>
      <c r="H615" s="312" t="n"/>
      <c r="I615" s="313" t="n"/>
      <c r="J615" s="199" t="n"/>
      <c r="K615" s="314" t="n"/>
      <c r="L615" s="170" t="n"/>
      <c r="M615" s="170" t="n"/>
      <c r="N615" s="170" t="n"/>
      <c r="O615" s="172" t="n"/>
      <c r="P615" s="172" t="n"/>
    </row>
    <row r="616">
      <c r="B616" s="170" t="n"/>
      <c r="C616" s="199" t="n"/>
      <c r="D616" s="312" t="n"/>
      <c r="E616" s="312" t="n"/>
      <c r="F616" s="312" t="n"/>
      <c r="G616" s="312" t="n"/>
      <c r="H616" s="312" t="n"/>
      <c r="I616" s="313" t="n"/>
      <c r="J616" s="199" t="n"/>
      <c r="K616" s="314" t="n"/>
      <c r="L616" s="170" t="n"/>
      <c r="M616" s="170" t="n"/>
      <c r="N616" s="170" t="n"/>
      <c r="O616" s="172" t="n"/>
      <c r="P616" s="172" t="n"/>
    </row>
    <row r="617">
      <c r="B617" s="170" t="n"/>
      <c r="C617" s="199" t="n"/>
      <c r="D617" s="312" t="n"/>
      <c r="E617" s="312" t="n"/>
      <c r="F617" s="312" t="n"/>
      <c r="G617" s="312" t="n"/>
      <c r="H617" s="312" t="n"/>
      <c r="I617" s="313" t="n"/>
      <c r="J617" s="199" t="n"/>
      <c r="K617" s="314" t="n"/>
      <c r="L617" s="170" t="n"/>
      <c r="M617" s="170" t="n"/>
      <c r="N617" s="170" t="n"/>
      <c r="O617" s="172" t="n"/>
      <c r="P617" s="172" t="n"/>
    </row>
    <row r="618">
      <c r="B618" s="170" t="n"/>
      <c r="C618" s="199" t="n"/>
      <c r="D618" s="312" t="n"/>
      <c r="E618" s="312" t="n"/>
      <c r="F618" s="312" t="n"/>
      <c r="G618" s="312" t="n"/>
      <c r="H618" s="312" t="n"/>
      <c r="I618" s="313" t="n"/>
      <c r="J618" s="199" t="n"/>
      <c r="K618" s="314" t="n"/>
      <c r="L618" s="170" t="n"/>
      <c r="M618" s="170" t="n"/>
      <c r="N618" s="170" t="n"/>
      <c r="O618" s="172" t="n"/>
      <c r="P618" s="172" t="n"/>
    </row>
    <row r="619">
      <c r="B619" s="170" t="n"/>
      <c r="C619" s="199" t="n"/>
      <c r="D619" s="312" t="n"/>
      <c r="E619" s="312" t="n"/>
      <c r="F619" s="312" t="n"/>
      <c r="G619" s="312" t="n"/>
      <c r="H619" s="312" t="n"/>
      <c r="I619" s="313" t="n"/>
      <c r="J619" s="199" t="n"/>
      <c r="K619" s="314" t="n"/>
      <c r="L619" s="170" t="n"/>
      <c r="M619" s="170" t="n"/>
      <c r="N619" s="170" t="n"/>
      <c r="O619" s="172" t="n"/>
      <c r="P619" s="172" t="n"/>
    </row>
    <row r="620">
      <c r="B620" s="170" t="n"/>
      <c r="C620" s="199" t="n"/>
      <c r="D620" s="312" t="n"/>
      <c r="E620" s="312" t="n"/>
      <c r="F620" s="312" t="n"/>
      <c r="G620" s="312" t="n"/>
      <c r="H620" s="312" t="n"/>
      <c r="I620" s="313" t="n"/>
      <c r="J620" s="199" t="n"/>
      <c r="K620" s="314" t="n"/>
      <c r="L620" s="170" t="n"/>
      <c r="M620" s="170" t="n"/>
      <c r="N620" s="170" t="n"/>
      <c r="O620" s="172" t="n"/>
      <c r="P620" s="172" t="n"/>
    </row>
    <row r="621">
      <c r="B621" s="170" t="n"/>
      <c r="C621" s="199" t="n"/>
      <c r="D621" s="312" t="n"/>
      <c r="E621" s="312" t="n"/>
      <c r="F621" s="312" t="n"/>
      <c r="G621" s="312" t="n"/>
      <c r="H621" s="312" t="n"/>
      <c r="I621" s="313" t="n"/>
      <c r="J621" s="199" t="n"/>
      <c r="K621" s="314" t="n"/>
      <c r="L621" s="170" t="n"/>
      <c r="M621" s="170" t="n"/>
      <c r="N621" s="170" t="n"/>
      <c r="O621" s="172" t="n"/>
      <c r="P621" s="172" t="n"/>
    </row>
    <row r="622">
      <c r="B622" s="170" t="n"/>
      <c r="C622" s="199" t="n"/>
      <c r="D622" s="312" t="n"/>
      <c r="E622" s="312" t="n"/>
      <c r="F622" s="312" t="n"/>
      <c r="G622" s="312" t="n"/>
      <c r="H622" s="312" t="n"/>
      <c r="I622" s="313" t="n"/>
      <c r="J622" s="199" t="n"/>
      <c r="K622" s="314" t="n"/>
      <c r="L622" s="170" t="n"/>
      <c r="M622" s="170" t="n"/>
      <c r="N622" s="170" t="n"/>
      <c r="O622" s="172" t="n"/>
      <c r="P622" s="172" t="n"/>
    </row>
    <row r="623">
      <c r="B623" s="170" t="n"/>
      <c r="C623" s="199" t="n"/>
      <c r="D623" s="312" t="n"/>
      <c r="E623" s="312" t="n"/>
      <c r="F623" s="312" t="n"/>
      <c r="G623" s="312" t="n"/>
      <c r="H623" s="312" t="n"/>
      <c r="I623" s="313" t="n"/>
      <c r="J623" s="199" t="n"/>
      <c r="K623" s="314" t="n"/>
      <c r="L623" s="170" t="n"/>
      <c r="M623" s="170" t="n"/>
      <c r="N623" s="170" t="n"/>
      <c r="O623" s="172" t="n"/>
      <c r="P623" s="172" t="n"/>
    </row>
    <row r="624">
      <c r="B624" s="170" t="n"/>
      <c r="C624" s="199" t="n"/>
      <c r="D624" s="312" t="n"/>
      <c r="E624" s="312" t="n"/>
      <c r="F624" s="312" t="n"/>
      <c r="G624" s="312" t="n"/>
      <c r="H624" s="312" t="n"/>
      <c r="I624" s="313" t="n"/>
      <c r="J624" s="199" t="n"/>
      <c r="K624" s="314" t="n"/>
      <c r="L624" s="170" t="n"/>
      <c r="M624" s="170" t="n"/>
      <c r="N624" s="170" t="n"/>
      <c r="O624" s="172" t="n"/>
      <c r="P624" s="172" t="n"/>
    </row>
    <row r="625">
      <c r="B625" s="170" t="n"/>
      <c r="C625" s="199" t="n"/>
      <c r="D625" s="312" t="n"/>
      <c r="E625" s="312" t="n"/>
      <c r="F625" s="312" t="n"/>
      <c r="G625" s="312" t="n"/>
      <c r="H625" s="312" t="n"/>
      <c r="I625" s="313" t="n"/>
      <c r="J625" s="199" t="n"/>
      <c r="K625" s="314" t="n"/>
      <c r="L625" s="170" t="n"/>
      <c r="M625" s="170" t="n"/>
      <c r="N625" s="170" t="n"/>
      <c r="O625" s="172" t="n"/>
      <c r="P625" s="172" t="n"/>
    </row>
    <row r="626">
      <c r="B626" s="170" t="n"/>
      <c r="C626" s="199" t="n"/>
      <c r="D626" s="312" t="n"/>
      <c r="E626" s="312" t="n"/>
      <c r="F626" s="312" t="n"/>
      <c r="G626" s="312" t="n"/>
      <c r="H626" s="312" t="n"/>
      <c r="I626" s="313" t="n"/>
      <c r="J626" s="199" t="n"/>
      <c r="K626" s="314" t="n"/>
      <c r="L626" s="170" t="n"/>
      <c r="M626" s="170" t="n"/>
      <c r="N626" s="170" t="n"/>
      <c r="O626" s="172" t="n"/>
      <c r="P626" s="172" t="n"/>
    </row>
    <row r="627">
      <c r="B627" s="170" t="n"/>
      <c r="C627" s="199" t="n"/>
      <c r="D627" s="312" t="n"/>
      <c r="E627" s="312" t="n"/>
      <c r="F627" s="312" t="n"/>
      <c r="G627" s="312" t="n"/>
      <c r="H627" s="312" t="n"/>
      <c r="I627" s="313" t="n"/>
      <c r="J627" s="199" t="n"/>
      <c r="K627" s="314" t="n"/>
      <c r="L627" s="170" t="n"/>
      <c r="M627" s="170" t="n"/>
      <c r="N627" s="170" t="n"/>
      <c r="O627" s="172" t="n"/>
      <c r="P627" s="172" t="n"/>
    </row>
    <row r="628">
      <c r="B628" s="170" t="n"/>
      <c r="C628" s="199" t="n"/>
      <c r="D628" s="312" t="n"/>
      <c r="E628" s="312" t="n"/>
      <c r="F628" s="312" t="n"/>
      <c r="G628" s="312" t="n"/>
      <c r="H628" s="312" t="n"/>
      <c r="I628" s="313" t="n"/>
      <c r="J628" s="199" t="n"/>
      <c r="K628" s="314" t="n"/>
      <c r="L628" s="170" t="n"/>
      <c r="M628" s="170" t="n"/>
      <c r="N628" s="170" t="n"/>
      <c r="O628" s="172" t="n"/>
      <c r="P628" s="172" t="n"/>
    </row>
    <row r="629">
      <c r="B629" s="170" t="n"/>
      <c r="C629" s="199" t="n"/>
      <c r="D629" s="312" t="n"/>
      <c r="E629" s="312" t="n"/>
      <c r="F629" s="312" t="n"/>
      <c r="G629" s="312" t="n"/>
      <c r="H629" s="312" t="n"/>
      <c r="I629" s="313" t="n"/>
      <c r="J629" s="199" t="n"/>
      <c r="K629" s="314" t="n"/>
      <c r="L629" s="170" t="n"/>
      <c r="M629" s="170" t="n"/>
      <c r="N629" s="170" t="n"/>
      <c r="O629" s="172" t="n"/>
      <c r="P629" s="172" t="n"/>
    </row>
    <row r="630">
      <c r="B630" s="170" t="n"/>
      <c r="C630" s="199" t="n"/>
      <c r="D630" s="312" t="n"/>
      <c r="E630" s="312" t="n"/>
      <c r="F630" s="312" t="n"/>
      <c r="G630" s="312" t="n"/>
      <c r="H630" s="312" t="n"/>
      <c r="I630" s="313" t="n"/>
      <c r="J630" s="199" t="n"/>
      <c r="K630" s="314" t="n"/>
      <c r="L630" s="170" t="n"/>
      <c r="M630" s="170" t="n"/>
      <c r="N630" s="170" t="n"/>
      <c r="O630" s="172" t="n"/>
      <c r="P630" s="172" t="n"/>
    </row>
    <row r="631">
      <c r="B631" s="170" t="n"/>
      <c r="C631" s="199" t="n"/>
      <c r="D631" s="312" t="n"/>
      <c r="E631" s="312" t="n"/>
      <c r="F631" s="312" t="n"/>
      <c r="G631" s="312" t="n"/>
      <c r="H631" s="312" t="n"/>
      <c r="I631" s="313" t="n"/>
      <c r="J631" s="199" t="n"/>
      <c r="K631" s="314" t="n"/>
      <c r="L631" s="170" t="n"/>
      <c r="M631" s="170" t="n"/>
      <c r="N631" s="170" t="n"/>
      <c r="O631" s="172" t="n"/>
      <c r="P631" s="172" t="n"/>
    </row>
    <row r="632">
      <c r="B632" s="170" t="n"/>
      <c r="C632" s="199" t="n"/>
      <c r="D632" s="312" t="n"/>
      <c r="E632" s="312" t="n"/>
      <c r="F632" s="312" t="n"/>
      <c r="G632" s="312" t="n"/>
      <c r="H632" s="312" t="n"/>
      <c r="I632" s="313" t="n"/>
      <c r="J632" s="199" t="n"/>
      <c r="K632" s="314" t="n"/>
      <c r="L632" s="170" t="n"/>
      <c r="M632" s="170" t="n"/>
      <c r="N632" s="170" t="n"/>
      <c r="O632" s="172" t="n"/>
      <c r="P632" s="172" t="n"/>
    </row>
    <row r="633">
      <c r="B633" s="170" t="n"/>
      <c r="C633" s="199" t="n"/>
      <c r="D633" s="312" t="n"/>
      <c r="E633" s="312" t="n"/>
      <c r="F633" s="312" t="n"/>
      <c r="G633" s="312" t="n"/>
      <c r="H633" s="312" t="n"/>
      <c r="I633" s="313" t="n"/>
      <c r="J633" s="199" t="n"/>
      <c r="K633" s="314" t="n"/>
      <c r="L633" s="170" t="n"/>
      <c r="M633" s="170" t="n"/>
      <c r="N633" s="170" t="n"/>
      <c r="O633" s="172" t="n"/>
      <c r="P633" s="172" t="n"/>
    </row>
    <row r="634">
      <c r="B634" s="170" t="n"/>
      <c r="C634" s="199" t="n"/>
      <c r="D634" s="312" t="n"/>
      <c r="E634" s="312" t="n"/>
      <c r="F634" s="312" t="n"/>
      <c r="G634" s="312" t="n"/>
      <c r="H634" s="312" t="n"/>
      <c r="I634" s="313" t="n"/>
      <c r="J634" s="199" t="n"/>
      <c r="K634" s="314" t="n"/>
      <c r="L634" s="170" t="n"/>
      <c r="M634" s="170" t="n"/>
      <c r="N634" s="170" t="n"/>
      <c r="O634" s="172" t="n"/>
      <c r="P634" s="172" t="n"/>
    </row>
    <row r="635">
      <c r="B635" s="170" t="n"/>
      <c r="C635" s="199" t="n"/>
      <c r="D635" s="312" t="n"/>
      <c r="E635" s="312" t="n"/>
      <c r="F635" s="312" t="n"/>
      <c r="G635" s="312" t="n"/>
      <c r="H635" s="312" t="n"/>
      <c r="I635" s="313" t="n"/>
      <c r="J635" s="199" t="n"/>
      <c r="K635" s="314" t="n"/>
      <c r="L635" s="170" t="n"/>
      <c r="M635" s="170" t="n"/>
      <c r="N635" s="170" t="n"/>
      <c r="O635" s="172" t="n"/>
      <c r="P635" s="172" t="n"/>
    </row>
    <row r="636">
      <c r="B636" s="170" t="n"/>
      <c r="C636" s="199" t="n"/>
      <c r="D636" s="312" t="n"/>
      <c r="E636" s="312" t="n"/>
      <c r="F636" s="312" t="n"/>
      <c r="G636" s="312" t="n"/>
      <c r="H636" s="312" t="n"/>
      <c r="I636" s="313" t="n"/>
      <c r="J636" s="199" t="n"/>
      <c r="K636" s="314" t="n"/>
      <c r="L636" s="170" t="n"/>
      <c r="M636" s="170" t="n"/>
      <c r="N636" s="170" t="n"/>
      <c r="O636" s="172" t="n"/>
      <c r="P636" s="172" t="n"/>
    </row>
    <row r="637">
      <c r="B637" s="170" t="n"/>
      <c r="C637" s="199" t="n"/>
      <c r="D637" s="312" t="n"/>
      <c r="E637" s="312" t="n"/>
      <c r="F637" s="312" t="n"/>
      <c r="G637" s="312" t="n"/>
      <c r="H637" s="312" t="n"/>
      <c r="I637" s="313" t="n"/>
      <c r="J637" s="199" t="n"/>
      <c r="K637" s="314" t="n"/>
      <c r="L637" s="170" t="n"/>
      <c r="M637" s="170" t="n"/>
      <c r="N637" s="170" t="n"/>
      <c r="O637" s="172" t="n"/>
      <c r="P637" s="172" t="n"/>
    </row>
    <row r="638">
      <c r="B638" s="170" t="n"/>
      <c r="C638" s="199" t="n"/>
      <c r="D638" s="312" t="n"/>
      <c r="E638" s="312" t="n"/>
      <c r="F638" s="312" t="n"/>
      <c r="G638" s="312" t="n"/>
      <c r="H638" s="312" t="n"/>
      <c r="I638" s="313" t="n"/>
      <c r="J638" s="199" t="n"/>
      <c r="K638" s="314" t="n"/>
      <c r="L638" s="170" t="n"/>
      <c r="M638" s="170" t="n"/>
      <c r="N638" s="170" t="n"/>
      <c r="O638" s="172" t="n"/>
      <c r="P638" s="172" t="n"/>
    </row>
    <row r="639">
      <c r="B639" s="170" t="n"/>
      <c r="C639" s="199" t="n"/>
      <c r="D639" s="312" t="n"/>
      <c r="E639" s="312" t="n"/>
      <c r="F639" s="312" t="n"/>
      <c r="G639" s="312" t="n"/>
      <c r="H639" s="312" t="n"/>
      <c r="I639" s="313" t="n"/>
      <c r="J639" s="199" t="n"/>
      <c r="K639" s="314" t="n"/>
      <c r="L639" s="170" t="n"/>
      <c r="M639" s="170" t="n"/>
      <c r="N639" s="170" t="n"/>
      <c r="O639" s="172" t="n"/>
      <c r="P639" s="172" t="n"/>
    </row>
    <row r="640">
      <c r="B640" s="170" t="n"/>
      <c r="C640" s="199" t="n"/>
      <c r="D640" s="312" t="n"/>
      <c r="E640" s="312" t="n"/>
      <c r="F640" s="312" t="n"/>
      <c r="G640" s="312" t="n"/>
      <c r="H640" s="312" t="n"/>
      <c r="I640" s="313" t="n"/>
      <c r="J640" s="199" t="n"/>
      <c r="K640" s="314" t="n"/>
      <c r="L640" s="170" t="n"/>
      <c r="M640" s="170" t="n"/>
      <c r="N640" s="170" t="n"/>
      <c r="O640" s="172" t="n"/>
      <c r="P640" s="172" t="n"/>
    </row>
    <row r="641">
      <c r="B641" s="170" t="n"/>
      <c r="C641" s="199" t="n"/>
      <c r="D641" s="312" t="n"/>
      <c r="E641" s="312" t="n"/>
      <c r="F641" s="312" t="n"/>
      <c r="G641" s="312" t="n"/>
      <c r="H641" s="312" t="n"/>
      <c r="I641" s="313" t="n"/>
      <c r="J641" s="199" t="n"/>
      <c r="K641" s="314" t="n"/>
      <c r="L641" s="170" t="n"/>
      <c r="M641" s="170" t="n"/>
      <c r="N641" s="170" t="n"/>
      <c r="O641" s="172" t="n"/>
      <c r="P641" s="172" t="n"/>
    </row>
    <row r="642">
      <c r="B642" s="170" t="n"/>
      <c r="C642" s="199" t="n"/>
      <c r="D642" s="312" t="n"/>
      <c r="E642" s="312" t="n"/>
      <c r="F642" s="312" t="n"/>
      <c r="G642" s="312" t="n"/>
      <c r="H642" s="312" t="n"/>
      <c r="I642" s="313" t="n"/>
      <c r="J642" s="199" t="n"/>
      <c r="K642" s="314" t="n"/>
      <c r="L642" s="170" t="n"/>
      <c r="M642" s="170" t="n"/>
      <c r="N642" s="170" t="n"/>
      <c r="O642" s="172" t="n"/>
      <c r="P642" s="172" t="n"/>
    </row>
    <row r="643">
      <c r="B643" s="170" t="n"/>
      <c r="C643" s="199" t="n"/>
      <c r="D643" s="312" t="n"/>
      <c r="E643" s="312" t="n"/>
      <c r="F643" s="312" t="n"/>
      <c r="G643" s="312" t="n"/>
      <c r="H643" s="312" t="n"/>
      <c r="I643" s="313" t="n"/>
      <c r="J643" s="199" t="n"/>
      <c r="K643" s="314" t="n"/>
      <c r="L643" s="170" t="n"/>
      <c r="M643" s="170" t="n"/>
      <c r="N643" s="170" t="n"/>
      <c r="O643" s="172" t="n"/>
      <c r="P643" s="172" t="n"/>
    </row>
    <row r="644">
      <c r="B644" s="170" t="n"/>
      <c r="C644" s="199" t="n"/>
      <c r="D644" s="312" t="n"/>
      <c r="E644" s="312" t="n"/>
      <c r="F644" s="312" t="n"/>
      <c r="G644" s="312" t="n"/>
      <c r="H644" s="312" t="n"/>
      <c r="I644" s="313" t="n"/>
      <c r="J644" s="199" t="n"/>
      <c r="K644" s="314" t="n"/>
      <c r="L644" s="170" t="n"/>
      <c r="M644" s="170" t="n"/>
      <c r="N644" s="170" t="n"/>
      <c r="O644" s="172" t="n"/>
      <c r="P644" s="172" t="n"/>
    </row>
    <row r="645">
      <c r="B645" s="170" t="n"/>
      <c r="C645" s="199" t="n"/>
      <c r="D645" s="312" t="n"/>
      <c r="E645" s="312" t="n"/>
      <c r="F645" s="312" t="n"/>
      <c r="G645" s="312" t="n"/>
      <c r="H645" s="312" t="n"/>
      <c r="I645" s="313" t="n"/>
      <c r="J645" s="199" t="n"/>
      <c r="K645" s="314" t="n"/>
      <c r="L645" s="170" t="n"/>
      <c r="M645" s="170" t="n"/>
      <c r="N645" s="170" t="n"/>
      <c r="O645" s="172" t="n"/>
      <c r="P645" s="172" t="n"/>
    </row>
    <row r="646">
      <c r="B646" s="170" t="n"/>
      <c r="C646" s="199" t="n"/>
      <c r="D646" s="312" t="n"/>
      <c r="E646" s="312" t="n"/>
      <c r="F646" s="312" t="n"/>
      <c r="G646" s="312" t="n"/>
      <c r="H646" s="312" t="n"/>
      <c r="I646" s="313" t="n"/>
      <c r="J646" s="199" t="n"/>
      <c r="K646" s="314" t="n"/>
      <c r="L646" s="170" t="n"/>
      <c r="M646" s="170" t="n"/>
      <c r="N646" s="170" t="n"/>
      <c r="O646" s="172" t="n"/>
      <c r="P646" s="172" t="n"/>
    </row>
    <row r="647">
      <c r="B647" s="170" t="n"/>
      <c r="C647" s="199" t="n"/>
      <c r="D647" s="312" t="n"/>
      <c r="E647" s="312" t="n"/>
      <c r="F647" s="312" t="n"/>
      <c r="G647" s="312" t="n"/>
      <c r="H647" s="312" t="n"/>
      <c r="I647" s="313" t="n"/>
      <c r="J647" s="199" t="n"/>
      <c r="K647" s="314" t="n"/>
      <c r="L647" s="170" t="n"/>
      <c r="M647" s="170" t="n"/>
      <c r="N647" s="170" t="n"/>
      <c r="O647" s="172" t="n"/>
      <c r="P647" s="172" t="n"/>
    </row>
    <row r="648">
      <c r="B648" s="170" t="n"/>
      <c r="C648" s="199" t="n"/>
      <c r="D648" s="312" t="n"/>
      <c r="E648" s="312" t="n"/>
      <c r="F648" s="312" t="n"/>
      <c r="G648" s="312" t="n"/>
      <c r="H648" s="312" t="n"/>
      <c r="I648" s="313" t="n"/>
      <c r="J648" s="199" t="n"/>
      <c r="K648" s="314" t="n"/>
      <c r="L648" s="170" t="n"/>
      <c r="M648" s="170" t="n"/>
      <c r="N648" s="170" t="n"/>
      <c r="O648" s="172" t="n"/>
      <c r="P648" s="172" t="n"/>
    </row>
    <row r="649">
      <c r="B649" s="170" t="n"/>
      <c r="C649" s="199" t="n"/>
      <c r="D649" s="312" t="n"/>
      <c r="E649" s="312" t="n"/>
      <c r="F649" s="312" t="n"/>
      <c r="G649" s="312" t="n"/>
      <c r="H649" s="312" t="n"/>
      <c r="I649" s="313" t="n"/>
      <c r="J649" s="199" t="n"/>
      <c r="K649" s="314" t="n"/>
      <c r="L649" s="170" t="n"/>
      <c r="M649" s="170" t="n"/>
      <c r="N649" s="170" t="n"/>
      <c r="O649" s="172" t="n"/>
      <c r="P649" s="172" t="n"/>
    </row>
    <row r="650">
      <c r="B650" s="170" t="n"/>
      <c r="C650" s="199" t="n"/>
      <c r="D650" s="312" t="n"/>
      <c r="E650" s="312" t="n"/>
      <c r="F650" s="312" t="n"/>
      <c r="G650" s="312" t="n"/>
      <c r="H650" s="312" t="n"/>
      <c r="I650" s="313" t="n"/>
      <c r="J650" s="199" t="n"/>
      <c r="K650" s="314" t="n"/>
      <c r="L650" s="170" t="n"/>
      <c r="M650" s="170" t="n"/>
      <c r="N650" s="170" t="n"/>
      <c r="O650" s="172" t="n"/>
      <c r="P650" s="172" t="n"/>
    </row>
    <row r="651">
      <c r="B651" s="170" t="n"/>
      <c r="C651" s="199" t="n"/>
      <c r="D651" s="312" t="n"/>
      <c r="E651" s="312" t="n"/>
      <c r="F651" s="312" t="n"/>
      <c r="G651" s="312" t="n"/>
      <c r="H651" s="312" t="n"/>
      <c r="I651" s="313" t="n"/>
      <c r="J651" s="199" t="n"/>
      <c r="K651" s="314" t="n"/>
      <c r="L651" s="170" t="n"/>
      <c r="M651" s="170" t="n"/>
      <c r="N651" s="170" t="n"/>
      <c r="O651" s="172" t="n"/>
      <c r="P651" s="172" t="n"/>
    </row>
    <row r="652">
      <c r="B652" s="170" t="n"/>
      <c r="C652" s="199" t="n"/>
      <c r="D652" s="312" t="n"/>
      <c r="E652" s="312" t="n"/>
      <c r="F652" s="312" t="n"/>
      <c r="G652" s="312" t="n"/>
      <c r="H652" s="312" t="n"/>
      <c r="I652" s="313" t="n"/>
      <c r="J652" s="199" t="n"/>
      <c r="K652" s="314" t="n"/>
      <c r="L652" s="170" t="n"/>
      <c r="M652" s="170" t="n"/>
      <c r="N652" s="170" t="n"/>
      <c r="O652" s="172" t="n"/>
      <c r="P652" s="172" t="n"/>
    </row>
    <row r="653">
      <c r="B653" s="170" t="n"/>
      <c r="C653" s="199" t="n"/>
      <c r="D653" s="312" t="n"/>
      <c r="E653" s="312" t="n"/>
      <c r="F653" s="312" t="n"/>
      <c r="G653" s="312" t="n"/>
      <c r="H653" s="312" t="n"/>
      <c r="I653" s="313" t="n"/>
      <c r="J653" s="199" t="n"/>
      <c r="K653" s="314" t="n"/>
      <c r="L653" s="170" t="n"/>
      <c r="M653" s="170" t="n"/>
      <c r="N653" s="170" t="n"/>
      <c r="O653" s="172" t="n"/>
      <c r="P653" s="172" t="n"/>
    </row>
    <row r="654">
      <c r="B654" s="170" t="n"/>
      <c r="C654" s="199" t="n"/>
      <c r="D654" s="312" t="n"/>
      <c r="E654" s="312" t="n"/>
      <c r="F654" s="312" t="n"/>
      <c r="G654" s="312" t="n"/>
      <c r="H654" s="312" t="n"/>
      <c r="I654" s="313" t="n"/>
      <c r="J654" s="199" t="n"/>
      <c r="K654" s="314" t="n"/>
      <c r="L654" s="170" t="n"/>
      <c r="M654" s="170" t="n"/>
      <c r="N654" s="170" t="n"/>
      <c r="O654" s="172" t="n"/>
      <c r="P654" s="172" t="n"/>
    </row>
    <row r="655">
      <c r="B655" s="170" t="n"/>
      <c r="C655" s="199" t="n"/>
      <c r="D655" s="312" t="n"/>
      <c r="E655" s="312" t="n"/>
      <c r="F655" s="312" t="n"/>
      <c r="G655" s="312" t="n"/>
      <c r="H655" s="312" t="n"/>
      <c r="I655" s="313" t="n"/>
      <c r="J655" s="199" t="n"/>
      <c r="K655" s="314" t="n"/>
      <c r="L655" s="170" t="n"/>
      <c r="M655" s="170" t="n"/>
      <c r="N655" s="170" t="n"/>
      <c r="O655" s="172" t="n"/>
      <c r="P655" s="172" t="n"/>
    </row>
    <row r="656">
      <c r="B656" s="170" t="n"/>
      <c r="C656" s="199" t="n"/>
      <c r="D656" s="312" t="n"/>
      <c r="E656" s="312" t="n"/>
      <c r="F656" s="312" t="n"/>
      <c r="G656" s="312" t="n"/>
      <c r="H656" s="312" t="n"/>
      <c r="I656" s="313" t="n"/>
      <c r="J656" s="199" t="n"/>
      <c r="K656" s="314" t="n"/>
      <c r="L656" s="170" t="n"/>
      <c r="M656" s="170" t="n"/>
      <c r="N656" s="170" t="n"/>
      <c r="O656" s="172" t="n"/>
      <c r="P656" s="172" t="n"/>
    </row>
    <row r="657">
      <c r="B657" s="170" t="n"/>
      <c r="C657" s="199" t="n"/>
      <c r="D657" s="312" t="n"/>
      <c r="E657" s="312" t="n"/>
      <c r="F657" s="312" t="n"/>
      <c r="G657" s="312" t="n"/>
      <c r="H657" s="312" t="n"/>
      <c r="I657" s="313" t="n"/>
      <c r="J657" s="199" t="n"/>
      <c r="K657" s="314" t="n"/>
      <c r="L657" s="170" t="n"/>
      <c r="M657" s="170" t="n"/>
      <c r="N657" s="170" t="n"/>
      <c r="O657" s="172" t="n"/>
      <c r="P657" s="172" t="n"/>
    </row>
    <row r="658">
      <c r="B658" s="170" t="n"/>
      <c r="C658" s="199" t="n"/>
      <c r="D658" s="312" t="n"/>
      <c r="E658" s="312" t="n"/>
      <c r="F658" s="312" t="n"/>
      <c r="G658" s="312" t="n"/>
      <c r="H658" s="312" t="n"/>
      <c r="I658" s="313" t="n"/>
      <c r="J658" s="199" t="n"/>
      <c r="K658" s="314" t="n"/>
      <c r="L658" s="170" t="n"/>
      <c r="M658" s="170" t="n"/>
      <c r="N658" s="170" t="n"/>
      <c r="O658" s="172" t="n"/>
      <c r="P658" s="172" t="n"/>
    </row>
    <row r="659">
      <c r="B659" s="170" t="n"/>
      <c r="C659" s="199" t="n"/>
      <c r="D659" s="312" t="n"/>
      <c r="E659" s="312" t="n"/>
      <c r="F659" s="312" t="n"/>
      <c r="G659" s="312" t="n"/>
      <c r="H659" s="312" t="n"/>
      <c r="I659" s="313" t="n"/>
      <c r="J659" s="199" t="n"/>
      <c r="K659" s="314" t="n"/>
      <c r="L659" s="170" t="n"/>
      <c r="M659" s="170" t="n"/>
      <c r="N659" s="170" t="n"/>
      <c r="O659" s="172" t="n"/>
      <c r="P659" s="172" t="n"/>
    </row>
    <row r="660">
      <c r="B660" s="170" t="n"/>
      <c r="C660" s="199" t="n"/>
      <c r="D660" s="312" t="n"/>
      <c r="E660" s="312" t="n"/>
      <c r="F660" s="312" t="n"/>
      <c r="G660" s="312" t="n"/>
      <c r="H660" s="312" t="n"/>
      <c r="I660" s="313" t="n"/>
      <c r="J660" s="199" t="n"/>
      <c r="K660" s="314" t="n"/>
      <c r="L660" s="170" t="n"/>
      <c r="M660" s="170" t="n"/>
      <c r="N660" s="170" t="n"/>
      <c r="O660" s="172" t="n"/>
      <c r="P660" s="172" t="n"/>
    </row>
    <row r="661">
      <c r="B661" s="170" t="n"/>
      <c r="C661" s="199" t="n"/>
      <c r="D661" s="312" t="n"/>
      <c r="E661" s="312" t="n"/>
      <c r="F661" s="312" t="n"/>
      <c r="G661" s="312" t="n"/>
      <c r="H661" s="312" t="n"/>
      <c r="I661" s="313" t="n"/>
      <c r="J661" s="199" t="n"/>
      <c r="K661" s="314" t="n"/>
      <c r="L661" s="170" t="n"/>
      <c r="M661" s="170" t="n"/>
      <c r="N661" s="170" t="n"/>
      <c r="O661" s="172" t="n"/>
      <c r="P661" s="172" t="n"/>
    </row>
    <row r="662">
      <c r="B662" s="170" t="n"/>
      <c r="C662" s="199" t="n"/>
      <c r="D662" s="312" t="n"/>
      <c r="E662" s="312" t="n"/>
      <c r="F662" s="312" t="n"/>
      <c r="G662" s="312" t="n"/>
      <c r="H662" s="312" t="n"/>
      <c r="I662" s="313" t="n"/>
      <c r="J662" s="199" t="n"/>
      <c r="K662" s="314" t="n"/>
      <c r="L662" s="170" t="n"/>
      <c r="M662" s="170" t="n"/>
      <c r="N662" s="170" t="n"/>
      <c r="O662" s="172" t="n"/>
      <c r="P662" s="172" t="n"/>
    </row>
    <row r="663">
      <c r="B663" s="170" t="n"/>
      <c r="C663" s="199" t="n"/>
      <c r="D663" s="312" t="n"/>
      <c r="E663" s="312" t="n"/>
      <c r="F663" s="312" t="n"/>
      <c r="G663" s="312" t="n"/>
      <c r="H663" s="312" t="n"/>
      <c r="I663" s="313" t="n"/>
      <c r="J663" s="199" t="n"/>
      <c r="K663" s="314" t="n"/>
      <c r="L663" s="170" t="n"/>
      <c r="M663" s="170" t="n"/>
      <c r="N663" s="170" t="n"/>
      <c r="O663" s="172" t="n"/>
      <c r="P663" s="172" t="n"/>
    </row>
    <row r="664">
      <c r="B664" s="170" t="n"/>
      <c r="C664" s="199" t="n"/>
      <c r="D664" s="312" t="n"/>
      <c r="E664" s="312" t="n"/>
      <c r="F664" s="312" t="n"/>
      <c r="G664" s="312" t="n"/>
      <c r="H664" s="312" t="n"/>
      <c r="I664" s="313" t="n"/>
      <c r="J664" s="199" t="n"/>
      <c r="K664" s="314" t="n"/>
      <c r="L664" s="170" t="n"/>
      <c r="M664" s="170" t="n"/>
      <c r="N664" s="170" t="n"/>
      <c r="O664" s="172" t="n"/>
      <c r="P664" s="172" t="n"/>
    </row>
    <row r="665">
      <c r="B665" s="170" t="n"/>
      <c r="C665" s="199" t="n"/>
      <c r="D665" s="312" t="n"/>
      <c r="E665" s="312" t="n"/>
      <c r="F665" s="312" t="n"/>
      <c r="G665" s="312" t="n"/>
      <c r="H665" s="312" t="n"/>
      <c r="I665" s="313" t="n"/>
      <c r="J665" s="199" t="n"/>
      <c r="K665" s="314" t="n"/>
      <c r="L665" s="170" t="n"/>
      <c r="M665" s="170" t="n"/>
      <c r="N665" s="170" t="n"/>
      <c r="O665" s="172" t="n"/>
      <c r="P665" s="172" t="n"/>
    </row>
    <row r="666">
      <c r="B666" s="170" t="n"/>
      <c r="C666" s="199" t="n"/>
      <c r="D666" s="312" t="n"/>
      <c r="E666" s="312" t="n"/>
      <c r="F666" s="312" t="n"/>
      <c r="G666" s="312" t="n"/>
      <c r="H666" s="312" t="n"/>
      <c r="I666" s="313" t="n"/>
      <c r="J666" s="199" t="n"/>
      <c r="K666" s="314" t="n"/>
      <c r="L666" s="170" t="n"/>
      <c r="M666" s="170" t="n"/>
      <c r="N666" s="170" t="n"/>
      <c r="O666" s="172" t="n"/>
      <c r="P666" s="172" t="n"/>
    </row>
    <row r="667">
      <c r="B667" s="170" t="n"/>
      <c r="C667" s="199" t="n"/>
      <c r="D667" s="312" t="n"/>
      <c r="E667" s="312" t="n"/>
      <c r="F667" s="312" t="n"/>
      <c r="G667" s="312" t="n"/>
      <c r="H667" s="312" t="n"/>
      <c r="I667" s="313" t="n"/>
      <c r="J667" s="199" t="n"/>
      <c r="K667" s="314" t="n"/>
      <c r="L667" s="170" t="n"/>
      <c r="M667" s="170" t="n"/>
      <c r="N667" s="170" t="n"/>
      <c r="O667" s="172" t="n"/>
      <c r="P667" s="172" t="n"/>
    </row>
    <row r="668">
      <c r="B668" s="170" t="n"/>
      <c r="C668" s="199" t="n"/>
      <c r="D668" s="312" t="n"/>
      <c r="E668" s="312" t="n"/>
      <c r="F668" s="312" t="n"/>
      <c r="G668" s="312" t="n"/>
      <c r="H668" s="312" t="n"/>
      <c r="I668" s="313" t="n"/>
      <c r="J668" s="199" t="n"/>
      <c r="K668" s="314" t="n"/>
      <c r="L668" s="170" t="n"/>
      <c r="M668" s="170" t="n"/>
      <c r="N668" s="170" t="n"/>
      <c r="O668" s="172" t="n"/>
      <c r="P668" s="172" t="n"/>
    </row>
    <row r="669">
      <c r="B669" s="170" t="n"/>
      <c r="C669" s="199" t="n"/>
      <c r="D669" s="312" t="n"/>
      <c r="E669" s="312" t="n"/>
      <c r="F669" s="312" t="n"/>
      <c r="G669" s="312" t="n"/>
      <c r="H669" s="312" t="n"/>
      <c r="I669" s="313" t="n"/>
      <c r="J669" s="199" t="n"/>
      <c r="K669" s="314" t="n"/>
      <c r="L669" s="170" t="n"/>
      <c r="M669" s="170" t="n"/>
      <c r="N669" s="170" t="n"/>
      <c r="O669" s="172" t="n"/>
      <c r="P669" s="172" t="n"/>
    </row>
    <row r="670">
      <c r="B670" s="170" t="n"/>
      <c r="C670" s="199" t="n"/>
      <c r="D670" s="312" t="n"/>
      <c r="E670" s="312" t="n"/>
      <c r="F670" s="312" t="n"/>
      <c r="G670" s="312" t="n"/>
      <c r="H670" s="312" t="n"/>
      <c r="I670" s="313" t="n"/>
      <c r="J670" s="199" t="n"/>
      <c r="K670" s="314" t="n"/>
      <c r="L670" s="170" t="n"/>
      <c r="M670" s="170" t="n"/>
      <c r="N670" s="170" t="n"/>
      <c r="O670" s="172" t="n"/>
      <c r="P670" s="172" t="n"/>
    </row>
    <row r="671">
      <c r="B671" s="170" t="n"/>
      <c r="C671" s="199" t="n"/>
      <c r="D671" s="312" t="n"/>
      <c r="E671" s="312" t="n"/>
      <c r="F671" s="312" t="n"/>
      <c r="G671" s="312" t="n"/>
      <c r="H671" s="312" t="n"/>
      <c r="I671" s="313" t="n"/>
      <c r="J671" s="199" t="n"/>
      <c r="K671" s="314" t="n"/>
      <c r="L671" s="170" t="n"/>
      <c r="M671" s="170" t="n"/>
      <c r="N671" s="170" t="n"/>
      <c r="O671" s="172" t="n"/>
      <c r="P671" s="172" t="n"/>
    </row>
    <row r="672">
      <c r="B672" s="170" t="n"/>
      <c r="C672" s="199" t="n"/>
      <c r="D672" s="312" t="n"/>
      <c r="E672" s="312" t="n"/>
      <c r="F672" s="312" t="n"/>
      <c r="G672" s="312" t="n"/>
      <c r="H672" s="312" t="n"/>
      <c r="I672" s="313" t="n"/>
      <c r="J672" s="199" t="n"/>
      <c r="K672" s="314" t="n"/>
      <c r="L672" s="170" t="n"/>
      <c r="M672" s="170" t="n"/>
      <c r="N672" s="170" t="n"/>
      <c r="O672" s="172" t="n"/>
      <c r="P672" s="172" t="n"/>
    </row>
    <row r="673">
      <c r="B673" s="170" t="n"/>
      <c r="C673" s="199" t="n"/>
      <c r="D673" s="312" t="n"/>
      <c r="E673" s="312" t="n"/>
      <c r="F673" s="312" t="n"/>
      <c r="G673" s="312" t="n"/>
      <c r="H673" s="312" t="n"/>
      <c r="I673" s="313" t="n"/>
      <c r="J673" s="199" t="n"/>
      <c r="K673" s="314" t="n"/>
      <c r="L673" s="170" t="n"/>
      <c r="M673" s="170" t="n"/>
      <c r="N673" s="170" t="n"/>
      <c r="O673" s="172" t="n"/>
      <c r="P673" s="172" t="n"/>
    </row>
    <row r="674">
      <c r="B674" s="170" t="n"/>
      <c r="C674" s="199" t="n"/>
      <c r="D674" s="312" t="n"/>
      <c r="E674" s="312" t="n"/>
      <c r="F674" s="312" t="n"/>
      <c r="G674" s="312" t="n"/>
      <c r="H674" s="312" t="n"/>
      <c r="I674" s="313" t="n"/>
      <c r="J674" s="199" t="n"/>
      <c r="K674" s="314" t="n"/>
      <c r="L674" s="170" t="n"/>
      <c r="M674" s="170" t="n"/>
      <c r="N674" s="170" t="n"/>
      <c r="O674" s="172" t="n"/>
      <c r="P674" s="172" t="n"/>
    </row>
    <row r="675">
      <c r="B675" s="170" t="n"/>
      <c r="C675" s="199" t="n"/>
      <c r="D675" s="312" t="n"/>
      <c r="E675" s="312" t="n"/>
      <c r="F675" s="312" t="n"/>
      <c r="G675" s="312" t="n"/>
      <c r="H675" s="312" t="n"/>
      <c r="I675" s="313" t="n"/>
      <c r="J675" s="199" t="n"/>
      <c r="K675" s="314" t="n"/>
      <c r="L675" s="170" t="n"/>
      <c r="M675" s="170" t="n"/>
      <c r="N675" s="170" t="n"/>
      <c r="O675" s="172" t="n"/>
      <c r="P675" s="172" t="n"/>
    </row>
    <row r="676">
      <c r="B676" s="170" t="n"/>
      <c r="C676" s="199" t="n"/>
      <c r="D676" s="312" t="n"/>
      <c r="E676" s="312" t="n"/>
      <c r="F676" s="312" t="n"/>
      <c r="G676" s="312" t="n"/>
      <c r="H676" s="312" t="n"/>
      <c r="I676" s="313" t="n"/>
      <c r="J676" s="199" t="n"/>
      <c r="K676" s="314" t="n"/>
      <c r="L676" s="170" t="n"/>
      <c r="M676" s="170" t="n"/>
      <c r="N676" s="170" t="n"/>
      <c r="O676" s="172" t="n"/>
      <c r="P676" s="172" t="n"/>
    </row>
    <row r="677">
      <c r="B677" s="170" t="n"/>
      <c r="C677" s="199" t="n"/>
      <c r="D677" s="312" t="n"/>
      <c r="E677" s="312" t="n"/>
      <c r="F677" s="312" t="n"/>
      <c r="G677" s="312" t="n"/>
      <c r="H677" s="312" t="n"/>
      <c r="I677" s="313" t="n"/>
      <c r="J677" s="199" t="n"/>
      <c r="K677" s="314" t="n"/>
      <c r="L677" s="170" t="n"/>
      <c r="M677" s="170" t="n"/>
      <c r="N677" s="170" t="n"/>
      <c r="O677" s="172" t="n"/>
      <c r="P677" s="172" t="n"/>
    </row>
    <row r="678">
      <c r="B678" s="170" t="n"/>
      <c r="C678" s="199" t="n"/>
      <c r="D678" s="312" t="n"/>
      <c r="E678" s="312" t="n"/>
      <c r="F678" s="312" t="n"/>
      <c r="G678" s="312" t="n"/>
      <c r="H678" s="312" t="n"/>
      <c r="I678" s="313" t="n"/>
      <c r="J678" s="199" t="n"/>
      <c r="K678" s="314" t="n"/>
      <c r="L678" s="170" t="n"/>
      <c r="M678" s="170" t="n"/>
      <c r="N678" s="170" t="n"/>
      <c r="O678" s="172" t="n"/>
      <c r="P678" s="172" t="n"/>
    </row>
    <row r="679">
      <c r="B679" s="170" t="n"/>
      <c r="C679" s="199" t="n"/>
      <c r="D679" s="312" t="n"/>
      <c r="E679" s="312" t="n"/>
      <c r="F679" s="312" t="n"/>
      <c r="G679" s="312" t="n"/>
      <c r="H679" s="312" t="n"/>
      <c r="I679" s="313" t="n"/>
      <c r="J679" s="199" t="n"/>
      <c r="K679" s="314" t="n"/>
      <c r="L679" s="170" t="n"/>
      <c r="M679" s="170" t="n"/>
      <c r="N679" s="170" t="n"/>
      <c r="O679" s="172" t="n"/>
      <c r="P679" s="172" t="n"/>
    </row>
    <row r="680">
      <c r="B680" s="170" t="n"/>
      <c r="C680" s="199" t="n"/>
      <c r="D680" s="312" t="n"/>
      <c r="E680" s="312" t="n"/>
      <c r="F680" s="312" t="n"/>
      <c r="G680" s="312" t="n"/>
      <c r="H680" s="312" t="n"/>
      <c r="I680" s="313" t="n"/>
      <c r="J680" s="199" t="n"/>
      <c r="K680" s="314" t="n"/>
      <c r="L680" s="170" t="n"/>
      <c r="M680" s="170" t="n"/>
      <c r="N680" s="170" t="n"/>
      <c r="O680" s="172" t="n"/>
      <c r="P680" s="172" t="n"/>
    </row>
    <row r="681">
      <c r="B681" s="170" t="n"/>
      <c r="C681" s="199" t="n"/>
      <c r="D681" s="312" t="n"/>
      <c r="E681" s="312" t="n"/>
      <c r="F681" s="312" t="n"/>
      <c r="G681" s="312" t="n"/>
      <c r="H681" s="312" t="n"/>
      <c r="I681" s="313" t="n"/>
      <c r="J681" s="199" t="n"/>
      <c r="K681" s="314" t="n"/>
      <c r="L681" s="170" t="n"/>
      <c r="M681" s="170" t="n"/>
      <c r="N681" s="170" t="n"/>
      <c r="O681" s="172" t="n"/>
      <c r="P681" s="172" t="n"/>
    </row>
    <row r="682">
      <c r="B682" s="170" t="n"/>
      <c r="C682" s="199" t="n"/>
      <c r="D682" s="312" t="n"/>
      <c r="E682" s="312" t="n"/>
      <c r="F682" s="312" t="n"/>
      <c r="G682" s="312" t="n"/>
      <c r="H682" s="312" t="n"/>
      <c r="I682" s="313" t="n"/>
      <c r="J682" s="199" t="n"/>
      <c r="K682" s="314" t="n"/>
      <c r="L682" s="170" t="n"/>
      <c r="M682" s="170" t="n"/>
      <c r="N682" s="170" t="n"/>
      <c r="O682" s="172" t="n"/>
      <c r="P682" s="172" t="n"/>
    </row>
    <row r="683">
      <c r="B683" s="170" t="n"/>
      <c r="C683" s="199" t="n"/>
      <c r="D683" s="312" t="n"/>
      <c r="E683" s="312" t="n"/>
      <c r="F683" s="312" t="n"/>
      <c r="G683" s="312" t="n"/>
      <c r="H683" s="312" t="n"/>
      <c r="I683" s="313" t="n"/>
      <c r="J683" s="199" t="n"/>
      <c r="K683" s="314" t="n"/>
      <c r="L683" s="170" t="n"/>
      <c r="M683" s="170" t="n"/>
      <c r="N683" s="170" t="n"/>
      <c r="O683" s="172" t="n"/>
      <c r="P683" s="172" t="n"/>
    </row>
    <row r="684">
      <c r="B684" s="170" t="n"/>
      <c r="C684" s="199" t="n"/>
      <c r="D684" s="312" t="n"/>
      <c r="E684" s="312" t="n"/>
      <c r="F684" s="312" t="n"/>
      <c r="G684" s="312" t="n"/>
      <c r="H684" s="312" t="n"/>
      <c r="I684" s="313" t="n"/>
      <c r="J684" s="199" t="n"/>
      <c r="K684" s="314" t="n"/>
      <c r="L684" s="170" t="n"/>
      <c r="M684" s="170" t="n"/>
      <c r="N684" s="170" t="n"/>
      <c r="O684" s="172" t="n"/>
      <c r="P684" s="172" t="n"/>
    </row>
    <row r="685">
      <c r="B685" s="170" t="n"/>
      <c r="C685" s="199" t="n"/>
      <c r="D685" s="312" t="n"/>
      <c r="E685" s="312" t="n"/>
      <c r="F685" s="312" t="n"/>
      <c r="G685" s="312" t="n"/>
      <c r="H685" s="312" t="n"/>
      <c r="I685" s="313" t="n"/>
      <c r="J685" s="199" t="n"/>
      <c r="K685" s="314" t="n"/>
      <c r="L685" s="170" t="n"/>
      <c r="M685" s="170" t="n"/>
      <c r="N685" s="170" t="n"/>
      <c r="O685" s="172" t="n"/>
      <c r="P685" s="172" t="n"/>
    </row>
    <row r="686">
      <c r="B686" s="170" t="n"/>
      <c r="C686" s="199" t="n"/>
      <c r="D686" s="312" t="n"/>
      <c r="E686" s="312" t="n"/>
      <c r="F686" s="312" t="n"/>
      <c r="G686" s="312" t="n"/>
      <c r="H686" s="312" t="n"/>
      <c r="I686" s="313" t="n"/>
      <c r="J686" s="199" t="n"/>
      <c r="K686" s="314" t="n"/>
      <c r="L686" s="170" t="n"/>
      <c r="M686" s="170" t="n"/>
      <c r="N686" s="170" t="n"/>
      <c r="O686" s="172" t="n"/>
      <c r="P686" s="172" t="n"/>
    </row>
    <row r="687">
      <c r="B687" s="170" t="n"/>
      <c r="C687" s="199" t="n"/>
      <c r="D687" s="312" t="n"/>
      <c r="E687" s="312" t="n"/>
      <c r="F687" s="312" t="n"/>
      <c r="G687" s="312" t="n"/>
      <c r="H687" s="312" t="n"/>
      <c r="I687" s="313" t="n"/>
      <c r="J687" s="199" t="n"/>
      <c r="K687" s="314" t="n"/>
      <c r="L687" s="170" t="n"/>
      <c r="M687" s="170" t="n"/>
      <c r="N687" s="170" t="n"/>
      <c r="O687" s="172" t="n"/>
      <c r="P687" s="172" t="n"/>
    </row>
    <row r="688">
      <c r="B688" s="170" t="n"/>
      <c r="C688" s="199" t="n"/>
      <c r="D688" s="312" t="n"/>
      <c r="E688" s="312" t="n"/>
      <c r="F688" s="312" t="n"/>
      <c r="G688" s="312" t="n"/>
      <c r="H688" s="312" t="n"/>
      <c r="I688" s="313" t="n"/>
      <c r="J688" s="199" t="n"/>
      <c r="K688" s="314" t="n"/>
      <c r="L688" s="170" t="n"/>
      <c r="M688" s="170" t="n"/>
      <c r="N688" s="170" t="n"/>
      <c r="O688" s="172" t="n"/>
      <c r="P688" s="172" t="n"/>
    </row>
    <row r="689">
      <c r="B689" s="170" t="n"/>
      <c r="C689" s="199" t="n"/>
      <c r="D689" s="312" t="n"/>
      <c r="E689" s="312" t="n"/>
      <c r="F689" s="312" t="n"/>
      <c r="G689" s="312" t="n"/>
      <c r="H689" s="312" t="n"/>
      <c r="I689" s="313" t="n"/>
      <c r="J689" s="199" t="n"/>
      <c r="K689" s="314" t="n"/>
      <c r="L689" s="170" t="n"/>
      <c r="M689" s="170" t="n"/>
      <c r="N689" s="170" t="n"/>
      <c r="O689" s="172" t="n"/>
      <c r="P689" s="172" t="n"/>
    </row>
    <row r="690">
      <c r="B690" s="170" t="n"/>
      <c r="C690" s="199" t="n"/>
      <c r="D690" s="312" t="n"/>
      <c r="E690" s="312" t="n"/>
      <c r="F690" s="312" t="n"/>
      <c r="G690" s="312" t="n"/>
      <c r="H690" s="312" t="n"/>
      <c r="I690" s="313" t="n"/>
      <c r="J690" s="199" t="n"/>
      <c r="K690" s="314" t="n"/>
      <c r="L690" s="170" t="n"/>
      <c r="M690" s="170" t="n"/>
      <c r="N690" s="170" t="n"/>
      <c r="O690" s="172" t="n"/>
      <c r="P690" s="172" t="n"/>
    </row>
    <row r="691">
      <c r="B691" s="170" t="n"/>
      <c r="C691" s="199" t="n"/>
      <c r="D691" s="312" t="n"/>
      <c r="E691" s="312" t="n"/>
      <c r="F691" s="312" t="n"/>
      <c r="G691" s="312" t="n"/>
      <c r="H691" s="312" t="n"/>
      <c r="I691" s="313" t="n"/>
      <c r="J691" s="199" t="n"/>
      <c r="K691" s="314" t="n"/>
      <c r="L691" s="170" t="n"/>
      <c r="M691" s="170" t="n"/>
      <c r="N691" s="170" t="n"/>
      <c r="O691" s="172" t="n"/>
      <c r="P691" s="172" t="n"/>
    </row>
    <row r="692">
      <c r="B692" s="170" t="n"/>
      <c r="C692" s="199" t="n"/>
      <c r="D692" s="312" t="n"/>
      <c r="E692" s="312" t="n"/>
      <c r="F692" s="312" t="n"/>
      <c r="G692" s="312" t="n"/>
      <c r="H692" s="312" t="n"/>
      <c r="I692" s="313" t="n"/>
      <c r="J692" s="199" t="n"/>
      <c r="K692" s="314" t="n"/>
      <c r="L692" s="170" t="n"/>
      <c r="M692" s="170" t="n"/>
      <c r="N692" s="170" t="n"/>
      <c r="O692" s="172" t="n"/>
      <c r="P692" s="172" t="n"/>
    </row>
    <row r="693">
      <c r="B693" s="170" t="n"/>
      <c r="C693" s="199" t="n"/>
      <c r="D693" s="312" t="n"/>
      <c r="E693" s="312" t="n"/>
      <c r="F693" s="312" t="n"/>
      <c r="G693" s="312" t="n"/>
      <c r="H693" s="312" t="n"/>
      <c r="I693" s="313" t="n"/>
      <c r="J693" s="199" t="n"/>
      <c r="K693" s="314" t="n"/>
      <c r="L693" s="170" t="n"/>
      <c r="M693" s="170" t="n"/>
      <c r="N693" s="170" t="n"/>
      <c r="O693" s="172" t="n"/>
      <c r="P693" s="172" t="n"/>
    </row>
    <row r="694">
      <c r="B694" s="170" t="n"/>
      <c r="C694" s="199" t="n"/>
      <c r="D694" s="312" t="n"/>
      <c r="E694" s="312" t="n"/>
      <c r="F694" s="312" t="n"/>
      <c r="G694" s="312" t="n"/>
      <c r="H694" s="312" t="n"/>
      <c r="I694" s="313" t="n"/>
      <c r="J694" s="199" t="n"/>
      <c r="K694" s="314" t="n"/>
      <c r="L694" s="170" t="n"/>
      <c r="M694" s="170" t="n"/>
      <c r="N694" s="170" t="n"/>
      <c r="O694" s="172" t="n"/>
      <c r="P694" s="172" t="n"/>
    </row>
    <row r="695">
      <c r="B695" s="170" t="n"/>
      <c r="C695" s="199" t="n"/>
      <c r="D695" s="312" t="n"/>
      <c r="E695" s="312" t="n"/>
      <c r="F695" s="312" t="n"/>
      <c r="G695" s="312" t="n"/>
      <c r="H695" s="312" t="n"/>
      <c r="I695" s="313" t="n"/>
      <c r="J695" s="199" t="n"/>
      <c r="K695" s="314" t="n"/>
      <c r="L695" s="170" t="n"/>
      <c r="M695" s="170" t="n"/>
      <c r="N695" s="170" t="n"/>
      <c r="O695" s="172" t="n"/>
      <c r="P695" s="172" t="n"/>
    </row>
    <row r="696">
      <c r="B696" s="170" t="n"/>
      <c r="C696" s="199" t="n"/>
      <c r="D696" s="312" t="n"/>
      <c r="E696" s="312" t="n"/>
      <c r="F696" s="312" t="n"/>
      <c r="G696" s="312" t="n"/>
      <c r="H696" s="312" t="n"/>
      <c r="I696" s="313" t="n"/>
      <c r="J696" s="199" t="n"/>
      <c r="K696" s="314" t="n"/>
      <c r="L696" s="170" t="n"/>
      <c r="M696" s="170" t="n"/>
      <c r="N696" s="170" t="n"/>
      <c r="O696" s="172" t="n"/>
      <c r="P696" s="172" t="n"/>
    </row>
    <row r="697">
      <c r="B697" s="170" t="n"/>
      <c r="C697" s="199" t="n"/>
      <c r="D697" s="312" t="n"/>
      <c r="E697" s="312" t="n"/>
      <c r="F697" s="312" t="n"/>
      <c r="G697" s="312" t="n"/>
      <c r="H697" s="312" t="n"/>
      <c r="I697" s="313" t="n"/>
      <c r="J697" s="199" t="n"/>
      <c r="K697" s="314" t="n"/>
      <c r="L697" s="170" t="n"/>
      <c r="M697" s="170" t="n"/>
      <c r="N697" s="170" t="n"/>
      <c r="O697" s="172" t="n"/>
      <c r="P697" s="172" t="n"/>
    </row>
    <row r="698">
      <c r="B698" s="170" t="n"/>
      <c r="C698" s="199" t="n"/>
      <c r="D698" s="312" t="n"/>
      <c r="E698" s="312" t="n"/>
      <c r="F698" s="312" t="n"/>
      <c r="G698" s="312" t="n"/>
      <c r="H698" s="312" t="n"/>
      <c r="I698" s="313" t="n"/>
      <c r="J698" s="199" t="n"/>
      <c r="K698" s="314" t="n"/>
      <c r="L698" s="170" t="n"/>
      <c r="M698" s="170" t="n"/>
      <c r="N698" s="170" t="n"/>
      <c r="O698" s="172" t="n"/>
      <c r="P698" s="172" t="n"/>
    </row>
    <row r="699">
      <c r="B699" s="170" t="n"/>
      <c r="C699" s="199" t="n"/>
      <c r="D699" s="312" t="n"/>
      <c r="E699" s="312" t="n"/>
      <c r="F699" s="312" t="n"/>
      <c r="G699" s="312" t="n"/>
      <c r="H699" s="312" t="n"/>
      <c r="I699" s="313" t="n"/>
      <c r="J699" s="199" t="n"/>
      <c r="K699" s="314" t="n"/>
      <c r="L699" s="170" t="n"/>
      <c r="M699" s="170" t="n"/>
      <c r="N699" s="170" t="n"/>
      <c r="O699" s="172" t="n"/>
      <c r="P699" s="172" t="n"/>
    </row>
    <row r="700">
      <c r="B700" s="170" t="n"/>
      <c r="C700" s="199" t="n"/>
      <c r="D700" s="312" t="n"/>
      <c r="E700" s="312" t="n"/>
      <c r="F700" s="312" t="n"/>
      <c r="G700" s="312" t="n"/>
      <c r="H700" s="312" t="n"/>
      <c r="I700" s="313" t="n"/>
      <c r="J700" s="199" t="n"/>
      <c r="K700" s="314" t="n"/>
      <c r="L700" s="170" t="n"/>
      <c r="M700" s="170" t="n"/>
      <c r="N700" s="170" t="n"/>
      <c r="O700" s="172" t="n"/>
      <c r="P700" s="172" t="n"/>
    </row>
    <row r="701">
      <c r="B701" s="170" t="n"/>
      <c r="C701" s="199" t="n"/>
      <c r="D701" s="312" t="n"/>
      <c r="E701" s="312" t="n"/>
      <c r="F701" s="312" t="n"/>
      <c r="G701" s="312" t="n"/>
      <c r="H701" s="312" t="n"/>
      <c r="I701" s="313" t="n"/>
      <c r="J701" s="199" t="n"/>
      <c r="K701" s="314" t="n"/>
      <c r="L701" s="170" t="n"/>
      <c r="M701" s="170" t="n"/>
      <c r="N701" s="170" t="n"/>
      <c r="O701" s="172" t="n"/>
      <c r="P701" s="172" t="n"/>
    </row>
    <row r="702">
      <c r="B702" s="170" t="n"/>
      <c r="C702" s="199" t="n"/>
      <c r="D702" s="312" t="n"/>
      <c r="E702" s="312" t="n"/>
      <c r="F702" s="312" t="n"/>
      <c r="G702" s="312" t="n"/>
      <c r="H702" s="312" t="n"/>
      <c r="I702" s="313" t="n"/>
      <c r="J702" s="199" t="n"/>
      <c r="K702" s="314" t="n"/>
      <c r="L702" s="170" t="n"/>
      <c r="M702" s="170" t="n"/>
      <c r="N702" s="170" t="n"/>
      <c r="O702" s="172" t="n"/>
      <c r="P702" s="172" t="n"/>
    </row>
    <row r="703">
      <c r="B703" s="170" t="n"/>
      <c r="C703" s="199" t="n"/>
      <c r="D703" s="312" t="n"/>
      <c r="E703" s="312" t="n"/>
      <c r="F703" s="312" t="n"/>
      <c r="G703" s="312" t="n"/>
      <c r="H703" s="312" t="n"/>
      <c r="I703" s="313" t="n"/>
      <c r="J703" s="199" t="n"/>
      <c r="K703" s="314" t="n"/>
      <c r="L703" s="170" t="n"/>
      <c r="M703" s="170" t="n"/>
      <c r="N703" s="170" t="n"/>
      <c r="O703" s="172" t="n"/>
      <c r="P703" s="172" t="n"/>
    </row>
    <row r="704">
      <c r="B704" s="170" t="n"/>
      <c r="C704" s="199" t="n"/>
      <c r="D704" s="312" t="n"/>
      <c r="E704" s="312" t="n"/>
      <c r="F704" s="312" t="n"/>
      <c r="G704" s="312" t="n"/>
      <c r="H704" s="312" t="n"/>
      <c r="I704" s="313" t="n"/>
      <c r="J704" s="199" t="n"/>
      <c r="K704" s="314" t="n"/>
      <c r="L704" s="170" t="n"/>
      <c r="M704" s="170" t="n"/>
      <c r="N704" s="170" t="n"/>
      <c r="O704" s="172" t="n"/>
      <c r="P704" s="172" t="n"/>
    </row>
    <row r="705">
      <c r="B705" s="170" t="n"/>
      <c r="C705" s="199" t="n"/>
      <c r="D705" s="312" t="n"/>
      <c r="E705" s="312" t="n"/>
      <c r="F705" s="312" t="n"/>
      <c r="G705" s="312" t="n"/>
      <c r="H705" s="312" t="n"/>
      <c r="I705" s="313" t="n"/>
      <c r="J705" s="199" t="n"/>
      <c r="K705" s="314" t="n"/>
      <c r="L705" s="170" t="n"/>
      <c r="M705" s="170" t="n"/>
      <c r="N705" s="170" t="n"/>
      <c r="O705" s="172" t="n"/>
      <c r="P705" s="172" t="n"/>
    </row>
    <row r="706">
      <c r="B706" s="170" t="n"/>
      <c r="C706" s="199" t="n"/>
      <c r="D706" s="312" t="n"/>
      <c r="E706" s="312" t="n"/>
      <c r="F706" s="312" t="n"/>
      <c r="G706" s="312" t="n"/>
      <c r="H706" s="312" t="n"/>
      <c r="I706" s="313" t="n"/>
      <c r="J706" s="199" t="n"/>
      <c r="K706" s="314" t="n"/>
      <c r="L706" s="170" t="n"/>
      <c r="M706" s="170" t="n"/>
      <c r="N706" s="170" t="n"/>
      <c r="O706" s="172" t="n"/>
      <c r="P706" s="172" t="n"/>
    </row>
    <row r="707">
      <c r="B707" s="170" t="n"/>
      <c r="C707" s="199" t="n"/>
      <c r="D707" s="312" t="n"/>
      <c r="E707" s="312" t="n"/>
      <c r="F707" s="312" t="n"/>
      <c r="G707" s="312" t="n"/>
      <c r="H707" s="312" t="n"/>
      <c r="I707" s="313" t="n"/>
      <c r="J707" s="199" t="n"/>
      <c r="K707" s="314" t="n"/>
      <c r="L707" s="170" t="n"/>
      <c r="M707" s="170" t="n"/>
      <c r="N707" s="170" t="n"/>
      <c r="O707" s="172" t="n"/>
      <c r="P707" s="172" t="n"/>
    </row>
    <row r="708">
      <c r="B708" s="170" t="n"/>
      <c r="C708" s="199" t="n"/>
      <c r="D708" s="312" t="n"/>
      <c r="E708" s="312" t="n"/>
      <c r="F708" s="312" t="n"/>
      <c r="G708" s="312" t="n"/>
      <c r="H708" s="312" t="n"/>
      <c r="I708" s="313" t="n"/>
      <c r="J708" s="199" t="n"/>
      <c r="K708" s="314" t="n"/>
      <c r="L708" s="170" t="n"/>
      <c r="M708" s="170" t="n"/>
      <c r="N708" s="170" t="n"/>
      <c r="O708" s="172" t="n"/>
      <c r="P708" s="172" t="n"/>
    </row>
    <row r="709">
      <c r="B709" s="170" t="n"/>
      <c r="C709" s="199" t="n"/>
      <c r="D709" s="312" t="n"/>
      <c r="E709" s="312" t="n"/>
      <c r="F709" s="312" t="n"/>
      <c r="G709" s="312" t="n"/>
      <c r="H709" s="312" t="n"/>
      <c r="I709" s="313" t="n"/>
      <c r="J709" s="199" t="n"/>
      <c r="K709" s="314" t="n"/>
      <c r="L709" s="170" t="n"/>
      <c r="M709" s="170" t="n"/>
      <c r="N709" s="170" t="n"/>
      <c r="O709" s="172" t="n"/>
      <c r="P709" s="172" t="n"/>
    </row>
    <row r="710">
      <c r="B710" s="170" t="n"/>
      <c r="C710" s="199" t="n"/>
      <c r="D710" s="312" t="n"/>
      <c r="E710" s="312" t="n"/>
      <c r="F710" s="312" t="n"/>
      <c r="G710" s="312" t="n"/>
      <c r="H710" s="312" t="n"/>
      <c r="I710" s="313" t="n"/>
      <c r="J710" s="199" t="n"/>
      <c r="K710" s="314" t="n"/>
      <c r="L710" s="170" t="n"/>
      <c r="M710" s="170" t="n"/>
      <c r="N710" s="170" t="n"/>
      <c r="O710" s="172" t="n"/>
      <c r="P710" s="172" t="n"/>
    </row>
    <row r="711">
      <c r="B711" s="170" t="n"/>
      <c r="C711" s="199" t="n"/>
      <c r="D711" s="312" t="n"/>
      <c r="E711" s="312" t="n"/>
      <c r="F711" s="312" t="n"/>
      <c r="G711" s="312" t="n"/>
      <c r="H711" s="312" t="n"/>
      <c r="I711" s="313" t="n"/>
      <c r="J711" s="199" t="n"/>
      <c r="K711" s="314" t="n"/>
      <c r="L711" s="170" t="n"/>
      <c r="M711" s="170" t="n"/>
      <c r="N711" s="170" t="n"/>
      <c r="O711" s="172" t="n"/>
      <c r="P711" s="172" t="n"/>
    </row>
    <row r="712">
      <c r="B712" s="170" t="n"/>
      <c r="C712" s="199" t="n"/>
      <c r="D712" s="312" t="n"/>
      <c r="E712" s="312" t="n"/>
      <c r="F712" s="312" t="n"/>
      <c r="G712" s="312" t="n"/>
      <c r="H712" s="312" t="n"/>
      <c r="I712" s="313" t="n"/>
      <c r="J712" s="199" t="n"/>
      <c r="K712" s="314" t="n"/>
      <c r="L712" s="170" t="n"/>
      <c r="M712" s="170" t="n"/>
      <c r="N712" s="170" t="n"/>
      <c r="O712" s="172" t="n"/>
      <c r="P712" s="172" t="n"/>
    </row>
    <row r="713">
      <c r="B713" s="170" t="n"/>
      <c r="C713" s="199" t="n"/>
      <c r="D713" s="312" t="n"/>
      <c r="E713" s="312" t="n"/>
      <c r="F713" s="312" t="n"/>
      <c r="G713" s="312" t="n"/>
      <c r="H713" s="312" t="n"/>
      <c r="I713" s="313" t="n"/>
      <c r="J713" s="199" t="n"/>
      <c r="K713" s="314" t="n"/>
      <c r="L713" s="170" t="n"/>
      <c r="M713" s="170" t="n"/>
      <c r="N713" s="170" t="n"/>
      <c r="O713" s="172" t="n"/>
      <c r="P713" s="172" t="n"/>
    </row>
    <row r="714">
      <c r="B714" s="170" t="n"/>
      <c r="C714" s="199" t="n"/>
      <c r="D714" s="312" t="n"/>
      <c r="E714" s="312" t="n"/>
      <c r="F714" s="312" t="n"/>
      <c r="G714" s="312" t="n"/>
      <c r="H714" s="312" t="n"/>
      <c r="I714" s="313" t="n"/>
      <c r="J714" s="199" t="n"/>
      <c r="K714" s="314" t="n"/>
      <c r="L714" s="170" t="n"/>
      <c r="M714" s="170" t="n"/>
      <c r="N714" s="170" t="n"/>
      <c r="O714" s="172" t="n"/>
      <c r="P714" s="172" t="n"/>
    </row>
    <row r="715">
      <c r="B715" s="170" t="n"/>
      <c r="C715" s="199" t="n"/>
      <c r="D715" s="312" t="n"/>
      <c r="E715" s="312" t="n"/>
      <c r="F715" s="312" t="n"/>
      <c r="G715" s="312" t="n"/>
      <c r="H715" s="312" t="n"/>
      <c r="I715" s="313" t="n"/>
      <c r="J715" s="199" t="n"/>
      <c r="K715" s="314" t="n"/>
      <c r="L715" s="170" t="n"/>
      <c r="M715" s="170" t="n"/>
      <c r="N715" s="170" t="n"/>
      <c r="O715" s="172" t="n"/>
      <c r="P715" s="172" t="n"/>
    </row>
    <row r="716">
      <c r="B716" s="170" t="n"/>
      <c r="C716" s="199" t="n"/>
      <c r="D716" s="312" t="n"/>
      <c r="E716" s="312" t="n"/>
      <c r="F716" s="312" t="n"/>
      <c r="G716" s="312" t="n"/>
      <c r="H716" s="312" t="n"/>
      <c r="I716" s="313" t="n"/>
      <c r="J716" s="199" t="n"/>
      <c r="K716" s="314" t="n"/>
      <c r="L716" s="170" t="n"/>
      <c r="M716" s="170" t="n"/>
      <c r="N716" s="170" t="n"/>
      <c r="O716" s="172" t="n"/>
      <c r="P716" s="172" t="n"/>
    </row>
    <row r="717">
      <c r="B717" s="170" t="n"/>
      <c r="C717" s="199" t="n"/>
      <c r="D717" s="312" t="n"/>
      <c r="E717" s="312" t="n"/>
      <c r="F717" s="312" t="n"/>
      <c r="G717" s="312" t="n"/>
      <c r="H717" s="312" t="n"/>
      <c r="I717" s="313" t="n"/>
      <c r="J717" s="199" t="n"/>
      <c r="K717" s="314" t="n"/>
      <c r="L717" s="170" t="n"/>
      <c r="M717" s="170" t="n"/>
      <c r="N717" s="170" t="n"/>
      <c r="O717" s="172" t="n"/>
      <c r="P717" s="172" t="n"/>
    </row>
    <row r="718">
      <c r="B718" s="170" t="n"/>
      <c r="C718" s="199" t="n"/>
      <c r="D718" s="312" t="n"/>
      <c r="E718" s="312" t="n"/>
      <c r="F718" s="312" t="n"/>
      <c r="G718" s="312" t="n"/>
      <c r="H718" s="312" t="n"/>
      <c r="I718" s="313" t="n"/>
      <c r="J718" s="199" t="n"/>
      <c r="K718" s="314" t="n"/>
      <c r="L718" s="170" t="n"/>
      <c r="M718" s="170" t="n"/>
      <c r="N718" s="170" t="n"/>
      <c r="O718" s="172" t="n"/>
      <c r="P718" s="172" t="n"/>
    </row>
    <row r="719">
      <c r="B719" s="170" t="n"/>
      <c r="C719" s="199" t="n"/>
      <c r="D719" s="312" t="n"/>
      <c r="E719" s="312" t="n"/>
      <c r="F719" s="312" t="n"/>
      <c r="G719" s="312" t="n"/>
      <c r="H719" s="312" t="n"/>
      <c r="I719" s="313" t="n"/>
      <c r="J719" s="199" t="n"/>
      <c r="K719" s="314" t="n"/>
      <c r="L719" s="170" t="n"/>
      <c r="M719" s="170" t="n"/>
      <c r="N719" s="170" t="n"/>
      <c r="O719" s="172" t="n"/>
      <c r="P719" s="172" t="n"/>
    </row>
    <row r="720">
      <c r="B720" s="170" t="n"/>
      <c r="C720" s="199" t="n"/>
      <c r="D720" s="312" t="n"/>
      <c r="E720" s="312" t="n"/>
      <c r="F720" s="312" t="n"/>
      <c r="G720" s="312" t="n"/>
      <c r="H720" s="312" t="n"/>
      <c r="I720" s="313" t="n"/>
      <c r="J720" s="199" t="n"/>
      <c r="K720" s="314" t="n"/>
      <c r="L720" s="170" t="n"/>
      <c r="M720" s="170" t="n"/>
      <c r="N720" s="170" t="n"/>
      <c r="O720" s="172" t="n"/>
      <c r="P720" s="172" t="n"/>
    </row>
    <row r="721">
      <c r="B721" s="170" t="n"/>
      <c r="C721" s="199" t="n"/>
      <c r="D721" s="312" t="n"/>
      <c r="E721" s="312" t="n"/>
      <c r="F721" s="312" t="n"/>
      <c r="G721" s="312" t="n"/>
      <c r="H721" s="312" t="n"/>
      <c r="I721" s="313" t="n"/>
      <c r="J721" s="199" t="n"/>
      <c r="K721" s="314" t="n"/>
      <c r="L721" s="170" t="n"/>
      <c r="M721" s="170" t="n"/>
      <c r="N721" s="170" t="n"/>
      <c r="O721" s="172" t="n"/>
      <c r="P721" s="172" t="n"/>
    </row>
    <row r="722">
      <c r="B722" s="170" t="n"/>
      <c r="C722" s="199" t="n"/>
      <c r="D722" s="312" t="n"/>
      <c r="E722" s="312" t="n"/>
      <c r="F722" s="312" t="n"/>
      <c r="G722" s="312" t="n"/>
      <c r="H722" s="312" t="n"/>
      <c r="I722" s="313" t="n"/>
      <c r="J722" s="199" t="n"/>
      <c r="K722" s="314" t="n"/>
      <c r="L722" s="170" t="n"/>
      <c r="M722" s="170" t="n"/>
      <c r="N722" s="170" t="n"/>
      <c r="O722" s="172" t="n"/>
      <c r="P722" s="172" t="n"/>
    </row>
    <row r="723">
      <c r="B723" s="170" t="n"/>
      <c r="C723" s="199" t="n"/>
      <c r="D723" s="312" t="n"/>
      <c r="E723" s="312" t="n"/>
      <c r="F723" s="312" t="n"/>
      <c r="G723" s="312" t="n"/>
      <c r="H723" s="312" t="n"/>
      <c r="I723" s="313" t="n"/>
      <c r="J723" s="199" t="n"/>
      <c r="K723" s="314" t="n"/>
      <c r="L723" s="170" t="n"/>
      <c r="M723" s="170" t="n"/>
      <c r="N723" s="170" t="n"/>
      <c r="O723" s="172" t="n"/>
      <c r="P723" s="172" t="n"/>
    </row>
    <row r="724">
      <c r="B724" s="170" t="n"/>
      <c r="C724" s="199" t="n"/>
      <c r="D724" s="312" t="n"/>
      <c r="E724" s="312" t="n"/>
      <c r="F724" s="312" t="n"/>
      <c r="G724" s="312" t="n"/>
      <c r="H724" s="312" t="n"/>
      <c r="I724" s="313" t="n"/>
      <c r="J724" s="199" t="n"/>
      <c r="K724" s="314" t="n"/>
      <c r="L724" s="170" t="n"/>
      <c r="M724" s="170" t="n"/>
      <c r="N724" s="170" t="n"/>
      <c r="O724" s="172" t="n"/>
      <c r="P724" s="172" t="n"/>
    </row>
    <row r="725">
      <c r="B725" s="170" t="n"/>
      <c r="C725" s="199" t="n"/>
      <c r="D725" s="312" t="n"/>
      <c r="E725" s="312" t="n"/>
      <c r="F725" s="312" t="n"/>
      <c r="G725" s="312" t="n"/>
      <c r="H725" s="312" t="n"/>
      <c r="I725" s="313" t="n"/>
      <c r="J725" s="199" t="n"/>
      <c r="K725" s="314" t="n"/>
      <c r="L725" s="170" t="n"/>
      <c r="M725" s="170" t="n"/>
      <c r="N725" s="170" t="n"/>
      <c r="O725" s="172" t="n"/>
      <c r="P725" s="172" t="n"/>
    </row>
    <row r="726">
      <c r="B726" s="170" t="n"/>
      <c r="C726" s="199" t="n"/>
      <c r="D726" s="312" t="n"/>
      <c r="E726" s="312" t="n"/>
      <c r="F726" s="312" t="n"/>
      <c r="G726" s="312" t="n"/>
      <c r="H726" s="312" t="n"/>
      <c r="I726" s="313" t="n"/>
      <c r="J726" s="199" t="n"/>
      <c r="K726" s="314" t="n"/>
      <c r="L726" s="170" t="n"/>
      <c r="M726" s="170" t="n"/>
      <c r="N726" s="170" t="n"/>
      <c r="O726" s="172" t="n"/>
      <c r="P726" s="172" t="n"/>
    </row>
    <row r="727">
      <c r="B727" s="170" t="n"/>
      <c r="C727" s="199" t="n"/>
      <c r="D727" s="312" t="n"/>
      <c r="E727" s="312" t="n"/>
      <c r="F727" s="312" t="n"/>
      <c r="G727" s="312" t="n"/>
      <c r="H727" s="312" t="n"/>
      <c r="I727" s="313" t="n"/>
      <c r="J727" s="199" t="n"/>
      <c r="K727" s="314" t="n"/>
      <c r="L727" s="170" t="n"/>
      <c r="M727" s="170" t="n"/>
      <c r="N727" s="170" t="n"/>
      <c r="O727" s="172" t="n"/>
      <c r="P727" s="172" t="n"/>
    </row>
    <row r="728">
      <c r="B728" s="170" t="n"/>
      <c r="C728" s="199" t="n"/>
      <c r="D728" s="312" t="n"/>
      <c r="E728" s="312" t="n"/>
      <c r="F728" s="312" t="n"/>
      <c r="G728" s="312" t="n"/>
      <c r="H728" s="312" t="n"/>
      <c r="I728" s="313" t="n"/>
      <c r="J728" s="199" t="n"/>
      <c r="K728" s="314" t="n"/>
      <c r="L728" s="170" t="n"/>
      <c r="M728" s="170" t="n"/>
      <c r="N728" s="170" t="n"/>
      <c r="O728" s="172" t="n"/>
      <c r="P728" s="172" t="n"/>
    </row>
    <row r="729">
      <c r="B729" s="170" t="n"/>
      <c r="C729" s="199" t="n"/>
      <c r="D729" s="312" t="n"/>
      <c r="E729" s="312" t="n"/>
      <c r="F729" s="312" t="n"/>
      <c r="G729" s="312" t="n"/>
      <c r="H729" s="312" t="n"/>
      <c r="I729" s="313" t="n"/>
      <c r="J729" s="199" t="n"/>
      <c r="K729" s="314" t="n"/>
      <c r="L729" s="170" t="n"/>
      <c r="M729" s="170" t="n"/>
      <c r="N729" s="170" t="n"/>
      <c r="O729" s="172" t="n"/>
      <c r="P729" s="172" t="n"/>
    </row>
    <row r="730">
      <c r="B730" s="170" t="n"/>
      <c r="C730" s="199" t="n"/>
      <c r="D730" s="312" t="n"/>
      <c r="E730" s="312" t="n"/>
      <c r="F730" s="312" t="n"/>
      <c r="G730" s="312" t="n"/>
      <c r="H730" s="312" t="n"/>
      <c r="I730" s="313" t="n"/>
      <c r="J730" s="199" t="n"/>
      <c r="K730" s="314" t="n"/>
      <c r="L730" s="170" t="n"/>
      <c r="M730" s="170" t="n"/>
      <c r="N730" s="170" t="n"/>
      <c r="O730" s="172" t="n"/>
      <c r="P730" s="172" t="n"/>
    </row>
    <row r="731">
      <c r="B731" s="170" t="n"/>
      <c r="C731" s="199" t="n"/>
      <c r="D731" s="312" t="n"/>
      <c r="E731" s="312" t="n"/>
      <c r="F731" s="312" t="n"/>
      <c r="G731" s="312" t="n"/>
      <c r="H731" s="312" t="n"/>
      <c r="I731" s="313" t="n"/>
      <c r="J731" s="199" t="n"/>
      <c r="K731" s="314" t="n"/>
      <c r="L731" s="170" t="n"/>
      <c r="M731" s="170" t="n"/>
      <c r="N731" s="170" t="n"/>
      <c r="O731" s="172" t="n"/>
      <c r="P731" s="172" t="n"/>
    </row>
    <row r="732">
      <c r="B732" s="170" t="n"/>
      <c r="C732" s="199" t="n"/>
      <c r="D732" s="312" t="n"/>
      <c r="E732" s="312" t="n"/>
      <c r="F732" s="312" t="n"/>
      <c r="G732" s="312" t="n"/>
      <c r="H732" s="312" t="n"/>
      <c r="I732" s="313" t="n"/>
      <c r="J732" s="199" t="n"/>
      <c r="K732" s="314" t="n"/>
      <c r="L732" s="170" t="n"/>
      <c r="M732" s="170" t="n"/>
      <c r="N732" s="170" t="n"/>
      <c r="O732" s="172" t="n"/>
      <c r="P732" s="172" t="n"/>
    </row>
    <row r="733">
      <c r="B733" s="170" t="n"/>
      <c r="C733" s="199" t="n"/>
      <c r="D733" s="312" t="n"/>
      <c r="E733" s="312" t="n"/>
      <c r="F733" s="312" t="n"/>
      <c r="G733" s="312" t="n"/>
      <c r="H733" s="312" t="n"/>
      <c r="I733" s="313" t="n"/>
      <c r="J733" s="199" t="n"/>
      <c r="K733" s="314" t="n"/>
      <c r="L733" s="170" t="n"/>
      <c r="M733" s="170" t="n"/>
      <c r="N733" s="170" t="n"/>
      <c r="O733" s="172" t="n"/>
      <c r="P733" s="172" t="n"/>
    </row>
    <row r="734">
      <c r="B734" s="170" t="n"/>
      <c r="C734" s="199" t="n"/>
      <c r="D734" s="312" t="n"/>
      <c r="E734" s="312" t="n"/>
      <c r="F734" s="312" t="n"/>
      <c r="G734" s="312" t="n"/>
      <c r="H734" s="312" t="n"/>
      <c r="I734" s="313" t="n"/>
      <c r="J734" s="199" t="n"/>
      <c r="K734" s="314" t="n"/>
      <c r="L734" s="170" t="n"/>
      <c r="M734" s="170" t="n"/>
      <c r="N734" s="170" t="n"/>
      <c r="O734" s="172" t="n"/>
      <c r="P734" s="172" t="n"/>
    </row>
    <row r="735">
      <c r="B735" s="170" t="n"/>
      <c r="C735" s="199" t="n"/>
      <c r="D735" s="312" t="n"/>
      <c r="E735" s="312" t="n"/>
      <c r="F735" s="312" t="n"/>
      <c r="G735" s="312" t="n"/>
      <c r="H735" s="312" t="n"/>
      <c r="I735" s="313" t="n"/>
      <c r="J735" s="199" t="n"/>
      <c r="K735" s="314" t="n"/>
      <c r="L735" s="170" t="n"/>
      <c r="M735" s="170" t="n"/>
      <c r="N735" s="170" t="n"/>
      <c r="O735" s="172" t="n"/>
      <c r="P735" s="172" t="n"/>
    </row>
    <row r="736">
      <c r="B736" s="170" t="n"/>
      <c r="C736" s="199" t="n"/>
      <c r="D736" s="312" t="n"/>
      <c r="E736" s="312" t="n"/>
      <c r="F736" s="312" t="n"/>
      <c r="G736" s="312" t="n"/>
      <c r="H736" s="312" t="n"/>
      <c r="I736" s="313" t="n"/>
      <c r="J736" s="199" t="n"/>
      <c r="K736" s="314" t="n"/>
      <c r="L736" s="170" t="n"/>
      <c r="M736" s="170" t="n"/>
      <c r="N736" s="170" t="n"/>
      <c r="O736" s="172" t="n"/>
      <c r="P736" s="172" t="n"/>
    </row>
    <row r="737">
      <c r="B737" s="170" t="n"/>
      <c r="C737" s="199" t="n"/>
      <c r="D737" s="312" t="n"/>
      <c r="E737" s="312" t="n"/>
      <c r="F737" s="312" t="n"/>
      <c r="G737" s="312" t="n"/>
      <c r="H737" s="312" t="n"/>
      <c r="I737" s="313" t="n"/>
      <c r="J737" s="199" t="n"/>
      <c r="K737" s="314" t="n"/>
      <c r="L737" s="170" t="n"/>
      <c r="M737" s="170" t="n"/>
      <c r="N737" s="170" t="n"/>
      <c r="O737" s="172" t="n"/>
      <c r="P737" s="172" t="n"/>
    </row>
    <row r="738">
      <c r="B738" s="170" t="n"/>
      <c r="C738" s="199" t="n"/>
      <c r="D738" s="312" t="n"/>
      <c r="E738" s="312" t="n"/>
      <c r="F738" s="312" t="n"/>
      <c r="G738" s="312" t="n"/>
      <c r="H738" s="312" t="n"/>
      <c r="I738" s="313" t="n"/>
      <c r="J738" s="199" t="n"/>
      <c r="K738" s="314" t="n"/>
      <c r="L738" s="170" t="n"/>
      <c r="M738" s="170" t="n"/>
      <c r="N738" s="170" t="n"/>
      <c r="O738" s="172" t="n"/>
      <c r="P738" s="172" t="n"/>
    </row>
    <row r="739">
      <c r="B739" s="170" t="n"/>
      <c r="C739" s="199" t="n"/>
      <c r="D739" s="312" t="n"/>
      <c r="E739" s="312" t="n"/>
      <c r="F739" s="312" t="n"/>
      <c r="G739" s="312" t="n"/>
      <c r="H739" s="312" t="n"/>
      <c r="I739" s="313" t="n"/>
      <c r="J739" s="199" t="n"/>
      <c r="K739" s="314" t="n"/>
      <c r="L739" s="170" t="n"/>
      <c r="M739" s="170" t="n"/>
      <c r="N739" s="170" t="n"/>
      <c r="O739" s="172" t="n"/>
      <c r="P739" s="172" t="n"/>
    </row>
    <row r="740">
      <c r="B740" s="170" t="n"/>
      <c r="C740" s="199" t="n"/>
      <c r="D740" s="312" t="n"/>
      <c r="E740" s="312" t="n"/>
      <c r="F740" s="312" t="n"/>
      <c r="G740" s="312" t="n"/>
      <c r="H740" s="312" t="n"/>
      <c r="I740" s="313" t="n"/>
      <c r="J740" s="199" t="n"/>
      <c r="K740" s="314" t="n"/>
      <c r="L740" s="170" t="n"/>
      <c r="M740" s="170" t="n"/>
      <c r="N740" s="170" t="n"/>
      <c r="O740" s="172" t="n"/>
      <c r="P740" s="172" t="n"/>
    </row>
    <row r="741">
      <c r="B741" s="170" t="n"/>
      <c r="C741" s="199" t="n"/>
      <c r="D741" s="312" t="n"/>
      <c r="E741" s="312" t="n"/>
      <c r="F741" s="312" t="n"/>
      <c r="G741" s="312" t="n"/>
      <c r="H741" s="312" t="n"/>
      <c r="I741" s="313" t="n"/>
      <c r="J741" s="199" t="n"/>
      <c r="K741" s="314" t="n"/>
      <c r="L741" s="170" t="n"/>
      <c r="M741" s="170" t="n"/>
      <c r="N741" s="170" t="n"/>
      <c r="O741" s="172" t="n"/>
      <c r="P741" s="172" t="n"/>
    </row>
    <row r="742">
      <c r="B742" s="170" t="n"/>
      <c r="C742" s="199" t="n"/>
      <c r="D742" s="312" t="n"/>
      <c r="E742" s="312" t="n"/>
      <c r="F742" s="312" t="n"/>
      <c r="G742" s="312" t="n"/>
      <c r="H742" s="312" t="n"/>
      <c r="I742" s="313" t="n"/>
      <c r="J742" s="199" t="n"/>
      <c r="K742" s="314" t="n"/>
      <c r="L742" s="170" t="n"/>
      <c r="M742" s="170" t="n"/>
      <c r="N742" s="170" t="n"/>
      <c r="O742" s="172" t="n"/>
      <c r="P742" s="172" t="n"/>
    </row>
    <row r="743">
      <c r="B743" s="170" t="n"/>
      <c r="C743" s="199" t="n"/>
      <c r="D743" s="312" t="n"/>
      <c r="E743" s="312" t="n"/>
      <c r="F743" s="312" t="n"/>
      <c r="G743" s="312" t="n"/>
      <c r="H743" s="312" t="n"/>
      <c r="I743" s="313" t="n"/>
      <c r="J743" s="199" t="n"/>
      <c r="K743" s="314" t="n"/>
      <c r="L743" s="170" t="n"/>
      <c r="M743" s="170" t="n"/>
      <c r="N743" s="170" t="n"/>
      <c r="O743" s="172" t="n"/>
      <c r="P743" s="172" t="n"/>
    </row>
    <row r="744">
      <c r="B744" s="170" t="n"/>
      <c r="C744" s="199" t="n"/>
      <c r="D744" s="312" t="n"/>
      <c r="E744" s="312" t="n"/>
      <c r="F744" s="312" t="n"/>
      <c r="G744" s="312" t="n"/>
      <c r="H744" s="312" t="n"/>
      <c r="I744" s="313" t="n"/>
      <c r="J744" s="199" t="n"/>
      <c r="K744" s="314" t="n"/>
      <c r="L744" s="170" t="n"/>
      <c r="M744" s="170" t="n"/>
      <c r="N744" s="170" t="n"/>
      <c r="O744" s="172" t="n"/>
      <c r="P744" s="172" t="n"/>
    </row>
    <row r="745">
      <c r="B745" s="170" t="n"/>
      <c r="C745" s="199" t="n"/>
      <c r="D745" s="312" t="n"/>
      <c r="E745" s="312" t="n"/>
      <c r="F745" s="312" t="n"/>
      <c r="G745" s="312" t="n"/>
      <c r="H745" s="312" t="n"/>
      <c r="I745" s="313" t="n"/>
      <c r="J745" s="199" t="n"/>
      <c r="K745" s="314" t="n"/>
      <c r="L745" s="170" t="n"/>
      <c r="M745" s="170" t="n"/>
      <c r="N745" s="170" t="n"/>
      <c r="O745" s="172" t="n"/>
      <c r="P745" s="172" t="n"/>
    </row>
    <row r="746">
      <c r="B746" s="170" t="n"/>
      <c r="C746" s="199" t="n"/>
      <c r="D746" s="312" t="n"/>
      <c r="E746" s="312" t="n"/>
      <c r="F746" s="312" t="n"/>
      <c r="G746" s="312" t="n"/>
      <c r="H746" s="312" t="n"/>
      <c r="I746" s="313" t="n"/>
      <c r="J746" s="199" t="n"/>
      <c r="K746" s="314" t="n"/>
      <c r="L746" s="170" t="n"/>
      <c r="M746" s="170" t="n"/>
      <c r="N746" s="170" t="n"/>
      <c r="O746" s="172" t="n"/>
      <c r="P746" s="172" t="n"/>
    </row>
    <row r="747">
      <c r="B747" s="170" t="n"/>
      <c r="C747" s="199" t="n"/>
      <c r="D747" s="312" t="n"/>
      <c r="E747" s="312" t="n"/>
      <c r="F747" s="312" t="n"/>
      <c r="G747" s="312" t="n"/>
      <c r="H747" s="312" t="n"/>
      <c r="I747" s="313" t="n"/>
      <c r="J747" s="199" t="n"/>
      <c r="K747" s="314" t="n"/>
      <c r="L747" s="170" t="n"/>
      <c r="M747" s="170" t="n"/>
      <c r="N747" s="170" t="n"/>
      <c r="O747" s="172" t="n"/>
      <c r="P747" s="172" t="n"/>
    </row>
    <row r="748">
      <c r="B748" s="170" t="n"/>
      <c r="C748" s="199" t="n"/>
      <c r="D748" s="312" t="n"/>
      <c r="E748" s="312" t="n"/>
      <c r="F748" s="312" t="n"/>
      <c r="G748" s="312" t="n"/>
      <c r="H748" s="312" t="n"/>
      <c r="I748" s="313" t="n"/>
      <c r="J748" s="199" t="n"/>
      <c r="K748" s="314" t="n"/>
      <c r="L748" s="170" t="n"/>
      <c r="M748" s="170" t="n"/>
      <c r="N748" s="170" t="n"/>
      <c r="O748" s="172" t="n"/>
      <c r="P748" s="172" t="n"/>
    </row>
    <row r="749">
      <c r="B749" s="170" t="n"/>
      <c r="C749" s="199" t="n"/>
      <c r="D749" s="312" t="n"/>
      <c r="E749" s="312" t="n"/>
      <c r="F749" s="312" t="n"/>
      <c r="G749" s="312" t="n"/>
      <c r="H749" s="312" t="n"/>
      <c r="I749" s="313" t="n"/>
      <c r="J749" s="199" t="n"/>
      <c r="K749" s="314" t="n"/>
      <c r="L749" s="170" t="n"/>
      <c r="M749" s="170" t="n"/>
      <c r="N749" s="170" t="n"/>
      <c r="O749" s="172" t="n"/>
      <c r="P749" s="172" t="n"/>
    </row>
    <row r="750">
      <c r="B750" s="170" t="n"/>
      <c r="C750" s="199" t="n"/>
      <c r="D750" s="312" t="n"/>
      <c r="E750" s="312" t="n"/>
      <c r="F750" s="312" t="n"/>
      <c r="G750" s="312" t="n"/>
      <c r="H750" s="312" t="n"/>
      <c r="I750" s="313" t="n"/>
      <c r="J750" s="199" t="n"/>
      <c r="K750" s="314" t="n"/>
      <c r="L750" s="170" t="n"/>
      <c r="M750" s="170" t="n"/>
      <c r="N750" s="170" t="n"/>
      <c r="O750" s="172" t="n"/>
      <c r="P750" s="172" t="n"/>
    </row>
    <row r="751">
      <c r="B751" s="170" t="n"/>
      <c r="C751" s="199" t="n"/>
      <c r="D751" s="312" t="n"/>
      <c r="E751" s="312" t="n"/>
      <c r="F751" s="312" t="n"/>
      <c r="G751" s="312" t="n"/>
      <c r="H751" s="312" t="n"/>
      <c r="I751" s="313" t="n"/>
      <c r="J751" s="199" t="n"/>
      <c r="K751" s="314" t="n"/>
      <c r="L751" s="170" t="n"/>
      <c r="M751" s="170" t="n"/>
      <c r="N751" s="170" t="n"/>
      <c r="O751" s="172" t="n"/>
      <c r="P751" s="172" t="n"/>
    </row>
    <row r="752">
      <c r="B752" s="170" t="n"/>
      <c r="C752" s="199" t="n"/>
      <c r="D752" s="312" t="n"/>
      <c r="E752" s="312" t="n"/>
      <c r="F752" s="312" t="n"/>
      <c r="G752" s="312" t="n"/>
      <c r="H752" s="312" t="n"/>
      <c r="I752" s="313" t="n"/>
      <c r="J752" s="199" t="n"/>
      <c r="K752" s="314" t="n"/>
      <c r="L752" s="170" t="n"/>
      <c r="M752" s="170" t="n"/>
      <c r="N752" s="170" t="n"/>
      <c r="O752" s="172" t="n"/>
      <c r="P752" s="172" t="n"/>
    </row>
    <row r="753">
      <c r="B753" s="170" t="n"/>
      <c r="C753" s="199" t="n"/>
      <c r="D753" s="312" t="n"/>
      <c r="E753" s="312" t="n"/>
      <c r="F753" s="312" t="n"/>
      <c r="G753" s="312" t="n"/>
      <c r="H753" s="312" t="n"/>
      <c r="I753" s="313" t="n"/>
      <c r="J753" s="199" t="n"/>
      <c r="K753" s="314" t="n"/>
      <c r="L753" s="170" t="n"/>
      <c r="M753" s="170" t="n"/>
      <c r="N753" s="170" t="n"/>
      <c r="O753" s="172" t="n"/>
      <c r="P753" s="172" t="n"/>
    </row>
    <row r="754">
      <c r="B754" s="170" t="n"/>
      <c r="C754" s="199" t="n"/>
      <c r="D754" s="312" t="n"/>
      <c r="E754" s="312" t="n"/>
      <c r="F754" s="312" t="n"/>
      <c r="G754" s="312" t="n"/>
      <c r="H754" s="312" t="n"/>
      <c r="I754" s="313" t="n"/>
      <c r="J754" s="199" t="n"/>
      <c r="K754" s="314" t="n"/>
      <c r="L754" s="170" t="n"/>
      <c r="M754" s="170" t="n"/>
      <c r="N754" s="170" t="n"/>
      <c r="O754" s="172" t="n"/>
      <c r="P754" s="172" t="n"/>
    </row>
    <row r="755">
      <c r="B755" s="170" t="n"/>
      <c r="C755" s="199" t="n"/>
      <c r="D755" s="312" t="n"/>
      <c r="E755" s="312" t="n"/>
      <c r="F755" s="312" t="n"/>
      <c r="G755" s="312" t="n"/>
      <c r="H755" s="312" t="n"/>
      <c r="I755" s="313" t="n"/>
      <c r="J755" s="199" t="n"/>
      <c r="K755" s="314" t="n"/>
      <c r="L755" s="170" t="n"/>
      <c r="M755" s="170" t="n"/>
      <c r="N755" s="170" t="n"/>
      <c r="O755" s="172" t="n"/>
      <c r="P755" s="172" t="n"/>
    </row>
    <row r="756">
      <c r="B756" s="170" t="n"/>
      <c r="C756" s="199" t="n"/>
      <c r="D756" s="312" t="n"/>
      <c r="E756" s="312" t="n"/>
      <c r="F756" s="312" t="n"/>
      <c r="G756" s="312" t="n"/>
      <c r="H756" s="312" t="n"/>
      <c r="I756" s="313" t="n"/>
      <c r="J756" s="199" t="n"/>
      <c r="K756" s="314" t="n"/>
      <c r="L756" s="170" t="n"/>
      <c r="M756" s="170" t="n"/>
      <c r="N756" s="170" t="n"/>
      <c r="O756" s="172" t="n"/>
      <c r="P756" s="172" t="n"/>
    </row>
    <row r="757">
      <c r="B757" s="170" t="n"/>
      <c r="C757" s="199" t="n"/>
      <c r="D757" s="312" t="n"/>
      <c r="E757" s="312" t="n"/>
      <c r="F757" s="312" t="n"/>
      <c r="G757" s="312" t="n"/>
      <c r="H757" s="312" t="n"/>
      <c r="I757" s="313" t="n"/>
      <c r="J757" s="199" t="n"/>
      <c r="K757" s="314" t="n"/>
      <c r="L757" s="170" t="n"/>
      <c r="M757" s="170" t="n"/>
      <c r="N757" s="170" t="n"/>
      <c r="O757" s="172" t="n"/>
      <c r="P757" s="172" t="n"/>
    </row>
    <row r="758">
      <c r="B758" s="170" t="n"/>
      <c r="C758" s="199" t="n"/>
      <c r="D758" s="312" t="n"/>
      <c r="E758" s="312" t="n"/>
      <c r="F758" s="312" t="n"/>
      <c r="G758" s="312" t="n"/>
      <c r="H758" s="312" t="n"/>
      <c r="I758" s="313" t="n"/>
      <c r="J758" s="199" t="n"/>
      <c r="K758" s="314" t="n"/>
      <c r="L758" s="170" t="n"/>
      <c r="M758" s="170" t="n"/>
      <c r="N758" s="170" t="n"/>
      <c r="O758" s="172" t="n"/>
      <c r="P758" s="172" t="n"/>
    </row>
    <row r="759">
      <c r="B759" s="170" t="n"/>
      <c r="C759" s="199" t="n"/>
      <c r="D759" s="312" t="n"/>
      <c r="E759" s="312" t="n"/>
      <c r="F759" s="312" t="n"/>
      <c r="G759" s="312" t="n"/>
      <c r="H759" s="312" t="n"/>
      <c r="I759" s="313" t="n"/>
      <c r="J759" s="199" t="n"/>
      <c r="K759" s="314" t="n"/>
      <c r="L759" s="170" t="n"/>
      <c r="M759" s="170" t="n"/>
      <c r="N759" s="170" t="n"/>
      <c r="O759" s="172" t="n"/>
      <c r="P759" s="172" t="n"/>
    </row>
    <row r="760">
      <c r="B760" s="170" t="n"/>
      <c r="C760" s="199" t="n"/>
      <c r="D760" s="312" t="n"/>
      <c r="E760" s="312" t="n"/>
      <c r="F760" s="312" t="n"/>
      <c r="G760" s="312" t="n"/>
      <c r="H760" s="312" t="n"/>
      <c r="I760" s="313" t="n"/>
      <c r="J760" s="199" t="n"/>
      <c r="K760" s="314" t="n"/>
      <c r="L760" s="170" t="n"/>
      <c r="M760" s="170" t="n"/>
      <c r="N760" s="170" t="n"/>
      <c r="O760" s="172" t="n"/>
      <c r="P760" s="172" t="n"/>
    </row>
    <row r="761">
      <c r="B761" s="170" t="n"/>
      <c r="C761" s="199" t="n"/>
      <c r="D761" s="312" t="n"/>
      <c r="E761" s="312" t="n"/>
      <c r="F761" s="312" t="n"/>
      <c r="G761" s="312" t="n"/>
      <c r="H761" s="312" t="n"/>
      <c r="I761" s="313" t="n"/>
      <c r="J761" s="199" t="n"/>
      <c r="K761" s="314" t="n"/>
      <c r="L761" s="170" t="n"/>
      <c r="M761" s="170" t="n"/>
      <c r="N761" s="170" t="n"/>
      <c r="O761" s="172" t="n"/>
      <c r="P761" s="172" t="n"/>
    </row>
    <row r="762">
      <c r="N762" s="170" t="n"/>
      <c r="O762" s="172" t="n"/>
      <c r="P762" s="172" t="n"/>
    </row>
  </sheetData>
  <autoFilter ref="B11:P573"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</autoFilter>
  <mergeCells count="751">
    <mergeCell ref="C262:I262"/>
    <mergeCell ref="C700:I700"/>
    <mergeCell ref="C529:I529"/>
    <mergeCell ref="C237:I237"/>
    <mergeCell ref="C547:I547"/>
    <mergeCell ref="C53:I53"/>
    <mergeCell ref="C28:I28"/>
    <mergeCell ref="C351:I351"/>
    <mergeCell ref="C326:I326"/>
    <mergeCell ref="C593:I593"/>
    <mergeCell ref="C239:I239"/>
    <mergeCell ref="C310:I310"/>
    <mergeCell ref="C92:I92"/>
    <mergeCell ref="C608:I608"/>
    <mergeCell ref="C30:I30"/>
    <mergeCell ref="C524:I524"/>
    <mergeCell ref="C695:I695"/>
    <mergeCell ref="C595:I595"/>
    <mergeCell ref="C97:I97"/>
    <mergeCell ref="C290:I290"/>
    <mergeCell ref="B3:D10"/>
    <mergeCell ref="C384:I384"/>
    <mergeCell ref="C624:I624"/>
    <mergeCell ref="C321:I321"/>
    <mergeCell ref="C255:I255"/>
    <mergeCell ref="C242:I242"/>
    <mergeCell ref="C413:I413"/>
    <mergeCell ref="C684:I684"/>
    <mergeCell ref="C478:I478"/>
    <mergeCell ref="C21:I21"/>
    <mergeCell ref="C192:I192"/>
    <mergeCell ref="C252:I252"/>
    <mergeCell ref="C379:I379"/>
    <mergeCell ref="C550:I550"/>
    <mergeCell ref="C621:I621"/>
    <mergeCell ref="C615:I615"/>
    <mergeCell ref="C415:I415"/>
    <mergeCell ref="C244:I244"/>
    <mergeCell ref="C664:I664"/>
    <mergeCell ref="C713:I713"/>
    <mergeCell ref="C542:I542"/>
    <mergeCell ref="C123:I123"/>
    <mergeCell ref="C23:I23"/>
    <mergeCell ref="C194:I194"/>
    <mergeCell ref="C316:I316"/>
    <mergeCell ref="C492:I492"/>
    <mergeCell ref="C110:I110"/>
    <mergeCell ref="C552:I552"/>
    <mergeCell ref="C181:I181"/>
    <mergeCell ref="C408:I408"/>
    <mergeCell ref="C623:I623"/>
    <mergeCell ref="C479:I479"/>
    <mergeCell ref="C650:I650"/>
    <mergeCell ref="C679:I679"/>
    <mergeCell ref="C473:I473"/>
    <mergeCell ref="C606:I606"/>
    <mergeCell ref="C544:I544"/>
    <mergeCell ref="C715:I715"/>
    <mergeCell ref="C423:I423"/>
    <mergeCell ref="C616:I616"/>
    <mergeCell ref="C410:I410"/>
    <mergeCell ref="C481:I481"/>
    <mergeCell ref="C18:I18"/>
    <mergeCell ref="C189:I189"/>
    <mergeCell ref="C456:I456"/>
    <mergeCell ref="C34:I34"/>
    <mergeCell ref="C397:I397"/>
    <mergeCell ref="C568:I568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29:I29"/>
    <mergeCell ref="C100:I100"/>
    <mergeCell ref="C205:I205"/>
    <mergeCell ref="C94:I94"/>
    <mergeCell ref="C65:I65"/>
    <mergeCell ref="C265:I265"/>
    <mergeCell ref="C336:I336"/>
    <mergeCell ref="C563:I563"/>
    <mergeCell ref="C634:I634"/>
    <mergeCell ref="C44:I44"/>
    <mergeCell ref="C311:I311"/>
    <mergeCell ref="C428:I428"/>
    <mergeCell ref="C167:I167"/>
    <mergeCell ref="C142:I142"/>
    <mergeCell ref="C609:I609"/>
    <mergeCell ref="C80:I80"/>
    <mergeCell ref="C403:I403"/>
    <mergeCell ref="C129:I129"/>
    <mergeCell ref="C645:I645"/>
    <mergeCell ref="C701:I701"/>
    <mergeCell ref="C365:I365"/>
    <mergeCell ref="C169:I169"/>
    <mergeCell ref="C611:I611"/>
    <mergeCell ref="C467:I467"/>
    <mergeCell ref="C598:I598"/>
    <mergeCell ref="C703:I703"/>
    <mergeCell ref="C665:I665"/>
    <mergeCell ref="C233:I233"/>
    <mergeCell ref="C469:I469"/>
    <mergeCell ref="C640:I640"/>
    <mergeCell ref="C710:I710"/>
    <mergeCell ref="C131:I131"/>
    <mergeCell ref="C258:I258"/>
    <mergeCell ref="C500:I500"/>
    <mergeCell ref="C556:I556"/>
    <mergeCell ref="C494:I494"/>
    <mergeCell ref="C245:I245"/>
    <mergeCell ref="C49:I49"/>
    <mergeCell ref="C543:I543"/>
    <mergeCell ref="C714:I714"/>
    <mergeCell ref="C614:I614"/>
    <mergeCell ref="C24:I24"/>
    <mergeCell ref="C195:I195"/>
    <mergeCell ref="C266:I266"/>
    <mergeCell ref="C322:I322"/>
    <mergeCell ref="C493:I493"/>
    <mergeCell ref="C260:I260"/>
    <mergeCell ref="C431:I431"/>
    <mergeCell ref="C116:I116"/>
    <mergeCell ref="C558:I558"/>
    <mergeCell ref="C545:I545"/>
    <mergeCell ref="C716:I716"/>
    <mergeCell ref="C88:I88"/>
    <mergeCell ref="C126:I126"/>
    <mergeCell ref="C26:I26"/>
    <mergeCell ref="C197:I197"/>
    <mergeCell ref="C259:I259"/>
    <mergeCell ref="C324:I324"/>
    <mergeCell ref="C495:I495"/>
    <mergeCell ref="C482:I482"/>
    <mergeCell ref="C416:I416"/>
    <mergeCell ref="C261:I261"/>
    <mergeCell ref="C432:I432"/>
    <mergeCell ref="C117:I117"/>
    <mergeCell ref="C55:I55"/>
    <mergeCell ref="C546:I546"/>
    <mergeCell ref="C447:I447"/>
    <mergeCell ref="C115:I115"/>
    <mergeCell ref="C213:I213"/>
    <mergeCell ref="C273:I273"/>
    <mergeCell ref="C400:I400"/>
    <mergeCell ref="C571:I571"/>
    <mergeCell ref="C698:I698"/>
    <mergeCell ref="C52:I52"/>
    <mergeCell ref="C734:I734"/>
    <mergeCell ref="C150:I150"/>
    <mergeCell ref="C39:I39"/>
    <mergeCell ref="C144:I144"/>
    <mergeCell ref="C337:I337"/>
    <mergeCell ref="C442:I442"/>
    <mergeCell ref="C513:I513"/>
    <mergeCell ref="C635:I635"/>
    <mergeCell ref="C573:I573"/>
    <mergeCell ref="C429:I429"/>
    <mergeCell ref="C671:I671"/>
    <mergeCell ref="C727:I727"/>
    <mergeCell ref="C414:I414"/>
    <mergeCell ref="C81:I81"/>
    <mergeCell ref="C352:I352"/>
    <mergeCell ref="C548:I548"/>
    <mergeCell ref="C37:I37"/>
    <mergeCell ref="C208:I208"/>
    <mergeCell ref="C339:I339"/>
    <mergeCell ref="C637:I637"/>
    <mergeCell ref="C437:I437"/>
    <mergeCell ref="C686:I686"/>
    <mergeCell ref="C735:I735"/>
    <mergeCell ref="C419:I419"/>
    <mergeCell ref="C729:I729"/>
    <mergeCell ref="C145:I145"/>
    <mergeCell ref="C406:I406"/>
    <mergeCell ref="C210:I210"/>
    <mergeCell ref="C381:I381"/>
    <mergeCell ref="C185:I185"/>
    <mergeCell ref="C564:I564"/>
    <mergeCell ref="C63:I63"/>
    <mergeCell ref="C330:I330"/>
    <mergeCell ref="C305:I305"/>
    <mergeCell ref="C134:I134"/>
    <mergeCell ref="C50:I50"/>
    <mergeCell ref="C566:I566"/>
    <mergeCell ref="C286:I286"/>
    <mergeCell ref="C553:I553"/>
    <mergeCell ref="C584:I584"/>
    <mergeCell ref="C90:I90"/>
    <mergeCell ref="C332:I332"/>
    <mergeCell ref="C388:I388"/>
    <mergeCell ref="C503:I503"/>
    <mergeCell ref="C163:I163"/>
    <mergeCell ref="C630:I630"/>
    <mergeCell ref="C350:I350"/>
    <mergeCell ref="C617:I617"/>
    <mergeCell ref="C138:I138"/>
    <mergeCell ref="C76:I76"/>
    <mergeCell ref="C27:I27"/>
    <mergeCell ref="C132:I132"/>
    <mergeCell ref="C567:I567"/>
    <mergeCell ref="C119:I119"/>
    <mergeCell ref="C561:I561"/>
    <mergeCell ref="C361:I361"/>
    <mergeCell ref="C632:I632"/>
    <mergeCell ref="C732:I732"/>
    <mergeCell ref="C327:I327"/>
    <mergeCell ref="C498:I498"/>
    <mergeCell ref="C425:I425"/>
    <mergeCell ref="C723:I723"/>
    <mergeCell ref="C661:I661"/>
    <mergeCell ref="C264:I264"/>
    <mergeCell ref="C279:I279"/>
    <mergeCell ref="C450:I450"/>
    <mergeCell ref="C643:I643"/>
    <mergeCell ref="C748:I748"/>
    <mergeCell ref="C45:I45"/>
    <mergeCell ref="C216:I216"/>
    <mergeCell ref="C387:I387"/>
    <mergeCell ref="C343:I343"/>
    <mergeCell ref="C514:I514"/>
    <mergeCell ref="C281:I281"/>
    <mergeCell ref="C452:I452"/>
    <mergeCell ref="C685:I685"/>
    <mergeCell ref="C756:I756"/>
    <mergeCell ref="C501:I501"/>
    <mergeCell ref="C750:I750"/>
    <mergeCell ref="C353:I353"/>
    <mergeCell ref="C737:I737"/>
    <mergeCell ref="C109:I109"/>
    <mergeCell ref="C147:I147"/>
    <mergeCell ref="C47:I47"/>
    <mergeCell ref="C218:I218"/>
    <mergeCell ref="C280:I280"/>
    <mergeCell ref="C274:I274"/>
    <mergeCell ref="C345:I345"/>
    <mergeCell ref="C445:I445"/>
    <mergeCell ref="C451:I451"/>
    <mergeCell ref="C516:I516"/>
    <mergeCell ref="C687:I687"/>
    <mergeCell ref="C40:I40"/>
    <mergeCell ref="C211:I211"/>
    <mergeCell ref="C282:I282"/>
    <mergeCell ref="C453:I453"/>
    <mergeCell ref="C580:I580"/>
    <mergeCell ref="C751:I751"/>
    <mergeCell ref="C71:I71"/>
    <mergeCell ref="C592:I592"/>
    <mergeCell ref="C371:I371"/>
    <mergeCell ref="C165:I165"/>
    <mergeCell ref="C358:I358"/>
    <mergeCell ref="C656:I656"/>
    <mergeCell ref="C66:I66"/>
    <mergeCell ref="C308:I308"/>
    <mergeCell ref="C631:I631"/>
    <mergeCell ref="C102:I102"/>
    <mergeCell ref="C569:I569"/>
    <mergeCell ref="C229:I229"/>
    <mergeCell ref="C77:I77"/>
    <mergeCell ref="C658:I658"/>
    <mergeCell ref="C375:I375"/>
    <mergeCell ref="C179:I179"/>
    <mergeCell ref="C446:I446"/>
    <mergeCell ref="C68:I68"/>
    <mergeCell ref="C682:I682"/>
    <mergeCell ref="C166:I166"/>
    <mergeCell ref="C633:I633"/>
    <mergeCell ref="C489:I489"/>
    <mergeCell ref="C160:I160"/>
    <mergeCell ref="C427:I427"/>
    <mergeCell ref="C402:I402"/>
    <mergeCell ref="C464:I464"/>
    <mergeCell ref="C141:I141"/>
    <mergeCell ref="C725:I725"/>
    <mergeCell ref="C206:I206"/>
    <mergeCell ref="C377:I377"/>
    <mergeCell ref="C662:I662"/>
    <mergeCell ref="C143:I143"/>
    <mergeCell ref="C270:I270"/>
    <mergeCell ref="C441:I441"/>
    <mergeCell ref="C506:I506"/>
    <mergeCell ref="C522:I522"/>
    <mergeCell ref="C59:I59"/>
    <mergeCell ref="C295:I295"/>
    <mergeCell ref="C46:I46"/>
    <mergeCell ref="C380:I380"/>
    <mergeCell ref="C61:I61"/>
    <mergeCell ref="C359:I359"/>
    <mergeCell ref="C159:I159"/>
    <mergeCell ref="C48:I48"/>
    <mergeCell ref="C153:I153"/>
    <mergeCell ref="C219:I219"/>
    <mergeCell ref="C346:I346"/>
    <mergeCell ref="C395:I395"/>
    <mergeCell ref="C517:I517"/>
    <mergeCell ref="C588:I588"/>
    <mergeCell ref="C688:I688"/>
    <mergeCell ref="C582:I582"/>
    <mergeCell ref="C759:I759"/>
    <mergeCell ref="C653:I653"/>
    <mergeCell ref="C753:I753"/>
    <mergeCell ref="C125:I125"/>
    <mergeCell ref="C296:I296"/>
    <mergeCell ref="C680:I680"/>
    <mergeCell ref="C740:I740"/>
    <mergeCell ref="C161:I161"/>
    <mergeCell ref="C217:I217"/>
    <mergeCell ref="C283:I283"/>
    <mergeCell ref="C348:I348"/>
    <mergeCell ref="C519:I519"/>
    <mergeCell ref="C690:I690"/>
    <mergeCell ref="C646:I646"/>
    <mergeCell ref="C298:I298"/>
    <mergeCell ref="C154:I154"/>
    <mergeCell ref="C285:I285"/>
    <mergeCell ref="C390:I390"/>
    <mergeCell ref="C583:I583"/>
    <mergeCell ref="C754:I754"/>
    <mergeCell ref="C648:I648"/>
    <mergeCell ref="C677:I677"/>
    <mergeCell ref="C156:I156"/>
    <mergeCell ref="C74:I74"/>
    <mergeCell ref="C250:I250"/>
    <mergeCell ref="C372:I372"/>
    <mergeCell ref="C535:I535"/>
    <mergeCell ref="C706:I706"/>
    <mergeCell ref="C16:I16"/>
    <mergeCell ref="C374:I374"/>
    <mergeCell ref="C230:I230"/>
    <mergeCell ref="C401:I401"/>
    <mergeCell ref="C168:I168"/>
    <mergeCell ref="C301:I301"/>
    <mergeCell ref="C472:I472"/>
    <mergeCell ref="C466:I466"/>
    <mergeCell ref="C672:I672"/>
    <mergeCell ref="C537:I537"/>
    <mergeCell ref="C659:I659"/>
    <mergeCell ref="C180:I180"/>
    <mergeCell ref="C708:I708"/>
    <mergeCell ref="C118:I118"/>
    <mergeCell ref="C238:I238"/>
    <mergeCell ref="C232:I232"/>
    <mergeCell ref="C674:I674"/>
    <mergeCell ref="C303:I303"/>
    <mergeCell ref="C474:I474"/>
    <mergeCell ref="C530:I530"/>
    <mergeCell ref="C601:I601"/>
    <mergeCell ref="C207:I207"/>
    <mergeCell ref="C11:I11"/>
    <mergeCell ref="C182:I182"/>
    <mergeCell ref="C747:I747"/>
    <mergeCell ref="C532:I532"/>
    <mergeCell ref="C69:I69"/>
    <mergeCell ref="C96:I96"/>
    <mergeCell ref="C87:I87"/>
    <mergeCell ref="C354:I354"/>
    <mergeCell ref="C652:I652"/>
    <mergeCell ref="C627:I627"/>
    <mergeCell ref="C590:I590"/>
    <mergeCell ref="C761:I761"/>
    <mergeCell ref="C62:I62"/>
    <mergeCell ref="C421:I421"/>
    <mergeCell ref="C98:I98"/>
    <mergeCell ref="C369:I369"/>
    <mergeCell ref="C396:I396"/>
    <mergeCell ref="C667:I667"/>
    <mergeCell ref="C89:I89"/>
    <mergeCell ref="C527:I527"/>
    <mergeCell ref="C187:I187"/>
    <mergeCell ref="C629:I629"/>
    <mergeCell ref="C654:I654"/>
    <mergeCell ref="C485:I485"/>
    <mergeCell ref="C64:I64"/>
    <mergeCell ref="C368:I368"/>
    <mergeCell ref="C306:I306"/>
    <mergeCell ref="C619:I619"/>
    <mergeCell ref="C162:I162"/>
    <mergeCell ref="C681:I681"/>
    <mergeCell ref="C752:I752"/>
    <mergeCell ref="C460:I460"/>
    <mergeCell ref="C349:I349"/>
    <mergeCell ref="C398:I398"/>
    <mergeCell ref="C591:I591"/>
    <mergeCell ref="C696:I696"/>
    <mergeCell ref="C177:I177"/>
    <mergeCell ref="C683:I683"/>
    <mergeCell ref="C93:I93"/>
    <mergeCell ref="C226:I226"/>
    <mergeCell ref="C164:I164"/>
    <mergeCell ref="C335:I335"/>
    <mergeCell ref="C364:I364"/>
    <mergeCell ref="C462:I462"/>
    <mergeCell ref="C760:I760"/>
    <mergeCell ref="C222:I222"/>
    <mergeCell ref="C251:I251"/>
    <mergeCell ref="C487:I487"/>
    <mergeCell ref="C17:I17"/>
    <mergeCell ref="C82:I82"/>
    <mergeCell ref="C253:I253"/>
    <mergeCell ref="C551:I551"/>
    <mergeCell ref="C622:I622"/>
    <mergeCell ref="C240:I240"/>
    <mergeCell ref="C411:I411"/>
    <mergeCell ref="C538:I538"/>
    <mergeCell ref="C709:I709"/>
    <mergeCell ref="C19:I19"/>
    <mergeCell ref="C190:I190"/>
    <mergeCell ref="C317:I317"/>
    <mergeCell ref="C111:I111"/>
    <mergeCell ref="C304:I304"/>
    <mergeCell ref="C480:I480"/>
    <mergeCell ref="C602:I602"/>
    <mergeCell ref="C540:I540"/>
    <mergeCell ref="C711:I711"/>
    <mergeCell ref="C83:I83"/>
    <mergeCell ref="C254:I254"/>
    <mergeCell ref="C248:I248"/>
    <mergeCell ref="C515:I515"/>
    <mergeCell ref="C319:I319"/>
    <mergeCell ref="C490:I490"/>
    <mergeCell ref="C175:I175"/>
    <mergeCell ref="C235:I235"/>
    <mergeCell ref="C477:I477"/>
    <mergeCell ref="C604:I604"/>
    <mergeCell ref="E3:P10"/>
    <mergeCell ref="C14:I14"/>
    <mergeCell ref="C579:I579"/>
    <mergeCell ref="C475:I475"/>
    <mergeCell ref="C393:I393"/>
    <mergeCell ref="C137:I137"/>
    <mergeCell ref="C702:I702"/>
    <mergeCell ref="C124:I124"/>
    <mergeCell ref="C422:I422"/>
    <mergeCell ref="C693:I693"/>
    <mergeCell ref="C201:I201"/>
    <mergeCell ref="C668:I668"/>
    <mergeCell ref="C139:I139"/>
    <mergeCell ref="C188:I188"/>
    <mergeCell ref="C704:I704"/>
    <mergeCell ref="C424:I424"/>
    <mergeCell ref="C722:I722"/>
    <mergeCell ref="C228:I228"/>
    <mergeCell ref="C203:I203"/>
    <mergeCell ref="C399:I399"/>
    <mergeCell ref="C470:I470"/>
    <mergeCell ref="C526:I526"/>
    <mergeCell ref="C488:I488"/>
    <mergeCell ref="C724:I724"/>
    <mergeCell ref="C607:I607"/>
    <mergeCell ref="C292:I292"/>
    <mergeCell ref="C528:I528"/>
    <mergeCell ref="C699:I699"/>
    <mergeCell ref="C465:I465"/>
    <mergeCell ref="C636:I636"/>
    <mergeCell ref="C559:I559"/>
    <mergeCell ref="C108:I108"/>
    <mergeCell ref="C325:I325"/>
    <mergeCell ref="C417:I417"/>
    <mergeCell ref="C20:I20"/>
    <mergeCell ref="C196:I196"/>
    <mergeCell ref="C318:I318"/>
    <mergeCell ref="C85:I85"/>
    <mergeCell ref="C256:I256"/>
    <mergeCell ref="C112:I112"/>
    <mergeCell ref="C389:I389"/>
    <mergeCell ref="C183:I183"/>
    <mergeCell ref="C383:I383"/>
    <mergeCell ref="C554:I554"/>
    <mergeCell ref="C560:I560"/>
    <mergeCell ref="C625:I625"/>
    <mergeCell ref="C541:I541"/>
    <mergeCell ref="C612:I612"/>
    <mergeCell ref="C717:I717"/>
    <mergeCell ref="C84:I84"/>
    <mergeCell ref="C133:I133"/>
    <mergeCell ref="C22:I22"/>
    <mergeCell ref="C127:I127"/>
    <mergeCell ref="C193:I193"/>
    <mergeCell ref="C198:I198"/>
    <mergeCell ref="C320:I320"/>
    <mergeCell ref="C176:I176"/>
    <mergeCell ref="C491:I491"/>
    <mergeCell ref="C114:I114"/>
    <mergeCell ref="C247:I247"/>
    <mergeCell ref="C356:I356"/>
    <mergeCell ref="C412:I412"/>
    <mergeCell ref="C418:I418"/>
    <mergeCell ref="C483:I483"/>
    <mergeCell ref="C605:I605"/>
    <mergeCell ref="C719:I719"/>
    <mergeCell ref="C257:I257"/>
    <mergeCell ref="C51:I51"/>
    <mergeCell ref="C178:I178"/>
    <mergeCell ref="C620:I620"/>
    <mergeCell ref="C272:I272"/>
    <mergeCell ref="C443:I443"/>
    <mergeCell ref="C38:I38"/>
    <mergeCell ref="C209:I209"/>
    <mergeCell ref="C743:I743"/>
    <mergeCell ref="C730:I730"/>
    <mergeCell ref="C140:I140"/>
    <mergeCell ref="C267:I267"/>
    <mergeCell ref="C438:I438"/>
    <mergeCell ref="C338:I338"/>
    <mergeCell ref="C509:I509"/>
    <mergeCell ref="C496:I496"/>
    <mergeCell ref="C33:I33"/>
    <mergeCell ref="C204:I204"/>
    <mergeCell ref="C104:I104"/>
    <mergeCell ref="C275:I275"/>
    <mergeCell ref="C269:I269"/>
    <mergeCell ref="C440:I440"/>
    <mergeCell ref="C340:I340"/>
    <mergeCell ref="C511:I511"/>
    <mergeCell ref="C707:I707"/>
    <mergeCell ref="C738:I738"/>
    <mergeCell ref="C231:I231"/>
    <mergeCell ref="C35:I35"/>
    <mergeCell ref="C333:I333"/>
    <mergeCell ref="C504:I504"/>
    <mergeCell ref="C99:I99"/>
    <mergeCell ref="C130:I130"/>
    <mergeCell ref="C562:I562"/>
    <mergeCell ref="C689:I689"/>
    <mergeCell ref="C409:I409"/>
    <mergeCell ref="C651:I651"/>
    <mergeCell ref="C135:I135"/>
    <mergeCell ref="C328:I328"/>
    <mergeCell ref="C433:I433"/>
    <mergeCell ref="C626:I626"/>
    <mergeCell ref="C122:I122"/>
    <mergeCell ref="C430:I430"/>
    <mergeCell ref="C420:I420"/>
    <mergeCell ref="C224:I224"/>
    <mergeCell ref="C718:I718"/>
    <mergeCell ref="C72:I72"/>
    <mergeCell ref="C199:I199"/>
    <mergeCell ref="C497:I497"/>
    <mergeCell ref="C435:I435"/>
    <mergeCell ref="C186:I186"/>
    <mergeCell ref="C557:I557"/>
    <mergeCell ref="C628:I628"/>
    <mergeCell ref="C484:I484"/>
    <mergeCell ref="C655:I655"/>
    <mergeCell ref="C720:I720"/>
    <mergeCell ref="C136:I136"/>
    <mergeCell ref="C263:I263"/>
    <mergeCell ref="C434:I434"/>
    <mergeCell ref="C323:I323"/>
    <mergeCell ref="C499:I499"/>
    <mergeCell ref="C486:I486"/>
    <mergeCell ref="C657:I657"/>
    <mergeCell ref="C54:I54"/>
    <mergeCell ref="C41:I41"/>
    <mergeCell ref="C146:I146"/>
    <mergeCell ref="C212:I212"/>
    <mergeCell ref="C510:I510"/>
    <mergeCell ref="C277:I277"/>
    <mergeCell ref="C448:I448"/>
    <mergeCell ref="C581:I581"/>
    <mergeCell ref="C404:I404"/>
    <mergeCell ref="C575:I575"/>
    <mergeCell ref="C746:I746"/>
    <mergeCell ref="C56:I56"/>
    <mergeCell ref="C733:I733"/>
    <mergeCell ref="C105:I105"/>
    <mergeCell ref="C276:I276"/>
    <mergeCell ref="C43:I43"/>
    <mergeCell ref="C214:I214"/>
    <mergeCell ref="C341:I341"/>
    <mergeCell ref="C512:I512"/>
    <mergeCell ref="C639:I639"/>
    <mergeCell ref="C439:I439"/>
    <mergeCell ref="C577:I577"/>
    <mergeCell ref="C120:I120"/>
    <mergeCell ref="C675:I675"/>
    <mergeCell ref="C731:I731"/>
    <mergeCell ref="C36:I36"/>
    <mergeCell ref="C278:I278"/>
    <mergeCell ref="C405:I405"/>
    <mergeCell ref="C576:I576"/>
    <mergeCell ref="C370:I370"/>
    <mergeCell ref="C641:I641"/>
    <mergeCell ref="C149:I149"/>
    <mergeCell ref="C385:I385"/>
    <mergeCell ref="C67:I67"/>
    <mergeCell ref="C670:I670"/>
    <mergeCell ref="C367:I367"/>
    <mergeCell ref="C603:I603"/>
    <mergeCell ref="C288:I288"/>
    <mergeCell ref="C459:I459"/>
    <mergeCell ref="C726:I726"/>
    <mergeCell ref="C505:I505"/>
    <mergeCell ref="C225:I225"/>
    <mergeCell ref="C741:I741"/>
    <mergeCell ref="C461:I461"/>
    <mergeCell ref="C728:I728"/>
    <mergeCell ref="C200:I200"/>
    <mergeCell ref="C271:I271"/>
    <mergeCell ref="C436:I436"/>
    <mergeCell ref="C507:I507"/>
    <mergeCell ref="C227:I227"/>
    <mergeCell ref="C721:I721"/>
    <mergeCell ref="C525:I525"/>
    <mergeCell ref="C31:I31"/>
    <mergeCell ref="C202:I202"/>
    <mergeCell ref="C373:I373"/>
    <mergeCell ref="C329:I329"/>
    <mergeCell ref="C444:I444"/>
    <mergeCell ref="C565:I565"/>
    <mergeCell ref="C736:I736"/>
    <mergeCell ref="C291:I291"/>
    <mergeCell ref="C589:I589"/>
    <mergeCell ref="C95:I95"/>
    <mergeCell ref="C60:I60"/>
    <mergeCell ref="C331:I331"/>
    <mergeCell ref="C502:I502"/>
    <mergeCell ref="C673:I673"/>
    <mergeCell ref="C347:I347"/>
    <mergeCell ref="C268:I268"/>
    <mergeCell ref="C360:I360"/>
    <mergeCell ref="C91:I91"/>
    <mergeCell ref="C362:I362"/>
    <mergeCell ref="C454:I454"/>
    <mergeCell ref="C647:I647"/>
    <mergeCell ref="C57:I57"/>
    <mergeCell ref="C355:I355"/>
    <mergeCell ref="C155:I155"/>
    <mergeCell ref="C293:I293"/>
    <mergeCell ref="C739:I739"/>
    <mergeCell ref="C220:I220"/>
    <mergeCell ref="C342:I342"/>
    <mergeCell ref="C391:I391"/>
    <mergeCell ref="C518:I518"/>
    <mergeCell ref="C578:I578"/>
    <mergeCell ref="C749:I749"/>
    <mergeCell ref="C649:I649"/>
    <mergeCell ref="C676:I676"/>
    <mergeCell ref="C86:I86"/>
    <mergeCell ref="C357:I357"/>
    <mergeCell ref="C157:I157"/>
    <mergeCell ref="C42:I42"/>
    <mergeCell ref="C151:I151"/>
    <mergeCell ref="C284:I284"/>
    <mergeCell ref="C344:I344"/>
    <mergeCell ref="C449:I449"/>
    <mergeCell ref="C455:I455"/>
    <mergeCell ref="C520:I520"/>
    <mergeCell ref="C58:I58"/>
    <mergeCell ref="C586:I586"/>
    <mergeCell ref="C642:I642"/>
    <mergeCell ref="C691:I691"/>
    <mergeCell ref="C294:I294"/>
    <mergeCell ref="C678:I678"/>
    <mergeCell ref="C215:I215"/>
    <mergeCell ref="C386:I386"/>
    <mergeCell ref="C644:I644"/>
    <mergeCell ref="C152:I152"/>
    <mergeCell ref="C75:I75"/>
    <mergeCell ref="C531:I531"/>
    <mergeCell ref="C596:I596"/>
    <mergeCell ref="C12:I12"/>
    <mergeCell ref="C297:I297"/>
    <mergeCell ref="C533:I533"/>
    <mergeCell ref="C660:I660"/>
    <mergeCell ref="C70:I70"/>
    <mergeCell ref="C241:I241"/>
    <mergeCell ref="C312:I312"/>
    <mergeCell ref="C508:I508"/>
    <mergeCell ref="C610:I610"/>
    <mergeCell ref="C106:I106"/>
    <mergeCell ref="C744:I744"/>
    <mergeCell ref="C299:I299"/>
    <mergeCell ref="C597:I597"/>
    <mergeCell ref="C32:I32"/>
    <mergeCell ref="C572:I572"/>
    <mergeCell ref="C243:I243"/>
    <mergeCell ref="C366:I366"/>
    <mergeCell ref="C170:I170"/>
    <mergeCell ref="C468:I468"/>
    <mergeCell ref="C307:I307"/>
    <mergeCell ref="C574:I574"/>
    <mergeCell ref="C745:I745"/>
    <mergeCell ref="C101:I101"/>
    <mergeCell ref="C666:I666"/>
    <mergeCell ref="C697:I697"/>
    <mergeCell ref="C246:I246"/>
    <mergeCell ref="C221:I221"/>
    <mergeCell ref="C25:I25"/>
    <mergeCell ref="C392:I392"/>
    <mergeCell ref="C463:I463"/>
    <mergeCell ref="C457:I457"/>
    <mergeCell ref="C755:I755"/>
    <mergeCell ref="C236:I236"/>
    <mergeCell ref="C742:I742"/>
    <mergeCell ref="C594:I594"/>
    <mergeCell ref="C223:I223"/>
    <mergeCell ref="C394:I394"/>
    <mergeCell ref="C521:I521"/>
    <mergeCell ref="C692:I692"/>
    <mergeCell ref="C757:I757"/>
    <mergeCell ref="C300:I300"/>
    <mergeCell ref="C287:I287"/>
    <mergeCell ref="C458:I458"/>
    <mergeCell ref="C585:I585"/>
    <mergeCell ref="C523:I523"/>
    <mergeCell ref="C694:I694"/>
    <mergeCell ref="C158:I158"/>
    <mergeCell ref="C289:I289"/>
    <mergeCell ref="C587:I587"/>
    <mergeCell ref="C758:I758"/>
    <mergeCell ref="C13:I13"/>
    <mergeCell ref="C78:I78"/>
    <mergeCell ref="C249:I249"/>
    <mergeCell ref="C376:I376"/>
    <mergeCell ref="C314:I314"/>
    <mergeCell ref="C618:I618"/>
    <mergeCell ref="C363:I363"/>
    <mergeCell ref="C534:I534"/>
    <mergeCell ref="C539:I539"/>
    <mergeCell ref="C599:I599"/>
    <mergeCell ref="C15:I15"/>
    <mergeCell ref="C191:I191"/>
    <mergeCell ref="C313:I313"/>
    <mergeCell ref="C107:I107"/>
    <mergeCell ref="C378:I378"/>
    <mergeCell ref="C549:I549"/>
    <mergeCell ref="C234:I234"/>
    <mergeCell ref="C172:I172"/>
    <mergeCell ref="C476:I476"/>
    <mergeCell ref="C536:I536"/>
    <mergeCell ref="C663:I663"/>
    <mergeCell ref="C79:I79"/>
    <mergeCell ref="C184:I184"/>
    <mergeCell ref="C712:I712"/>
    <mergeCell ref="C73:I73"/>
    <mergeCell ref="C315:I315"/>
    <mergeCell ref="C171:I171"/>
    <mergeCell ref="C613:I613"/>
    <mergeCell ref="C638:I638"/>
    <mergeCell ref="C302:I302"/>
    <mergeCell ref="C407:I407"/>
    <mergeCell ref="C600:I600"/>
    <mergeCell ref="C705:I705"/>
    <mergeCell ref="C121:I121"/>
    <mergeCell ref="C382:I382"/>
    <mergeCell ref="C471:I471"/>
    <mergeCell ref="C148:I148"/>
    <mergeCell ref="C669:I669"/>
  </mergeCells>
  <hyperlinks>
    <hyperlink xmlns:r="http://schemas.openxmlformats.org/officeDocument/2006/relationships" ref="P12" r:id="rId1"/>
    <hyperlink xmlns:r="http://schemas.openxmlformats.org/officeDocument/2006/relationships" ref="P13" r:id="rId2"/>
    <hyperlink xmlns:r="http://schemas.openxmlformats.org/officeDocument/2006/relationships" ref="P14" r:id="rId3"/>
    <hyperlink xmlns:r="http://schemas.openxmlformats.org/officeDocument/2006/relationships" ref="P15" r:id="rId4"/>
    <hyperlink xmlns:r="http://schemas.openxmlformats.org/officeDocument/2006/relationships" ref="P16" r:id="rId5"/>
    <hyperlink xmlns:r="http://schemas.openxmlformats.org/officeDocument/2006/relationships" ref="P17" r:id="rId6"/>
    <hyperlink xmlns:r="http://schemas.openxmlformats.org/officeDocument/2006/relationships" ref="P18" r:id="rId7"/>
    <hyperlink xmlns:r="http://schemas.openxmlformats.org/officeDocument/2006/relationships" ref="P19" r:id="rId8"/>
    <hyperlink xmlns:r="http://schemas.openxmlformats.org/officeDocument/2006/relationships" ref="P20" r:id="rId9"/>
    <hyperlink xmlns:r="http://schemas.openxmlformats.org/officeDocument/2006/relationships" ref="P21" r:id="rId10"/>
    <hyperlink xmlns:r="http://schemas.openxmlformats.org/officeDocument/2006/relationships" ref="P22" r:id="rId11"/>
    <hyperlink xmlns:r="http://schemas.openxmlformats.org/officeDocument/2006/relationships" ref="P23" r:id="rId12"/>
    <hyperlink xmlns:r="http://schemas.openxmlformats.org/officeDocument/2006/relationships" ref="P24" r:id="rId13"/>
    <hyperlink xmlns:r="http://schemas.openxmlformats.org/officeDocument/2006/relationships" ref="P25" r:id="rId14"/>
    <hyperlink xmlns:r="http://schemas.openxmlformats.org/officeDocument/2006/relationships" ref="P26" r:id="rId15"/>
    <hyperlink xmlns:r="http://schemas.openxmlformats.org/officeDocument/2006/relationships" ref="P27" r:id="rId16"/>
    <hyperlink xmlns:r="http://schemas.openxmlformats.org/officeDocument/2006/relationships" ref="P28" r:id="rId17"/>
    <hyperlink xmlns:r="http://schemas.openxmlformats.org/officeDocument/2006/relationships" ref="P29" r:id="rId18"/>
    <hyperlink xmlns:r="http://schemas.openxmlformats.org/officeDocument/2006/relationships" ref="P30" r:id="rId19"/>
    <hyperlink xmlns:r="http://schemas.openxmlformats.org/officeDocument/2006/relationships" ref="P31" r:id="rId20"/>
    <hyperlink xmlns:r="http://schemas.openxmlformats.org/officeDocument/2006/relationships" ref="P32" r:id="rId21"/>
    <hyperlink xmlns:r="http://schemas.openxmlformats.org/officeDocument/2006/relationships" ref="P33" r:id="rId22"/>
    <hyperlink xmlns:r="http://schemas.openxmlformats.org/officeDocument/2006/relationships" ref="P34" r:id="rId23"/>
    <hyperlink xmlns:r="http://schemas.openxmlformats.org/officeDocument/2006/relationships" ref="P35" r:id="rId24"/>
    <hyperlink xmlns:r="http://schemas.openxmlformats.org/officeDocument/2006/relationships" ref="P36" r:id="rId25"/>
    <hyperlink xmlns:r="http://schemas.openxmlformats.org/officeDocument/2006/relationships" ref="P37" r:id="rId26"/>
    <hyperlink xmlns:r="http://schemas.openxmlformats.org/officeDocument/2006/relationships" ref="P38" r:id="rId27"/>
    <hyperlink xmlns:r="http://schemas.openxmlformats.org/officeDocument/2006/relationships" ref="P39" r:id="rId28"/>
    <hyperlink xmlns:r="http://schemas.openxmlformats.org/officeDocument/2006/relationships" ref="P40" r:id="rId29"/>
    <hyperlink xmlns:r="http://schemas.openxmlformats.org/officeDocument/2006/relationships" ref="P41" r:id="rId30"/>
    <hyperlink xmlns:r="http://schemas.openxmlformats.org/officeDocument/2006/relationships" ref="P42" r:id="rId31"/>
    <hyperlink xmlns:r="http://schemas.openxmlformats.org/officeDocument/2006/relationships" ref="P43" r:id="rId32"/>
    <hyperlink xmlns:r="http://schemas.openxmlformats.org/officeDocument/2006/relationships" ref="P44" r:id="rId33"/>
    <hyperlink xmlns:r="http://schemas.openxmlformats.org/officeDocument/2006/relationships" ref="P45" r:id="rId34"/>
    <hyperlink xmlns:r="http://schemas.openxmlformats.org/officeDocument/2006/relationships" ref="P46" r:id="rId35"/>
    <hyperlink xmlns:r="http://schemas.openxmlformats.org/officeDocument/2006/relationships" ref="P47" r:id="rId36"/>
    <hyperlink xmlns:r="http://schemas.openxmlformats.org/officeDocument/2006/relationships" ref="P48" r:id="rId37"/>
    <hyperlink xmlns:r="http://schemas.openxmlformats.org/officeDocument/2006/relationships" ref="P49" r:id="rId38"/>
    <hyperlink xmlns:r="http://schemas.openxmlformats.org/officeDocument/2006/relationships" ref="P50" r:id="rId39"/>
    <hyperlink xmlns:r="http://schemas.openxmlformats.org/officeDocument/2006/relationships" ref="P51" r:id="rId40"/>
    <hyperlink xmlns:r="http://schemas.openxmlformats.org/officeDocument/2006/relationships" ref="P53" r:id="rId41"/>
    <hyperlink xmlns:r="http://schemas.openxmlformats.org/officeDocument/2006/relationships" ref="P54" r:id="rId42"/>
    <hyperlink xmlns:r="http://schemas.openxmlformats.org/officeDocument/2006/relationships" ref="P55" r:id="rId43"/>
    <hyperlink xmlns:r="http://schemas.openxmlformats.org/officeDocument/2006/relationships" ref="P56" r:id="rId44"/>
    <hyperlink xmlns:r="http://schemas.openxmlformats.org/officeDocument/2006/relationships" ref="P57" r:id="rId45"/>
    <hyperlink xmlns:r="http://schemas.openxmlformats.org/officeDocument/2006/relationships" ref="P58" r:id="rId46"/>
    <hyperlink xmlns:r="http://schemas.openxmlformats.org/officeDocument/2006/relationships" ref="P59" r:id="rId47"/>
    <hyperlink xmlns:r="http://schemas.openxmlformats.org/officeDocument/2006/relationships" ref="P60" r:id="rId48"/>
    <hyperlink xmlns:r="http://schemas.openxmlformats.org/officeDocument/2006/relationships" ref="P61" r:id="rId49"/>
    <hyperlink xmlns:r="http://schemas.openxmlformats.org/officeDocument/2006/relationships" ref="P62" r:id="rId50"/>
    <hyperlink xmlns:r="http://schemas.openxmlformats.org/officeDocument/2006/relationships" ref="P63" r:id="rId51"/>
    <hyperlink xmlns:r="http://schemas.openxmlformats.org/officeDocument/2006/relationships" ref="P64" r:id="rId52"/>
    <hyperlink xmlns:r="http://schemas.openxmlformats.org/officeDocument/2006/relationships" ref="P65" r:id="rId53"/>
    <hyperlink xmlns:r="http://schemas.openxmlformats.org/officeDocument/2006/relationships" ref="P66" r:id="rId54"/>
    <hyperlink xmlns:r="http://schemas.openxmlformats.org/officeDocument/2006/relationships" ref="P67" r:id="rId55"/>
    <hyperlink xmlns:r="http://schemas.openxmlformats.org/officeDocument/2006/relationships" ref="P68" r:id="rId56"/>
    <hyperlink xmlns:r="http://schemas.openxmlformats.org/officeDocument/2006/relationships" ref="P69" r:id="rId57"/>
    <hyperlink xmlns:r="http://schemas.openxmlformats.org/officeDocument/2006/relationships" ref="P70" r:id="rId58"/>
    <hyperlink xmlns:r="http://schemas.openxmlformats.org/officeDocument/2006/relationships" ref="P72" r:id="rId59"/>
    <hyperlink xmlns:r="http://schemas.openxmlformats.org/officeDocument/2006/relationships" ref="P73" r:id="rId60"/>
    <hyperlink xmlns:r="http://schemas.openxmlformats.org/officeDocument/2006/relationships" ref="P75" r:id="rId61"/>
    <hyperlink xmlns:r="http://schemas.openxmlformats.org/officeDocument/2006/relationships" ref="P76" r:id="rId62"/>
    <hyperlink xmlns:r="http://schemas.openxmlformats.org/officeDocument/2006/relationships" ref="P77" r:id="rId63"/>
    <hyperlink xmlns:r="http://schemas.openxmlformats.org/officeDocument/2006/relationships" ref="P79" r:id="rId64"/>
    <hyperlink xmlns:r="http://schemas.openxmlformats.org/officeDocument/2006/relationships" ref="P80" r:id="rId65"/>
    <hyperlink xmlns:r="http://schemas.openxmlformats.org/officeDocument/2006/relationships" ref="P81" r:id="rId66"/>
    <hyperlink xmlns:r="http://schemas.openxmlformats.org/officeDocument/2006/relationships" ref="P82" r:id="rId67"/>
    <hyperlink xmlns:r="http://schemas.openxmlformats.org/officeDocument/2006/relationships" ref="P83" r:id="rId68"/>
    <hyperlink xmlns:r="http://schemas.openxmlformats.org/officeDocument/2006/relationships" ref="P84" r:id="rId69"/>
    <hyperlink xmlns:r="http://schemas.openxmlformats.org/officeDocument/2006/relationships" ref="P85" r:id="rId70"/>
    <hyperlink xmlns:r="http://schemas.openxmlformats.org/officeDocument/2006/relationships" ref="P86" r:id="rId71"/>
    <hyperlink xmlns:r="http://schemas.openxmlformats.org/officeDocument/2006/relationships" ref="P87" r:id="rId72"/>
    <hyperlink xmlns:r="http://schemas.openxmlformats.org/officeDocument/2006/relationships" ref="P89" r:id="rId73"/>
    <hyperlink xmlns:r="http://schemas.openxmlformats.org/officeDocument/2006/relationships" ref="P90" r:id="rId74"/>
    <hyperlink xmlns:r="http://schemas.openxmlformats.org/officeDocument/2006/relationships" ref="P91" r:id="rId75"/>
    <hyperlink xmlns:r="http://schemas.openxmlformats.org/officeDocument/2006/relationships" ref="P92" r:id="rId76"/>
    <hyperlink xmlns:r="http://schemas.openxmlformats.org/officeDocument/2006/relationships" ref="P93" r:id="rId77"/>
    <hyperlink xmlns:r="http://schemas.openxmlformats.org/officeDocument/2006/relationships" ref="P94" r:id="rId78"/>
    <hyperlink xmlns:r="http://schemas.openxmlformats.org/officeDocument/2006/relationships" ref="P95" r:id="rId79"/>
    <hyperlink xmlns:r="http://schemas.openxmlformats.org/officeDocument/2006/relationships" ref="P96" r:id="rId80"/>
    <hyperlink xmlns:r="http://schemas.openxmlformats.org/officeDocument/2006/relationships" ref="P97" r:id="rId81"/>
    <hyperlink xmlns:r="http://schemas.openxmlformats.org/officeDocument/2006/relationships" ref="P98" r:id="rId82"/>
    <hyperlink xmlns:r="http://schemas.openxmlformats.org/officeDocument/2006/relationships" ref="P99" r:id="rId83"/>
    <hyperlink xmlns:r="http://schemas.openxmlformats.org/officeDocument/2006/relationships" ref="P101" r:id="rId84"/>
    <hyperlink xmlns:r="http://schemas.openxmlformats.org/officeDocument/2006/relationships" ref="P102" r:id="rId85"/>
    <hyperlink xmlns:r="http://schemas.openxmlformats.org/officeDocument/2006/relationships" ref="P103" r:id="rId86"/>
    <hyperlink xmlns:r="http://schemas.openxmlformats.org/officeDocument/2006/relationships" ref="P104" r:id="rId87"/>
    <hyperlink xmlns:r="http://schemas.openxmlformats.org/officeDocument/2006/relationships" ref="P105" r:id="rId88"/>
    <hyperlink xmlns:r="http://schemas.openxmlformats.org/officeDocument/2006/relationships" ref="P106" r:id="rId89"/>
    <hyperlink xmlns:r="http://schemas.openxmlformats.org/officeDocument/2006/relationships" ref="P107" r:id="rId90"/>
    <hyperlink xmlns:r="http://schemas.openxmlformats.org/officeDocument/2006/relationships" ref="P108" r:id="rId91"/>
    <hyperlink xmlns:r="http://schemas.openxmlformats.org/officeDocument/2006/relationships" ref="P109" r:id="rId92"/>
    <hyperlink xmlns:r="http://schemas.openxmlformats.org/officeDocument/2006/relationships" ref="P110" r:id="rId93"/>
    <hyperlink xmlns:r="http://schemas.openxmlformats.org/officeDocument/2006/relationships" ref="P111" r:id="rId94"/>
    <hyperlink xmlns:r="http://schemas.openxmlformats.org/officeDocument/2006/relationships" ref="P112" r:id="rId95"/>
    <hyperlink xmlns:r="http://schemas.openxmlformats.org/officeDocument/2006/relationships" ref="P113" r:id="rId96"/>
    <hyperlink xmlns:r="http://schemas.openxmlformats.org/officeDocument/2006/relationships" ref="P114" r:id="rId97"/>
    <hyperlink xmlns:r="http://schemas.openxmlformats.org/officeDocument/2006/relationships" ref="P115" r:id="rId98"/>
    <hyperlink xmlns:r="http://schemas.openxmlformats.org/officeDocument/2006/relationships" ref="P117" r:id="rId99"/>
    <hyperlink xmlns:r="http://schemas.openxmlformats.org/officeDocument/2006/relationships" ref="P119" r:id="rId100"/>
    <hyperlink xmlns:r="http://schemas.openxmlformats.org/officeDocument/2006/relationships" ref="P120" r:id="rId101"/>
    <hyperlink xmlns:r="http://schemas.openxmlformats.org/officeDocument/2006/relationships" ref="P121" r:id="rId102"/>
    <hyperlink xmlns:r="http://schemas.openxmlformats.org/officeDocument/2006/relationships" ref="P122" r:id="rId103"/>
    <hyperlink xmlns:r="http://schemas.openxmlformats.org/officeDocument/2006/relationships" ref="P123" r:id="rId104"/>
    <hyperlink xmlns:r="http://schemas.openxmlformats.org/officeDocument/2006/relationships" ref="P124" r:id="rId105"/>
    <hyperlink xmlns:r="http://schemas.openxmlformats.org/officeDocument/2006/relationships" ref="P126" r:id="rId106"/>
    <hyperlink xmlns:r="http://schemas.openxmlformats.org/officeDocument/2006/relationships" ref="P127" r:id="rId107"/>
    <hyperlink xmlns:r="http://schemas.openxmlformats.org/officeDocument/2006/relationships" ref="P128" r:id="rId108"/>
    <hyperlink xmlns:r="http://schemas.openxmlformats.org/officeDocument/2006/relationships" ref="P129" r:id="rId109"/>
    <hyperlink xmlns:r="http://schemas.openxmlformats.org/officeDocument/2006/relationships" ref="P130" r:id="rId110"/>
    <hyperlink xmlns:r="http://schemas.openxmlformats.org/officeDocument/2006/relationships" ref="P132" r:id="rId111"/>
    <hyperlink xmlns:r="http://schemas.openxmlformats.org/officeDocument/2006/relationships" ref="P133" r:id="rId112"/>
    <hyperlink xmlns:r="http://schemas.openxmlformats.org/officeDocument/2006/relationships" ref="P134" r:id="rId113"/>
    <hyperlink xmlns:r="http://schemas.openxmlformats.org/officeDocument/2006/relationships" ref="P136" r:id="rId114"/>
    <hyperlink xmlns:r="http://schemas.openxmlformats.org/officeDocument/2006/relationships" ref="P138" r:id="rId115"/>
    <hyperlink xmlns:r="http://schemas.openxmlformats.org/officeDocument/2006/relationships" ref="P139" r:id="rId116"/>
    <hyperlink xmlns:r="http://schemas.openxmlformats.org/officeDocument/2006/relationships" ref="P140" r:id="rId117"/>
    <hyperlink xmlns:r="http://schemas.openxmlformats.org/officeDocument/2006/relationships" ref="P141" r:id="rId118"/>
    <hyperlink xmlns:r="http://schemas.openxmlformats.org/officeDocument/2006/relationships" ref="P142" r:id="rId119"/>
    <hyperlink xmlns:r="http://schemas.openxmlformats.org/officeDocument/2006/relationships" ref="P143" r:id="rId120"/>
    <hyperlink xmlns:r="http://schemas.openxmlformats.org/officeDocument/2006/relationships" ref="P144" r:id="rId121"/>
    <hyperlink xmlns:r="http://schemas.openxmlformats.org/officeDocument/2006/relationships" ref="P145" r:id="rId122"/>
    <hyperlink xmlns:r="http://schemas.openxmlformats.org/officeDocument/2006/relationships" ref="P146" r:id="rId123"/>
    <hyperlink xmlns:r="http://schemas.openxmlformats.org/officeDocument/2006/relationships" ref="P147" r:id="rId124"/>
    <hyperlink xmlns:r="http://schemas.openxmlformats.org/officeDocument/2006/relationships" ref="P148" r:id="rId125"/>
    <hyperlink xmlns:r="http://schemas.openxmlformats.org/officeDocument/2006/relationships" ref="P149" r:id="rId126"/>
    <hyperlink xmlns:r="http://schemas.openxmlformats.org/officeDocument/2006/relationships" ref="P150" r:id="rId127"/>
    <hyperlink xmlns:r="http://schemas.openxmlformats.org/officeDocument/2006/relationships" ref="P151" r:id="rId128"/>
    <hyperlink xmlns:r="http://schemas.openxmlformats.org/officeDocument/2006/relationships" ref="P152" r:id="rId129"/>
    <hyperlink xmlns:r="http://schemas.openxmlformats.org/officeDocument/2006/relationships" ref="P154" r:id="rId130"/>
    <hyperlink xmlns:r="http://schemas.openxmlformats.org/officeDocument/2006/relationships" ref="P156" r:id="rId131"/>
    <hyperlink xmlns:r="http://schemas.openxmlformats.org/officeDocument/2006/relationships" ref="P157" r:id="rId132"/>
    <hyperlink xmlns:r="http://schemas.openxmlformats.org/officeDocument/2006/relationships" ref="P161" r:id="rId133"/>
    <hyperlink xmlns:r="http://schemas.openxmlformats.org/officeDocument/2006/relationships" ref="P162" r:id="rId134"/>
    <hyperlink xmlns:r="http://schemas.openxmlformats.org/officeDocument/2006/relationships" ref="P163" r:id="rId135"/>
    <hyperlink xmlns:r="http://schemas.openxmlformats.org/officeDocument/2006/relationships" ref="P164" r:id="rId136"/>
    <hyperlink xmlns:r="http://schemas.openxmlformats.org/officeDocument/2006/relationships" ref="P165" r:id="rId137"/>
    <hyperlink xmlns:r="http://schemas.openxmlformats.org/officeDocument/2006/relationships" ref="P166" r:id="rId138"/>
    <hyperlink xmlns:r="http://schemas.openxmlformats.org/officeDocument/2006/relationships" ref="P167" r:id="rId139"/>
    <hyperlink xmlns:r="http://schemas.openxmlformats.org/officeDocument/2006/relationships" ref="P169" r:id="rId140"/>
    <hyperlink xmlns:r="http://schemas.openxmlformats.org/officeDocument/2006/relationships" ref="P170" r:id="rId141"/>
    <hyperlink xmlns:r="http://schemas.openxmlformats.org/officeDocument/2006/relationships" ref="P171" r:id="rId142"/>
    <hyperlink xmlns:r="http://schemas.openxmlformats.org/officeDocument/2006/relationships" ref="P172" r:id="rId143"/>
    <hyperlink xmlns:r="http://schemas.openxmlformats.org/officeDocument/2006/relationships" ref="P173" r:id="rId144"/>
    <hyperlink xmlns:r="http://schemas.openxmlformats.org/officeDocument/2006/relationships" ref="P174" r:id="rId145"/>
    <hyperlink xmlns:r="http://schemas.openxmlformats.org/officeDocument/2006/relationships" ref="P175" r:id="rId146"/>
    <hyperlink xmlns:r="http://schemas.openxmlformats.org/officeDocument/2006/relationships" ref="P177" r:id="rId147"/>
    <hyperlink xmlns:r="http://schemas.openxmlformats.org/officeDocument/2006/relationships" ref="P178" r:id="rId148"/>
    <hyperlink xmlns:r="http://schemas.openxmlformats.org/officeDocument/2006/relationships" ref="P179" r:id="rId149"/>
    <hyperlink xmlns:r="http://schemas.openxmlformats.org/officeDocument/2006/relationships" ref="P180" r:id="rId150"/>
    <hyperlink xmlns:r="http://schemas.openxmlformats.org/officeDocument/2006/relationships" ref="P181" r:id="rId151"/>
    <hyperlink xmlns:r="http://schemas.openxmlformats.org/officeDocument/2006/relationships" ref="P182" r:id="rId152"/>
    <hyperlink xmlns:r="http://schemas.openxmlformats.org/officeDocument/2006/relationships" ref="P183" r:id="rId153"/>
    <hyperlink xmlns:r="http://schemas.openxmlformats.org/officeDocument/2006/relationships" ref="P184" r:id="rId154"/>
    <hyperlink xmlns:r="http://schemas.openxmlformats.org/officeDocument/2006/relationships" ref="P185" r:id="rId155"/>
    <hyperlink xmlns:r="http://schemas.openxmlformats.org/officeDocument/2006/relationships" ref="P186" r:id="rId156"/>
    <hyperlink xmlns:r="http://schemas.openxmlformats.org/officeDocument/2006/relationships" ref="P187" r:id="rId157"/>
    <hyperlink xmlns:r="http://schemas.openxmlformats.org/officeDocument/2006/relationships" ref="P188" r:id="rId158"/>
    <hyperlink xmlns:r="http://schemas.openxmlformats.org/officeDocument/2006/relationships" ref="P189" r:id="rId159"/>
    <hyperlink xmlns:r="http://schemas.openxmlformats.org/officeDocument/2006/relationships" ref="P190" r:id="rId160"/>
    <hyperlink xmlns:r="http://schemas.openxmlformats.org/officeDocument/2006/relationships" ref="P191" r:id="rId161"/>
    <hyperlink xmlns:r="http://schemas.openxmlformats.org/officeDocument/2006/relationships" ref="P192" r:id="rId162"/>
    <hyperlink xmlns:r="http://schemas.openxmlformats.org/officeDocument/2006/relationships" ref="P193" r:id="rId163"/>
    <hyperlink xmlns:r="http://schemas.openxmlformats.org/officeDocument/2006/relationships" ref="P194" r:id="rId164"/>
    <hyperlink xmlns:r="http://schemas.openxmlformats.org/officeDocument/2006/relationships" ref="P195" r:id="rId165"/>
    <hyperlink xmlns:r="http://schemas.openxmlformats.org/officeDocument/2006/relationships" ref="P196" r:id="rId166"/>
    <hyperlink xmlns:r="http://schemas.openxmlformats.org/officeDocument/2006/relationships" ref="P197" r:id="rId167"/>
    <hyperlink xmlns:r="http://schemas.openxmlformats.org/officeDocument/2006/relationships" ref="P198" r:id="rId168"/>
    <hyperlink xmlns:r="http://schemas.openxmlformats.org/officeDocument/2006/relationships" ref="P199" r:id="rId169"/>
    <hyperlink xmlns:r="http://schemas.openxmlformats.org/officeDocument/2006/relationships" ref="P200" r:id="rId170"/>
    <hyperlink xmlns:r="http://schemas.openxmlformats.org/officeDocument/2006/relationships" ref="P201" r:id="rId171"/>
    <hyperlink xmlns:r="http://schemas.openxmlformats.org/officeDocument/2006/relationships" ref="P203" r:id="rId172"/>
    <hyperlink xmlns:r="http://schemas.openxmlformats.org/officeDocument/2006/relationships" ref="C204" display="villaterrat2@gmail.com" r:id="rId173"/>
    <hyperlink xmlns:r="http://schemas.openxmlformats.org/officeDocument/2006/relationships" ref="P204" r:id="rId174"/>
    <hyperlink xmlns:r="http://schemas.openxmlformats.org/officeDocument/2006/relationships" ref="P205" r:id="rId175"/>
    <hyperlink xmlns:r="http://schemas.openxmlformats.org/officeDocument/2006/relationships" ref="P206" r:id="rId176"/>
    <hyperlink xmlns:r="http://schemas.openxmlformats.org/officeDocument/2006/relationships" ref="P207" display="mailto:Vanessazapata.fcr@gmail.com" r:id="rId177"/>
    <hyperlink xmlns:r="http://schemas.openxmlformats.org/officeDocument/2006/relationships" ref="P208" r:id="rId178"/>
    <hyperlink xmlns:r="http://schemas.openxmlformats.org/officeDocument/2006/relationships" ref="P209" r:id="rId179"/>
    <hyperlink xmlns:r="http://schemas.openxmlformats.org/officeDocument/2006/relationships" ref="P210" r:id="rId180"/>
    <hyperlink xmlns:r="http://schemas.openxmlformats.org/officeDocument/2006/relationships" ref="P211" r:id="rId181"/>
    <hyperlink xmlns:r="http://schemas.openxmlformats.org/officeDocument/2006/relationships" ref="P212" r:id="rId182"/>
    <hyperlink xmlns:r="http://schemas.openxmlformats.org/officeDocument/2006/relationships" ref="P213" r:id="rId183"/>
    <hyperlink xmlns:r="http://schemas.openxmlformats.org/officeDocument/2006/relationships" ref="P214" r:id="rId184"/>
    <hyperlink xmlns:r="http://schemas.openxmlformats.org/officeDocument/2006/relationships" ref="P215" r:id="rId185"/>
    <hyperlink xmlns:r="http://schemas.openxmlformats.org/officeDocument/2006/relationships" ref="P216" r:id="rId186"/>
    <hyperlink xmlns:r="http://schemas.openxmlformats.org/officeDocument/2006/relationships" ref="P218" r:id="rId187"/>
    <hyperlink xmlns:r="http://schemas.openxmlformats.org/officeDocument/2006/relationships" ref="P219" r:id="rId188"/>
    <hyperlink xmlns:r="http://schemas.openxmlformats.org/officeDocument/2006/relationships" ref="P220" r:id="rId189"/>
    <hyperlink xmlns:r="http://schemas.openxmlformats.org/officeDocument/2006/relationships" ref="P221" display="mailto:simon.agudelo@labinmobiliario.com" r:id="rId190"/>
    <hyperlink xmlns:r="http://schemas.openxmlformats.org/officeDocument/2006/relationships" ref="P222" r:id="rId191"/>
    <hyperlink xmlns:r="http://schemas.openxmlformats.org/officeDocument/2006/relationships" ref="P223" r:id="rId192"/>
    <hyperlink xmlns:r="http://schemas.openxmlformats.org/officeDocument/2006/relationships" ref="P224" r:id="rId193"/>
    <hyperlink xmlns:r="http://schemas.openxmlformats.org/officeDocument/2006/relationships" ref="P225" r:id="rId194"/>
    <hyperlink xmlns:r="http://schemas.openxmlformats.org/officeDocument/2006/relationships" ref="P226" r:id="rId195"/>
    <hyperlink xmlns:r="http://schemas.openxmlformats.org/officeDocument/2006/relationships" ref="P227" r:id="rId196"/>
    <hyperlink xmlns:r="http://schemas.openxmlformats.org/officeDocument/2006/relationships" ref="P228" r:id="rId197"/>
    <hyperlink xmlns:r="http://schemas.openxmlformats.org/officeDocument/2006/relationships" ref="P229" r:id="rId198"/>
    <hyperlink xmlns:r="http://schemas.openxmlformats.org/officeDocument/2006/relationships" ref="P230" display="mailto:ce.prana26@gmail.com" r:id="rId199"/>
    <hyperlink xmlns:r="http://schemas.openxmlformats.org/officeDocument/2006/relationships" ref="P231" r:id="rId200"/>
    <hyperlink xmlns:r="http://schemas.openxmlformats.org/officeDocument/2006/relationships" ref="P232" r:id="rId201"/>
    <hyperlink xmlns:r="http://schemas.openxmlformats.org/officeDocument/2006/relationships" ref="P233" r:id="rId202"/>
    <hyperlink xmlns:r="http://schemas.openxmlformats.org/officeDocument/2006/relationships" ref="P234" r:id="rId203"/>
    <hyperlink xmlns:r="http://schemas.openxmlformats.org/officeDocument/2006/relationships" ref="P235" r:id="rId204"/>
    <hyperlink xmlns:r="http://schemas.openxmlformats.org/officeDocument/2006/relationships" ref="P236" r:id="rId205"/>
    <hyperlink xmlns:r="http://schemas.openxmlformats.org/officeDocument/2006/relationships" ref="P237" r:id="rId206"/>
    <hyperlink xmlns:r="http://schemas.openxmlformats.org/officeDocument/2006/relationships" ref="P238" r:id="rId207"/>
    <hyperlink xmlns:r="http://schemas.openxmlformats.org/officeDocument/2006/relationships" ref="P240" r:id="rId208"/>
    <hyperlink xmlns:r="http://schemas.openxmlformats.org/officeDocument/2006/relationships" ref="P241" r:id="rId209"/>
    <hyperlink xmlns:r="http://schemas.openxmlformats.org/officeDocument/2006/relationships" ref="P242" r:id="rId210"/>
    <hyperlink xmlns:r="http://schemas.openxmlformats.org/officeDocument/2006/relationships" ref="P243" r:id="rId211"/>
    <hyperlink xmlns:r="http://schemas.openxmlformats.org/officeDocument/2006/relationships" ref="P244" r:id="rId212"/>
    <hyperlink xmlns:r="http://schemas.openxmlformats.org/officeDocument/2006/relationships" ref="P245" r:id="rId213"/>
    <hyperlink xmlns:r="http://schemas.openxmlformats.org/officeDocument/2006/relationships" ref="P246" r:id="rId214"/>
    <hyperlink xmlns:r="http://schemas.openxmlformats.org/officeDocument/2006/relationships" ref="P247" r:id="rId215"/>
    <hyperlink xmlns:r="http://schemas.openxmlformats.org/officeDocument/2006/relationships" ref="P248" r:id="rId216"/>
    <hyperlink xmlns:r="http://schemas.openxmlformats.org/officeDocument/2006/relationships" ref="P250" r:id="rId217"/>
    <hyperlink xmlns:r="http://schemas.openxmlformats.org/officeDocument/2006/relationships" ref="P251" r:id="rId218"/>
    <hyperlink xmlns:r="http://schemas.openxmlformats.org/officeDocument/2006/relationships" ref="P252" r:id="rId219"/>
    <hyperlink xmlns:r="http://schemas.openxmlformats.org/officeDocument/2006/relationships" ref="P253" r:id="rId220"/>
    <hyperlink xmlns:r="http://schemas.openxmlformats.org/officeDocument/2006/relationships" ref="P254" r:id="rId221"/>
    <hyperlink xmlns:r="http://schemas.openxmlformats.org/officeDocument/2006/relationships" ref="P255" r:id="rId222"/>
    <hyperlink xmlns:r="http://schemas.openxmlformats.org/officeDocument/2006/relationships" ref="P257" r:id="rId223"/>
    <hyperlink xmlns:r="http://schemas.openxmlformats.org/officeDocument/2006/relationships" ref="P258" r:id="rId224"/>
    <hyperlink xmlns:r="http://schemas.openxmlformats.org/officeDocument/2006/relationships" ref="P259" r:id="rId225"/>
    <hyperlink xmlns:r="http://schemas.openxmlformats.org/officeDocument/2006/relationships" ref="P260" r:id="rId226"/>
    <hyperlink xmlns:r="http://schemas.openxmlformats.org/officeDocument/2006/relationships" ref="P261" r:id="rId227"/>
    <hyperlink xmlns:r="http://schemas.openxmlformats.org/officeDocument/2006/relationships" ref="P262" r:id="rId228"/>
    <hyperlink xmlns:r="http://schemas.openxmlformats.org/officeDocument/2006/relationships" ref="P263" r:id="rId229"/>
    <hyperlink xmlns:r="http://schemas.openxmlformats.org/officeDocument/2006/relationships" ref="P265" r:id="rId230"/>
    <hyperlink xmlns:r="http://schemas.openxmlformats.org/officeDocument/2006/relationships" ref="P267" r:id="rId231"/>
    <hyperlink xmlns:r="http://schemas.openxmlformats.org/officeDocument/2006/relationships" ref="P268" r:id="rId232"/>
    <hyperlink xmlns:r="http://schemas.openxmlformats.org/officeDocument/2006/relationships" ref="P269" r:id="rId233"/>
    <hyperlink xmlns:r="http://schemas.openxmlformats.org/officeDocument/2006/relationships" ref="P270" r:id="rId234"/>
    <hyperlink xmlns:r="http://schemas.openxmlformats.org/officeDocument/2006/relationships" ref="P271" r:id="rId235"/>
    <hyperlink xmlns:r="http://schemas.openxmlformats.org/officeDocument/2006/relationships" ref="P272" r:id="rId236"/>
    <hyperlink xmlns:r="http://schemas.openxmlformats.org/officeDocument/2006/relationships" ref="P273" r:id="rId237"/>
    <hyperlink xmlns:r="http://schemas.openxmlformats.org/officeDocument/2006/relationships" ref="P274" r:id="rId238"/>
    <hyperlink xmlns:r="http://schemas.openxmlformats.org/officeDocument/2006/relationships" ref="P275" r:id="rId239"/>
    <hyperlink xmlns:r="http://schemas.openxmlformats.org/officeDocument/2006/relationships" ref="P276" r:id="rId240"/>
    <hyperlink xmlns:r="http://schemas.openxmlformats.org/officeDocument/2006/relationships" ref="P277" r:id="rId241"/>
    <hyperlink xmlns:r="http://schemas.openxmlformats.org/officeDocument/2006/relationships" ref="P278" r:id="rId242"/>
    <hyperlink xmlns:r="http://schemas.openxmlformats.org/officeDocument/2006/relationships" ref="P279" r:id="rId243"/>
    <hyperlink xmlns:r="http://schemas.openxmlformats.org/officeDocument/2006/relationships" ref="P280" r:id="rId244"/>
    <hyperlink xmlns:r="http://schemas.openxmlformats.org/officeDocument/2006/relationships" ref="P281" r:id="rId245"/>
    <hyperlink xmlns:r="http://schemas.openxmlformats.org/officeDocument/2006/relationships" ref="P282" r:id="rId246"/>
    <hyperlink xmlns:r="http://schemas.openxmlformats.org/officeDocument/2006/relationships" ref="P283" display="mailto:jllamas@hidromaq-gt.com" r:id="rId247"/>
    <hyperlink xmlns:r="http://schemas.openxmlformats.org/officeDocument/2006/relationships" ref="P284" r:id="rId248"/>
    <hyperlink xmlns:r="http://schemas.openxmlformats.org/officeDocument/2006/relationships" ref="P285" r:id="rId249"/>
    <hyperlink xmlns:r="http://schemas.openxmlformats.org/officeDocument/2006/relationships" ref="P287" display="mailto:cristinapalacio@mensulaingenieros.com" r:id="rId250"/>
    <hyperlink xmlns:r="http://schemas.openxmlformats.org/officeDocument/2006/relationships" ref="P288" r:id="rId251"/>
    <hyperlink xmlns:r="http://schemas.openxmlformats.org/officeDocument/2006/relationships" ref="P289" r:id="rId252"/>
    <hyperlink xmlns:r="http://schemas.openxmlformats.org/officeDocument/2006/relationships" ref="P290" r:id="rId253"/>
    <hyperlink xmlns:r="http://schemas.openxmlformats.org/officeDocument/2006/relationships" ref="P291" r:id="rId254"/>
    <hyperlink xmlns:r="http://schemas.openxmlformats.org/officeDocument/2006/relationships" ref="P292" r:id="rId255"/>
    <hyperlink xmlns:r="http://schemas.openxmlformats.org/officeDocument/2006/relationships" ref="P293" r:id="rId256"/>
    <hyperlink xmlns:r="http://schemas.openxmlformats.org/officeDocument/2006/relationships" ref="P294" r:id="rId257"/>
    <hyperlink xmlns:r="http://schemas.openxmlformats.org/officeDocument/2006/relationships" ref="P295" r:id="rId258"/>
    <hyperlink xmlns:r="http://schemas.openxmlformats.org/officeDocument/2006/relationships" ref="P296" r:id="rId259"/>
    <hyperlink xmlns:r="http://schemas.openxmlformats.org/officeDocument/2006/relationships" ref="P297" r:id="rId260"/>
    <hyperlink xmlns:r="http://schemas.openxmlformats.org/officeDocument/2006/relationships" ref="P298" r:id="rId261"/>
    <hyperlink xmlns:r="http://schemas.openxmlformats.org/officeDocument/2006/relationships" ref="P299" r:id="rId262"/>
    <hyperlink xmlns:r="http://schemas.openxmlformats.org/officeDocument/2006/relationships" ref="P300" r:id="rId263"/>
    <hyperlink xmlns:r="http://schemas.openxmlformats.org/officeDocument/2006/relationships" ref="P301" r:id="rId264"/>
    <hyperlink xmlns:r="http://schemas.openxmlformats.org/officeDocument/2006/relationships" ref="P302" r:id="rId265"/>
    <hyperlink xmlns:r="http://schemas.openxmlformats.org/officeDocument/2006/relationships" ref="O303" display="l.cuartas@verticeing.com " r:id="rId266"/>
    <hyperlink xmlns:r="http://schemas.openxmlformats.org/officeDocument/2006/relationships" ref="P303" r:id="rId267"/>
    <hyperlink xmlns:r="http://schemas.openxmlformats.org/officeDocument/2006/relationships" ref="P304" r:id="rId268"/>
    <hyperlink xmlns:r="http://schemas.openxmlformats.org/officeDocument/2006/relationships" ref="P305" r:id="rId269"/>
    <hyperlink xmlns:r="http://schemas.openxmlformats.org/officeDocument/2006/relationships" ref="P306" r:id="rId270"/>
    <hyperlink xmlns:r="http://schemas.openxmlformats.org/officeDocument/2006/relationships" ref="P307" r:id="rId271"/>
    <hyperlink xmlns:r="http://schemas.openxmlformats.org/officeDocument/2006/relationships" ref="P308" r:id="rId272"/>
    <hyperlink xmlns:r="http://schemas.openxmlformats.org/officeDocument/2006/relationships" ref="P309" r:id="rId273"/>
    <hyperlink xmlns:r="http://schemas.openxmlformats.org/officeDocument/2006/relationships" ref="P310" r:id="rId274"/>
    <hyperlink xmlns:r="http://schemas.openxmlformats.org/officeDocument/2006/relationships" ref="P311" r:id="rId275"/>
    <hyperlink xmlns:r="http://schemas.openxmlformats.org/officeDocument/2006/relationships" ref="P313" r:id="rId276"/>
    <hyperlink xmlns:r="http://schemas.openxmlformats.org/officeDocument/2006/relationships" ref="P314" r:id="rId277"/>
    <hyperlink xmlns:r="http://schemas.openxmlformats.org/officeDocument/2006/relationships" ref="P315" r:id="rId278"/>
    <hyperlink xmlns:r="http://schemas.openxmlformats.org/officeDocument/2006/relationships" ref="P316" r:id="rId279"/>
    <hyperlink xmlns:r="http://schemas.openxmlformats.org/officeDocument/2006/relationships" ref="P317" r:id="rId280"/>
    <hyperlink xmlns:r="http://schemas.openxmlformats.org/officeDocument/2006/relationships" ref="P318" r:id="rId281"/>
    <hyperlink xmlns:r="http://schemas.openxmlformats.org/officeDocument/2006/relationships" ref="P320" r:id="rId282"/>
    <hyperlink xmlns:r="http://schemas.openxmlformats.org/officeDocument/2006/relationships" ref="P321" r:id="rId283"/>
    <hyperlink xmlns:r="http://schemas.openxmlformats.org/officeDocument/2006/relationships" ref="P322" r:id="rId284"/>
    <hyperlink xmlns:r="http://schemas.openxmlformats.org/officeDocument/2006/relationships" ref="P323" r:id="rId285"/>
    <hyperlink xmlns:r="http://schemas.openxmlformats.org/officeDocument/2006/relationships" ref="P324" r:id="rId286"/>
    <hyperlink xmlns:r="http://schemas.openxmlformats.org/officeDocument/2006/relationships" ref="P325" r:id="rId287"/>
    <hyperlink xmlns:r="http://schemas.openxmlformats.org/officeDocument/2006/relationships" ref="P326" r:id="rId288"/>
    <hyperlink xmlns:r="http://schemas.openxmlformats.org/officeDocument/2006/relationships" ref="P327" r:id="rId289"/>
    <hyperlink xmlns:r="http://schemas.openxmlformats.org/officeDocument/2006/relationships" ref="P329" r:id="rId290"/>
    <hyperlink xmlns:r="http://schemas.openxmlformats.org/officeDocument/2006/relationships" ref="P331" r:id="rId291"/>
    <hyperlink xmlns:r="http://schemas.openxmlformats.org/officeDocument/2006/relationships" ref="P332" r:id="rId292"/>
    <hyperlink xmlns:r="http://schemas.openxmlformats.org/officeDocument/2006/relationships" ref="P333" r:id="rId293"/>
    <hyperlink xmlns:r="http://schemas.openxmlformats.org/officeDocument/2006/relationships" ref="P334" r:id="rId294"/>
    <hyperlink xmlns:r="http://schemas.openxmlformats.org/officeDocument/2006/relationships" ref="P336" r:id="rId295"/>
    <hyperlink xmlns:r="http://schemas.openxmlformats.org/officeDocument/2006/relationships" ref="P337" r:id="rId296"/>
    <hyperlink xmlns:r="http://schemas.openxmlformats.org/officeDocument/2006/relationships" ref="P338" r:id="rId297"/>
    <hyperlink xmlns:r="http://schemas.openxmlformats.org/officeDocument/2006/relationships" ref="P339" r:id="rId298"/>
    <hyperlink xmlns:r="http://schemas.openxmlformats.org/officeDocument/2006/relationships" ref="P340" r:id="rId299"/>
    <hyperlink xmlns:r="http://schemas.openxmlformats.org/officeDocument/2006/relationships" ref="P341" r:id="rId300"/>
    <hyperlink xmlns:r="http://schemas.openxmlformats.org/officeDocument/2006/relationships" ref="P342" r:id="rId301"/>
    <hyperlink xmlns:r="http://schemas.openxmlformats.org/officeDocument/2006/relationships" ref="P343" r:id="rId302"/>
    <hyperlink xmlns:r="http://schemas.openxmlformats.org/officeDocument/2006/relationships" ref="P344" r:id="rId303"/>
    <hyperlink xmlns:r="http://schemas.openxmlformats.org/officeDocument/2006/relationships" ref="P345" r:id="rId304"/>
    <hyperlink xmlns:r="http://schemas.openxmlformats.org/officeDocument/2006/relationships" ref="P346" r:id="rId305"/>
    <hyperlink xmlns:r="http://schemas.openxmlformats.org/officeDocument/2006/relationships" ref="P347" r:id="rId306"/>
    <hyperlink xmlns:r="http://schemas.openxmlformats.org/officeDocument/2006/relationships" ref="P348" r:id="rId307"/>
    <hyperlink xmlns:r="http://schemas.openxmlformats.org/officeDocument/2006/relationships" ref="P350" r:id="rId308"/>
    <hyperlink xmlns:r="http://schemas.openxmlformats.org/officeDocument/2006/relationships" ref="P351" r:id="rId309"/>
    <hyperlink xmlns:r="http://schemas.openxmlformats.org/officeDocument/2006/relationships" ref="P352" r:id="rId310"/>
    <hyperlink xmlns:r="http://schemas.openxmlformats.org/officeDocument/2006/relationships" ref="P354" r:id="rId311"/>
    <hyperlink xmlns:r="http://schemas.openxmlformats.org/officeDocument/2006/relationships" ref="P355" r:id="rId312"/>
    <hyperlink xmlns:r="http://schemas.openxmlformats.org/officeDocument/2006/relationships" ref="P356" r:id="rId313"/>
    <hyperlink xmlns:r="http://schemas.openxmlformats.org/officeDocument/2006/relationships" ref="P357" r:id="rId314"/>
    <hyperlink xmlns:r="http://schemas.openxmlformats.org/officeDocument/2006/relationships" ref="P358" r:id="rId315"/>
    <hyperlink xmlns:r="http://schemas.openxmlformats.org/officeDocument/2006/relationships" ref="P359" r:id="rId316"/>
    <hyperlink xmlns:r="http://schemas.openxmlformats.org/officeDocument/2006/relationships" ref="P360" r:id="rId317"/>
    <hyperlink xmlns:r="http://schemas.openxmlformats.org/officeDocument/2006/relationships" ref="P361" r:id="rId318"/>
    <hyperlink xmlns:r="http://schemas.openxmlformats.org/officeDocument/2006/relationships" ref="P362" r:id="rId319"/>
    <hyperlink xmlns:r="http://schemas.openxmlformats.org/officeDocument/2006/relationships" ref="P363" r:id="rId320"/>
    <hyperlink xmlns:r="http://schemas.openxmlformats.org/officeDocument/2006/relationships" ref="P364" r:id="rId321"/>
    <hyperlink xmlns:r="http://schemas.openxmlformats.org/officeDocument/2006/relationships" ref="P365" r:id="rId322"/>
    <hyperlink xmlns:r="http://schemas.openxmlformats.org/officeDocument/2006/relationships" ref="P366" r:id="rId323"/>
    <hyperlink xmlns:r="http://schemas.openxmlformats.org/officeDocument/2006/relationships" ref="P367" r:id="rId324"/>
    <hyperlink xmlns:r="http://schemas.openxmlformats.org/officeDocument/2006/relationships" ref="P368" r:id="rId325"/>
    <hyperlink xmlns:r="http://schemas.openxmlformats.org/officeDocument/2006/relationships" ref="P369" r:id="rId326"/>
    <hyperlink xmlns:r="http://schemas.openxmlformats.org/officeDocument/2006/relationships" ref="P370" r:id="rId327"/>
    <hyperlink xmlns:r="http://schemas.openxmlformats.org/officeDocument/2006/relationships" ref="P371" r:id="rId328"/>
    <hyperlink xmlns:r="http://schemas.openxmlformats.org/officeDocument/2006/relationships" ref="P372" r:id="rId329"/>
    <hyperlink xmlns:r="http://schemas.openxmlformats.org/officeDocument/2006/relationships" ref="P373" r:id="rId330"/>
    <hyperlink xmlns:r="http://schemas.openxmlformats.org/officeDocument/2006/relationships" ref="P374" r:id="rId331"/>
    <hyperlink xmlns:r="http://schemas.openxmlformats.org/officeDocument/2006/relationships" ref="P375" r:id="rId332"/>
    <hyperlink xmlns:r="http://schemas.openxmlformats.org/officeDocument/2006/relationships" ref="P377" r:id="rId333"/>
    <hyperlink xmlns:r="http://schemas.openxmlformats.org/officeDocument/2006/relationships" ref="P378" r:id="rId334"/>
    <hyperlink xmlns:r="http://schemas.openxmlformats.org/officeDocument/2006/relationships" ref="P379" r:id="rId335"/>
    <hyperlink xmlns:r="http://schemas.openxmlformats.org/officeDocument/2006/relationships" ref="P380" r:id="rId336"/>
    <hyperlink xmlns:r="http://schemas.openxmlformats.org/officeDocument/2006/relationships" ref="P382" r:id="rId337"/>
    <hyperlink xmlns:r="http://schemas.openxmlformats.org/officeDocument/2006/relationships" ref="P383" r:id="rId338"/>
    <hyperlink xmlns:r="http://schemas.openxmlformats.org/officeDocument/2006/relationships" ref="P384" r:id="rId339"/>
    <hyperlink xmlns:r="http://schemas.openxmlformats.org/officeDocument/2006/relationships" ref="P385" r:id="rId340"/>
    <hyperlink xmlns:r="http://schemas.openxmlformats.org/officeDocument/2006/relationships" ref="P386" r:id="rId341"/>
    <hyperlink xmlns:r="http://schemas.openxmlformats.org/officeDocument/2006/relationships" ref="P387" r:id="rId342"/>
    <hyperlink xmlns:r="http://schemas.openxmlformats.org/officeDocument/2006/relationships" ref="P389" r:id="rId343"/>
    <hyperlink xmlns:r="http://schemas.openxmlformats.org/officeDocument/2006/relationships" ref="P390" r:id="rId344"/>
    <hyperlink xmlns:r="http://schemas.openxmlformats.org/officeDocument/2006/relationships" ref="P391" r:id="rId345"/>
    <hyperlink xmlns:r="http://schemas.openxmlformats.org/officeDocument/2006/relationships" ref="P392" r:id="rId346"/>
    <hyperlink xmlns:r="http://schemas.openxmlformats.org/officeDocument/2006/relationships" ref="P393" r:id="rId347"/>
    <hyperlink xmlns:r="http://schemas.openxmlformats.org/officeDocument/2006/relationships" ref="P394" r:id="rId348"/>
    <hyperlink xmlns:r="http://schemas.openxmlformats.org/officeDocument/2006/relationships" ref="P395" r:id="rId349"/>
    <hyperlink xmlns:r="http://schemas.openxmlformats.org/officeDocument/2006/relationships" ref="P396" r:id="rId350"/>
    <hyperlink xmlns:r="http://schemas.openxmlformats.org/officeDocument/2006/relationships" ref="P397" r:id="rId351"/>
    <hyperlink xmlns:r="http://schemas.openxmlformats.org/officeDocument/2006/relationships" ref="P398" r:id="rId352"/>
    <hyperlink xmlns:r="http://schemas.openxmlformats.org/officeDocument/2006/relationships" ref="P399" r:id="rId353"/>
    <hyperlink xmlns:r="http://schemas.openxmlformats.org/officeDocument/2006/relationships" ref="P400" r:id="rId354"/>
    <hyperlink xmlns:r="http://schemas.openxmlformats.org/officeDocument/2006/relationships" ref="P401" r:id="rId355"/>
    <hyperlink xmlns:r="http://schemas.openxmlformats.org/officeDocument/2006/relationships" ref="P402" r:id="rId356"/>
    <hyperlink xmlns:r="http://schemas.openxmlformats.org/officeDocument/2006/relationships" ref="P403" r:id="rId357"/>
    <hyperlink xmlns:r="http://schemas.openxmlformats.org/officeDocument/2006/relationships" ref="P405" r:id="rId358"/>
    <hyperlink xmlns:r="http://schemas.openxmlformats.org/officeDocument/2006/relationships" ref="P406" r:id="rId359"/>
    <hyperlink xmlns:r="http://schemas.openxmlformats.org/officeDocument/2006/relationships" ref="P407" r:id="rId360"/>
    <hyperlink xmlns:r="http://schemas.openxmlformats.org/officeDocument/2006/relationships" ref="P408" r:id="rId361"/>
    <hyperlink xmlns:r="http://schemas.openxmlformats.org/officeDocument/2006/relationships" ref="P409" r:id="rId362"/>
    <hyperlink xmlns:r="http://schemas.openxmlformats.org/officeDocument/2006/relationships" ref="P410" r:id="rId363"/>
    <hyperlink xmlns:r="http://schemas.openxmlformats.org/officeDocument/2006/relationships" ref="P411" r:id="rId364"/>
    <hyperlink xmlns:r="http://schemas.openxmlformats.org/officeDocument/2006/relationships" ref="P412" r:id="rId365"/>
    <hyperlink xmlns:r="http://schemas.openxmlformats.org/officeDocument/2006/relationships" ref="P413" r:id="rId366"/>
    <hyperlink xmlns:r="http://schemas.openxmlformats.org/officeDocument/2006/relationships" ref="P414" r:id="rId367"/>
    <hyperlink xmlns:r="http://schemas.openxmlformats.org/officeDocument/2006/relationships" ref="P415" r:id="rId368"/>
    <hyperlink xmlns:r="http://schemas.openxmlformats.org/officeDocument/2006/relationships" ref="P416" r:id="rId369"/>
    <hyperlink xmlns:r="http://schemas.openxmlformats.org/officeDocument/2006/relationships" ref="P417" r:id="rId370"/>
    <hyperlink xmlns:r="http://schemas.openxmlformats.org/officeDocument/2006/relationships" ref="P418" r:id="rId371"/>
    <hyperlink xmlns:r="http://schemas.openxmlformats.org/officeDocument/2006/relationships" ref="P419" r:id="rId372"/>
    <hyperlink xmlns:r="http://schemas.openxmlformats.org/officeDocument/2006/relationships" ref="P420" r:id="rId373"/>
    <hyperlink xmlns:r="http://schemas.openxmlformats.org/officeDocument/2006/relationships" ref="P421" r:id="rId374"/>
    <hyperlink xmlns:r="http://schemas.openxmlformats.org/officeDocument/2006/relationships" ref="P422" r:id="rId375"/>
    <hyperlink xmlns:r="http://schemas.openxmlformats.org/officeDocument/2006/relationships" ref="P423" r:id="rId376"/>
    <hyperlink xmlns:r="http://schemas.openxmlformats.org/officeDocument/2006/relationships" ref="P424" r:id="rId377"/>
    <hyperlink xmlns:r="http://schemas.openxmlformats.org/officeDocument/2006/relationships" ref="P425" r:id="rId378"/>
    <hyperlink xmlns:r="http://schemas.openxmlformats.org/officeDocument/2006/relationships" ref="P426" r:id="rId379"/>
    <hyperlink xmlns:r="http://schemas.openxmlformats.org/officeDocument/2006/relationships" ref="P427" r:id="rId380"/>
    <hyperlink xmlns:r="http://schemas.openxmlformats.org/officeDocument/2006/relationships" ref="P428" r:id="rId381"/>
    <hyperlink xmlns:r="http://schemas.openxmlformats.org/officeDocument/2006/relationships" ref="P429" r:id="rId382"/>
    <hyperlink xmlns:r="http://schemas.openxmlformats.org/officeDocument/2006/relationships" ref="P430" r:id="rId383"/>
    <hyperlink xmlns:r="http://schemas.openxmlformats.org/officeDocument/2006/relationships" ref="P432" r:id="rId384"/>
    <hyperlink xmlns:r="http://schemas.openxmlformats.org/officeDocument/2006/relationships" ref="P433" r:id="rId385"/>
    <hyperlink xmlns:r="http://schemas.openxmlformats.org/officeDocument/2006/relationships" ref="P434" r:id="rId386"/>
    <hyperlink xmlns:r="http://schemas.openxmlformats.org/officeDocument/2006/relationships" ref="P435" r:id="rId387"/>
    <hyperlink xmlns:r="http://schemas.openxmlformats.org/officeDocument/2006/relationships" ref="P436" r:id="rId388"/>
    <hyperlink xmlns:r="http://schemas.openxmlformats.org/officeDocument/2006/relationships" ref="P439" r:id="rId389"/>
    <hyperlink xmlns:r="http://schemas.openxmlformats.org/officeDocument/2006/relationships" ref="P440" r:id="rId390"/>
    <hyperlink xmlns:r="http://schemas.openxmlformats.org/officeDocument/2006/relationships" ref="P441" r:id="rId391"/>
    <hyperlink xmlns:r="http://schemas.openxmlformats.org/officeDocument/2006/relationships" ref="P442" r:id="rId392"/>
    <hyperlink xmlns:r="http://schemas.openxmlformats.org/officeDocument/2006/relationships" ref="P443" r:id="rId393"/>
    <hyperlink xmlns:r="http://schemas.openxmlformats.org/officeDocument/2006/relationships" ref="P444" r:id="rId394"/>
    <hyperlink xmlns:r="http://schemas.openxmlformats.org/officeDocument/2006/relationships" ref="P445" r:id="rId395"/>
    <hyperlink xmlns:r="http://schemas.openxmlformats.org/officeDocument/2006/relationships" ref="P446" r:id="rId396"/>
    <hyperlink xmlns:r="http://schemas.openxmlformats.org/officeDocument/2006/relationships" ref="P447" r:id="rId397"/>
    <hyperlink xmlns:r="http://schemas.openxmlformats.org/officeDocument/2006/relationships" ref="P448" r:id="rId398"/>
    <hyperlink xmlns:r="http://schemas.openxmlformats.org/officeDocument/2006/relationships" ref="P449" r:id="rId399"/>
    <hyperlink xmlns:r="http://schemas.openxmlformats.org/officeDocument/2006/relationships" ref="P450" r:id="rId400"/>
    <hyperlink xmlns:r="http://schemas.openxmlformats.org/officeDocument/2006/relationships" ref="P451" r:id="rId401"/>
    <hyperlink xmlns:r="http://schemas.openxmlformats.org/officeDocument/2006/relationships" ref="P452" r:id="rId402"/>
    <hyperlink xmlns:r="http://schemas.openxmlformats.org/officeDocument/2006/relationships" ref="P453" r:id="rId403"/>
    <hyperlink xmlns:r="http://schemas.openxmlformats.org/officeDocument/2006/relationships" ref="P454" r:id="rId404"/>
    <hyperlink xmlns:r="http://schemas.openxmlformats.org/officeDocument/2006/relationships" ref="P455" r:id="rId405"/>
    <hyperlink xmlns:r="http://schemas.openxmlformats.org/officeDocument/2006/relationships" ref="P456" r:id="rId406"/>
    <hyperlink xmlns:r="http://schemas.openxmlformats.org/officeDocument/2006/relationships" ref="P457" r:id="rId407"/>
    <hyperlink xmlns:r="http://schemas.openxmlformats.org/officeDocument/2006/relationships" ref="P458" r:id="rId408"/>
    <hyperlink xmlns:r="http://schemas.openxmlformats.org/officeDocument/2006/relationships" ref="P459" r:id="rId409"/>
    <hyperlink xmlns:r="http://schemas.openxmlformats.org/officeDocument/2006/relationships" ref="P460" r:id="rId410"/>
    <hyperlink xmlns:r="http://schemas.openxmlformats.org/officeDocument/2006/relationships" ref="P461" r:id="rId411"/>
    <hyperlink xmlns:r="http://schemas.openxmlformats.org/officeDocument/2006/relationships" ref="P462" r:id="rId412"/>
    <hyperlink xmlns:r="http://schemas.openxmlformats.org/officeDocument/2006/relationships" ref="P463" r:id="rId413"/>
    <hyperlink xmlns:r="http://schemas.openxmlformats.org/officeDocument/2006/relationships" ref="P464" r:id="rId414"/>
    <hyperlink xmlns:r="http://schemas.openxmlformats.org/officeDocument/2006/relationships" ref="P465" r:id="rId415"/>
    <hyperlink xmlns:r="http://schemas.openxmlformats.org/officeDocument/2006/relationships" ref="P466" r:id="rId416"/>
    <hyperlink xmlns:r="http://schemas.openxmlformats.org/officeDocument/2006/relationships" ref="P467" r:id="rId417"/>
    <hyperlink xmlns:r="http://schemas.openxmlformats.org/officeDocument/2006/relationships" ref="P468" r:id="rId418"/>
    <hyperlink xmlns:r="http://schemas.openxmlformats.org/officeDocument/2006/relationships" ref="P469" r:id="rId419"/>
    <hyperlink xmlns:r="http://schemas.openxmlformats.org/officeDocument/2006/relationships" ref="P470" r:id="rId420"/>
    <hyperlink xmlns:r="http://schemas.openxmlformats.org/officeDocument/2006/relationships" ref="P471" r:id="rId421"/>
    <hyperlink xmlns:r="http://schemas.openxmlformats.org/officeDocument/2006/relationships" ref="P472" r:id="rId422"/>
    <hyperlink xmlns:r="http://schemas.openxmlformats.org/officeDocument/2006/relationships" ref="P473" r:id="rId423"/>
    <hyperlink xmlns:r="http://schemas.openxmlformats.org/officeDocument/2006/relationships" ref="P474" r:id="rId424"/>
    <hyperlink xmlns:r="http://schemas.openxmlformats.org/officeDocument/2006/relationships" ref="P475" r:id="rId425"/>
    <hyperlink xmlns:r="http://schemas.openxmlformats.org/officeDocument/2006/relationships" ref="P476" r:id="rId426"/>
    <hyperlink xmlns:r="http://schemas.openxmlformats.org/officeDocument/2006/relationships" ref="P477" r:id="rId427"/>
    <hyperlink xmlns:r="http://schemas.openxmlformats.org/officeDocument/2006/relationships" ref="P478" r:id="rId428"/>
    <hyperlink xmlns:r="http://schemas.openxmlformats.org/officeDocument/2006/relationships" ref="P479" r:id="rId429"/>
    <hyperlink xmlns:r="http://schemas.openxmlformats.org/officeDocument/2006/relationships" ref="P480" r:id="rId430"/>
    <hyperlink xmlns:r="http://schemas.openxmlformats.org/officeDocument/2006/relationships" ref="P481" r:id="rId431"/>
    <hyperlink xmlns:r="http://schemas.openxmlformats.org/officeDocument/2006/relationships" ref="P482" r:id="rId432"/>
    <hyperlink xmlns:r="http://schemas.openxmlformats.org/officeDocument/2006/relationships" ref="P483" r:id="rId433"/>
    <hyperlink xmlns:r="http://schemas.openxmlformats.org/officeDocument/2006/relationships" ref="P484" r:id="rId434"/>
    <hyperlink xmlns:r="http://schemas.openxmlformats.org/officeDocument/2006/relationships" ref="P486" r:id="rId435"/>
    <hyperlink xmlns:r="http://schemas.openxmlformats.org/officeDocument/2006/relationships" ref="P487" r:id="rId436"/>
    <hyperlink xmlns:r="http://schemas.openxmlformats.org/officeDocument/2006/relationships" ref="P488" r:id="rId437"/>
    <hyperlink xmlns:r="http://schemas.openxmlformats.org/officeDocument/2006/relationships" ref="P489" r:id="rId438"/>
    <hyperlink xmlns:r="http://schemas.openxmlformats.org/officeDocument/2006/relationships" ref="P490" r:id="rId439"/>
    <hyperlink xmlns:r="http://schemas.openxmlformats.org/officeDocument/2006/relationships" ref="P491" r:id="rId440"/>
    <hyperlink xmlns:r="http://schemas.openxmlformats.org/officeDocument/2006/relationships" ref="P492" r:id="rId441"/>
    <hyperlink xmlns:r="http://schemas.openxmlformats.org/officeDocument/2006/relationships" ref="P493" r:id="rId442"/>
    <hyperlink xmlns:r="http://schemas.openxmlformats.org/officeDocument/2006/relationships" ref="P494" r:id="rId443"/>
    <hyperlink xmlns:r="http://schemas.openxmlformats.org/officeDocument/2006/relationships" ref="P495" r:id="rId444"/>
    <hyperlink xmlns:r="http://schemas.openxmlformats.org/officeDocument/2006/relationships" ref="P496" r:id="rId445"/>
    <hyperlink xmlns:r="http://schemas.openxmlformats.org/officeDocument/2006/relationships" ref="P497" r:id="rId446"/>
    <hyperlink xmlns:r="http://schemas.openxmlformats.org/officeDocument/2006/relationships" ref="P498" r:id="rId447"/>
    <hyperlink xmlns:r="http://schemas.openxmlformats.org/officeDocument/2006/relationships" ref="P499" r:id="rId448"/>
    <hyperlink xmlns:r="http://schemas.openxmlformats.org/officeDocument/2006/relationships" ref="P500" display="mailto:l.cuartas@verticeing.com" r:id="rId449"/>
    <hyperlink xmlns:r="http://schemas.openxmlformats.org/officeDocument/2006/relationships" ref="P501" r:id="rId450"/>
    <hyperlink xmlns:r="http://schemas.openxmlformats.org/officeDocument/2006/relationships" ref="P502" r:id="rId451"/>
    <hyperlink xmlns:r="http://schemas.openxmlformats.org/officeDocument/2006/relationships" ref="P503" r:id="rId452"/>
    <hyperlink xmlns:r="http://schemas.openxmlformats.org/officeDocument/2006/relationships" ref="P504" r:id="rId453"/>
    <hyperlink xmlns:r="http://schemas.openxmlformats.org/officeDocument/2006/relationships" ref="P505" r:id="rId454"/>
    <hyperlink xmlns:r="http://schemas.openxmlformats.org/officeDocument/2006/relationships" ref="P506" r:id="rId455"/>
    <hyperlink xmlns:r="http://schemas.openxmlformats.org/officeDocument/2006/relationships" ref="P507" r:id="rId456"/>
    <hyperlink xmlns:r="http://schemas.openxmlformats.org/officeDocument/2006/relationships" ref="P508" r:id="rId457"/>
    <hyperlink xmlns:r="http://schemas.openxmlformats.org/officeDocument/2006/relationships" ref="P509" r:id="rId458"/>
    <hyperlink xmlns:r="http://schemas.openxmlformats.org/officeDocument/2006/relationships" ref="P510" r:id="rId459"/>
    <hyperlink xmlns:r="http://schemas.openxmlformats.org/officeDocument/2006/relationships" ref="P511" r:id="rId460"/>
    <hyperlink xmlns:r="http://schemas.openxmlformats.org/officeDocument/2006/relationships" ref="P512" r:id="rId461"/>
    <hyperlink xmlns:r="http://schemas.openxmlformats.org/officeDocument/2006/relationships" ref="P513" r:id="rId462"/>
    <hyperlink xmlns:r="http://schemas.openxmlformats.org/officeDocument/2006/relationships" ref="P514" r:id="rId463"/>
    <hyperlink xmlns:r="http://schemas.openxmlformats.org/officeDocument/2006/relationships" ref="P515" display="mailto:maria1998gonzalez@hotmail.com" r:id="rId464"/>
    <hyperlink xmlns:r="http://schemas.openxmlformats.org/officeDocument/2006/relationships" ref="P516" r:id="rId465"/>
    <hyperlink xmlns:r="http://schemas.openxmlformats.org/officeDocument/2006/relationships" ref="O518" display="mauricio.gutierrez@spci.com.co" r:id="rId466"/>
    <hyperlink xmlns:r="http://schemas.openxmlformats.org/officeDocument/2006/relationships" ref="P518" r:id="rId467"/>
    <hyperlink xmlns:r="http://schemas.openxmlformats.org/officeDocument/2006/relationships" ref="P519" r:id="rId468"/>
    <hyperlink xmlns:r="http://schemas.openxmlformats.org/officeDocument/2006/relationships" ref="P520" r:id="rId469"/>
    <hyperlink xmlns:r="http://schemas.openxmlformats.org/officeDocument/2006/relationships" ref="P521" r:id="rId470"/>
    <hyperlink xmlns:r="http://schemas.openxmlformats.org/officeDocument/2006/relationships" ref="P522" r:id="rId471"/>
    <hyperlink xmlns:r="http://schemas.openxmlformats.org/officeDocument/2006/relationships" ref="P523" r:id="rId472"/>
    <hyperlink xmlns:r="http://schemas.openxmlformats.org/officeDocument/2006/relationships" ref="P524" r:id="rId473"/>
    <hyperlink xmlns:r="http://schemas.openxmlformats.org/officeDocument/2006/relationships" ref="P525" r:id="rId474"/>
    <hyperlink xmlns:r="http://schemas.openxmlformats.org/officeDocument/2006/relationships" ref="P526" r:id="rId475"/>
    <hyperlink xmlns:r="http://schemas.openxmlformats.org/officeDocument/2006/relationships" ref="P528" r:id="rId476"/>
    <hyperlink xmlns:r="http://schemas.openxmlformats.org/officeDocument/2006/relationships" ref="P530" r:id="rId477"/>
  </hyperlink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P765"/>
  <sheetViews>
    <sheetView topLeftCell="A353" zoomScale="85" zoomScaleNormal="85" workbookViewId="0">
      <selection activeCell="J365" sqref="J365"/>
    </sheetView>
  </sheetViews>
  <sheetFormatPr baseColWidth="10" defaultColWidth="11.44140625" defaultRowHeight="14.4"/>
  <cols>
    <col width="3.109375" customWidth="1" min="1" max="1"/>
    <col width="12.44140625" customWidth="1" min="2" max="2"/>
    <col width="48.5546875" customWidth="1" min="9" max="9"/>
    <col width="26.5546875" customWidth="1" min="10" max="10"/>
    <col width="18.88671875" customWidth="1" min="11" max="11"/>
    <col width="11.44140625" customWidth="1" min="12" max="12"/>
    <col width="22" bestFit="1" customWidth="1" min="13" max="13"/>
    <col width="15.5546875" customWidth="1" min="14" max="14"/>
    <col width="33.109375" bestFit="1" customWidth="1" min="15" max="15"/>
    <col width="37.109375" customWidth="1" min="16" max="16"/>
  </cols>
  <sheetData>
    <row r="2" ht="15" customHeight="1" thickBot="1">
      <c r="B2" s="176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176" t="n"/>
      <c r="L2" s="176" t="n"/>
      <c r="M2" s="176" t="n"/>
      <c r="N2" s="176" t="n"/>
      <c r="O2" s="176" t="n"/>
      <c r="P2" s="176" t="n"/>
    </row>
    <row r="3">
      <c r="B3" s="318" t="n"/>
      <c r="C3" s="296" t="n"/>
      <c r="D3" s="296" t="n"/>
      <c r="E3" s="331" t="inlineStr">
        <is>
          <t>SEGUIMIENTO A COTIZACIONES</t>
        </is>
      </c>
      <c r="F3" s="296" t="n"/>
      <c r="G3" s="296" t="n"/>
      <c r="H3" s="296" t="n"/>
      <c r="I3" s="296" t="n"/>
      <c r="J3" s="296" t="n"/>
      <c r="K3" s="296" t="n"/>
      <c r="L3" s="296" t="n"/>
      <c r="M3" s="296" t="n"/>
      <c r="N3" s="296" t="n"/>
      <c r="O3" s="296" t="n"/>
      <c r="P3" s="298" t="n"/>
    </row>
    <row r="4">
      <c r="B4" s="299" t="n"/>
      <c r="E4" s="299" t="n"/>
      <c r="P4" s="300" t="n"/>
    </row>
    <row r="5">
      <c r="B5" s="299" t="n"/>
      <c r="E5" s="299" t="n"/>
      <c r="P5" s="300" t="n"/>
    </row>
    <row r="6">
      <c r="B6" s="299" t="n"/>
      <c r="E6" s="299" t="n"/>
      <c r="P6" s="300" t="n"/>
    </row>
    <row r="7">
      <c r="B7" s="299" t="n"/>
      <c r="E7" s="299" t="n"/>
      <c r="P7" s="300" t="n"/>
    </row>
    <row r="8">
      <c r="B8" s="299" t="n"/>
      <c r="E8" s="299" t="n"/>
      <c r="P8" s="300" t="n"/>
    </row>
    <row r="9">
      <c r="B9" s="299" t="n"/>
      <c r="E9" s="299" t="n"/>
      <c r="P9" s="300" t="n"/>
    </row>
    <row r="10" ht="15" customHeight="1" thickBot="1">
      <c r="B10" s="301" t="n"/>
      <c r="C10" s="302" t="n"/>
      <c r="D10" s="302" t="n"/>
      <c r="E10" s="301" t="n"/>
      <c r="F10" s="302" t="n"/>
      <c r="G10" s="302" t="n"/>
      <c r="H10" s="302" t="n"/>
      <c r="I10" s="302" t="n"/>
      <c r="J10" s="302" t="n"/>
      <c r="K10" s="302" t="n"/>
      <c r="L10" s="302" t="n"/>
      <c r="M10" s="302" t="n"/>
      <c r="N10" s="302" t="n"/>
      <c r="O10" s="302" t="n"/>
      <c r="P10" s="303" t="n"/>
    </row>
    <row r="11" ht="27.6" customHeight="1">
      <c r="B11" s="179" t="inlineStr">
        <is>
          <t>Número de cotización</t>
        </is>
      </c>
      <c r="C11" s="236" t="inlineStr">
        <is>
          <t>Descripción de la cotización</t>
        </is>
      </c>
      <c r="D11" s="332" t="n"/>
      <c r="E11" s="332" t="n"/>
      <c r="F11" s="332" t="n"/>
      <c r="G11" s="332" t="n"/>
      <c r="H11" s="332" t="n"/>
      <c r="I11" s="333" t="n"/>
      <c r="J11" s="159" t="inlineStr">
        <is>
          <t>Cliente</t>
        </is>
      </c>
      <c r="K11" s="191" t="inlineStr">
        <is>
          <t>Valor sin IVA</t>
        </is>
      </c>
      <c r="L11" s="193" t="inlineStr">
        <is>
          <t>Fecha de cotización</t>
        </is>
      </c>
      <c r="M11" s="193" t="inlineStr">
        <is>
          <t>Aprobado</t>
        </is>
      </c>
      <c r="N11" s="195" t="inlineStr">
        <is>
          <t>Telefono</t>
        </is>
      </c>
      <c r="O11" s="195" t="inlineStr">
        <is>
          <t>Persona Encargada</t>
        </is>
      </c>
      <c r="P11" s="195" t="inlineStr">
        <is>
          <t>Correo</t>
        </is>
      </c>
    </row>
    <row r="12">
      <c r="B12" s="170" t="n">
        <v>1</v>
      </c>
      <c r="C12" s="199" t="inlineStr">
        <is>
          <t>COTIZACION DE LOS DISEÑOS DE PROTECCIÓN CONTRA INCENDIOS - PROYECTO SOLAR</t>
        </is>
      </c>
      <c r="D12" s="312" t="n"/>
      <c r="E12" s="312" t="n"/>
      <c r="F12" s="312" t="n"/>
      <c r="G12" s="312" t="n"/>
      <c r="H12" s="312" t="n"/>
      <c r="I12" s="313" t="n"/>
      <c r="J12" s="199" t="inlineStr">
        <is>
          <t>SFIRE</t>
        </is>
      </c>
      <c r="K12" s="314" t="n"/>
      <c r="L12" s="2" t="n">
        <v>44929</v>
      </c>
      <c r="M12" s="170" t="n"/>
      <c r="N12" s="170" t="inlineStr">
        <is>
          <t>310 8227462</t>
        </is>
      </c>
      <c r="O12" s="172" t="inlineStr">
        <is>
          <t>Alvaro Manosalva</t>
        </is>
      </c>
      <c r="P12" s="52" t="inlineStr">
        <is>
          <t>alvaromanosalva@sfiregroup.com</t>
        </is>
      </c>
    </row>
    <row r="13">
      <c r="B13" s="170" t="n">
        <v>2</v>
      </c>
      <c r="C13" s="199" t="inlineStr">
        <is>
          <t>COTIZACION DEL DISEÑO DE DETECCIÓN DE INCENDIOS - LA ESTRELLA</t>
        </is>
      </c>
      <c r="D13" s="312" t="n"/>
      <c r="E13" s="312" t="n"/>
      <c r="F13" s="312" t="n"/>
      <c r="G13" s="312" t="n"/>
      <c r="H13" s="312" t="n"/>
      <c r="I13" s="313" t="n"/>
      <c r="J13" s="199" t="inlineStr">
        <is>
          <t>GINO MONTOYA</t>
        </is>
      </c>
      <c r="K13" s="314" t="n">
        <v>5500000</v>
      </c>
      <c r="L13" s="2" t="n">
        <v>44930</v>
      </c>
      <c r="M13" s="170" t="n"/>
      <c r="N13" s="170" t="n">
        <v>3044003430</v>
      </c>
      <c r="O13" s="172" t="inlineStr">
        <is>
          <t>Gino Montoya</t>
        </is>
      </c>
      <c r="P13" s="52" t="inlineStr">
        <is>
          <t>gino1037@hotmail.com</t>
        </is>
      </c>
    </row>
    <row r="14">
      <c r="B14" s="170" t="n">
        <v>3</v>
      </c>
      <c r="C14" s="199" t="inlineStr">
        <is>
          <t>COTIZACION DEL DISEÑO DE DETECCIÓN DE INCENDIOS - LA MAYORISTA</t>
        </is>
      </c>
      <c r="D14" s="312" t="n"/>
      <c r="E14" s="312" t="n"/>
      <c r="F14" s="312" t="n"/>
      <c r="G14" s="312" t="n"/>
      <c r="H14" s="312" t="n"/>
      <c r="I14" s="313" t="n"/>
      <c r="J14" s="199" t="inlineStr">
        <is>
          <t>GINO MONTOYA</t>
        </is>
      </c>
      <c r="K14" s="314" t="n">
        <v>2500000</v>
      </c>
      <c r="L14" s="2" t="n">
        <v>44930</v>
      </c>
      <c r="M14" s="170" t="n"/>
      <c r="N14" s="170" t="n">
        <v>3044003430</v>
      </c>
      <c r="O14" s="172" t="inlineStr">
        <is>
          <t>Gino Montoya</t>
        </is>
      </c>
      <c r="P14" s="52" t="inlineStr">
        <is>
          <t>gino1037@hotmail.com</t>
        </is>
      </c>
    </row>
    <row r="15">
      <c r="B15" s="170" t="n">
        <v>4</v>
      </c>
      <c r="C15" s="199" t="inlineStr">
        <is>
          <t>COTIZACION DEL DISEÑO DE EXTINCIÓN DE INCENDIOS - MODELACIÓN Y CÁLCULOS LA CAUSA PF</t>
        </is>
      </c>
      <c r="D15" s="312" t="n"/>
      <c r="E15" s="312" t="n"/>
      <c r="F15" s="312" t="n"/>
      <c r="G15" s="312" t="n"/>
      <c r="H15" s="312" t="n"/>
      <c r="I15" s="313" t="n"/>
      <c r="J15" s="199" t="inlineStr">
        <is>
          <t>MAURICIO SEPULVEDA</t>
        </is>
      </c>
      <c r="K15" s="314" t="n">
        <v>500000</v>
      </c>
      <c r="L15" s="2" t="n">
        <v>44930</v>
      </c>
      <c r="M15" s="170" t="n"/>
      <c r="N15" s="170" t="inlineStr">
        <is>
          <t>301 2547727</t>
        </is>
      </c>
      <c r="O15" s="172" t="inlineStr">
        <is>
          <t>Mauricio Sepulveda</t>
        </is>
      </c>
      <c r="P15" s="52" t="inlineStr">
        <is>
          <t>obrasms84@gmail.com</t>
        </is>
      </c>
    </row>
    <row r="16">
      <c r="B16" s="170" t="n">
        <v>5</v>
      </c>
      <c r="C16" s="233" t="inlineStr">
        <is>
          <t>COTIZACION DE LOS DISEÑOS DE PROTECCIÓN CONTRA INCENDIOS Y SEGURIDAD HUMANA PARA EL PROYECTO LIBERTAD DE LA FORTUNA</t>
        </is>
      </c>
      <c r="D16" s="312" t="n"/>
      <c r="E16" s="312" t="n"/>
      <c r="F16" s="312" t="n"/>
      <c r="G16" s="312" t="n"/>
      <c r="H16" s="312" t="n"/>
      <c r="I16" s="313" t="n"/>
      <c r="J16" s="199" t="inlineStr">
        <is>
          <t>CONSTRUGEN</t>
        </is>
      </c>
      <c r="K16" s="314" t="n">
        <v>9910000</v>
      </c>
      <c r="L16" s="2" t="n">
        <v>44938</v>
      </c>
      <c r="M16" s="170" t="n"/>
      <c r="N16" s="170" t="n">
        <v>3044830834</v>
      </c>
      <c r="O16" s="172" t="inlineStr">
        <is>
          <t>Jhonatan Aguirre Pulgarin</t>
        </is>
      </c>
      <c r="P16" s="52" t="inlineStr">
        <is>
          <t>jhonatan.aguirre@construgen.com</t>
        </is>
      </c>
    </row>
    <row r="17">
      <c r="B17" s="170" t="n">
        <v>6</v>
      </c>
      <c r="C17" s="199" t="inlineStr">
        <is>
          <t>COTIZACION DE LOS DISEÑOS DE PROTECCIÓN CONTRA INCENDIOS - HOSPITAL REGIONAL DE DUITAMA</t>
        </is>
      </c>
      <c r="D17" s="312" t="n"/>
      <c r="E17" s="312" t="n"/>
      <c r="F17" s="312" t="n"/>
      <c r="G17" s="312" t="n"/>
      <c r="H17" s="312" t="n"/>
      <c r="I17" s="313" t="n"/>
      <c r="J17" s="199" t="inlineStr">
        <is>
          <t>HOSPITAL REGIONAL DE DUITAMA</t>
        </is>
      </c>
      <c r="K17" s="314" t="n">
        <v>29970000</v>
      </c>
      <c r="L17" s="2" t="n">
        <v>44942</v>
      </c>
      <c r="M17" s="170" t="n"/>
      <c r="N17" s="170" t="n">
        <v>3133195098</v>
      </c>
      <c r="O17" s="172" t="inlineStr">
        <is>
          <t>Luis Orlando Cepeda Zarate</t>
        </is>
      </c>
      <c r="P17" s="52" t="inlineStr">
        <is>
          <t>mantenimiento@hrd.gov.co</t>
        </is>
      </c>
    </row>
    <row r="18">
      <c r="B18" s="170" t="n">
        <v>7</v>
      </c>
      <c r="C18" s="199" t="inlineStr">
        <is>
          <t>COTIZACION DEL DISEÑO DE DETECCIÓN DE INCENDIOS - BODEGA LEBRIJA</t>
        </is>
      </c>
      <c r="D18" s="312" t="n"/>
      <c r="E18" s="312" t="n"/>
      <c r="F18" s="312" t="n"/>
      <c r="G18" s="312" t="n"/>
      <c r="H18" s="312" t="n"/>
      <c r="I18" s="313" t="n"/>
      <c r="J18" s="199" t="inlineStr">
        <is>
          <t>SPCI</t>
        </is>
      </c>
      <c r="K18" s="314" t="n">
        <v>6270000</v>
      </c>
      <c r="L18" s="2" t="n">
        <v>44942</v>
      </c>
      <c r="M18" s="2" t="inlineStr">
        <is>
          <t>X</t>
        </is>
      </c>
      <c r="N18" s="170" t="inlineStr">
        <is>
          <t>310 3939739</t>
        </is>
      </c>
      <c r="O18" s="172" t="inlineStr">
        <is>
          <t>Victor Saldarriaga</t>
        </is>
      </c>
      <c r="P18" s="52" t="inlineStr">
        <is>
          <t xml:space="preserve">victor.saldarriaga@spci.com.co </t>
        </is>
      </c>
    </row>
    <row r="19">
      <c r="B19" s="170" t="n">
        <v>8</v>
      </c>
      <c r="C19" s="199" t="inlineStr">
        <is>
          <t>COTIZACION DEL DISEÑO DE EXTINCIÓN DE INCENDIOS - ÁREAS SIN PROTECCIÓN BODEGA LEBRIJA</t>
        </is>
      </c>
      <c r="D19" s="312" t="n"/>
      <c r="E19" s="312" t="n"/>
      <c r="F19" s="312" t="n"/>
      <c r="G19" s="312" t="n"/>
      <c r="H19" s="312" t="n"/>
      <c r="I19" s="313" t="n"/>
      <c r="J19" s="199" t="inlineStr">
        <is>
          <t>SPCI</t>
        </is>
      </c>
      <c r="K19" s="314" t="n">
        <v>5890000</v>
      </c>
      <c r="L19" s="2" t="n">
        <v>44942</v>
      </c>
      <c r="M19" s="170" t="inlineStr">
        <is>
          <t>X</t>
        </is>
      </c>
      <c r="N19" s="170" t="inlineStr">
        <is>
          <t>310 3939739</t>
        </is>
      </c>
      <c r="O19" s="172" t="inlineStr">
        <is>
          <t>Victor Saldarriaga</t>
        </is>
      </c>
      <c r="P19" s="52" t="inlineStr">
        <is>
          <t xml:space="preserve">victor.saldarriaga@spci.com.co </t>
        </is>
      </c>
    </row>
    <row r="20">
      <c r="B20" s="170" t="n">
        <v>9</v>
      </c>
      <c r="C20" s="199" t="inlineStr">
        <is>
          <t>COTIZACION DE LOS DISEÑOS DE SEGURIDAD HUMANA Y PROTECCIÓN CONTRA INCENDIOS - OFICINAS ANDERCOL</t>
        </is>
      </c>
      <c r="D20" s="312" t="n"/>
      <c r="E20" s="312" t="n"/>
      <c r="F20" s="312" t="n"/>
      <c r="G20" s="312" t="n"/>
      <c r="H20" s="312" t="n"/>
      <c r="I20" s="313" t="n"/>
      <c r="J20" s="199" t="inlineStr">
        <is>
          <t>INGENIO BIM</t>
        </is>
      </c>
      <c r="K20" s="314" t="n">
        <v>5070000</v>
      </c>
      <c r="L20" s="2" t="n">
        <v>44942</v>
      </c>
      <c r="M20" s="35" t="inlineStr">
        <is>
          <t>X</t>
        </is>
      </c>
      <c r="N20" s="170" t="inlineStr">
        <is>
          <t>301 2311524</t>
        </is>
      </c>
      <c r="O20" s="172" t="inlineStr">
        <is>
          <t>Luisa Londoño</t>
        </is>
      </c>
      <c r="P20" s="52" t="inlineStr">
        <is>
          <t>luisa.londono@ingeniobim.co</t>
        </is>
      </c>
    </row>
    <row r="21">
      <c r="B21" s="170" t="n">
        <v>10</v>
      </c>
      <c r="C21" s="246" t="inlineStr">
        <is>
          <t>COTIZACION DE LOS DISEÑOS DE PROTECCIÓN CONTRA INCENDIOS PARA EL PROYECTO JUAN VALDÉZ C.C VIVA BARRANQUILLA</t>
        </is>
      </c>
      <c r="D21" s="312" t="n"/>
      <c r="E21" s="312" t="n"/>
      <c r="F21" s="312" t="n"/>
      <c r="G21" s="312" t="n"/>
      <c r="H21" s="312" t="n"/>
      <c r="I21" s="313" t="n"/>
      <c r="J21" s="199" t="inlineStr">
        <is>
          <t>SPCI</t>
        </is>
      </c>
      <c r="K21" s="314" t="n">
        <v>2250000</v>
      </c>
      <c r="L21" s="2" t="n">
        <v>44945</v>
      </c>
      <c r="M21" s="170" t="n"/>
      <c r="N21" s="170" t="n">
        <v>3214826168</v>
      </c>
      <c r="O21" s="172" t="inlineStr">
        <is>
          <t>Ana Maria Restrepo Mayo</t>
        </is>
      </c>
      <c r="P21" s="52" t="inlineStr">
        <is>
          <t>ana.restrepo@spci.com.co</t>
        </is>
      </c>
    </row>
    <row r="22">
      <c r="B22" s="170" t="n">
        <v>11</v>
      </c>
      <c r="C22" s="199" t="inlineStr">
        <is>
          <t>COTIZACION DEL DISEÑO DE DETECCIÓN DE INCENDIOS PARA EL PROYECTO HOTEL AYACUCHO</t>
        </is>
      </c>
      <c r="D22" s="312" t="n"/>
      <c r="E22" s="312" t="n"/>
      <c r="F22" s="312" t="n"/>
      <c r="G22" s="312" t="n"/>
      <c r="H22" s="312" t="n"/>
      <c r="I22" s="313" t="n"/>
      <c r="J22" s="199" t="inlineStr">
        <is>
          <t>SOCOMES</t>
        </is>
      </c>
      <c r="K22" s="314" t="n">
        <v>2990000</v>
      </c>
      <c r="L22" s="2" t="n">
        <v>44945</v>
      </c>
      <c r="M22" s="170" t="n"/>
      <c r="N22" s="170" t="n">
        <v>3137851941</v>
      </c>
      <c r="O22" s="172" t="inlineStr">
        <is>
          <t>David Lopera Medina</t>
        </is>
      </c>
      <c r="P22" s="52" t="inlineStr">
        <is>
          <t>david.lopera@socomes.com</t>
        </is>
      </c>
    </row>
    <row r="23">
      <c r="B23" s="170" t="n">
        <v>12</v>
      </c>
      <c r="C23" s="199" t="inlineStr">
        <is>
          <t>COTIZACION DEL DISEÑO DE EXTINCIÓN DE INCENDIOS PARA EL PROYECTO HOTEL AYACUCHO</t>
        </is>
      </c>
      <c r="D23" s="312" t="n"/>
      <c r="E23" s="312" t="n"/>
      <c r="F23" s="312" t="n"/>
      <c r="G23" s="312" t="n"/>
      <c r="H23" s="312" t="n"/>
      <c r="I23" s="313" t="n"/>
      <c r="J23" s="199" t="inlineStr">
        <is>
          <t>SOCOMES</t>
        </is>
      </c>
      <c r="K23" s="314" t="n">
        <v>6270000</v>
      </c>
      <c r="L23" s="2" t="n">
        <v>44945</v>
      </c>
      <c r="M23" s="170" t="n"/>
      <c r="N23" s="170" t="n">
        <v>3137851941</v>
      </c>
      <c r="O23" s="172" t="inlineStr">
        <is>
          <t>David Lopera Medina</t>
        </is>
      </c>
      <c r="P23" s="52" t="inlineStr">
        <is>
          <t>david.lopera@socomes.com</t>
        </is>
      </c>
    </row>
    <row r="24">
      <c r="B24" s="170" t="n">
        <v>13</v>
      </c>
      <c r="C24" s="199" t="inlineStr">
        <is>
          <t>COTIZACION DE LOS DISEÑOS DE SEGURIDAD HUMANA Y PROTECCIÓN CONTRA INCENDIOS - PROYECTO ALLEGRO</t>
        </is>
      </c>
      <c r="D24" s="312" t="n"/>
      <c r="E24" s="312" t="n"/>
      <c r="F24" s="312" t="n"/>
      <c r="G24" s="312" t="n"/>
      <c r="H24" s="312" t="n"/>
      <c r="I24" s="313" t="n"/>
      <c r="J24" s="199" t="inlineStr">
        <is>
          <t>CENTRO SUR</t>
        </is>
      </c>
      <c r="K24" s="314" t="n">
        <v>7470000</v>
      </c>
      <c r="L24" s="2" t="n">
        <v>44944</v>
      </c>
      <c r="M24" s="2" t="inlineStr">
        <is>
          <t>X</t>
        </is>
      </c>
      <c r="N24" s="170" t="n">
        <v>4480648</v>
      </c>
      <c r="O24" s="172" t="inlineStr">
        <is>
          <t>Daniel Pernett Patiño</t>
        </is>
      </c>
      <c r="P24" s="52" t="inlineStr">
        <is>
          <t>danielpernett@centrosur.co</t>
        </is>
      </c>
    </row>
    <row r="25">
      <c r="B25" s="170" t="n">
        <v>14</v>
      </c>
      <c r="C25" s="199" t="inlineStr">
        <is>
          <t>COTIZACION DE LOS DISEÑOS DE PROTECCIÓN CONTRA INCENDIOS PARA EL PROYECTO EDIFICIO LA 33</t>
        </is>
      </c>
      <c r="D25" s="312" t="n"/>
      <c r="E25" s="312" t="n"/>
      <c r="F25" s="312" t="n"/>
      <c r="G25" s="312" t="n"/>
      <c r="H25" s="312" t="n"/>
      <c r="I25" s="313" t="n"/>
      <c r="J25" s="199" t="inlineStr">
        <is>
          <t>CONSTRUCTORA  MANZANARES</t>
        </is>
      </c>
      <c r="K25" s="314" t="n">
        <v>7900000</v>
      </c>
      <c r="L25" s="2" t="n">
        <v>44946</v>
      </c>
      <c r="M25" s="2" t="n"/>
      <c r="N25" s="2" t="inlineStr">
        <is>
          <t>312 8667618</t>
        </is>
      </c>
      <c r="O25" s="172" t="inlineStr">
        <is>
          <t>Álvaro Pérez</t>
        </is>
      </c>
      <c r="P25" s="52" t="inlineStr">
        <is>
          <t>apb2573@yahoo.es</t>
        </is>
      </c>
    </row>
    <row r="26">
      <c r="B26" s="170" t="n">
        <v>15</v>
      </c>
      <c r="C26" s="246" t="inlineStr">
        <is>
          <t xml:space="preserve">COTIZACION DEL ANÁLISIS DE SEGURIDAD HUMANA PARA EL PROYECTO JAC DEL OASIS
</t>
        </is>
      </c>
      <c r="D26" s="312" t="n"/>
      <c r="E26" s="312" t="n"/>
      <c r="F26" s="312" t="n"/>
      <c r="G26" s="312" t="n"/>
      <c r="H26" s="312" t="n"/>
      <c r="I26" s="313" t="n"/>
      <c r="J26" s="199" t="inlineStr">
        <is>
          <t>DESUR</t>
        </is>
      </c>
      <c r="K26" s="314" t="n">
        <v>2500000</v>
      </c>
      <c r="L26" s="2" t="n">
        <v>44946</v>
      </c>
      <c r="M26" s="2" t="n"/>
      <c r="N26" s="170" t="inlineStr">
        <is>
          <t xml:space="preserve"> 4801300 Ext. 130</t>
        </is>
      </c>
      <c r="O26" s="172" t="inlineStr">
        <is>
          <t>Valentina Chacon</t>
        </is>
      </c>
      <c r="P26" s="52" t="inlineStr">
        <is>
          <t>valentina.chacon@desur.gov.co</t>
        </is>
      </c>
    </row>
    <row r="27">
      <c r="B27" s="170" t="n">
        <v>16</v>
      </c>
      <c r="C27" s="199" t="inlineStr">
        <is>
          <t>COTIZACION DE LOS DISEÑOS DE PROTECCIÓN CONTRA INCENDIOS Y SEGURIDAD HUMANA PARA EL PROYECTO CIUDAD DEL RIO</t>
        </is>
      </c>
      <c r="D27" s="312" t="n"/>
      <c r="E27" s="312" t="n"/>
      <c r="F27" s="312" t="n"/>
      <c r="G27" s="312" t="n"/>
      <c r="H27" s="312" t="n"/>
      <c r="I27" s="313" t="n"/>
      <c r="J27" s="199" t="inlineStr">
        <is>
          <t>4RQ STUDIO</t>
        </is>
      </c>
      <c r="K27" s="314" t="n">
        <v>31520000</v>
      </c>
      <c r="L27" s="2" t="n">
        <v>44953</v>
      </c>
      <c r="M27" s="170" t="n"/>
      <c r="N27" s="170" t="n">
        <v>3128882282</v>
      </c>
      <c r="O27" s="172" t="inlineStr">
        <is>
          <t>Katherine Lopez Ramirez</t>
        </is>
      </c>
      <c r="P27" s="52" t="inlineStr">
        <is>
          <t>equipo@4rqstudio.com</t>
        </is>
      </c>
    </row>
    <row r="28">
      <c r="B28" s="170" t="n">
        <v>17</v>
      </c>
      <c r="C28" s="199" t="inlineStr">
        <is>
          <t>COTIZACION DEL DISEÑO DE EXTINCIÓN DE INCENDIOS - PROYECTO VIVACE TORRE 2</t>
        </is>
      </c>
      <c r="D28" s="312" t="n"/>
      <c r="E28" s="312" t="n"/>
      <c r="F28" s="312" t="n"/>
      <c r="G28" s="312" t="n"/>
      <c r="H28" s="312" t="n"/>
      <c r="I28" s="313" t="n"/>
      <c r="J28" s="199" t="inlineStr">
        <is>
          <t>SPCI</t>
        </is>
      </c>
      <c r="K28" s="314" t="n">
        <v>3600000</v>
      </c>
      <c r="L28" s="2" t="n">
        <v>44949</v>
      </c>
      <c r="M28" s="170" t="inlineStr">
        <is>
          <t>X</t>
        </is>
      </c>
      <c r="N28" s="170" t="inlineStr">
        <is>
          <t>310 420 3649</t>
        </is>
      </c>
      <c r="O28" s="170" t="inlineStr">
        <is>
          <t>Mauricio Guzmán Urrea</t>
        </is>
      </c>
      <c r="P28" s="52" t="inlineStr">
        <is>
          <t>mauricio.guzman@spci.com.co</t>
        </is>
      </c>
    </row>
    <row r="29">
      <c r="B29" s="170" t="n">
        <v>17</v>
      </c>
      <c r="C29" s="199" t="inlineStr">
        <is>
          <t>COTIZACION DE LOS DISEÑOS DE PROTECCIÓN CONTRA INCENDIOS Y SEGURIDAD HUMANA PARA EL PROYECTO EDIFICIO NUEVO COLEGIO THE COLUMBUS SCHOOL</t>
        </is>
      </c>
      <c r="D29" s="199" t="n"/>
      <c r="E29" s="199" t="n"/>
      <c r="F29" s="199" t="n"/>
      <c r="G29" s="199" t="n"/>
      <c r="H29" s="199" t="n"/>
      <c r="I29" s="199" t="n"/>
      <c r="J29" s="199" t="inlineStr">
        <is>
          <t>Colegio The Columbus School</t>
        </is>
      </c>
      <c r="K29" s="314" t="n">
        <v>3450000</v>
      </c>
      <c r="L29" s="2" t="n">
        <v>44950</v>
      </c>
      <c r="M29" s="170" t="inlineStr">
        <is>
          <t>X</t>
        </is>
      </c>
      <c r="N29" s="170" t="inlineStr">
        <is>
          <t>312 2886611</t>
        </is>
      </c>
      <c r="O29" s="170" t="inlineStr">
        <is>
          <t xml:space="preserve"> Paula Andrea Duque</t>
        </is>
      </c>
      <c r="P29" s="52" t="inlineStr">
        <is>
          <t>pduque@columbus.edu.co</t>
        </is>
      </c>
    </row>
    <row r="30">
      <c r="B30" s="170" t="n">
        <v>18</v>
      </c>
      <c r="C30" s="199" t="inlineStr">
        <is>
          <t>COTIZACION DE LOS DISEÑOS DE PROTECCIÓN CONTRA INCENDIOS PARA EL PROYECTO HOSPITALIZACION TPH SEDE 80</t>
        </is>
      </c>
      <c r="D30" s="312" t="n"/>
      <c r="E30" s="312" t="n"/>
      <c r="F30" s="312" t="n"/>
      <c r="G30" s="312" t="n"/>
      <c r="H30" s="312" t="n"/>
      <c r="I30" s="313" t="n"/>
      <c r="J30" s="199" t="inlineStr">
        <is>
          <t>AUNA</t>
        </is>
      </c>
      <c r="K30" s="314" t="n">
        <v>1950000</v>
      </c>
      <c r="L30" s="2" t="n">
        <v>44951</v>
      </c>
      <c r="M30" s="2" t="inlineStr">
        <is>
          <t>X</t>
        </is>
      </c>
      <c r="N30" s="170" t="inlineStr">
        <is>
          <t>57 60 4 342 10 10</t>
        </is>
      </c>
      <c r="O30" s="170" t="inlineStr">
        <is>
          <t>Cristian David Cano</t>
        </is>
      </c>
      <c r="P30" s="52" t="inlineStr">
        <is>
          <t>cristian.cano@lasamericas.com.co</t>
        </is>
      </c>
    </row>
    <row r="31">
      <c r="B31" s="170" t="n">
        <v>19</v>
      </c>
      <c r="C31" s="199" t="inlineStr">
        <is>
          <t>COTIZACION DE LOS DISEÑOS DE PROTECCIÓN CONTRA INCENDIOS PARA EL PROYECTO LOCAL CONSULTORIO ODONTOLOGICO C.C VIVA SINCELEJO</t>
        </is>
      </c>
      <c r="D31" s="312" t="n"/>
      <c r="E31" s="312" t="n"/>
      <c r="F31" s="312" t="n"/>
      <c r="G31" s="312" t="n"/>
      <c r="H31" s="312" t="n"/>
      <c r="I31" s="313" t="n"/>
      <c r="J31" s="199" t="inlineStr">
        <is>
          <t>SPCI</t>
        </is>
      </c>
      <c r="K31" s="314" t="n">
        <v>2510000</v>
      </c>
      <c r="L31" s="2" t="n">
        <v>44952</v>
      </c>
      <c r="M31" s="2" t="n"/>
      <c r="N31" s="170" t="n">
        <v>3214826168</v>
      </c>
      <c r="O31" s="170" t="inlineStr">
        <is>
          <t>Ana Maria Restrepo Mayo</t>
        </is>
      </c>
      <c r="P31" s="52" t="inlineStr">
        <is>
          <t xml:space="preserve">licitaciones@spci.com.co </t>
        </is>
      </c>
    </row>
    <row r="32">
      <c r="B32" s="170" t="n">
        <v>20</v>
      </c>
      <c r="C32" s="199" t="inlineStr">
        <is>
          <t>COTIZACION DE LOS DISEÑOS DE PROTECCIÓN CONTRA INCENDIOS PARA EL PROYECTO CALLE 7 A</t>
        </is>
      </c>
      <c r="D32" s="312" t="n"/>
      <c r="E32" s="312" t="n"/>
      <c r="F32" s="312" t="n"/>
      <c r="G32" s="312" t="n"/>
      <c r="H32" s="312" t="n"/>
      <c r="I32" s="313" t="n"/>
      <c r="J32" s="199" t="inlineStr">
        <is>
          <t>PARADIGMA ARQUITECTURA</t>
        </is>
      </c>
      <c r="K32" s="314" t="n">
        <v>23650000</v>
      </c>
      <c r="L32" s="2" t="n">
        <v>44952</v>
      </c>
      <c r="M32" s="170" t="n"/>
      <c r="N32" s="170" t="n"/>
      <c r="O32" s="170" t="inlineStr">
        <is>
          <t>Juliana Cardona</t>
        </is>
      </c>
      <c r="P32" s="52" t="inlineStr">
        <is>
          <t>paradigmaarquitecturasas@gmail.com</t>
        </is>
      </c>
    </row>
    <row r="33">
      <c r="B33" s="170" t="n">
        <v>21</v>
      </c>
      <c r="C33" s="233" t="inlineStr">
        <is>
          <t>COTIZACION DE LOS DISEÑOS DE PROTECCIÓN CONTRA INCENDIOS Y SEGURIDAD HUMANA PARA EL PROYECTO CALLE 7A</t>
        </is>
      </c>
      <c r="D33" s="312" t="n"/>
      <c r="E33" s="312" t="n"/>
      <c r="F33" s="312" t="n"/>
      <c r="G33" s="312" t="n"/>
      <c r="H33" s="312" t="n"/>
      <c r="I33" s="313" t="n"/>
      <c r="J33" s="199" t="inlineStr">
        <is>
          <t>SECURETEC</t>
        </is>
      </c>
      <c r="K33" s="314" t="n">
        <v>23650000</v>
      </c>
      <c r="L33" s="2" t="n">
        <v>44952</v>
      </c>
      <c r="M33" s="170" t="n"/>
      <c r="N33" s="170" t="n"/>
      <c r="O33" s="170" t="inlineStr">
        <is>
          <t>Harold Camacho</t>
        </is>
      </c>
      <c r="P33" s="52" t="inlineStr">
        <is>
          <t>gerencia@securetec.com.co</t>
        </is>
      </c>
    </row>
    <row r="34">
      <c r="B34" s="170" t="n">
        <v>22</v>
      </c>
      <c r="C34" s="199" t="inlineStr">
        <is>
          <t>COTIZACION PLANOS DE SEGURIDAD HUMANA - PROYECTO FRAGUA</t>
        </is>
      </c>
      <c r="D34" s="312" t="n"/>
      <c r="E34" s="312" t="n"/>
      <c r="F34" s="312" t="n"/>
      <c r="G34" s="312" t="n"/>
      <c r="H34" s="312" t="n"/>
      <c r="I34" s="313" t="n"/>
      <c r="J34" s="199" t="inlineStr">
        <is>
          <t>CONTEX</t>
        </is>
      </c>
      <c r="K34" s="314" t="n">
        <v>2350000</v>
      </c>
      <c r="L34" s="2" t="n">
        <v>44952</v>
      </c>
      <c r="M34" s="170" t="inlineStr">
        <is>
          <t>X</t>
        </is>
      </c>
      <c r="N34" s="170" t="inlineStr">
        <is>
          <t>317 3789177</t>
        </is>
      </c>
      <c r="O34" s="170" t="inlineStr">
        <is>
          <t>Elisa Pantoja</t>
        </is>
      </c>
      <c r="P34" s="52" t="inlineStr">
        <is>
          <t>epantoja@contex.com.co</t>
        </is>
      </c>
    </row>
    <row r="35" ht="15" customHeight="1">
      <c r="B35" s="170" t="n">
        <v>23</v>
      </c>
      <c r="C35" s="199" t="inlineStr">
        <is>
          <t xml:space="preserve">COTIZACION DEL DISEÑO DE EXTINCIÓN DE INCENDIOS PARA EL PROYECTO GENERSOL
</t>
        </is>
      </c>
      <c r="D35" s="312" t="n"/>
      <c r="E35" s="312" t="n"/>
      <c r="F35" s="312" t="n"/>
      <c r="G35" s="312" t="n"/>
      <c r="H35" s="312" t="n"/>
      <c r="I35" s="313" t="n"/>
      <c r="J35" s="199" t="inlineStr">
        <is>
          <t>SFIRE</t>
        </is>
      </c>
      <c r="K35" s="314" t="n">
        <v>12550000</v>
      </c>
      <c r="L35" s="2" t="n">
        <v>44953</v>
      </c>
      <c r="M35" s="170" t="n"/>
      <c r="N35" s="170" t="n">
        <v>3108227462</v>
      </c>
      <c r="O35" s="172" t="inlineStr">
        <is>
          <t>ALVARO MANOSALVA</t>
        </is>
      </c>
      <c r="P35" s="52" t="inlineStr">
        <is>
          <t>alvaromanosalva@sfiregroup.com</t>
        </is>
      </c>
    </row>
    <row r="36">
      <c r="B36" s="170" t="n">
        <v>24</v>
      </c>
      <c r="C36" s="233" t="inlineStr">
        <is>
          <t>COTIZACION DE LOS DISEÑOS DE PROTECCIÓN CONTRA INCENDIOS PARA EL PROYECTO BANCOLOMBIA UNICENTRO</t>
        </is>
      </c>
      <c r="D36" s="312" t="n"/>
      <c r="E36" s="312" t="n"/>
      <c r="F36" s="312" t="n"/>
      <c r="G36" s="312" t="n"/>
      <c r="H36" s="312" t="n"/>
      <c r="I36" s="313" t="n"/>
      <c r="J36" s="199" t="inlineStr">
        <is>
          <t>CONDISEÑO</t>
        </is>
      </c>
      <c r="K36" s="314" t="n"/>
      <c r="L36" s="2" t="n">
        <v>44953</v>
      </c>
      <c r="M36" s="170" t="n"/>
      <c r="N36" s="170" t="n">
        <v>3175594091</v>
      </c>
      <c r="O36" s="170" t="inlineStr">
        <is>
          <t>Nakary García Romero</t>
        </is>
      </c>
      <c r="P36" s="52" t="inlineStr">
        <is>
          <t>n.garcia@condiseno.co</t>
        </is>
      </c>
    </row>
    <row r="37">
      <c r="B37" s="170" t="n">
        <v>25</v>
      </c>
      <c r="C37" s="233" t="inlineStr">
        <is>
          <t>COTIZACION DEL ANÁLISIS DE SEGURIDAD HUMANA PARA EL PROYECTO OFICINAS</t>
        </is>
      </c>
      <c r="D37" s="312" t="n"/>
      <c r="E37" s="312" t="n"/>
      <c r="F37" s="312" t="n"/>
      <c r="G37" s="312" t="n"/>
      <c r="H37" s="312" t="n"/>
      <c r="I37" s="313" t="n"/>
      <c r="J37" s="199" t="inlineStr">
        <is>
          <t>STUDIO SUR</t>
        </is>
      </c>
      <c r="K37" s="314" t="n">
        <v>3550000</v>
      </c>
      <c r="L37" s="2" t="n">
        <v>44953</v>
      </c>
      <c r="M37" s="170" t="inlineStr">
        <is>
          <t>X</t>
        </is>
      </c>
      <c r="N37" s="170" t="n"/>
      <c r="O37" s="170" t="n"/>
      <c r="P37" s="52" t="inlineStr">
        <is>
          <t>liliana.gutierrez@studiosur.net -laura.arias@studiosur.net</t>
        </is>
      </c>
    </row>
    <row r="38">
      <c r="B38" s="170" t="n">
        <v>26</v>
      </c>
      <c r="C38" s="199" t="inlineStr">
        <is>
          <t>COTIZACION DEL DIAGNÓSTICO DE LOS SISTEMAS DE PROTECCIÓN CONTRA INCENDIOS - CLÍNICA IMBANACO CALI</t>
        </is>
      </c>
      <c r="D38" s="312" t="n"/>
      <c r="E38" s="312" t="n"/>
      <c r="F38" s="312" t="n"/>
      <c r="G38" s="312" t="n"/>
      <c r="H38" s="312" t="n"/>
      <c r="I38" s="313" t="n"/>
      <c r="J38" s="199" t="inlineStr">
        <is>
          <t>IMBANACO</t>
        </is>
      </c>
      <c r="K38" s="314" t="n">
        <v>14300000</v>
      </c>
      <c r="L38" s="2" t="n">
        <v>44957</v>
      </c>
      <c r="M38" s="170" t="n"/>
      <c r="N38" s="170" t="n">
        <v>3205535416</v>
      </c>
      <c r="O38" s="170" t="inlineStr">
        <is>
          <t>Camilo Andrés Chávez Sandoval</t>
        </is>
      </c>
      <c r="P38" s="52" t="inlineStr">
        <is>
          <t>Camilo.Chavez@quironsalud.com</t>
        </is>
      </c>
    </row>
    <row r="39">
      <c r="B39" s="170" t="n">
        <v>27</v>
      </c>
      <c r="C39" s="199" t="inlineStr">
        <is>
          <t>COTIZACION DE LOS DISEÑOS DE PROTECCIÓN CONTRA INCENDIOS PARA EL PROYECTO PORCI CARNES</t>
        </is>
      </c>
      <c r="D39" s="312" t="n"/>
      <c r="E39" s="312" t="n"/>
      <c r="F39" s="312" t="n"/>
      <c r="G39" s="312" t="n"/>
      <c r="H39" s="312" t="n"/>
      <c r="I39" s="313" t="n"/>
      <c r="J39" s="199" t="inlineStr">
        <is>
          <t>SPCI</t>
        </is>
      </c>
      <c r="K39" s="314" t="n">
        <v>6900000</v>
      </c>
      <c r="L39" s="2" t="n">
        <v>44957</v>
      </c>
      <c r="M39" s="170" t="n"/>
      <c r="N39" s="170" t="inlineStr">
        <is>
          <t>310 4165783</t>
        </is>
      </c>
      <c r="O39" s="170" t="inlineStr">
        <is>
          <t>Cristiam Gustavo Mondragon Cortes</t>
        </is>
      </c>
      <c r="P39" s="52" t="inlineStr">
        <is>
          <t>cristiam.mondragon@spci.com.co</t>
        </is>
      </c>
    </row>
    <row r="40">
      <c r="B40" s="170" t="n">
        <v>28</v>
      </c>
      <c r="C40" s="199" t="inlineStr">
        <is>
          <t>COTIZACION DE LOS DISEÑOS DE PROTECCIÓN CONTRA INCENDIOS PARA EL PROYECTO BODEGA 23 REPOTENCIACION SCI</t>
        </is>
      </c>
      <c r="D40" s="312" t="n"/>
      <c r="E40" s="312" t="n"/>
      <c r="F40" s="312" t="n"/>
      <c r="G40" s="312" t="n"/>
      <c r="H40" s="312" t="n"/>
      <c r="I40" s="313" t="n"/>
      <c r="J40" s="199" t="inlineStr">
        <is>
          <t>SPCI</t>
        </is>
      </c>
      <c r="K40" s="314" t="n">
        <v>39950000</v>
      </c>
      <c r="L40" s="2" t="n">
        <v>44957</v>
      </c>
      <c r="M40" s="170" t="n"/>
      <c r="N40" s="170" t="inlineStr">
        <is>
          <t>310 4165783</t>
        </is>
      </c>
      <c r="O40" s="170" t="inlineStr">
        <is>
          <t>Cristiam Gustavo Mondragon Cortes</t>
        </is>
      </c>
      <c r="P40" s="52" t="inlineStr">
        <is>
          <t>cristiam.mondragon@spci.com.co</t>
        </is>
      </c>
    </row>
    <row r="41">
      <c r="B41" s="170" t="n">
        <v>29</v>
      </c>
      <c r="C41" s="233" t="inlineStr">
        <is>
          <t>COTIZACION DEL ANÁLISIS DE SEGURIDAD HUMANA PARA EL PROYECTO REASENTAMIENTO GRAMALOTE FASE 1 EN COLOMBIA</t>
        </is>
      </c>
      <c r="D41" s="312" t="n"/>
      <c r="E41" s="312" t="n"/>
      <c r="F41" s="312" t="n"/>
      <c r="G41" s="312" t="n"/>
      <c r="H41" s="312" t="n"/>
      <c r="I41" s="313" t="n"/>
      <c r="J41" s="199" t="inlineStr">
        <is>
          <t>CONCONCRETO</t>
        </is>
      </c>
      <c r="K41" s="314" t="n">
        <v>3950000</v>
      </c>
      <c r="L41" s="2" t="n">
        <v>44957</v>
      </c>
      <c r="M41" s="170" t="inlineStr">
        <is>
          <t>X</t>
        </is>
      </c>
      <c r="N41" s="170" t="n"/>
      <c r="O41" s="170" t="inlineStr">
        <is>
          <t>Sara Restrepo</t>
        </is>
      </c>
      <c r="P41" s="52" t="n"/>
    </row>
    <row r="42">
      <c r="B42" s="170" t="n">
        <v>30</v>
      </c>
      <c r="C42" s="199" t="inlineStr">
        <is>
          <t>COTIZACION DEL ANÁLISIS DE SEGURIDAD HUMANA PARA EL PROYECTO TULIO OSPINA</t>
        </is>
      </c>
      <c r="D42" s="312" t="n"/>
      <c r="E42" s="312" t="n"/>
      <c r="F42" s="312" t="n"/>
      <c r="G42" s="312" t="n"/>
      <c r="H42" s="312" t="n"/>
      <c r="I42" s="313" t="n"/>
      <c r="J42" s="199" t="inlineStr">
        <is>
          <t>Kevin Batista</t>
        </is>
      </c>
      <c r="K42" s="314" t="n">
        <v>13540000</v>
      </c>
      <c r="L42" s="2" t="n">
        <v>44957</v>
      </c>
      <c r="M42" s="170" t="n"/>
      <c r="N42" s="170" t="n">
        <v>3023105548</v>
      </c>
      <c r="O42" s="170" t="inlineStr">
        <is>
          <t>Kevin Batista</t>
        </is>
      </c>
      <c r="P42" s="52" t="inlineStr">
        <is>
          <t>kevin15batista@gmail.com</t>
        </is>
      </c>
    </row>
    <row r="43">
      <c r="B43" s="170" t="n">
        <v>31</v>
      </c>
      <c r="C43" s="199" t="inlineStr">
        <is>
          <t>COTIZACION DEL DISEÑO SOPORTES SISMORRESISTENTE RESERVA DEL PARQUE</t>
        </is>
      </c>
      <c r="D43" s="312" t="n"/>
      <c r="E43" s="312" t="n"/>
      <c r="F43" s="312" t="n"/>
      <c r="G43" s="312" t="n"/>
      <c r="H43" s="312" t="n"/>
      <c r="I43" s="313" t="n"/>
      <c r="J43" s="199" t="inlineStr">
        <is>
          <t>SPCI</t>
        </is>
      </c>
      <c r="K43" s="314" t="n">
        <v>690000</v>
      </c>
      <c r="L43" s="2" t="n">
        <v>44958</v>
      </c>
      <c r="M43" s="170" t="n"/>
      <c r="N43" s="170" t="n">
        <v>3146920966</v>
      </c>
      <c r="O43" s="170" t="inlineStr">
        <is>
          <t>Daniel Uribe</t>
        </is>
      </c>
      <c r="P43" s="52" t="inlineStr">
        <is>
          <t>daniel.uribe@spci.com.co</t>
        </is>
      </c>
    </row>
    <row r="44">
      <c r="B44" s="170" t="n">
        <v>32</v>
      </c>
      <c r="C44" s="233" t="inlineStr">
        <is>
          <t>COTIZACION DE LOS DISEÑOS DE PROTECCIÓN CONTRA INCENDIOS Y SEGURIDAD HUMANA PARA EL PROYECTO COLEGIO JOSE MARIA MANYANET</t>
        </is>
      </c>
      <c r="D44" s="312" t="n"/>
      <c r="E44" s="312" t="n"/>
      <c r="F44" s="312" t="n"/>
      <c r="G44" s="312" t="n"/>
      <c r="H44" s="312" t="n"/>
      <c r="I44" s="313" t="n"/>
      <c r="J44" s="199" t="inlineStr">
        <is>
          <t>Aguas Ingeniería Medellín</t>
        </is>
      </c>
      <c r="K44" s="314" t="n">
        <v>11790000</v>
      </c>
      <c r="L44" s="2" t="n">
        <v>44959</v>
      </c>
      <c r="M44" s="170" t="n"/>
      <c r="N44" s="170" t="inlineStr">
        <is>
          <t xml:space="preserve"> 3015743970-3192090844-3226861576</t>
        </is>
      </c>
      <c r="O44" s="170" t="inlineStr">
        <is>
          <t>Andrés Ardila Duque</t>
        </is>
      </c>
      <c r="P44" s="87" t="inlineStr">
        <is>
          <t>aguasingenieriamed@gmail.com</t>
        </is>
      </c>
    </row>
    <row r="45">
      <c r="B45" s="170" t="n">
        <v>33</v>
      </c>
      <c r="C45" s="199" t="inlineStr">
        <is>
          <t>COTIZACION DE LOS DISEÑOS DE PROTECCIÓN CONTRA INCENDIOS Y SEGURIDAD HUMANA PARA EL PROYECTO CLINICA KRA 49B</t>
        </is>
      </c>
      <c r="D45" s="312" t="n"/>
      <c r="E45" s="312" t="n"/>
      <c r="F45" s="312" t="n"/>
      <c r="G45" s="312" t="n"/>
      <c r="H45" s="312" t="n"/>
      <c r="I45" s="313" t="n"/>
      <c r="J45" s="199" t="inlineStr">
        <is>
          <t>VIVA 1A IPS</t>
        </is>
      </c>
      <c r="K45" s="314" t="n">
        <v>10970000</v>
      </c>
      <c r="L45" s="2" t="n">
        <v>44959</v>
      </c>
      <c r="M45" s="2" t="n"/>
      <c r="N45" s="170" t="n">
        <v>3156648484</v>
      </c>
      <c r="O45" s="170" t="inlineStr">
        <is>
          <t>Juan Alberto Fontalvo Polo</t>
        </is>
      </c>
      <c r="P45" s="87" t="inlineStr">
        <is>
          <t>jfontalvo@viva1a.com.co</t>
        </is>
      </c>
    </row>
    <row r="46">
      <c r="B46" s="49" t="n">
        <v>34</v>
      </c>
      <c r="C46" s="199" t="n"/>
      <c r="D46" s="312" t="n"/>
      <c r="E46" s="312" t="n"/>
      <c r="F46" s="312" t="n"/>
      <c r="G46" s="312" t="n"/>
      <c r="H46" s="312" t="n"/>
      <c r="I46" s="313" t="n"/>
      <c r="J46" s="199" t="n"/>
      <c r="K46" s="314" t="n"/>
      <c r="L46" s="2" t="n"/>
      <c r="M46" s="170" t="n"/>
      <c r="N46" s="170" t="n"/>
      <c r="O46" s="170" t="n"/>
      <c r="P46" s="52" t="n"/>
    </row>
    <row r="47">
      <c r="B47" s="170" t="n">
        <v>35</v>
      </c>
      <c r="C47" s="199" t="inlineStr">
        <is>
          <t>COTIZACION DE LOS DISEÑOS DE PROTECCIÓN CONTRA INCENDIOS Y SEGURIDAD HUMANA PARA EL PROYECTO CAFETERIA ELEMENTAL</t>
        </is>
      </c>
      <c r="D47" s="312" t="n"/>
      <c r="E47" s="312" t="n"/>
      <c r="F47" s="312" t="n"/>
      <c r="G47" s="312" t="n"/>
      <c r="H47" s="312" t="n"/>
      <c r="I47" s="313" t="n"/>
      <c r="J47" s="199" t="inlineStr">
        <is>
          <t>Colegio The Columbus School</t>
        </is>
      </c>
      <c r="K47" s="314" t="n">
        <v>7450000</v>
      </c>
      <c r="L47" s="2" t="n">
        <v>44959</v>
      </c>
      <c r="M47" s="2" t="inlineStr">
        <is>
          <t>X</t>
        </is>
      </c>
      <c r="N47" s="170" t="inlineStr">
        <is>
          <t>312 2886611</t>
        </is>
      </c>
      <c r="O47" s="170" t="inlineStr">
        <is>
          <t xml:space="preserve"> Paula Andrea Duque</t>
        </is>
      </c>
      <c r="P47" s="52" t="inlineStr">
        <is>
          <t>pduque@columbus.edu.co</t>
        </is>
      </c>
    </row>
    <row r="48">
      <c r="B48" s="170" t="n">
        <v>36</v>
      </c>
      <c r="C48" s="199" t="inlineStr">
        <is>
          <t>COTIZACION DE LOS DISEÑOS DE PROTECCIÓN CONTRA INCENDIOS Y SEGURIDAD HUMANA PARA EL PROYECTO VERMONTE MODIFICACION PISO 1</t>
        </is>
      </c>
      <c r="D48" s="312" t="n"/>
      <c r="E48" s="312" t="n"/>
      <c r="F48" s="312" t="n"/>
      <c r="G48" s="312" t="n"/>
      <c r="H48" s="312" t="n"/>
      <c r="I48" s="313" t="n"/>
      <c r="J48" s="199" t="inlineStr">
        <is>
          <t xml:space="preserve">Con-axion S.A.S. </t>
        </is>
      </c>
      <c r="K48" s="314" t="n">
        <v>7450000</v>
      </c>
      <c r="L48" s="2" t="n">
        <v>44959</v>
      </c>
      <c r="M48" s="2" t="inlineStr">
        <is>
          <t>X</t>
        </is>
      </c>
      <c r="N48" s="170" t="inlineStr">
        <is>
          <t xml:space="preserve"> (4) 440 9310</t>
        </is>
      </c>
      <c r="O48" s="170" t="inlineStr">
        <is>
          <t xml:space="preserve">JORGE O. TORO MONTES  </t>
        </is>
      </c>
      <c r="P48" s="52" t="inlineStr">
        <is>
          <t>jtoro@con-axion.com</t>
        </is>
      </c>
    </row>
    <row r="49">
      <c r="B49" s="170" t="n">
        <v>37</v>
      </c>
      <c r="C49" s="199" t="inlineStr">
        <is>
          <t>COTIZACION DEL ANÁLISIS DE SEGURIDAD HUMANA PARA EL PROYECTO LOS CAMBULOS</t>
        </is>
      </c>
      <c r="D49" s="312" t="n"/>
      <c r="E49" s="312" t="n"/>
      <c r="F49" s="312" t="n"/>
      <c r="G49" s="312" t="n"/>
      <c r="H49" s="312" t="n"/>
      <c r="I49" s="313" t="n"/>
      <c r="J49" s="199" t="inlineStr">
        <is>
          <t>Constructora Guasandi s.a.s</t>
        </is>
      </c>
      <c r="K49" s="314" t="n">
        <v>4500000</v>
      </c>
      <c r="L49" s="2" t="n">
        <v>44960</v>
      </c>
      <c r="M49" s="2" t="n"/>
      <c r="N49" s="170" t="inlineStr">
        <is>
          <t>323 5893023 y/o (604)5609600 ext.104.</t>
        </is>
      </c>
      <c r="O49" s="170" t="inlineStr">
        <is>
          <t>Angélica Patiño</t>
        </is>
      </c>
      <c r="P49" s="52" t="inlineStr">
        <is>
          <t>diseno@constructoradeobras.com</t>
        </is>
      </c>
    </row>
    <row r="50">
      <c r="B50" s="170" t="n">
        <v>38</v>
      </c>
      <c r="C50" s="199" t="inlineStr">
        <is>
          <t>COTIZACION DE LOS DISEÑOS DE PROTECCIÓN CONTRA INCENDIOS Y SEGURIDAD HUMANA PARA EL PROYECTO SINCELEJO</t>
        </is>
      </c>
      <c r="D50" s="312" t="n"/>
      <c r="E50" s="312" t="n"/>
      <c r="F50" s="312" t="n"/>
      <c r="G50" s="312" t="n"/>
      <c r="H50" s="312" t="n"/>
      <c r="I50" s="313" t="n"/>
      <c r="J50" s="199" t="inlineStr">
        <is>
          <t>FCR</t>
        </is>
      </c>
      <c r="K50" s="314" t="n">
        <v>14450000</v>
      </c>
      <c r="L50" s="2" t="n">
        <v>44960</v>
      </c>
      <c r="M50" s="170" t="n"/>
      <c r="N50" s="170" t="n"/>
      <c r="O50" s="170" t="inlineStr">
        <is>
          <t>Oscar Andres Alvarez</t>
        </is>
      </c>
      <c r="P50" s="52" t="n"/>
    </row>
    <row r="51">
      <c r="B51" s="170" t="n">
        <v>39</v>
      </c>
      <c r="C51" s="233" t="inlineStr">
        <is>
          <t>COTIZACION DE LOS DISEÑOS DE PROTECCIÓN CONTRA INCENDIOS PARA EL PROYECTO COLCHONES EL DORADO</t>
        </is>
      </c>
      <c r="D51" s="312" t="n"/>
      <c r="E51" s="312" t="n"/>
      <c r="F51" s="312" t="n"/>
      <c r="G51" s="312" t="n"/>
      <c r="H51" s="312" t="n"/>
      <c r="I51" s="313" t="n"/>
      <c r="J51" s="199" t="inlineStr">
        <is>
          <t>SPCI</t>
        </is>
      </c>
      <c r="K51" s="314" t="n">
        <v>19980000</v>
      </c>
      <c r="L51" s="2" t="n">
        <v>44960</v>
      </c>
      <c r="M51" s="2" t="n"/>
      <c r="N51" s="170" t="n">
        <v>3146920966</v>
      </c>
      <c r="O51" s="84" t="inlineStr">
        <is>
          <t>Daniel Uribe Sierra</t>
        </is>
      </c>
      <c r="P51" s="82" t="inlineStr">
        <is>
          <t>daniel.uribe@spci.com.co</t>
        </is>
      </c>
    </row>
    <row r="52">
      <c r="B52" s="170" t="n">
        <v>40</v>
      </c>
      <c r="C52" s="199" t="inlineStr">
        <is>
          <t>COTIZACION DE LOS DISEÑOS DE PROTECCIÓN CONTRA INCENDIOS Y SEGURIDAD HUMANA PARA EL PROYECTO LA SALLE</t>
        </is>
      </c>
      <c r="D52" s="312" t="n"/>
      <c r="E52" s="312" t="n"/>
      <c r="F52" s="312" t="n"/>
      <c r="G52" s="312" t="n"/>
      <c r="H52" s="312" t="n"/>
      <c r="I52" s="313" t="n"/>
      <c r="J52" s="199" t="inlineStr">
        <is>
          <t>Coninsa</t>
        </is>
      </c>
      <c r="K52" s="314" t="n">
        <v>23990000</v>
      </c>
      <c r="L52" s="2" t="n">
        <v>44960</v>
      </c>
      <c r="M52" s="2" t="n"/>
      <c r="N52" s="170" t="inlineStr">
        <is>
          <t>300 754 96 49</t>
        </is>
      </c>
      <c r="O52" s="170" t="inlineStr">
        <is>
          <t>Zully Milena López Molina</t>
        </is>
      </c>
      <c r="P52" s="52" t="inlineStr">
        <is>
          <t>zmlopez@coninsa.co</t>
        </is>
      </c>
    </row>
    <row r="53">
      <c r="B53" s="170" t="n">
        <v>41</v>
      </c>
      <c r="C53" s="199" t="inlineStr">
        <is>
          <t>COTIZACION DEL DISEÑO DE EXTINCIÓN DE INCENDIOS - MODELACIÓN Y CÁLCULOS CONSULTORIO CALI</t>
        </is>
      </c>
      <c r="D53" s="312" t="n"/>
      <c r="E53" s="312" t="n"/>
      <c r="F53" s="312" t="n"/>
      <c r="G53" s="312" t="n"/>
      <c r="H53" s="312" t="n"/>
      <c r="I53" s="313" t="n"/>
      <c r="J53" s="199" t="inlineStr">
        <is>
          <t>MAURICIO SEPULVEDA</t>
        </is>
      </c>
      <c r="K53" s="314" t="n">
        <v>630000</v>
      </c>
      <c r="L53" s="2" t="n">
        <v>44961</v>
      </c>
      <c r="M53" s="170" t="n"/>
      <c r="N53" s="170" t="inlineStr">
        <is>
          <t>301 2547727</t>
        </is>
      </c>
      <c r="O53" s="172" t="inlineStr">
        <is>
          <t>Mauricio Sepulveda</t>
        </is>
      </c>
      <c r="P53" s="52" t="inlineStr">
        <is>
          <t>obrasms84@gmail.com</t>
        </is>
      </c>
    </row>
    <row r="54">
      <c r="B54" s="170" t="n">
        <v>42</v>
      </c>
      <c r="C54" s="233" t="inlineStr">
        <is>
          <t xml:space="preserve">COTIZACION DE LOS DISEÑOS DE PROTECCIÓN CONTRA INCENDIOS Y SEGURIDAD HUMANA PARA EL PROYECTO CENTRAL DE SERVICIOS LA CEJA
</t>
        </is>
      </c>
      <c r="D54" s="312" t="n"/>
      <c r="E54" s="312" t="n"/>
      <c r="F54" s="312" t="n"/>
      <c r="G54" s="312" t="n"/>
      <c r="H54" s="312" t="n"/>
      <c r="I54" s="313" t="n"/>
      <c r="J54" s="199" t="inlineStr">
        <is>
          <t>SOCOMES</t>
        </is>
      </c>
      <c r="K54" s="314" t="n">
        <v>13790000</v>
      </c>
      <c r="L54" s="2" t="n">
        <v>44964</v>
      </c>
      <c r="M54" s="170" t="n"/>
      <c r="N54" s="170" t="n">
        <v>3137851941</v>
      </c>
      <c r="O54" s="170" t="inlineStr">
        <is>
          <t>DAVID LOPERA MEDINA</t>
        </is>
      </c>
      <c r="P54" s="52" t="inlineStr">
        <is>
          <t>david.lopera@socomes.com</t>
        </is>
      </c>
    </row>
    <row r="55">
      <c r="B55" s="170" t="n">
        <v>43</v>
      </c>
      <c r="C55" s="199" t="inlineStr">
        <is>
          <t>COTIZACION DE LOS DISEÑOS DE PROTECCIÓN CONTRA INCENDIOS PARA EL PROYECTO PCH VENTANA</t>
        </is>
      </c>
      <c r="D55" s="312" t="n"/>
      <c r="E55" s="312" t="n"/>
      <c r="F55" s="312" t="n"/>
      <c r="G55" s="312" t="n"/>
      <c r="H55" s="312" t="n"/>
      <c r="I55" s="313" t="n"/>
      <c r="J55" s="199" t="inlineStr">
        <is>
          <t>SPCI</t>
        </is>
      </c>
      <c r="K55" s="314" t="n">
        <v>9970000</v>
      </c>
      <c r="L55" s="2" t="n">
        <v>44964</v>
      </c>
      <c r="M55" s="170" t="n"/>
      <c r="N55" s="170" t="inlineStr">
        <is>
          <t>310 4165783</t>
        </is>
      </c>
      <c r="O55" s="170" t="inlineStr">
        <is>
          <t>Cristiam Gustavo Mondragon Cortes</t>
        </is>
      </c>
      <c r="P55" s="52" t="inlineStr">
        <is>
          <t>cristiam.mondragon@spci.com.co</t>
        </is>
      </c>
    </row>
    <row r="56">
      <c r="B56" s="170" t="n">
        <v>44</v>
      </c>
      <c r="C56" s="246" t="inlineStr">
        <is>
          <t>COTIZACION DEL DISEÑO DE DETECCIÓN DE INCENDIOS - PORTAL DEL ORO</t>
        </is>
      </c>
      <c r="D56" s="312" t="n"/>
      <c r="E56" s="312" t="n"/>
      <c r="F56" s="312" t="n"/>
      <c r="G56" s="312" t="n"/>
      <c r="H56" s="312" t="n"/>
      <c r="I56" s="313" t="n"/>
      <c r="J56" s="199" t="inlineStr">
        <is>
          <t>GINO MONTOYA</t>
        </is>
      </c>
      <c r="K56" s="314" t="n">
        <v>1950000</v>
      </c>
      <c r="L56" s="2" t="n">
        <v>44964</v>
      </c>
      <c r="M56" s="170" t="n"/>
      <c r="N56" s="170" t="n">
        <v>3044003430</v>
      </c>
      <c r="O56" s="172" t="inlineStr">
        <is>
          <t>Gino Montoya</t>
        </is>
      </c>
      <c r="P56" s="52" t="inlineStr">
        <is>
          <t>gino1037@hotmail.com</t>
        </is>
      </c>
    </row>
    <row r="57">
      <c r="B57" s="170" t="n">
        <v>45</v>
      </c>
      <c r="C57" s="233" t="inlineStr">
        <is>
          <t>COTIZACIÓN DE LA MODELACIÓN Y CÁLCULOS DE LA RED GENERAL Y CONEXIONES DE MANGUERA PARA EL PROYECTO GIRASOLES</t>
        </is>
      </c>
      <c r="D57" s="312" t="n"/>
      <c r="E57" s="312" t="n"/>
      <c r="F57" s="312" t="n"/>
      <c r="G57" s="312" t="n"/>
      <c r="H57" s="312" t="n"/>
      <c r="I57" s="313" t="n"/>
      <c r="J57" s="199" t="inlineStr">
        <is>
          <t>SPCI</t>
        </is>
      </c>
      <c r="K57" s="314" t="n">
        <v>950000</v>
      </c>
      <c r="L57" s="2" t="n">
        <v>44965</v>
      </c>
      <c r="M57" s="2" t="n"/>
      <c r="N57" s="170" t="inlineStr">
        <is>
          <t>314 6082856</t>
        </is>
      </c>
      <c r="O57" s="170" t="inlineStr">
        <is>
          <t>Bayron Eliecer Puerta</t>
        </is>
      </c>
      <c r="P57" s="52" t="inlineStr">
        <is>
          <t>bayron.puerta@spci.com.co</t>
        </is>
      </c>
    </row>
    <row r="58">
      <c r="B58" s="170" t="n">
        <v>46</v>
      </c>
      <c r="C58" s="199" t="inlineStr">
        <is>
          <t>COTIZACION DE LOS DISEÑOS DE PROTECCIÓN CONTRA INCENDIOS Y SEGURIDAD HUMANA PARA EL PROYECTO BANCOLOMBIA SOLEDAD</t>
        </is>
      </c>
      <c r="D58" s="312" t="n"/>
      <c r="E58" s="312" t="n"/>
      <c r="F58" s="312" t="n"/>
      <c r="G58" s="312" t="n"/>
      <c r="H58" s="312" t="n"/>
      <c r="I58" s="313" t="n"/>
      <c r="J58" s="79" t="inlineStr">
        <is>
          <t>SANTIAGO ROJAS</t>
        </is>
      </c>
      <c r="K58" s="328" t="n">
        <v>5890000</v>
      </c>
      <c r="L58" s="2" t="n">
        <v>44965</v>
      </c>
      <c r="N58" t="n">
        <v>3022806727</v>
      </c>
      <c r="O58" s="92" t="inlineStr">
        <is>
          <t>Manuela Arboleda Pajoy</t>
        </is>
      </c>
      <c r="P58" s="89" t="inlineStr">
        <is>
          <t>sraic.diseno@gmail.com</t>
        </is>
      </c>
    </row>
    <row r="59">
      <c r="B59" s="170" t="n">
        <v>47</v>
      </c>
      <c r="C59" s="199" t="inlineStr">
        <is>
          <t>COTIZACION DEL DISEÑO DE EXTINCIÓN DE INCENDIOS - VORTEX MINIPACK</t>
        </is>
      </c>
      <c r="D59" s="312" t="n"/>
      <c r="E59" s="312" t="n"/>
      <c r="F59" s="312" t="n"/>
      <c r="G59" s="312" t="n"/>
      <c r="H59" s="312" t="n"/>
      <c r="I59" s="313" t="n"/>
      <c r="J59" s="199" t="inlineStr">
        <is>
          <t>SFIRE</t>
        </is>
      </c>
      <c r="K59" s="314" t="n">
        <v>7550000</v>
      </c>
      <c r="L59" s="2" t="n">
        <v>44965</v>
      </c>
      <c r="M59" s="170" t="n"/>
      <c r="N59" s="170" t="n">
        <v>3108227462</v>
      </c>
      <c r="O59" s="172" t="inlineStr">
        <is>
          <t>ALVARO MANOSALVA</t>
        </is>
      </c>
      <c r="P59" s="52" t="inlineStr">
        <is>
          <t>alvaromanosalva@sfiregroup.com</t>
        </is>
      </c>
    </row>
    <row r="60">
      <c r="B60" s="170" t="n">
        <v>48</v>
      </c>
      <c r="C60" s="199" t="inlineStr">
        <is>
          <t>COTIZACION DE LA REVISIÓN DE LOS DISEÑOS DE EXTINCIÓN DE INCENDIOS - MINIPACK</t>
        </is>
      </c>
      <c r="D60" s="199" t="n"/>
      <c r="E60" s="199" t="n"/>
      <c r="F60" s="199" t="n"/>
      <c r="G60" s="199" t="n"/>
      <c r="H60" s="199" t="n"/>
      <c r="I60" s="199" t="n"/>
      <c r="J60" s="199" t="inlineStr">
        <is>
          <t>SFIRE</t>
        </is>
      </c>
      <c r="K60" s="314" t="n">
        <v>6950000</v>
      </c>
      <c r="L60" s="2" t="n">
        <v>44965</v>
      </c>
      <c r="M60" s="170" t="n"/>
      <c r="N60" s="170" t="n">
        <v>3108227462</v>
      </c>
      <c r="O60" s="172" t="inlineStr">
        <is>
          <t>ALVARO MANOSALVA</t>
        </is>
      </c>
      <c r="P60" s="52" t="inlineStr">
        <is>
          <t>alvaromanosalva@sfiregroup.com</t>
        </is>
      </c>
    </row>
    <row r="61">
      <c r="B61" s="170" t="n">
        <v>49</v>
      </c>
      <c r="C61" s="199" t="inlineStr">
        <is>
          <t>COTIZACION DEL DISEÑO DE EXTINCIÓN DE INCENDIOS - RANSA YUMBO</t>
        </is>
      </c>
      <c r="D61" s="312" t="n"/>
      <c r="E61" s="312" t="n"/>
      <c r="F61" s="312" t="n"/>
      <c r="G61" s="312" t="n"/>
      <c r="H61" s="312" t="n"/>
      <c r="I61" s="313" t="n"/>
      <c r="J61" s="199" t="inlineStr">
        <is>
          <t>SPCI</t>
        </is>
      </c>
      <c r="K61" s="314" t="n">
        <v>19950000</v>
      </c>
      <c r="L61" s="2" t="n">
        <v>44966</v>
      </c>
      <c r="M61" s="170" t="n"/>
      <c r="N61" s="170" t="inlineStr">
        <is>
          <t xml:space="preserve"> 310 468 0508</t>
        </is>
      </c>
      <c r="O61" s="170" t="inlineStr">
        <is>
          <t>Juan Pablo Grajales Gómez</t>
        </is>
      </c>
      <c r="P61" s="52" t="inlineStr">
        <is>
          <t>juan.grajales@spci.com.co</t>
        </is>
      </c>
    </row>
    <row r="62">
      <c r="B62" s="170" t="n">
        <v>50</v>
      </c>
      <c r="C62" s="199" t="inlineStr">
        <is>
          <t>spc</t>
        </is>
      </c>
      <c r="D62" s="312" t="n"/>
      <c r="E62" s="312" t="n"/>
      <c r="F62" s="312" t="n"/>
      <c r="G62" s="312" t="n"/>
      <c r="H62" s="312" t="n"/>
      <c r="I62" s="313" t="n"/>
      <c r="J62" s="199" t="inlineStr">
        <is>
          <t>RRP ARQUITECTOS</t>
        </is>
      </c>
      <c r="K62" s="314" t="n">
        <v>5640000</v>
      </c>
      <c r="L62" s="2" t="n">
        <v>44966</v>
      </c>
      <c r="M62" s="2" t="n"/>
      <c r="N62" s="170" t="inlineStr">
        <is>
          <t>311 6101334</t>
        </is>
      </c>
      <c r="O62" s="170" t="inlineStr">
        <is>
          <t>Sebastián Rojas</t>
        </is>
      </c>
      <c r="P62" s="52" t="n"/>
    </row>
    <row r="63">
      <c r="B63" s="170" t="n">
        <v>51</v>
      </c>
      <c r="C63" s="199" t="inlineStr">
        <is>
          <t>COTIZACION DE LOS DISEÑOS DE SEGURIDAD HUMANA Y EXTINCIÓN DE INCENDIOS - ACUARELA DEL RIO TORRE 2</t>
        </is>
      </c>
      <c r="D63" s="312" t="n"/>
      <c r="E63" s="312" t="n"/>
      <c r="F63" s="312" t="n"/>
      <c r="G63" s="312" t="n"/>
      <c r="H63" s="312" t="n"/>
      <c r="I63" s="313" t="n"/>
      <c r="J63" s="199" t="inlineStr">
        <is>
          <t>SPCI</t>
        </is>
      </c>
      <c r="K63" s="314" t="n">
        <v>6960000</v>
      </c>
      <c r="L63" s="2" t="n">
        <v>44967</v>
      </c>
      <c r="M63" s="170" t="inlineStr">
        <is>
          <t>X</t>
        </is>
      </c>
      <c r="N63" s="170" t="inlineStr">
        <is>
          <t>310 420 3649</t>
        </is>
      </c>
      <c r="O63" s="170" t="inlineStr">
        <is>
          <t>Mauricio Guzmán Urrea</t>
        </is>
      </c>
      <c r="P63" s="52" t="inlineStr">
        <is>
          <t>mauricio.guzman@spci.com.co</t>
        </is>
      </c>
    </row>
    <row r="64">
      <c r="B64" s="170" t="n">
        <v>52</v>
      </c>
      <c r="C64" s="246" t="inlineStr">
        <is>
          <t xml:space="preserve">COTIZACION DEL DISEÑO DE EXTINCIÓN DE INCENDIOS PARA EL PROYECTO FERROFELEJES
</t>
        </is>
      </c>
      <c r="D64" s="312" t="n"/>
      <c r="E64" s="312" t="n"/>
      <c r="F64" s="312" t="n"/>
      <c r="G64" s="312" t="n"/>
      <c r="H64" s="312" t="n"/>
      <c r="I64" s="313" t="n"/>
      <c r="J64" s="199" t="inlineStr">
        <is>
          <t>Ferroflejes</t>
        </is>
      </c>
      <c r="K64" s="314" t="n">
        <v>12550000</v>
      </c>
      <c r="L64" s="2" t="n">
        <v>44970</v>
      </c>
      <c r="M64" s="2" t="n"/>
      <c r="N64" s="170" t="n"/>
      <c r="O64" s="170" t="inlineStr">
        <is>
          <t xml:space="preserve"> Mauricio Gaviria</t>
        </is>
      </c>
      <c r="P64" s="52" t="inlineStr">
        <is>
          <t>maurogavi@une.net.co</t>
        </is>
      </c>
    </row>
    <row r="65">
      <c r="B65" s="170" t="n">
        <v>53</v>
      </c>
      <c r="C65" s="199" t="inlineStr">
        <is>
          <t>COTIZACION DEL ANÁLISIS DE SEGURIDAD HUMANA PARA EL PROYECTO RIO 53 AGUACATALA</t>
        </is>
      </c>
      <c r="D65" s="312" t="n"/>
      <c r="E65" s="312" t="n"/>
      <c r="F65" s="312" t="n"/>
      <c r="G65" s="312" t="n"/>
      <c r="H65" s="312" t="n"/>
      <c r="I65" s="313" t="n"/>
      <c r="J65" s="199" t="inlineStr">
        <is>
          <t>MACCA Desarrollo Inmobiliario</t>
        </is>
      </c>
      <c r="K65" s="314" t="n">
        <v>4350000</v>
      </c>
      <c r="L65" s="2" t="n">
        <v>44970</v>
      </c>
      <c r="M65" s="170" t="inlineStr">
        <is>
          <t>X</t>
        </is>
      </c>
      <c r="N65" s="170" t="n"/>
      <c r="O65" s="170" t="inlineStr">
        <is>
          <t>Jorge Ivan Molano Bedoya</t>
        </is>
      </c>
      <c r="P65" s="52" t="inlineStr">
        <is>
          <t>jorgemolano@macca.com.co</t>
        </is>
      </c>
    </row>
    <row r="66">
      <c r="B66" s="170" t="n">
        <v>54</v>
      </c>
      <c r="C66" s="199" t="inlineStr">
        <is>
          <t>COTIZACION DEL DISEÑO DE DETECCIÓN DE INCENDIOS PARA EL PROYECTO TEATRO METROPOLITANO JOSE GUTIERREZ GOMEZ</t>
        </is>
      </c>
      <c r="D66" s="312" t="n"/>
      <c r="E66" s="312" t="n"/>
      <c r="F66" s="312" t="n"/>
      <c r="G66" s="312" t="n"/>
      <c r="H66" s="312" t="n"/>
      <c r="I66" s="313" t="n"/>
      <c r="J66" s="199" t="inlineStr">
        <is>
          <t>SECURETEC</t>
        </is>
      </c>
      <c r="K66" s="314" t="n">
        <v>5650000</v>
      </c>
      <c r="L66" s="2" t="n">
        <v>44970</v>
      </c>
      <c r="M66" s="2" t="n"/>
      <c r="N66" s="170" t="n"/>
      <c r="O66" s="170" t="inlineStr">
        <is>
          <t>Julian David Cmacho Galvis</t>
        </is>
      </c>
      <c r="P66" s="52" t="inlineStr">
        <is>
          <t>ascomercial2@securetec.com.co</t>
        </is>
      </c>
    </row>
    <row r="67">
      <c r="B67" s="170" t="n">
        <v>55</v>
      </c>
      <c r="C67" s="199" t="inlineStr">
        <is>
          <t>COTIZACION DE LOS DISEÑOS DE SEGURIDAD HUMANA Y PROTECCIÓN CONTRA  INCENDIOS - PROYECTO BESIDE</t>
        </is>
      </c>
      <c r="D67" s="312" t="n"/>
      <c r="E67" s="312" t="n"/>
      <c r="F67" s="312" t="n"/>
      <c r="G67" s="312" t="n"/>
      <c r="H67" s="312" t="n"/>
      <c r="I67" s="313" t="n"/>
      <c r="J67" s="199" t="inlineStr">
        <is>
          <t>SOCOMES</t>
        </is>
      </c>
      <c r="K67" s="314" t="n">
        <v>1660000</v>
      </c>
      <c r="L67" s="2" t="n">
        <v>44970</v>
      </c>
      <c r="M67" s="2" t="n"/>
      <c r="N67" s="170" t="n">
        <v>3137851941</v>
      </c>
      <c r="O67" s="170" t="inlineStr">
        <is>
          <t>DAVID LOPERA MEDINA</t>
        </is>
      </c>
      <c r="P67" s="52" t="inlineStr">
        <is>
          <t>david.lopera@socomes.com</t>
        </is>
      </c>
    </row>
    <row r="68">
      <c r="B68" s="170" t="n">
        <v>56</v>
      </c>
      <c r="C68" s="199" t="inlineStr">
        <is>
          <t xml:space="preserve"> COTIZACION DEL REDISEÑO DE EXTINCIÓN DE INCENDIOS - KUO</t>
        </is>
      </c>
      <c r="D68" s="312" t="n"/>
      <c r="E68" s="312" t="n"/>
      <c r="F68" s="312" t="n"/>
      <c r="G68" s="312" t="n"/>
      <c r="H68" s="312" t="n"/>
      <c r="I68" s="313" t="n"/>
      <c r="J68" s="199" t="inlineStr">
        <is>
          <t>CONTEX</t>
        </is>
      </c>
      <c r="K68" s="314" t="n">
        <v>5000000</v>
      </c>
      <c r="L68" s="2" t="n">
        <v>44970</v>
      </c>
      <c r="M68" s="170" t="inlineStr">
        <is>
          <t>X</t>
        </is>
      </c>
      <c r="N68" s="170" t="n">
        <v>3104145629</v>
      </c>
      <c r="O68" s="170" t="inlineStr">
        <is>
          <t>Matria Camila Velásquez</t>
        </is>
      </c>
      <c r="P68" s="52" t="inlineStr">
        <is>
          <t>mcvelasquez@contex.com.co</t>
        </is>
      </c>
    </row>
    <row r="69" ht="15" customHeight="1">
      <c r="B69" s="170" t="n">
        <v>57</v>
      </c>
      <c r="C69" s="199" t="inlineStr">
        <is>
          <t>COTIZACION DE LOS DISEÑOS DE PROTECCIÓN CONTRA INCENDIOS - ACUEDUCTO DE BOGOTÁ</t>
        </is>
      </c>
      <c r="D69" s="312" t="n"/>
      <c r="E69" s="312" t="n"/>
      <c r="F69" s="312" t="n"/>
      <c r="G69" s="312" t="n"/>
      <c r="H69" s="312" t="n"/>
      <c r="I69" s="313" t="n"/>
      <c r="J69" s="199" t="inlineStr">
        <is>
          <t>SPCI</t>
        </is>
      </c>
      <c r="K69" s="314" t="n">
        <v>19940000</v>
      </c>
      <c r="L69" s="2" t="n">
        <v>44970</v>
      </c>
      <c r="M69" s="170" t="n"/>
      <c r="N69" s="170" t="inlineStr">
        <is>
          <t xml:space="preserve"> 310 468 0508</t>
        </is>
      </c>
      <c r="O69" s="170" t="inlineStr">
        <is>
          <t>Juan Pablo Grajales Gómez</t>
        </is>
      </c>
      <c r="P69" s="52" t="inlineStr">
        <is>
          <t>juan.grajales@spci.com.co</t>
        </is>
      </c>
    </row>
    <row r="70">
      <c r="B70" s="170" t="n">
        <v>58</v>
      </c>
      <c r="C70" s="199" t="inlineStr">
        <is>
          <t>COTIZACION DEL ANÁLISIS DE SEGURIDAD HUMANA PARA EL PROYECTO OFICINAS GOOGLE BOGOTA</t>
        </is>
      </c>
      <c r="D70" s="312" t="n"/>
      <c r="E70" s="312" t="n"/>
      <c r="F70" s="312" t="n"/>
      <c r="G70" s="312" t="n"/>
      <c r="H70" s="312" t="n"/>
      <c r="I70" s="313" t="n"/>
      <c r="J70" s="199" t="inlineStr">
        <is>
          <t>SSTUDIO SUR</t>
        </is>
      </c>
      <c r="K70" s="314" t="n">
        <v>3150000</v>
      </c>
      <c r="L70" s="2" t="n">
        <v>44970</v>
      </c>
      <c r="M70" s="170" t="inlineStr">
        <is>
          <t>X</t>
        </is>
      </c>
      <c r="N70" s="170" t="inlineStr">
        <is>
          <t>315 3046377</t>
        </is>
      </c>
      <c r="O70" s="170" t="inlineStr">
        <is>
          <t>Laura Arias Abad</t>
        </is>
      </c>
      <c r="P70" s="52" t="inlineStr">
        <is>
          <t>laura.arias@studiosur.net</t>
        </is>
      </c>
    </row>
    <row r="71">
      <c r="B71" s="170" t="n">
        <v>59</v>
      </c>
      <c r="C71" s="233" t="inlineStr">
        <is>
          <t>COTIZACION DE LOS DISEÑOS DE PROTECCIÓN CONTRA INCENDIOS Y SEGURIDAD HUMANA PARA EL PROYECTO LOTE CAROLICA PEREIRA</t>
        </is>
      </c>
      <c r="D71" s="312" t="n"/>
      <c r="E71" s="312" t="n"/>
      <c r="F71" s="312" t="n"/>
      <c r="G71" s="312" t="n"/>
      <c r="H71" s="312" t="n"/>
      <c r="I71" s="313" t="n"/>
      <c r="J71" s="199" t="inlineStr">
        <is>
          <t>SERIINCO</t>
        </is>
      </c>
      <c r="K71" s="314" t="n">
        <v>28220000</v>
      </c>
      <c r="L71" s="2" t="n">
        <v>44972</v>
      </c>
      <c r="M71" s="170" t="n"/>
      <c r="N71" s="170" t="inlineStr">
        <is>
          <t>311 3391008</t>
        </is>
      </c>
      <c r="O71" s="170" t="inlineStr">
        <is>
          <t>Carlos Henao</t>
        </is>
      </c>
      <c r="P71" s="52" t="inlineStr">
        <is>
          <t>carlos.henao@seriinco.com</t>
        </is>
      </c>
    </row>
    <row r="72">
      <c r="B72" s="170" t="n">
        <v>60</v>
      </c>
      <c r="C72" s="246" t="inlineStr">
        <is>
          <t xml:space="preserve">COTIZACION DEL DISEÑO DE EXTINCIÓN DE INCENDIOS PARA EL PROYECTO POLÍGONO 120
</t>
        </is>
      </c>
      <c r="D72" s="312" t="n"/>
      <c r="E72" s="312" t="n"/>
      <c r="F72" s="312" t="n"/>
      <c r="G72" s="312" t="n"/>
      <c r="H72" s="312" t="n"/>
      <c r="I72" s="313" t="n"/>
      <c r="J72" s="199" t="inlineStr">
        <is>
          <t>SOHINCO</t>
        </is>
      </c>
      <c r="K72" s="314" t="n">
        <v>9950000</v>
      </c>
      <c r="L72" s="2" t="n">
        <v>44972</v>
      </c>
      <c r="M72" s="2" t="n"/>
      <c r="N72" s="170" t="inlineStr">
        <is>
          <t>304 5430256</t>
        </is>
      </c>
      <c r="O72" s="170" t="inlineStr">
        <is>
          <t>Maritza Muñoz</t>
        </is>
      </c>
      <c r="P72" s="52" t="inlineStr">
        <is>
          <t>maritzam@sohinco.com</t>
        </is>
      </c>
    </row>
    <row r="73">
      <c r="B73" s="170" t="n">
        <v>61</v>
      </c>
      <c r="C73" s="199" t="inlineStr">
        <is>
          <t>COTIZACION DE LOS DISEÑOS DE PROTECCIÓN CONTRA INCENDIOS PARA EL PROYECTO EDIFICIO BIENESTAR OPERARIOS COMIDISIMOS</t>
        </is>
      </c>
      <c r="D73" s="312" t="n"/>
      <c r="E73" s="312" t="n"/>
      <c r="F73" s="312" t="n"/>
      <c r="G73" s="312" t="n"/>
      <c r="H73" s="312" t="n"/>
      <c r="I73" s="313" t="n"/>
      <c r="J73" s="199" t="inlineStr">
        <is>
          <t>SECURETEC</t>
        </is>
      </c>
      <c r="K73" s="314" t="n">
        <v>8700000</v>
      </c>
      <c r="L73" s="2" t="n">
        <v>44972</v>
      </c>
      <c r="M73" s="170" t="n"/>
      <c r="N73" s="170" t="n">
        <v>3206678830</v>
      </c>
      <c r="O73" s="170" t="inlineStr">
        <is>
          <t>Jhonny Castro</t>
        </is>
      </c>
      <c r="P73" s="52" t="inlineStr">
        <is>
          <t>dirproyectos@securetec.com.co</t>
        </is>
      </c>
    </row>
    <row r="74">
      <c r="B74" s="170" t="n">
        <v>62</v>
      </c>
      <c r="C74" s="199" t="inlineStr">
        <is>
          <t>COTIZACION DE LOS DISEÑOS DE PROTECCIÓN CONTRA INCENDIOS PARA EL PROYECTO LOCAL 158A CC VIVA VILLAVICENCIO</t>
        </is>
      </c>
      <c r="D74" s="312" t="n"/>
      <c r="E74" s="312" t="n"/>
      <c r="F74" s="312" t="n"/>
      <c r="G74" s="312" t="n"/>
      <c r="H74" s="312" t="n"/>
      <c r="I74" s="313" t="n"/>
      <c r="J74" s="199" t="inlineStr">
        <is>
          <t>SPCI</t>
        </is>
      </c>
      <c r="K74" s="314" t="n">
        <v>2510000</v>
      </c>
      <c r="L74" s="2" t="n">
        <v>44973</v>
      </c>
      <c r="M74" s="2" t="n"/>
      <c r="N74" s="170" t="inlineStr">
        <is>
          <t>310 4165783</t>
        </is>
      </c>
      <c r="O74" s="170" t="inlineStr">
        <is>
          <t>Cristiam Gustavo Mondragon Cortes</t>
        </is>
      </c>
      <c r="P74" s="52" t="inlineStr">
        <is>
          <t>cristiam.mondragon@spci.com.co</t>
        </is>
      </c>
    </row>
    <row r="75">
      <c r="B75" s="170" t="n">
        <v>63</v>
      </c>
      <c r="C75" s="199" t="inlineStr">
        <is>
          <t>COTIZACION DE LOS DISEÑOS DE PROTECCIÓN CONTRA INCENDIOS Y SEGURIDAD HUMANA PARA EL PROYECTO VIVIENDA LAKE PALMS</t>
        </is>
      </c>
      <c r="D75" s="312" t="n"/>
      <c r="E75" s="312" t="n"/>
      <c r="F75" s="312" t="n"/>
      <c r="G75" s="312" t="n"/>
      <c r="H75" s="312" t="n"/>
      <c r="I75" s="313" t="n"/>
      <c r="J75" s="199" t="inlineStr">
        <is>
          <t>IA&amp;C</t>
        </is>
      </c>
      <c r="K75" s="314" t="n">
        <v>19550000</v>
      </c>
      <c r="L75" s="2" t="n">
        <v>44973</v>
      </c>
      <c r="M75" s="170" t="n"/>
      <c r="N75" s="170" t="inlineStr">
        <is>
          <t>312 6536246</t>
        </is>
      </c>
      <c r="O75" s="170" t="inlineStr">
        <is>
          <t>Jorge Andres Rojas Cadavid</t>
        </is>
      </c>
      <c r="P75" s="52" t="inlineStr">
        <is>
          <t>jorgerojas@iayc.co</t>
        </is>
      </c>
    </row>
    <row r="76">
      <c r="B76" s="170" t="n">
        <v>64</v>
      </c>
      <c r="C76" s="199" t="inlineStr">
        <is>
          <t>COTIZACION DEL DISEÑO DE DETECCIÓN DE INCENDIOS PARA EL PROYECTO WOW GALERIA ÉXITO VIVA ENVIGADO</t>
        </is>
      </c>
      <c r="D76" s="312" t="n"/>
      <c r="E76" s="312" t="n"/>
      <c r="F76" s="312" t="n"/>
      <c r="G76" s="312" t="n"/>
      <c r="H76" s="312" t="n"/>
      <c r="I76" s="313" t="n"/>
      <c r="J76" s="199" t="inlineStr">
        <is>
          <t>SPCI</t>
        </is>
      </c>
      <c r="K76" s="314" t="n">
        <v>630000</v>
      </c>
      <c r="L76" s="2" t="n">
        <v>44973</v>
      </c>
      <c r="M76" s="2" t="inlineStr">
        <is>
          <t>X</t>
        </is>
      </c>
      <c r="N76" s="170" t="n">
        <v>3214826168</v>
      </c>
      <c r="O76" s="172" t="inlineStr">
        <is>
          <t>Ana Maria Restrepo Mayo</t>
        </is>
      </c>
      <c r="P76" s="52" t="inlineStr">
        <is>
          <t>ana.restrepo@spci.com.co</t>
        </is>
      </c>
    </row>
    <row r="77">
      <c r="B77" s="170" t="n">
        <v>65</v>
      </c>
      <c r="C77" s="199" t="inlineStr">
        <is>
          <t>COTIZACION DE LOS DISEÑOS DE PROTECCIÓN CONTRA INCENDIOS PARA EL PROYECTO PCH VENTANA</t>
        </is>
      </c>
      <c r="D77" s="312" t="n"/>
      <c r="E77" s="312" t="n"/>
      <c r="F77" s="312" t="n"/>
      <c r="G77" s="312" t="n"/>
      <c r="H77" s="312" t="n"/>
      <c r="I77" s="313" t="n"/>
      <c r="J77" s="199" t="inlineStr">
        <is>
          <t>Comex Internacional</t>
        </is>
      </c>
      <c r="K77" s="314" t="n">
        <v>19940000</v>
      </c>
      <c r="L77" s="2" t="n">
        <v>44973</v>
      </c>
      <c r="M77" s="2" t="n"/>
      <c r="N77" s="170" t="inlineStr">
        <is>
          <t>316 4962026</t>
        </is>
      </c>
      <c r="O77" s="170" t="inlineStr">
        <is>
          <t>Juan David Ossa.</t>
        </is>
      </c>
      <c r="P77" s="52" t="inlineStr">
        <is>
          <t>comercial@comexinternacional.com.co</t>
        </is>
      </c>
    </row>
    <row r="78">
      <c r="B78" s="170" t="n">
        <v>66</v>
      </c>
      <c r="C78" s="199" t="inlineStr">
        <is>
          <t>COTIZACION DEL DISEÑO DE EXTINCIÓN DE INCENDIOS PARA EL PROYECTO COLEGIO COLOMBUS SCHOOL COORDENAS 2019</t>
        </is>
      </c>
      <c r="D78" s="312" t="n"/>
      <c r="E78" s="312" t="n"/>
      <c r="F78" s="312" t="n"/>
      <c r="G78" s="312" t="n"/>
      <c r="H78" s="312" t="n"/>
      <c r="I78" s="313" t="n"/>
      <c r="J78" s="199" t="inlineStr">
        <is>
          <t>Colegio The Columbus School</t>
        </is>
      </c>
      <c r="K78" s="314" t="n">
        <v>7550000</v>
      </c>
      <c r="L78" s="2" t="n">
        <v>44973</v>
      </c>
      <c r="M78" s="2" t="n"/>
      <c r="N78" s="170" t="inlineStr">
        <is>
          <t>312 2886611</t>
        </is>
      </c>
      <c r="O78" s="170" t="inlineStr">
        <is>
          <t xml:space="preserve"> Paula Andrea Duque</t>
        </is>
      </c>
      <c r="P78" s="52" t="inlineStr">
        <is>
          <t>pduque@columbus.edu.co</t>
        </is>
      </c>
    </row>
    <row r="79">
      <c r="B79" s="170" t="n">
        <v>67</v>
      </c>
      <c r="C79" s="233" t="inlineStr">
        <is>
          <t>COTIZACION DEL DISEÑO DE EXTINCIÓN DE INCENDIOS PARA EL PROYECTO TORRE DE CONSULTORIOS</t>
        </is>
      </c>
      <c r="D79" s="312" t="n"/>
      <c r="E79" s="312" t="n"/>
      <c r="F79" s="312" t="n"/>
      <c r="G79" s="312" t="n"/>
      <c r="H79" s="312" t="n"/>
      <c r="I79" s="313" t="n"/>
      <c r="J79" s="199" t="inlineStr">
        <is>
          <t>INTERVÉ</t>
        </is>
      </c>
      <c r="K79" s="314" t="n">
        <v>1950000</v>
      </c>
      <c r="L79" s="2" t="n">
        <v>44974</v>
      </c>
      <c r="M79" s="170" t="inlineStr">
        <is>
          <t>X</t>
        </is>
      </c>
      <c r="N79" s="170" t="inlineStr">
        <is>
          <t>310 386 17 63</t>
        </is>
      </c>
      <c r="O79" s="170" t="inlineStr">
        <is>
          <t>Dario Antonio Saldarriaga</t>
        </is>
      </c>
      <c r="P79" s="52" t="inlineStr">
        <is>
          <t>dsaldarriaga@interve.co</t>
        </is>
      </c>
    </row>
    <row r="80">
      <c r="B80" s="170" t="n">
        <v>68</v>
      </c>
      <c r="C80" s="199" t="inlineStr">
        <is>
          <t>COTIZACION DE LOS DISEÑOS DE PROTECCIÓN CONTRA INCENDIOS Y SEGURIDAD HUMANA PARA EL PROYECTO LIBERTADA DE LA FORTUNA</t>
        </is>
      </c>
      <c r="D80" s="312" t="n"/>
      <c r="E80" s="312" t="n"/>
      <c r="F80" s="312" t="n"/>
      <c r="G80" s="312" t="n"/>
      <c r="H80" s="312" t="n"/>
      <c r="I80" s="313" t="n"/>
      <c r="J80" s="199" t="inlineStr">
        <is>
          <t>JOMARK</t>
        </is>
      </c>
      <c r="K80" s="314" t="n">
        <v>10200000</v>
      </c>
      <c r="L80" s="2" t="n">
        <v>44974</v>
      </c>
      <c r="M80" s="2" t="n"/>
      <c r="N80" s="170" t="inlineStr">
        <is>
          <t>324 2594697</t>
        </is>
      </c>
      <c r="O80" s="170" t="inlineStr">
        <is>
          <t>Laura Duque betancur</t>
        </is>
      </c>
      <c r="P80" s="52" t="inlineStr">
        <is>
          <t>proyectos2@jomarkseguridad.com</t>
        </is>
      </c>
    </row>
    <row r="81" ht="15" customHeight="1">
      <c r="B81" s="170" t="n">
        <v>69</v>
      </c>
      <c r="C81" s="199" t="inlineStr">
        <is>
          <t>COTIZACION DE LOS DISEÑOS DE PROTECCIÓN CONTRA INCENDIOS Y SEGURIDAD HUMANA PARA EL PROYECTO POLITECNICO GRAN COLOMBIANO</t>
        </is>
      </c>
      <c r="D81" s="312" t="n"/>
      <c r="E81" s="312" t="n"/>
      <c r="F81" s="312" t="n"/>
      <c r="G81" s="312" t="n"/>
      <c r="H81" s="312" t="n"/>
      <c r="I81" s="313" t="n"/>
      <c r="J81" s="199" t="inlineStr">
        <is>
          <t>CONDISEÑO</t>
        </is>
      </c>
      <c r="K81" s="314" t="n">
        <v>19950000</v>
      </c>
      <c r="L81" s="2" t="n">
        <v>44974</v>
      </c>
      <c r="M81" s="2" t="n"/>
      <c r="N81" s="170" t="n">
        <v>3175594091</v>
      </c>
      <c r="O81" s="170" t="inlineStr">
        <is>
          <t>Nakary Garcia Romero</t>
        </is>
      </c>
      <c r="P81" s="52" t="inlineStr">
        <is>
          <t>n.garcia@condiseno.co</t>
        </is>
      </c>
    </row>
    <row r="82">
      <c r="B82" s="170" t="n">
        <v>70</v>
      </c>
      <c r="C82" s="199" t="inlineStr">
        <is>
          <t>COTIZACION DE LOS DISEÑOS DE PROTECCIÓN CONTRA INCENDIOS PARA EL PROYECTO VILLAS DEL CARMEN</t>
        </is>
      </c>
      <c r="D82" s="312" t="n"/>
      <c r="E82" s="312" t="n"/>
      <c r="F82" s="312" t="n"/>
      <c r="G82" s="312" t="n"/>
      <c r="H82" s="312" t="n"/>
      <c r="I82" s="313" t="n"/>
      <c r="J82" s="199" t="inlineStr">
        <is>
          <t>HIDRAULICA Y MONTAJES</t>
        </is>
      </c>
      <c r="K82" s="314" t="n">
        <v>7530000</v>
      </c>
      <c r="L82" s="2" t="n">
        <v>44978</v>
      </c>
      <c r="M82" s="170" t="n"/>
      <c r="N82" s="170" t="inlineStr">
        <is>
          <t>313 731 01 01</t>
        </is>
      </c>
      <c r="O82" s="170" t="inlineStr">
        <is>
          <t>Evelin Rojas</t>
        </is>
      </c>
      <c r="P82" s="52" t="inlineStr">
        <is>
          <t>hidraulicaymontajes@gmail.com</t>
        </is>
      </c>
    </row>
    <row r="83">
      <c r="B83" s="170" t="n">
        <v>71</v>
      </c>
      <c r="C83" s="199" t="inlineStr">
        <is>
          <t>COTIZACION DEL ANÁLISIS DE SEGURIDAD HUMANA PARA EL PROYECTO LOS CAMBULOS</t>
        </is>
      </c>
      <c r="D83" s="312" t="n"/>
      <c r="E83" s="312" t="n"/>
      <c r="F83" s="312" t="n"/>
      <c r="G83" s="312" t="n"/>
      <c r="H83" s="312" t="n"/>
      <c r="I83" s="313" t="n"/>
      <c r="J83" s="199" t="inlineStr">
        <is>
          <t>SOCOMES</t>
        </is>
      </c>
      <c r="K83" s="314" t="n">
        <v>4500000</v>
      </c>
      <c r="L83" s="2" t="n">
        <v>44974</v>
      </c>
      <c r="M83" s="2" t="n"/>
      <c r="N83" s="170" t="inlineStr">
        <is>
          <t>313 7851941</t>
        </is>
      </c>
      <c r="O83" s="170" t="inlineStr">
        <is>
          <t>DAVID LOPERA MEDINA</t>
        </is>
      </c>
      <c r="P83" s="52" t="inlineStr">
        <is>
          <t>david.lopera@socomes.com</t>
        </is>
      </c>
    </row>
    <row r="84">
      <c r="B84" s="170" t="n">
        <v>72</v>
      </c>
      <c r="C84" s="233" t="inlineStr">
        <is>
          <t>COTIZACION DE LOS DISEÑOS DE PROTECCIÓN CONTRA INCENDIOS Y SEGURIDAD HUMANA PARA EL PROYECTO POLÍGONO 120</t>
        </is>
      </c>
      <c r="D84" s="312" t="n"/>
      <c r="E84" s="312" t="n"/>
      <c r="F84" s="312" t="n"/>
      <c r="G84" s="312" t="n"/>
      <c r="H84" s="312" t="n"/>
      <c r="I84" s="313" t="n"/>
      <c r="J84" s="199" t="inlineStr">
        <is>
          <t>SOHINCO</t>
        </is>
      </c>
      <c r="K84" s="314" t="n">
        <v>16250000</v>
      </c>
      <c r="L84" s="2" t="n">
        <v>44974</v>
      </c>
      <c r="M84" s="170" t="inlineStr">
        <is>
          <t>X</t>
        </is>
      </c>
      <c r="N84" s="170" t="inlineStr">
        <is>
          <t>304 5430256</t>
        </is>
      </c>
      <c r="O84" s="170" t="inlineStr">
        <is>
          <t>Maritza Muñoz</t>
        </is>
      </c>
      <c r="P84" s="52" t="inlineStr">
        <is>
          <t>maritzam@sohinco.com</t>
        </is>
      </c>
    </row>
    <row r="85">
      <c r="B85" s="170" t="n">
        <v>73</v>
      </c>
      <c r="C85" s="199" t="inlineStr">
        <is>
          <t>COTIZACION DE LOS DISEÑOS DE PROTECCIÓN CONTRA INCENDIOS Y SEGURIDAD HUMANA PARA EL PROYECTO MIC GUARNE</t>
        </is>
      </c>
      <c r="D85" s="312" t="n"/>
      <c r="E85" s="312" t="n"/>
      <c r="F85" s="312" t="n"/>
      <c r="G85" s="312" t="n"/>
      <c r="H85" s="312" t="n"/>
      <c r="I85" s="313" t="n"/>
      <c r="J85" s="199" t="inlineStr">
        <is>
          <t>SOHINCO</t>
        </is>
      </c>
      <c r="K85" s="314" t="n">
        <v>19950000</v>
      </c>
      <c r="L85" s="2" t="n">
        <v>44974</v>
      </c>
      <c r="M85" s="170" t="n"/>
      <c r="N85" s="170" t="inlineStr">
        <is>
          <t>304 5430256</t>
        </is>
      </c>
      <c r="O85" s="170" t="inlineStr">
        <is>
          <t>Maritza Muñoz</t>
        </is>
      </c>
      <c r="P85" s="52" t="inlineStr">
        <is>
          <t>maritzam@sohinco.com</t>
        </is>
      </c>
    </row>
    <row r="86">
      <c r="B86" s="170" t="n">
        <v>74</v>
      </c>
      <c r="C86" s="233" t="inlineStr">
        <is>
          <t xml:space="preserve">COTIZACION DEL ANÁLISIS DE SEGURIDAD HUMANA PARA EL PROYECTO LABORATORIO COLSANITAS 
</t>
        </is>
      </c>
      <c r="D86" s="312" t="n"/>
      <c r="E86" s="312" t="n"/>
      <c r="F86" s="312" t="n"/>
      <c r="G86" s="312" t="n"/>
      <c r="H86" s="312" t="n"/>
      <c r="I86" s="313" t="n"/>
      <c r="J86" s="199" t="inlineStr">
        <is>
          <t>CONDISEÑO</t>
        </is>
      </c>
      <c r="K86" s="314" t="n">
        <v>4640000</v>
      </c>
      <c r="L86" s="2" t="n">
        <v>44977</v>
      </c>
      <c r="M86" s="170" t="n"/>
      <c r="N86" s="170" t="n">
        <v>3175594091</v>
      </c>
      <c r="O86" s="170" t="inlineStr">
        <is>
          <t>Nakary Garcia Romero</t>
        </is>
      </c>
      <c r="P86" s="52" t="inlineStr">
        <is>
          <t>n.garcia@condiseno.co</t>
        </is>
      </c>
    </row>
    <row r="87">
      <c r="B87" s="170" t="n">
        <v>75</v>
      </c>
      <c r="C87" s="199" t="inlineStr">
        <is>
          <t>COTIZACION DEL ANÁLISIS DE SEGURIDAD HUMANA PARA EL PROYECTO PUERTO AZUL</t>
        </is>
      </c>
      <c r="D87" s="312" t="n"/>
      <c r="E87" s="312" t="n"/>
      <c r="F87" s="312" t="n"/>
      <c r="G87" s="312" t="n"/>
      <c r="H87" s="312" t="n"/>
      <c r="I87" s="313" t="n"/>
      <c r="J87" s="199" t="inlineStr">
        <is>
          <t>CONCONCRETO</t>
        </is>
      </c>
      <c r="K87" s="314" t="n">
        <v>3150000</v>
      </c>
      <c r="L87" s="2" t="n">
        <v>44977</v>
      </c>
      <c r="M87" s="170" t="n"/>
      <c r="N87" s="170" t="n">
        <v>3003404902</v>
      </c>
      <c r="O87" s="170" t="inlineStr">
        <is>
          <t xml:space="preserve">Pilar Arango Restrepo </t>
        </is>
      </c>
      <c r="P87" s="52" t="inlineStr">
        <is>
          <t>parangor@conconcreto.com</t>
        </is>
      </c>
    </row>
    <row r="88">
      <c r="B88" s="170" t="n">
        <v>76</v>
      </c>
      <c r="C88" s="246" t="inlineStr">
        <is>
          <t xml:space="preserve">COTIZACION DEL ANÁLISIS DE SEGURIDAD HUMANA PARA EL PROYECTO PARQUEADEROS VIERZO LIVINGS
</t>
        </is>
      </c>
      <c r="D88" s="312" t="n"/>
      <c r="E88" s="312" t="n"/>
      <c r="F88" s="312" t="n"/>
      <c r="G88" s="312" t="n"/>
      <c r="H88" s="312" t="n"/>
      <c r="I88" s="313" t="n"/>
      <c r="J88" s="199" t="inlineStr">
        <is>
          <t>CONINTEL SA</t>
        </is>
      </c>
      <c r="K88" s="314" t="n">
        <v>1950000</v>
      </c>
      <c r="L88" s="2" t="n">
        <v>44977</v>
      </c>
      <c r="M88" s="170" t="inlineStr">
        <is>
          <t>X</t>
        </is>
      </c>
      <c r="N88" s="170" t="inlineStr">
        <is>
          <t>316 6226809</t>
        </is>
      </c>
      <c r="O88" s="170" t="inlineStr">
        <is>
          <t>Laura Gaviria</t>
        </is>
      </c>
      <c r="P88" s="52" t="inlineStr">
        <is>
          <t>posventasconintel@gmail.com</t>
        </is>
      </c>
    </row>
    <row r="89">
      <c r="B89" s="170" t="n">
        <v>77</v>
      </c>
      <c r="C89" s="246" t="inlineStr">
        <is>
          <t xml:space="preserve">COTIZACION DEL DISEÑO DE EXTINCIÓN DE INCENDIOS PARA EL PROYECTO OFICINAS
</t>
        </is>
      </c>
      <c r="D89" s="312" t="n"/>
      <c r="E89" s="312" t="n"/>
      <c r="F89" s="312" t="n"/>
      <c r="G89" s="312" t="n"/>
      <c r="H89" s="312" t="n"/>
      <c r="I89" s="313" t="n"/>
      <c r="J89" s="199" t="inlineStr">
        <is>
          <t>John Velez</t>
        </is>
      </c>
      <c r="K89" s="314" t="n">
        <v>1250000</v>
      </c>
      <c r="L89" s="2" t="n">
        <v>44977</v>
      </c>
      <c r="M89" s="170" t="n"/>
      <c r="N89" s="170" t="inlineStr">
        <is>
          <t>313 652 51 94</t>
        </is>
      </c>
      <c r="O89" s="170" t="inlineStr">
        <is>
          <t>John Vélez</t>
        </is>
      </c>
      <c r="P89" s="87" t="inlineStr">
        <is>
          <t>johnvelezconsultorias@gmail.com</t>
        </is>
      </c>
    </row>
    <row r="90">
      <c r="B90" s="170" t="n">
        <v>78</v>
      </c>
      <c r="C90" s="199" t="inlineStr">
        <is>
          <t>COTIZACION DE LOS DISEÑOS DE PROTECCIÓN CONTRA INCENDIOS PARA EL PROYECTO SECRETARIA DE MOVILIDAD DE ENVIGADO</t>
        </is>
      </c>
      <c r="D90" s="312" t="n"/>
      <c r="E90" s="312" t="n"/>
      <c r="F90" s="312" t="n"/>
      <c r="G90" s="312" t="n"/>
      <c r="H90" s="312" t="n"/>
      <c r="I90" s="313" t="n"/>
      <c r="J90" s="199" t="inlineStr">
        <is>
          <t>GINO MONTOYA</t>
        </is>
      </c>
      <c r="K90" s="314" t="n">
        <v>7500000</v>
      </c>
      <c r="L90" s="2" t="n">
        <v>44980</v>
      </c>
      <c r="M90" s="170" t="n"/>
      <c r="N90" s="170" t="n">
        <v>3044003430</v>
      </c>
      <c r="O90" s="170" t="inlineStr">
        <is>
          <t>Gino Montoya</t>
        </is>
      </c>
      <c r="P90" s="52" t="inlineStr">
        <is>
          <t>gino1037@hotmail.com</t>
        </is>
      </c>
    </row>
    <row r="91">
      <c r="B91" s="170" t="n">
        <v>79</v>
      </c>
      <c r="C91" s="199" t="inlineStr">
        <is>
          <t>COTIZACION DEL DISEÑO DE EXTINCIÓN DE INCENDIOS PARA EL PROYECTO TANQUES GLP</t>
        </is>
      </c>
      <c r="D91" s="312" t="n"/>
      <c r="E91" s="312" t="n"/>
      <c r="F91" s="312" t="n"/>
      <c r="G91" s="312" t="n"/>
      <c r="H91" s="312" t="n"/>
      <c r="I91" s="313" t="n"/>
      <c r="J91" s="199" t="inlineStr">
        <is>
          <t>ByR Ingeniería</t>
        </is>
      </c>
      <c r="K91" s="314" t="inlineStr">
        <is>
          <t>Variable</t>
        </is>
      </c>
      <c r="L91" s="2" t="n">
        <v>44981</v>
      </c>
      <c r="M91" s="170" t="n"/>
      <c r="N91" s="170" t="n">
        <v>3136603779</v>
      </c>
      <c r="O91" s="170" t="inlineStr">
        <is>
          <t xml:space="preserve"> Edwin Alberto Ortiz</t>
        </is>
      </c>
      <c r="P91" s="52" t="inlineStr">
        <is>
          <t>eortiz@byr.com.co</t>
        </is>
      </c>
    </row>
    <row r="92">
      <c r="B92" s="170" t="n">
        <v>80</v>
      </c>
      <c r="C92" s="199" t="inlineStr">
        <is>
          <t>COTIZACION DEL DISEÑO DE DETECCIÓN DE INCENDIOS PARA EL PROYECTO GUAYACANES</t>
        </is>
      </c>
      <c r="D92" s="312" t="n"/>
      <c r="E92" s="312" t="n"/>
      <c r="F92" s="312" t="n"/>
      <c r="G92" s="312" t="n"/>
      <c r="H92" s="312" t="n"/>
      <c r="I92" s="313" t="n"/>
      <c r="J92" s="199" t="inlineStr">
        <is>
          <t>SPCI</t>
        </is>
      </c>
      <c r="K92" s="314" t="n">
        <v>3950000</v>
      </c>
      <c r="L92" s="2" t="n">
        <v>44984</v>
      </c>
      <c r="M92" s="170" t="n"/>
      <c r="N92" s="170" t="n">
        <v>3146082856</v>
      </c>
      <c r="O92" s="170" t="inlineStr">
        <is>
          <t xml:space="preserve">Bayron Elicer Puerta Toro </t>
        </is>
      </c>
      <c r="P92" s="52" t="inlineStr">
        <is>
          <t>bayron.puerta@spci.com.co</t>
        </is>
      </c>
    </row>
    <row r="93">
      <c r="B93" s="170" t="n">
        <v>81</v>
      </c>
      <c r="C93" s="199" t="inlineStr">
        <is>
          <t>COTIZACION DE LOS DISEÑOS DE PROTECCIÓN CONTRA INCENDIOS PARA EL PROYECTO PROYECTO INDUSTRIAL</t>
        </is>
      </c>
      <c r="D93" s="312" t="n"/>
      <c r="E93" s="312" t="n"/>
      <c r="F93" s="312" t="n"/>
      <c r="G93" s="312" t="n"/>
      <c r="H93" s="312" t="n"/>
      <c r="I93" s="313" t="n"/>
      <c r="J93" s="199" t="inlineStr">
        <is>
          <t>COINSI</t>
        </is>
      </c>
      <c r="K93" s="314" t="n">
        <v>24950000</v>
      </c>
      <c r="L93" s="2" t="n">
        <v>44984</v>
      </c>
      <c r="M93" s="170" t="n"/>
      <c r="N93" s="170" t="n">
        <v>3126658022</v>
      </c>
      <c r="O93" s="170" t="inlineStr">
        <is>
          <t>Sergio Rodriguez</t>
        </is>
      </c>
      <c r="P93" s="52" t="inlineStr">
        <is>
          <t>diseno4@gyd.com.co</t>
        </is>
      </c>
    </row>
    <row r="94">
      <c r="B94" s="170" t="n">
        <v>82</v>
      </c>
      <c r="C94" s="233" t="inlineStr">
        <is>
          <t>COTIZACION DE LOS DISEÑOS DE PROTECCIÓN CONTRA INCENDIOS Y SEGURIDAD HUMANA PARA EL PROYECTO CEDI IBAGUE</t>
        </is>
      </c>
      <c r="D94" s="312" t="n"/>
      <c r="E94" s="312" t="n"/>
      <c r="F94" s="312" t="n"/>
      <c r="G94" s="312" t="n"/>
      <c r="H94" s="312" t="n"/>
      <c r="I94" s="313" t="n"/>
      <c r="J94" s="199" t="inlineStr">
        <is>
          <t>SPCI</t>
        </is>
      </c>
      <c r="K94" s="314" t="n">
        <v>23830000</v>
      </c>
      <c r="L94" s="2" t="n">
        <v>44984</v>
      </c>
      <c r="M94" s="170" t="n"/>
      <c r="N94" s="170" t="n">
        <v>3104680508</v>
      </c>
      <c r="O94" s="170" t="inlineStr">
        <is>
          <t>Juan Pablo Grajales Gomez</t>
        </is>
      </c>
      <c r="P94" s="52" t="inlineStr">
        <is>
          <t>juan.grajales@spci.com.co</t>
        </is>
      </c>
    </row>
    <row r="95">
      <c r="B95" s="170" t="n">
        <v>83</v>
      </c>
      <c r="C95" s="199" t="inlineStr">
        <is>
          <t>COTIZACION DEL DISEÑO DE EXTINCIÓN DE INCENDIOS PARA EL PROYECTO CUARTO COV VIVA ENVIGADO</t>
        </is>
      </c>
      <c r="D95" s="312" t="n"/>
      <c r="E95" s="312" t="n"/>
      <c r="F95" s="312" t="n"/>
      <c r="G95" s="312" t="n"/>
      <c r="H95" s="312" t="n"/>
      <c r="I95" s="313" t="n"/>
      <c r="J95" s="199" t="inlineStr">
        <is>
          <t>SPCI</t>
        </is>
      </c>
      <c r="K95" s="314" t="n">
        <v>1650000</v>
      </c>
      <c r="L95" s="2" t="n">
        <v>44986</v>
      </c>
      <c r="M95" s="35" t="n"/>
      <c r="N95" s="170" t="inlineStr">
        <is>
          <t>313 693 88 55</t>
        </is>
      </c>
      <c r="O95" s="170" t="inlineStr">
        <is>
          <t>David Velez Valencia</t>
        </is>
      </c>
      <c r="P95" s="52" t="inlineStr">
        <is>
          <t>david.velez@spci.com.co</t>
        </is>
      </c>
    </row>
    <row r="96">
      <c r="B96" s="170" t="n">
        <v>84</v>
      </c>
      <c r="C96" s="233" t="inlineStr">
        <is>
          <t>COTIZACION DEL DISEÑO DE EXTINCIÓN DE INCENDIOS PARA EL PROYECTO GUAYACANES</t>
        </is>
      </c>
      <c r="D96" s="312" t="n"/>
      <c r="E96" s="312" t="n"/>
      <c r="F96" s="312" t="n"/>
      <c r="G96" s="312" t="n"/>
      <c r="H96" s="312" t="n"/>
      <c r="I96" s="313" t="n"/>
      <c r="J96" s="199" t="inlineStr">
        <is>
          <t>SPCI</t>
        </is>
      </c>
      <c r="K96" s="314" t="n">
        <v>8780000</v>
      </c>
      <c r="L96" s="2" t="n">
        <v>44984</v>
      </c>
      <c r="M96" s="170" t="n"/>
      <c r="N96" s="170" t="n">
        <v>3146082856</v>
      </c>
      <c r="O96" s="170" t="inlineStr">
        <is>
          <t xml:space="preserve">Bayron Elicer Puerta Toro </t>
        </is>
      </c>
      <c r="P96" s="52" t="inlineStr">
        <is>
          <t>bayron.puerta@spci.com.co</t>
        </is>
      </c>
    </row>
    <row r="97">
      <c r="B97" s="170" t="n">
        <v>85</v>
      </c>
      <c r="C97" s="199" t="inlineStr">
        <is>
          <t>COTIZACION DEL DISEÑO DE DETECCIÓN DE INCENDIOS PARA EL PROYECTO PEPSICO AREA ADMINISTRATIVO</t>
        </is>
      </c>
      <c r="D97" s="312" t="n"/>
      <c r="E97" s="312" t="n"/>
      <c r="F97" s="312" t="n"/>
      <c r="G97" s="312" t="n"/>
      <c r="H97" s="312" t="n"/>
      <c r="I97" s="313" t="n"/>
      <c r="J97" s="199" t="inlineStr">
        <is>
          <t>SERIINCO</t>
        </is>
      </c>
      <c r="K97" s="314" t="n">
        <v>3950000</v>
      </c>
      <c r="L97" s="2" t="n">
        <v>44984</v>
      </c>
      <c r="M97" s="2" t="n"/>
      <c r="N97" s="170" t="inlineStr">
        <is>
          <t>311 3391008</t>
        </is>
      </c>
      <c r="O97" s="170" t="inlineStr">
        <is>
          <t>Carlos Henao</t>
        </is>
      </c>
      <c r="P97" s="52" t="inlineStr">
        <is>
          <t>carlos.henao@seriinco.com</t>
        </is>
      </c>
    </row>
    <row r="98">
      <c r="B98" s="170" t="n">
        <v>86</v>
      </c>
      <c r="C98" s="199" t="inlineStr">
        <is>
          <t>COTIZACION DEL DISEÑO DE DETECCIÓN DE INCENDIOS PARA EL PROYECTO PEPSICO PLANTA ORIENTE</t>
        </is>
      </c>
      <c r="D98" s="312" t="n"/>
      <c r="E98" s="312" t="n"/>
      <c r="F98" s="312" t="n"/>
      <c r="G98" s="312" t="n"/>
      <c r="H98" s="312" t="n"/>
      <c r="I98" s="313" t="n"/>
      <c r="J98" s="199" t="inlineStr">
        <is>
          <t>SERIINCO</t>
        </is>
      </c>
      <c r="K98" s="314" t="n">
        <v>2950000</v>
      </c>
      <c r="L98" s="2" t="n">
        <v>44984</v>
      </c>
      <c r="M98" s="170" t="n"/>
      <c r="N98" s="170" t="inlineStr">
        <is>
          <t>311 3391008</t>
        </is>
      </c>
      <c r="O98" s="170" t="inlineStr">
        <is>
          <t>Carlos Henao</t>
        </is>
      </c>
      <c r="P98" s="52" t="inlineStr">
        <is>
          <t>carlos.henao@seriinco.com</t>
        </is>
      </c>
    </row>
    <row r="99">
      <c r="B99" s="170" t="n">
        <v>87</v>
      </c>
      <c r="C99" s="199" t="inlineStr">
        <is>
          <t>COTIZACION DE LOS DISEÑOS DE PROTECCIÓN CONTRA INCENDIOS Y SEGURIDAD HUMANA PARA EL PROYECTO ACTION LIVING</t>
        </is>
      </c>
      <c r="D99" s="312" t="n"/>
      <c r="E99" s="312" t="n"/>
      <c r="F99" s="312" t="n"/>
      <c r="G99" s="312" t="n"/>
      <c r="H99" s="312" t="n"/>
      <c r="I99" s="313" t="n"/>
      <c r="J99" s="199" t="inlineStr">
        <is>
          <t>MACCA Desarrollo Inmobiliario</t>
        </is>
      </c>
      <c r="K99" s="314" t="n">
        <v>19950000</v>
      </c>
      <c r="L99" s="2" t="n">
        <v>44984</v>
      </c>
      <c r="M99" s="170" t="inlineStr">
        <is>
          <t>X</t>
        </is>
      </c>
      <c r="N99" s="170" t="n">
        <v>3154558533</v>
      </c>
      <c r="O99" s="170" t="inlineStr">
        <is>
          <t>Jorge Ivan Molano Bedoya</t>
        </is>
      </c>
      <c r="P99" s="52" t="inlineStr">
        <is>
          <t>jorgemolano@macca.com.co</t>
        </is>
      </c>
    </row>
    <row r="100">
      <c r="B100" s="170" t="n">
        <v>88</v>
      </c>
      <c r="C100" s="199" t="inlineStr">
        <is>
          <t>COTIZACION DE LOS DISEÑOS DE PROTECCIÓN CONTRA INCENDIOS Y SEGURIDAD HUMANA PARA EL PROYECTO SAN JORGE COMERCIO</t>
        </is>
      </c>
      <c r="D100" s="312" t="n"/>
      <c r="E100" s="312" t="n"/>
      <c r="F100" s="312" t="n"/>
      <c r="G100" s="312" t="n"/>
      <c r="H100" s="312" t="n"/>
      <c r="I100" s="313" t="n"/>
      <c r="J100" s="199" t="inlineStr">
        <is>
          <t>Vertice</t>
        </is>
      </c>
      <c r="K100" s="314" t="n">
        <v>32270000</v>
      </c>
      <c r="L100" s="2" t="n">
        <v>44992</v>
      </c>
      <c r="M100" s="170" t="n"/>
      <c r="N100" s="170" t="inlineStr">
        <is>
          <t xml:space="preserve">(604) 4486800 Ext. 138 </t>
        </is>
      </c>
      <c r="O100" s="170" t="inlineStr">
        <is>
          <t xml:space="preserve">Esteban Ramirez </t>
        </is>
      </c>
      <c r="P100" s="52" t="inlineStr">
        <is>
          <t>e.ramirez@verticeing.com</t>
        </is>
      </c>
    </row>
    <row r="101">
      <c r="B101" s="170" t="n">
        <v>89</v>
      </c>
      <c r="C101" s="199" t="inlineStr">
        <is>
          <t>COTIZACION DE LOS DISEÑOS DE PROTECCIÓN CONTRA INCENDIOS PARA EL PROYECTO LOCALES RESERVA PLAZA</t>
        </is>
      </c>
      <c r="D101" s="312" t="n"/>
      <c r="E101" s="312" t="n"/>
      <c r="F101" s="312" t="n"/>
      <c r="G101" s="312" t="n"/>
      <c r="H101" s="312" t="n"/>
      <c r="I101" s="313" t="n"/>
      <c r="J101" s="199" t="inlineStr">
        <is>
          <t>SPCI</t>
        </is>
      </c>
      <c r="K101" s="314" t="n">
        <v>2000000</v>
      </c>
      <c r="L101" s="2" t="n">
        <v>44986</v>
      </c>
      <c r="M101" s="170" t="n"/>
      <c r="N101" s="170" t="inlineStr">
        <is>
          <t>310 4165783</t>
        </is>
      </c>
      <c r="O101" s="170" t="inlineStr">
        <is>
          <t>Cristiam Gustavo Mondragon Cortes</t>
        </is>
      </c>
      <c r="P101" s="52" t="inlineStr">
        <is>
          <t>cristiam.mondragon@spci.com.co</t>
        </is>
      </c>
    </row>
    <row r="102">
      <c r="B102" s="170" t="n">
        <v>90</v>
      </c>
      <c r="C102" s="246" t="inlineStr">
        <is>
          <t>COTIZACION DE LOS DISEÑOS DE PROTECCIÓN CONTRA INCENDIOS PARA EL PROYECTO CHAK FOODTECH</t>
        </is>
      </c>
      <c r="D102" s="312" t="n"/>
      <c r="E102" s="312" t="n"/>
      <c r="F102" s="312" t="n"/>
      <c r="G102" s="312" t="n"/>
      <c r="H102" s="312" t="n"/>
      <c r="I102" s="313" t="n"/>
      <c r="J102" s="199" t="inlineStr">
        <is>
          <t>SPCI</t>
        </is>
      </c>
      <c r="K102" s="314" t="n">
        <v>2000000</v>
      </c>
      <c r="L102" s="2" t="n">
        <v>44986</v>
      </c>
      <c r="M102" s="170" t="inlineStr">
        <is>
          <t>X</t>
        </is>
      </c>
      <c r="N102" s="170" t="inlineStr">
        <is>
          <t>310 4165783</t>
        </is>
      </c>
      <c r="O102" s="170" t="inlineStr">
        <is>
          <t>Cristiam Gustavo Mondragon Cortes</t>
        </is>
      </c>
      <c r="P102" s="52" t="inlineStr">
        <is>
          <t>cristiam.mondragon@spci.com.co</t>
        </is>
      </c>
    </row>
    <row r="103">
      <c r="B103" s="170" t="n">
        <v>91</v>
      </c>
      <c r="C103" s="199" t="inlineStr">
        <is>
          <t>COTIZACION DE LOS DISEÑOS DE PROTECCIÓN CONTRA INCENDIOS Y SEGURIDAD HUMANA PARA EL PROYECTO HOTEL CLICK CLACK</t>
        </is>
      </c>
      <c r="D103" s="312" t="n"/>
      <c r="E103" s="312" t="n"/>
      <c r="F103" s="312" t="n"/>
      <c r="G103" s="312" t="n"/>
      <c r="H103" s="312" t="n"/>
      <c r="I103" s="313" t="n"/>
      <c r="J103" s="199" t="inlineStr">
        <is>
          <t>CONEXO</t>
        </is>
      </c>
      <c r="K103" s="314" t="n">
        <v>27950000</v>
      </c>
      <c r="L103" s="2" t="n">
        <v>44988</v>
      </c>
      <c r="M103" s="170" t="n"/>
      <c r="N103" s="170" t="n">
        <v>3005861916</v>
      </c>
      <c r="O103" s="39" t="inlineStr">
        <is>
          <t>John Jairo Jaramillo Ochoa</t>
        </is>
      </c>
      <c r="P103" s="52" t="inlineStr">
        <is>
          <t>jjaramillo@conexoinmobiliario.com</t>
        </is>
      </c>
    </row>
    <row r="104" ht="15" customHeight="1">
      <c r="B104" s="170" t="n">
        <v>92</v>
      </c>
      <c r="C104" s="199" t="inlineStr">
        <is>
          <t xml:space="preserve">
COTIZACION DE LOS DISEÑOS DE PROTECCIÓN CONTRA INCENDIOS Y SEGURIDAD HUMANA PARA EL PROYECTO ALLEGRO CARTAGO
</t>
        </is>
      </c>
      <c r="D104" s="312" t="n"/>
      <c r="E104" s="312" t="n"/>
      <c r="F104" s="312" t="n"/>
      <c r="G104" s="312" t="n"/>
      <c r="H104" s="312" t="n"/>
      <c r="I104" s="313" t="n"/>
      <c r="J104" s="199" t="inlineStr">
        <is>
          <t>Mensula</t>
        </is>
      </c>
      <c r="K104" s="314" t="n">
        <v>9950000</v>
      </c>
      <c r="L104" s="2" t="n">
        <v>44988</v>
      </c>
      <c r="M104" s="170" t="n"/>
      <c r="N104" s="170" t="n">
        <v>3207091752</v>
      </c>
      <c r="O104" s="39" t="inlineStr">
        <is>
          <t xml:space="preserve">Cristian Londoño </t>
        </is>
      </c>
      <c r="P104" s="52" t="inlineStr">
        <is>
          <t>cristianlondono@mensulaingenieros.com</t>
        </is>
      </c>
    </row>
    <row r="105">
      <c r="B105" s="170" t="n">
        <v>93</v>
      </c>
      <c r="C105" s="233" t="inlineStr">
        <is>
          <t>COTIZACION DE LOS DISEÑOS DE PROTECCIÓN CONTRA INCENDIOS Y SEGURIDAD HUMANA PARA EL PROYECTO CLINICA MEDICADIZ</t>
        </is>
      </c>
      <c r="D105" s="312" t="n"/>
      <c r="E105" s="312" t="n"/>
      <c r="F105" s="312" t="n"/>
      <c r="G105" s="312" t="n"/>
      <c r="H105" s="312" t="n"/>
      <c r="I105" s="313" t="n"/>
      <c r="J105" s="199" t="inlineStr">
        <is>
          <t>CONDISEÑO</t>
        </is>
      </c>
      <c r="K105" s="314" t="n">
        <v>13920000</v>
      </c>
      <c r="L105" s="2" t="n">
        <v>44991</v>
      </c>
      <c r="M105" s="170" t="n"/>
      <c r="N105" s="170" t="n">
        <v>3175594091</v>
      </c>
      <c r="O105" s="78" t="inlineStr">
        <is>
          <t xml:space="preserve">Nakary Garcia Romero    </t>
        </is>
      </c>
      <c r="P105" s="52" t="inlineStr">
        <is>
          <t>n.garcia@condiseno.co</t>
        </is>
      </c>
    </row>
    <row r="106">
      <c r="B106" s="170" t="n">
        <v>94</v>
      </c>
      <c r="C106" s="233" t="inlineStr">
        <is>
          <t>COTIZACION DE LOS DISEÑOS DE PROTECCIÓN CONTRA INCENDIOS PARA EL PROYECTO BODEGA 924 SK BOGOTA</t>
        </is>
      </c>
      <c r="D106" s="312" t="n"/>
      <c r="E106" s="312" t="n"/>
      <c r="F106" s="312" t="n"/>
      <c r="G106" s="312" t="n"/>
      <c r="H106" s="312" t="n"/>
      <c r="I106" s="313" t="n"/>
      <c r="J106" s="199" t="inlineStr">
        <is>
          <t>SERIINCO</t>
        </is>
      </c>
      <c r="K106" s="314" t="n">
        <v>21950000</v>
      </c>
      <c r="L106" s="2" t="n">
        <v>44994</v>
      </c>
      <c r="M106" s="2" t="n"/>
      <c r="N106" s="170" t="n">
        <v>3113391008</v>
      </c>
      <c r="O106" s="170" t="inlineStr">
        <is>
          <t>Carlos Henao</t>
        </is>
      </c>
      <c r="P106" s="52" t="inlineStr">
        <is>
          <t>carlos.henao@seriinco.com</t>
        </is>
      </c>
    </row>
    <row r="107">
      <c r="B107" s="170" t="n">
        <v>95</v>
      </c>
      <c r="C107" s="199" t="inlineStr">
        <is>
          <t>COTIZACION DEL DISEÑO DE DETECCIÓN DE INCENDIOS PARA EL PROYECTO CONDOMINIO HOUZEZ</t>
        </is>
      </c>
      <c r="D107" s="312" t="n"/>
      <c r="E107" s="312" t="n"/>
      <c r="F107" s="312" t="n"/>
      <c r="G107" s="312" t="n"/>
      <c r="H107" s="312" t="n"/>
      <c r="I107" s="313" t="n"/>
      <c r="J107" s="199" t="inlineStr">
        <is>
          <t>ESPIRAL</t>
        </is>
      </c>
      <c r="K107" s="314" t="n">
        <v>1250000</v>
      </c>
      <c r="L107" s="2" t="n">
        <v>44991</v>
      </c>
      <c r="M107" s="170" t="inlineStr">
        <is>
          <t>X</t>
        </is>
      </c>
      <c r="N107" s="170" t="n">
        <v>3176461961</v>
      </c>
      <c r="O107" s="170" t="inlineStr">
        <is>
          <t>Jorge Escobar</t>
        </is>
      </c>
      <c r="P107" s="52" t="inlineStr">
        <is>
          <t>jorge.escobar@espiral.com.co</t>
        </is>
      </c>
    </row>
    <row r="108">
      <c r="B108" s="170" t="n">
        <v>96</v>
      </c>
      <c r="C108" s="199" t="inlineStr">
        <is>
          <t>COTIZACION DEL DISEÑO DE EXTINCIÓN DE INCENDIOS PARA EL PROYECTO PABELLONES BLANCO Y AZUL DE PLAZA MAYOR MEDELLIN</t>
        </is>
      </c>
      <c r="D108" s="312" t="n"/>
      <c r="E108" s="312" t="n"/>
      <c r="F108" s="312" t="n"/>
      <c r="G108" s="312" t="n"/>
      <c r="H108" s="312" t="n"/>
      <c r="I108" s="313" t="n"/>
      <c r="J108" s="199" t="inlineStr">
        <is>
          <t>SECURETEC</t>
        </is>
      </c>
      <c r="K108" s="314" t="n">
        <v>16950000</v>
      </c>
      <c r="L108" s="2" t="n">
        <v>44991</v>
      </c>
      <c r="M108" s="170" t="n"/>
      <c r="N108" s="170" t="n"/>
      <c r="O108" s="170" t="inlineStr">
        <is>
          <t>Julio Zapata</t>
        </is>
      </c>
      <c r="P108" s="52" t="n"/>
    </row>
    <row r="109">
      <c r="B109" s="170" t="n">
        <v>97</v>
      </c>
      <c r="C109" s="199" t="inlineStr">
        <is>
          <t>COTIZACION DE LOS DISEÑOS DE SEGURIDAD HUMANA Y PROTECCIÓN CONTRA INCENDIOS - MOTEL MARINILLA</t>
        </is>
      </c>
      <c r="D109" s="312" t="n"/>
      <c r="E109" s="312" t="n"/>
      <c r="F109" s="312" t="n"/>
      <c r="G109" s="312" t="n"/>
      <c r="H109" s="312" t="n"/>
      <c r="I109" s="313" t="n"/>
      <c r="J109" s="199" t="inlineStr">
        <is>
          <t>JUAN CAMILO CARDONA</t>
        </is>
      </c>
      <c r="K109" s="314" t="n">
        <v>7530000</v>
      </c>
      <c r="L109" s="2" t="n">
        <v>44991</v>
      </c>
      <c r="M109" s="170" t="n"/>
      <c r="N109" s="170" t="inlineStr">
        <is>
          <t>311 3693748</t>
        </is>
      </c>
      <c r="O109" s="170" t="inlineStr">
        <is>
          <t>Juan Camilo Cardona</t>
        </is>
      </c>
      <c r="P109" s="52" t="inlineStr">
        <is>
          <t>jcardonm@gmail.com</t>
        </is>
      </c>
    </row>
    <row r="110">
      <c r="B110" s="170" t="n">
        <v>98</v>
      </c>
      <c r="C110" s="199" t="inlineStr">
        <is>
          <t>COTIZACION DE LOS DISEÑOS DE PROTECCIÓN CONTRA INCENDIOS - BODEGAS 9A Y 10A KCC</t>
        </is>
      </c>
      <c r="D110" s="312" t="n"/>
      <c r="E110" s="312" t="n"/>
      <c r="F110" s="312" t="n"/>
      <c r="G110" s="312" t="n"/>
      <c r="H110" s="312" t="n"/>
      <c r="I110" s="313" t="n"/>
      <c r="J110" s="199" t="inlineStr">
        <is>
          <t>SERIINCO</t>
        </is>
      </c>
      <c r="K110" s="314" t="n">
        <v>12990000</v>
      </c>
      <c r="L110" s="2" t="n">
        <v>44991</v>
      </c>
      <c r="M110" s="170" t="n"/>
      <c r="N110" s="170" t="inlineStr">
        <is>
          <t>311 3391008</t>
        </is>
      </c>
      <c r="O110" s="170" t="inlineStr">
        <is>
          <t>Carlos Henao</t>
        </is>
      </c>
      <c r="P110" s="52" t="inlineStr">
        <is>
          <t>carlos.henao@seriinco.com</t>
        </is>
      </c>
    </row>
    <row r="111">
      <c r="B111" s="170" t="n">
        <v>99</v>
      </c>
      <c r="C111" s="199" t="inlineStr">
        <is>
          <t>COTIZACION DE LA INGENIERÍA DE DETALLE DE LOS SISTEMAS DE PROTECCIÓN CONTRA INCENDIOS - PTAR TRANVÍA</t>
        </is>
      </c>
      <c r="D111" s="312" t="n"/>
      <c r="E111" s="312" t="n"/>
      <c r="F111" s="312" t="n"/>
      <c r="G111" s="312" t="n"/>
      <c r="H111" s="312" t="n"/>
      <c r="I111" s="313" t="n"/>
      <c r="J111" s="199" t="inlineStr">
        <is>
          <t>SPCI</t>
        </is>
      </c>
      <c r="K111" s="314" t="n">
        <v>37500000</v>
      </c>
      <c r="L111" s="2" t="n">
        <v>44992</v>
      </c>
      <c r="M111" s="2" t="n"/>
      <c r="N111" s="170" t="inlineStr">
        <is>
          <t xml:space="preserve"> 310 468 0508</t>
        </is>
      </c>
      <c r="O111" s="170" t="inlineStr">
        <is>
          <t>Juan Pablo Grajales Gómez</t>
        </is>
      </c>
      <c r="P111" s="52" t="inlineStr">
        <is>
          <t>juan.grajales@spci.com.co</t>
        </is>
      </c>
    </row>
    <row r="112">
      <c r="B112" s="170" t="n">
        <v>100</v>
      </c>
      <c r="C112" s="199" t="inlineStr">
        <is>
          <t>COTIZACION DE LOS DISEÑOS DE PROTECCIÓN CONTRA INCENDIOS PARA EL PROYECTO BODEGA 924 SK BOGOTA</t>
        </is>
      </c>
      <c r="D112" s="312" t="n"/>
      <c r="E112" s="312" t="n"/>
      <c r="F112" s="312" t="n"/>
      <c r="G112" s="312" t="n"/>
      <c r="H112" s="312" t="n"/>
      <c r="I112" s="313" t="n"/>
      <c r="J112" s="199" t="inlineStr">
        <is>
          <t>SPCI</t>
        </is>
      </c>
      <c r="K112" s="314" t="n">
        <v>21950000</v>
      </c>
      <c r="L112" s="2" t="n">
        <v>44993</v>
      </c>
      <c r="M112" s="170" t="n"/>
      <c r="N112" s="170" t="inlineStr">
        <is>
          <t>310 4165783</t>
        </is>
      </c>
      <c r="O112" s="170" t="inlineStr">
        <is>
          <t>Cristiam Gustavo Mondragon Cortes</t>
        </is>
      </c>
      <c r="P112" s="52" t="inlineStr">
        <is>
          <t>cristiam.mondragon@spci.com.co</t>
        </is>
      </c>
    </row>
    <row r="113">
      <c r="B113" s="170" t="n">
        <v>101</v>
      </c>
      <c r="C113" s="199" t="inlineStr">
        <is>
          <t>COTIZACION DE LOS DISEÑOS DE PROTECCIÓN CONTRA INCENDIOS PARA EL PROYECTO RYO 53</t>
        </is>
      </c>
      <c r="D113" s="312" t="n"/>
      <c r="E113" s="312" t="n"/>
      <c r="F113" s="312" t="n"/>
      <c r="G113" s="312" t="n"/>
      <c r="H113" s="312" t="n"/>
      <c r="I113" s="313" t="n"/>
      <c r="J113" s="199" t="inlineStr">
        <is>
          <t>DISEÑO SANTANA</t>
        </is>
      </c>
      <c r="K113" s="314" t="n">
        <v>18550000</v>
      </c>
      <c r="L113" s="2" t="n">
        <v>44993</v>
      </c>
      <c r="M113" s="170" t="n"/>
      <c r="N113" s="170" t="n"/>
      <c r="O113" s="170" t="inlineStr">
        <is>
          <t>Mauricio Gonzalez</t>
        </is>
      </c>
      <c r="P113" s="52" t="n"/>
    </row>
    <row r="114">
      <c r="B114" s="170" t="n">
        <v>102</v>
      </c>
      <c r="C114" s="233" t="inlineStr">
        <is>
          <t>COTIZACION DEL DISEÑO DE DETECCIÓN DE INCENDIOS PARA EL PROYECTO LOCAL 218 WAJIRA</t>
        </is>
      </c>
      <c r="D114" s="312" t="n"/>
      <c r="E114" s="312" t="n"/>
      <c r="F114" s="312" t="n"/>
      <c r="G114" s="312" t="n"/>
      <c r="H114" s="312" t="n"/>
      <c r="I114" s="313" t="n"/>
      <c r="J114" s="199" t="inlineStr">
        <is>
          <t>SPCI</t>
        </is>
      </c>
      <c r="K114" s="314" t="n">
        <v>870000</v>
      </c>
      <c r="L114" s="2" t="n">
        <v>44995</v>
      </c>
      <c r="M114" s="170" t="n"/>
      <c r="N114" s="170" t="n">
        <v>3214826168</v>
      </c>
      <c r="O114" s="172" t="inlineStr">
        <is>
          <t>Ana Maria Restrepo Mayo</t>
        </is>
      </c>
      <c r="P114" s="52" t="inlineStr">
        <is>
          <t>ana.restrepo@spci.com.co</t>
        </is>
      </c>
    </row>
    <row r="115">
      <c r="B115" s="170" t="n">
        <v>103</v>
      </c>
      <c r="C115" s="199" t="inlineStr">
        <is>
          <t>COTIZACION DE LOS DISEÑOS DE PROTECCIÓN CONTRA INCENDIOS Y SEGURIDAD HUMANA PARA EL PROYECTO UNIVERSIDAD DE ANTIOQUIA</t>
        </is>
      </c>
      <c r="D115" s="312" t="n"/>
      <c r="E115" s="312" t="n"/>
      <c r="F115" s="312" t="n"/>
      <c r="G115" s="312" t="n"/>
      <c r="H115" s="312" t="n"/>
      <c r="I115" s="313" t="n"/>
      <c r="J115" s="199" t="inlineStr">
        <is>
          <t>HIDRAULICA Y MONTAJES</t>
        </is>
      </c>
      <c r="K115" s="314" t="n">
        <v>12920000</v>
      </c>
      <c r="L115" s="2" t="n">
        <v>44995</v>
      </c>
      <c r="M115" s="170" t="n"/>
      <c r="N115" s="170" t="inlineStr">
        <is>
          <t>301 4487912</t>
        </is>
      </c>
      <c r="O115" s="170" t="inlineStr">
        <is>
          <t>Evelin Rojas</t>
        </is>
      </c>
      <c r="P115" s="52" t="inlineStr">
        <is>
          <t>hidraulicaymontajes@gmail.com</t>
        </is>
      </c>
    </row>
    <row r="116">
      <c r="B116" s="170" t="n">
        <v>104</v>
      </c>
      <c r="C116" s="233" t="inlineStr">
        <is>
          <t>COTIZACION DE LOS DISEÑOS DE PROTECCIÓN CONTRA INCENDIOS Y SEGURIDAD HUMANA PARA EL PROYECTO MONTEFINO MONTERIA</t>
        </is>
      </c>
      <c r="D116" s="312" t="n"/>
      <c r="E116" s="312" t="n"/>
      <c r="F116" s="312" t="n"/>
      <c r="G116" s="312" t="n"/>
      <c r="H116" s="312" t="n"/>
      <c r="I116" s="313" t="n"/>
      <c r="J116" s="199" t="inlineStr">
        <is>
          <t>JOMARK</t>
        </is>
      </c>
      <c r="K116" s="314" t="n">
        <v>23150000</v>
      </c>
      <c r="L116" s="2" t="n">
        <v>44993</v>
      </c>
      <c r="M116" s="170" t="n"/>
      <c r="N116" s="170" t="n"/>
      <c r="O116" s="170" t="inlineStr">
        <is>
          <t>Laura Duque Betancur</t>
        </is>
      </c>
      <c r="P116" s="52" t="inlineStr">
        <is>
          <t>proyectos2@jomarkseguridad.com</t>
        </is>
      </c>
    </row>
    <row r="117">
      <c r="B117" s="170" t="n">
        <v>105</v>
      </c>
      <c r="C117" s="199" t="inlineStr">
        <is>
          <t>COTIZACION DEL ANÁLISIS DE SEGURIDAD HUMANA - MONTEBIANCO CARTAGENA</t>
        </is>
      </c>
      <c r="D117" s="312" t="n"/>
      <c r="E117" s="312" t="n"/>
      <c r="F117" s="312" t="n"/>
      <c r="G117" s="312" t="n"/>
      <c r="H117" s="312" t="n"/>
      <c r="I117" s="313" t="n"/>
      <c r="J117" s="199" t="inlineStr">
        <is>
          <t>CONCONCRETO</t>
        </is>
      </c>
      <c r="K117" s="314">
        <f>5980000-2250000</f>
        <v/>
      </c>
      <c r="L117" s="2" t="n">
        <v>44998</v>
      </c>
      <c r="M117" s="170" t="n"/>
      <c r="N117" s="170" t="inlineStr">
        <is>
          <t>313 6106856</t>
        </is>
      </c>
      <c r="O117" s="170" t="inlineStr">
        <is>
          <t>Javier Herrera Uribe</t>
        </is>
      </c>
      <c r="P117" s="52" t="inlineStr">
        <is>
          <t>jherrerau@conconcreto.com</t>
        </is>
      </c>
    </row>
    <row r="118">
      <c r="B118" s="170" t="n">
        <v>106</v>
      </c>
      <c r="C118" s="199" t="inlineStr">
        <is>
          <t>COTIZACION DEL ANÁLISIS DE SEGURIDAD HUMANA PARA EL PROYECTO DISLICORES</t>
        </is>
      </c>
      <c r="D118" s="312" t="n"/>
      <c r="E118" s="312" t="n"/>
      <c r="F118" s="312" t="n"/>
      <c r="G118" s="312" t="n"/>
      <c r="H118" s="312" t="n"/>
      <c r="I118" s="313" t="n"/>
      <c r="J118" s="199" t="inlineStr">
        <is>
          <t>SPCI</t>
        </is>
      </c>
      <c r="K118" s="314" t="n">
        <v>6270000</v>
      </c>
      <c r="L118" s="2" t="n">
        <v>44995</v>
      </c>
      <c r="M118" s="170" t="inlineStr">
        <is>
          <t>X</t>
        </is>
      </c>
      <c r="N118" s="170" t="inlineStr">
        <is>
          <t>310 4165783</t>
        </is>
      </c>
      <c r="O118" s="170" t="inlineStr">
        <is>
          <t>Cristiam Gustavo Mondragon Cortes</t>
        </is>
      </c>
      <c r="P118" s="52" t="inlineStr">
        <is>
          <t>cristiam.mondragon@spci.com.co</t>
        </is>
      </c>
    </row>
    <row r="119" ht="15" customHeight="1">
      <c r="B119" s="170" t="n">
        <v>107</v>
      </c>
      <c r="C119" s="199" t="inlineStr">
        <is>
          <t xml:space="preserve">
COTIZACION DEL DISEÑO DE EXTINCIÓN DE INCENDIOS PARA EL PROYECTO EDIFICIO SABANETA</t>
        </is>
      </c>
      <c r="D119" s="312" t="n"/>
      <c r="E119" s="312" t="n"/>
      <c r="F119" s="312" t="n"/>
      <c r="G119" s="312" t="n"/>
      <c r="H119" s="312" t="n"/>
      <c r="I119" s="313" t="n"/>
      <c r="J119" s="199" t="inlineStr">
        <is>
          <t>Sebastian Bedoya Arang</t>
        </is>
      </c>
      <c r="K119" s="314" t="n">
        <v>8950000</v>
      </c>
      <c r="L119" s="2" t="n">
        <v>44995</v>
      </c>
      <c r="M119" s="170" t="n"/>
      <c r="N119" s="170" t="n"/>
      <c r="O119" s="170" t="inlineStr">
        <is>
          <t xml:space="preserve"> Sebastian Bedoya Arang</t>
        </is>
      </c>
      <c r="P119" s="52" t="inlineStr">
        <is>
          <t>sebastianbedoya@paralelo-group.com</t>
        </is>
      </c>
    </row>
    <row r="120" ht="15" customHeight="1">
      <c r="B120" s="170" t="n">
        <v>108</v>
      </c>
      <c r="C120" s="199" t="inlineStr">
        <is>
          <t xml:space="preserve">
COTIZACION DEL DISEÑO DE EXTINCIÓN DE INCENDIOS PARA EL PROYECTO BODEGAS CARTAGENA</t>
        </is>
      </c>
      <c r="D120" s="312" t="n"/>
      <c r="E120" s="312" t="n"/>
      <c r="F120" s="312" t="n"/>
      <c r="G120" s="312" t="n"/>
      <c r="H120" s="312" t="n"/>
      <c r="I120" s="313" t="n"/>
      <c r="J120" s="199" t="inlineStr">
        <is>
          <t>SFIRE GROUP</t>
        </is>
      </c>
      <c r="K120" s="314" t="n">
        <v>29990000</v>
      </c>
      <c r="L120" s="2" t="n">
        <v>44995</v>
      </c>
      <c r="M120" s="170" t="n"/>
      <c r="N120" s="170" t="n"/>
      <c r="O120" s="170" t="inlineStr">
        <is>
          <t>alvaro manosalva</t>
        </is>
      </c>
      <c r="P120" s="52" t="inlineStr">
        <is>
          <t>alvaromanosalva@sfiregroup.com</t>
        </is>
      </c>
    </row>
    <row r="121">
      <c r="B121" s="170" t="n">
        <v>109</v>
      </c>
      <c r="C121" s="199" t="inlineStr">
        <is>
          <t>COTIZACION DEL DISEÑO DE EXTINCIÓN DE INCENDIOS PARA EL PROYECTO BODEGAS RANSA CALDAS-SECOS</t>
        </is>
      </c>
      <c r="D121" s="312" t="n"/>
      <c r="E121" s="312" t="n"/>
      <c r="F121" s="312" t="n"/>
      <c r="G121" s="312" t="n"/>
      <c r="H121" s="312" t="n"/>
      <c r="I121" s="313" t="n"/>
      <c r="J121" s="199" t="inlineStr">
        <is>
          <t>SPCI</t>
        </is>
      </c>
      <c r="K121" s="314" t="n">
        <v>8980000</v>
      </c>
      <c r="L121" s="2" t="n">
        <v>44998</v>
      </c>
      <c r="M121" s="2" t="n"/>
      <c r="N121" s="170" t="n">
        <v>3104203649</v>
      </c>
      <c r="O121" s="170" t="inlineStr">
        <is>
          <t>Mauricio Guzman Urrea</t>
        </is>
      </c>
      <c r="P121" s="52" t="inlineStr">
        <is>
          <t>mauricio.guzman@spci.com.co</t>
        </is>
      </c>
    </row>
    <row r="122">
      <c r="B122" s="170" t="n">
        <v>110</v>
      </c>
      <c r="C122" s="199" t="inlineStr">
        <is>
          <t>COTIZACION DEL ANÁLISIS DE SEGURIDAD HUMANA PARA EL PROYECTO VOLARE ETAPA 1</t>
        </is>
      </c>
      <c r="D122" s="312" t="n"/>
      <c r="E122" s="312" t="n"/>
      <c r="F122" s="312" t="n"/>
      <c r="G122" s="312" t="n"/>
      <c r="H122" s="312" t="n"/>
      <c r="I122" s="313" t="n"/>
      <c r="J122" s="199" t="inlineStr">
        <is>
          <t>INSERCO</t>
        </is>
      </c>
      <c r="K122" s="314" t="n">
        <v>2790000</v>
      </c>
      <c r="L122" s="2" t="n">
        <v>44998</v>
      </c>
      <c r="M122" s="170" t="inlineStr">
        <is>
          <t>X</t>
        </is>
      </c>
      <c r="N122" s="170" t="n">
        <v>3104131109</v>
      </c>
      <c r="O122" s="170" t="inlineStr">
        <is>
          <t>Leandro Herrera Gutierrez</t>
        </is>
      </c>
      <c r="P122" s="52" t="inlineStr">
        <is>
          <t>directorlean@inserco.com.co</t>
        </is>
      </c>
    </row>
    <row r="123">
      <c r="B123" s="170" t="n">
        <v>111</v>
      </c>
      <c r="C123" s="199" t="inlineStr">
        <is>
          <t>COTIZACION DEL INFORME PRELIMINAR DE SEGURIDAD HUMANA - MONTEBIANCO CARTAGENA</t>
        </is>
      </c>
      <c r="D123" s="312" t="n"/>
      <c r="E123" s="312" t="n"/>
      <c r="F123" s="312" t="n"/>
      <c r="G123" s="312" t="n"/>
      <c r="H123" s="312" t="n"/>
      <c r="I123" s="313" t="n"/>
      <c r="J123" s="199" t="inlineStr">
        <is>
          <t>CONCONCRETO</t>
        </is>
      </c>
      <c r="K123" s="314" t="n">
        <v>2250000</v>
      </c>
      <c r="L123" s="2" t="n">
        <v>44998</v>
      </c>
      <c r="M123" s="170" t="inlineStr">
        <is>
          <t>X</t>
        </is>
      </c>
      <c r="N123" s="170" t="inlineStr">
        <is>
          <t>313 6106856</t>
        </is>
      </c>
      <c r="O123" s="170" t="inlineStr">
        <is>
          <t>Javier Herrera Uribe</t>
        </is>
      </c>
      <c r="P123" s="52" t="inlineStr">
        <is>
          <t>jherrerau@conconcreto.com</t>
        </is>
      </c>
    </row>
    <row r="124">
      <c r="B124" s="170" t="n">
        <v>112</v>
      </c>
      <c r="C124" s="199" t="inlineStr">
        <is>
          <t>COTIZACION DE LOS DISEÑOS DE SEGURIDAD HUMANA Y PROTECCIÓN CONTRA INCENDIOS - CONDOMINIO HOUZEZ</t>
        </is>
      </c>
      <c r="D124" s="312" t="n"/>
      <c r="E124" s="312" t="n"/>
      <c r="F124" s="312" t="n"/>
      <c r="G124" s="312" t="n"/>
      <c r="H124" s="312" t="n"/>
      <c r="I124" s="313" t="n"/>
      <c r="J124" s="199" t="inlineStr">
        <is>
          <t>ESPIRAL</t>
        </is>
      </c>
      <c r="K124" s="314" t="n">
        <v>4640000</v>
      </c>
      <c r="L124" s="2" t="n">
        <v>44998</v>
      </c>
      <c r="M124" s="170" t="inlineStr">
        <is>
          <t>X</t>
        </is>
      </c>
      <c r="N124" s="170" t="n">
        <v>3176461961</v>
      </c>
      <c r="O124" s="170" t="inlineStr">
        <is>
          <t>Jorge Escobar</t>
        </is>
      </c>
      <c r="P124" s="52" t="inlineStr">
        <is>
          <t>jorge.escobar@espiral.com.co</t>
        </is>
      </c>
    </row>
    <row r="125" ht="15" customHeight="1">
      <c r="B125" s="170" t="n">
        <v>113</v>
      </c>
      <c r="C125" s="199" t="inlineStr">
        <is>
          <t>COTIZACION DE LA REVISIÓN Y PROPUESTAS DE MEJORA DE SEGURIDAD HUMANA Y PROTECCIÓN CONTRA INCENDIOS - RIOGRANDE</t>
        </is>
      </c>
      <c r="D125" s="312" t="n"/>
      <c r="E125" s="312" t="n"/>
      <c r="F125" s="312" t="n"/>
      <c r="G125" s="312" t="n"/>
      <c r="H125" s="312" t="n"/>
      <c r="I125" s="313" t="n"/>
      <c r="J125" s="199" t="inlineStr">
        <is>
          <t>SPCI</t>
        </is>
      </c>
      <c r="K125" s="314" t="n">
        <v>6000000</v>
      </c>
      <c r="L125" s="2" t="n">
        <v>44999</v>
      </c>
      <c r="M125" s="2" t="n"/>
      <c r="N125" s="170" t="inlineStr">
        <is>
          <t xml:space="preserve"> 310 468 0508</t>
        </is>
      </c>
      <c r="O125" s="170" t="inlineStr">
        <is>
          <t>Juan Pablo Grajales Gómez</t>
        </is>
      </c>
      <c r="P125" s="52" t="inlineStr">
        <is>
          <t>juan.grajales@spci.com.co</t>
        </is>
      </c>
    </row>
    <row r="126">
      <c r="B126" s="170" t="n">
        <v>114</v>
      </c>
      <c r="C126" s="199" t="inlineStr">
        <is>
          <t>COTIZACION DE LOS DISEÑOS DE PROTECCIÓN CONTRA INCENDIOS Y SEGURIDAD HUMANA PARA EL PROYECTO KIVA DEL RIO</t>
        </is>
      </c>
      <c r="D126" s="312" t="n"/>
      <c r="E126" s="312" t="n"/>
      <c r="F126" s="312" t="n"/>
      <c r="G126" s="312" t="n"/>
      <c r="H126" s="312" t="n"/>
      <c r="I126" s="313" t="n"/>
      <c r="J126" s="199" t="inlineStr">
        <is>
          <t>CONALTURA</t>
        </is>
      </c>
      <c r="K126" s="314" t="n">
        <v>28970000</v>
      </c>
      <c r="L126" s="2" t="n">
        <v>45000</v>
      </c>
      <c r="M126" s="2" t="n"/>
      <c r="N126" s="170" t="n">
        <v>2662277</v>
      </c>
      <c r="O126" s="170" t="inlineStr">
        <is>
          <t>Clara Liliana Vivas Tristancho</t>
        </is>
      </c>
      <c r="P126" s="52" t="inlineStr">
        <is>
          <t>cvivas@conaltura.com</t>
        </is>
      </c>
    </row>
    <row r="127">
      <c r="B127" s="170" t="n">
        <v>115</v>
      </c>
      <c r="C127" s="199" t="inlineStr">
        <is>
          <t>COTIZACION DE LOS DISEÑOS DE PROTECCIÓN CONTRA INCENDIOS PARA EL PROYECTO TABLAZA LOTE 1</t>
        </is>
      </c>
      <c r="D127" s="312" t="n"/>
      <c r="E127" s="312" t="n"/>
      <c r="F127" s="312" t="n"/>
      <c r="G127" s="312" t="n"/>
      <c r="H127" s="312" t="n"/>
      <c r="I127" s="313" t="n"/>
      <c r="J127" s="199" t="inlineStr">
        <is>
          <t>Comex Internacional</t>
        </is>
      </c>
      <c r="K127" s="314" t="n">
        <v>8150000</v>
      </c>
      <c r="L127" s="2" t="n">
        <v>44999</v>
      </c>
      <c r="M127" s="2" t="n"/>
      <c r="N127" s="170" t="inlineStr">
        <is>
          <t>316 496 20 26</t>
        </is>
      </c>
      <c r="O127" s="170" t="inlineStr">
        <is>
          <t>Juan David Ossa Salazar</t>
        </is>
      </c>
      <c r="P127" s="52" t="inlineStr">
        <is>
          <t>comercial@comexinternacional.com.co</t>
        </is>
      </c>
    </row>
    <row r="128">
      <c r="B128" s="170" t="n">
        <v>116</v>
      </c>
      <c r="C128" s="199" t="inlineStr">
        <is>
          <t>COTIZACION DE LOS DISEÑOS DE SEGURIDAD HUMANA Y PROTECCIÓN CONTRA INCENDIOS - PROYECTO CLINICA MEDICADIZ</t>
        </is>
      </c>
      <c r="D128" s="312" t="n"/>
      <c r="E128" s="312" t="n"/>
      <c r="F128" s="312" t="n"/>
      <c r="G128" s="312" t="n"/>
      <c r="H128" s="312" t="n"/>
      <c r="I128" s="313" t="n"/>
      <c r="J128" s="199" t="inlineStr">
        <is>
          <t>SOCOMES</t>
        </is>
      </c>
      <c r="K128" s="314" t="n">
        <v>13980000</v>
      </c>
      <c r="L128" s="2" t="n">
        <v>45000</v>
      </c>
      <c r="M128" s="170" t="n"/>
      <c r="N128" s="170" t="n">
        <v>3137851941</v>
      </c>
      <c r="O128" s="172" t="inlineStr">
        <is>
          <t>David Lopera Medina</t>
        </is>
      </c>
      <c r="P128" s="52" t="inlineStr">
        <is>
          <t>david.lopera@socomes.com</t>
        </is>
      </c>
    </row>
    <row r="129" ht="15" customHeight="1">
      <c r="B129" s="170" t="n">
        <v>117</v>
      </c>
      <c r="C129" s="199" t="inlineStr">
        <is>
          <t>COTIZACION DE LOS DISEÑOS DE SEGURIDAD HUMANA Y PROTECCIÓN CONTRA INCENDIOS - EDIFICIO ALCATRAZ</t>
        </is>
      </c>
      <c r="D129" s="312" t="n"/>
      <c r="E129" s="312" t="n"/>
      <c r="F129" s="312" t="n"/>
      <c r="G129" s="312" t="n"/>
      <c r="H129" s="312" t="n"/>
      <c r="I129" s="313" t="n"/>
      <c r="J129" s="199" t="inlineStr">
        <is>
          <t>SOCOMES</t>
        </is>
      </c>
      <c r="K129" s="314" t="n">
        <v>10910000</v>
      </c>
      <c r="L129" s="2" t="n">
        <v>45000</v>
      </c>
      <c r="M129" s="170" t="n"/>
      <c r="N129" s="170" t="n">
        <v>3137851941</v>
      </c>
      <c r="O129" s="172" t="inlineStr">
        <is>
          <t>David Lopera Medina</t>
        </is>
      </c>
      <c r="P129" s="52" t="inlineStr">
        <is>
          <t>david.lopera@socomes.com</t>
        </is>
      </c>
    </row>
    <row r="130">
      <c r="B130" s="170" t="n">
        <v>118</v>
      </c>
      <c r="C130" s="199" t="inlineStr">
        <is>
          <t>COTIZACION DE LOS DISEÑOS DE SEGURIDAD HUMANA Y PROTECCIÓN CONTRA INCENDIOS - BANTUE</t>
        </is>
      </c>
      <c r="D130" s="312" t="n"/>
      <c r="E130" s="312" t="n"/>
      <c r="F130" s="312" t="n"/>
      <c r="G130" s="312" t="n"/>
      <c r="H130" s="312" t="n"/>
      <c r="I130" s="313" t="n"/>
      <c r="J130" s="199" t="inlineStr">
        <is>
          <t>BIENES Y BIENES</t>
        </is>
      </c>
      <c r="K130" s="317" t="n">
        <v>34750000</v>
      </c>
      <c r="L130" s="2" t="inlineStr">
        <is>
          <t>17/03/2023</t>
        </is>
      </c>
      <c r="M130" s="170" t="n"/>
      <c r="N130" s="170" t="inlineStr">
        <is>
          <t>312 7373927</t>
        </is>
      </c>
      <c r="O130" s="170" t="inlineStr">
        <is>
          <t>Maria Camila Madrid</t>
        </is>
      </c>
      <c r="P130" s="52" t="inlineStr">
        <is>
          <t>maria.madrid@bienesybienes.com.co</t>
        </is>
      </c>
    </row>
    <row r="131">
      <c r="B131" s="170" t="n">
        <v>119</v>
      </c>
      <c r="C131" s="199" t="inlineStr">
        <is>
          <t>COTIZACIÓN DE LOS DISEÑOS DE EXTINCIÓN DE INCENDIOS</t>
        </is>
      </c>
      <c r="D131" s="312" t="n"/>
      <c r="E131" s="312" t="n"/>
      <c r="F131" s="312" t="n"/>
      <c r="G131" s="312" t="n"/>
      <c r="H131" s="312" t="n"/>
      <c r="I131" s="313" t="n"/>
      <c r="J131" s="199" t="inlineStr">
        <is>
          <t>BANTU</t>
        </is>
      </c>
      <c r="K131" s="314" t="n">
        <v>800000</v>
      </c>
      <c r="L131" s="2" t="inlineStr">
        <is>
          <t>17/03/2024</t>
        </is>
      </c>
      <c r="M131" s="2" t="n"/>
      <c r="N131" s="170" t="inlineStr">
        <is>
          <t>312 2379587</t>
        </is>
      </c>
      <c r="O131" s="170" t="inlineStr">
        <is>
          <t xml:space="preserve">María Adelaida Jiménez </t>
        </is>
      </c>
      <c r="P131" s="52" t="inlineStr">
        <is>
          <t>maria.jimenez@bataua.com</t>
        </is>
      </c>
    </row>
    <row r="132" ht="15" customHeight="1">
      <c r="B132" s="170" t="n">
        <v>120</v>
      </c>
      <c r="C132" s="199" t="inlineStr">
        <is>
          <t>COTIZACION DE LOS DISEÑOS DE PROTECCIÓN CONTRA INCENDIOS Y SEGURIDAD HUMANA PARA EL PROYECTO LAGOS MADEROS</t>
        </is>
      </c>
      <c r="D132" s="312" t="n"/>
      <c r="E132" s="312" t="n"/>
      <c r="F132" s="312" t="n"/>
      <c r="G132" s="312" t="n"/>
      <c r="H132" s="312" t="n"/>
      <c r="I132" s="313" t="n"/>
      <c r="J132" s="199" t="inlineStr">
        <is>
          <t>Mensula</t>
        </is>
      </c>
      <c r="K132" s="314" t="n">
        <v>19920000</v>
      </c>
      <c r="L132" s="2" t="n">
        <v>45006</v>
      </c>
      <c r="M132" s="2" t="inlineStr">
        <is>
          <t>X</t>
        </is>
      </c>
      <c r="N132" s="170" t="inlineStr">
        <is>
          <t>314 8855316</t>
        </is>
      </c>
      <c r="O132" s="170" t="inlineStr">
        <is>
          <t xml:space="preserve"> Yeison González</t>
        </is>
      </c>
      <c r="P132" s="52" t="inlineStr">
        <is>
          <t>yeisongonzalez@mensulaingenieros.com</t>
        </is>
      </c>
    </row>
    <row r="133">
      <c r="B133" s="170" t="n">
        <v>121</v>
      </c>
      <c r="C133" s="199" t="inlineStr">
        <is>
          <t>COTIZACION DEL ANÁLISIS DE SEGURIDAD HUMANA PARA EL PROYECTO CLINICA MEDELLIN POBLADO</t>
        </is>
      </c>
      <c r="D133" s="312" t="n"/>
      <c r="E133" s="312" t="n"/>
      <c r="F133" s="312" t="n"/>
      <c r="G133" s="312" t="n"/>
      <c r="H133" s="312" t="n"/>
      <c r="I133" s="313" t="n"/>
      <c r="J133" s="199" t="inlineStr">
        <is>
          <t>CONDISEÑO</t>
        </is>
      </c>
      <c r="K133" s="314" t="n">
        <v>1250000</v>
      </c>
      <c r="L133" s="2" t="n">
        <v>45009</v>
      </c>
      <c r="M133" s="170" t="n"/>
      <c r="N133" s="170" t="n">
        <v>3175594091</v>
      </c>
      <c r="O133" s="170" t="inlineStr">
        <is>
          <t>Nakary Garcia Romero</t>
        </is>
      </c>
      <c r="P133" s="52" t="inlineStr">
        <is>
          <t>n.garcia@condiseno.co</t>
        </is>
      </c>
    </row>
    <row r="134">
      <c r="B134" s="170" t="n">
        <v>122</v>
      </c>
      <c r="C134" s="246" t="inlineStr">
        <is>
          <t xml:space="preserve">COTIZACION DE LOS DISEÑOS DE PROTECCIÓN CONTRA INCENDIOS PARA EL PROYECTO BODEGA HACIENDA EL PORTAL
</t>
        </is>
      </c>
      <c r="D134" s="312" t="n"/>
      <c r="E134" s="312" t="n"/>
      <c r="F134" s="312" t="n"/>
      <c r="G134" s="312" t="n"/>
      <c r="H134" s="312" t="n"/>
      <c r="I134" s="313" t="n"/>
      <c r="J134" s="199" t="inlineStr">
        <is>
          <t>COINSI</t>
        </is>
      </c>
      <c r="K134" s="314" t="n">
        <v>24960000</v>
      </c>
      <c r="L134" s="2" t="n">
        <v>45015</v>
      </c>
      <c r="M134" s="170" t="n"/>
      <c r="N134" s="170" t="n">
        <v>3117208541</v>
      </c>
      <c r="O134" s="170" t="inlineStr">
        <is>
          <t xml:space="preserve">Sergio Rodriguez </t>
        </is>
      </c>
      <c r="P134" s="52" t="inlineStr">
        <is>
          <t>diseno4@gyd.com.co</t>
        </is>
      </c>
    </row>
    <row r="135">
      <c r="B135" s="170" t="n">
        <v>123</v>
      </c>
      <c r="C135" s="199" t="inlineStr">
        <is>
          <t>COTIZACION DE LOS DISEÑOS DE PROTECCIÓN CONTRA INCENDIOS PARA EL PROYECTO ENKA</t>
        </is>
      </c>
      <c r="D135" s="312" t="n"/>
      <c r="E135" s="312" t="n"/>
      <c r="F135" s="312" t="n"/>
      <c r="G135" s="312" t="n"/>
      <c r="H135" s="312" t="n"/>
      <c r="I135" s="313" t="n"/>
      <c r="J135" s="199" t="inlineStr">
        <is>
          <t>SPCI</t>
        </is>
      </c>
      <c r="K135" s="314" t="n">
        <v>9970000</v>
      </c>
      <c r="L135" s="2" t="n">
        <v>45009</v>
      </c>
      <c r="M135" s="170" t="n"/>
      <c r="N135" s="170" t="inlineStr">
        <is>
          <t>321 482 61 68</t>
        </is>
      </c>
      <c r="O135" s="170" t="inlineStr">
        <is>
          <t>Ana Maria Restrepo Mayo.</t>
        </is>
      </c>
      <c r="P135" s="52" t="inlineStr">
        <is>
          <t>ana.restrepo@spci.com.co</t>
        </is>
      </c>
    </row>
    <row r="136">
      <c r="B136" s="170" t="n">
        <v>124</v>
      </c>
      <c r="C136" s="199" t="inlineStr">
        <is>
          <t>COTIZACION DE LOS DISEÑOS DE PROTECCIÓN CONTRA INCENDIOS PARA EL PROYECTO PRIMITIV</t>
        </is>
      </c>
      <c r="D136" s="312" t="n"/>
      <c r="E136" s="312" t="n"/>
      <c r="F136" s="312" t="n"/>
      <c r="G136" s="312" t="n"/>
      <c r="H136" s="312" t="n"/>
      <c r="I136" s="313" t="n"/>
      <c r="J136" s="199" t="inlineStr">
        <is>
          <t>SOCOMES</t>
        </is>
      </c>
      <c r="K136" s="314" t="n">
        <v>22390000</v>
      </c>
      <c r="L136" s="2" t="n">
        <v>45009</v>
      </c>
      <c r="M136" s="2" t="n"/>
      <c r="N136" s="170" t="n">
        <v>3137851941</v>
      </c>
      <c r="O136" s="172" t="inlineStr">
        <is>
          <t>David Lopera Medina</t>
        </is>
      </c>
      <c r="P136" s="52" t="inlineStr">
        <is>
          <t>david.lopera@socomes.com</t>
        </is>
      </c>
    </row>
    <row r="137">
      <c r="B137" s="170" t="n">
        <v>125</v>
      </c>
      <c r="C137" s="246" t="inlineStr">
        <is>
          <t xml:space="preserve">COTIZACION DE LOS DISEÑOS DE PROTECCIÓN CONTRA INCENDIOS Y SEGURIDAD HUMANA PARA EL PROYECTO CONDOMINIO FENIX
</t>
        </is>
      </c>
      <c r="D137" s="312" t="n"/>
      <c r="E137" s="312" t="n"/>
      <c r="F137" s="312" t="n"/>
      <c r="G137" s="312" t="n"/>
      <c r="H137" s="312" t="n"/>
      <c r="I137" s="313" t="n"/>
      <c r="J137" s="199" t="inlineStr">
        <is>
          <t>SECURETEC</t>
        </is>
      </c>
      <c r="K137" s="314" t="n">
        <v>10950000</v>
      </c>
      <c r="L137" s="2" t="n">
        <v>45008</v>
      </c>
      <c r="M137" s="170" t="n"/>
      <c r="N137" s="170" t="n">
        <v>3217011017</v>
      </c>
      <c r="O137" s="170" t="inlineStr">
        <is>
          <t>Harold Camacho</t>
        </is>
      </c>
      <c r="P137" s="52" t="inlineStr">
        <is>
          <t>gerencia@securetec.com.co</t>
        </is>
      </c>
    </row>
    <row r="138">
      <c r="B138" s="170" t="n">
        <v>126</v>
      </c>
      <c r="C138" s="246" t="inlineStr">
        <is>
          <t xml:space="preserve">COTIZACION DEL DISEÑO DE EXTINCIÓN DE INCENDIOS PARA EL PROYECTO BANCOLOMBIA HALL CAJEROS MI PLAZA LOS ROBLES
</t>
        </is>
      </c>
      <c r="D138" s="312" t="n"/>
      <c r="E138" s="312" t="n"/>
      <c r="F138" s="312" t="n"/>
      <c r="G138" s="312" t="n"/>
      <c r="H138" s="312" t="n"/>
      <c r="I138" s="313" t="n"/>
      <c r="J138" s="199" t="inlineStr">
        <is>
          <t>TRZ ARQUITECTURA</t>
        </is>
      </c>
      <c r="K138" s="314" t="n">
        <v>1150000</v>
      </c>
      <c r="L138" s="2" t="n">
        <v>45009</v>
      </c>
      <c r="M138" s="170" t="inlineStr">
        <is>
          <t>X</t>
        </is>
      </c>
      <c r="N138" s="170" t="n">
        <v>3167417025</v>
      </c>
      <c r="O138" s="170" t="inlineStr">
        <is>
          <t>Esteban Perez Betancur</t>
        </is>
      </c>
      <c r="P138" s="52" t="inlineStr">
        <is>
          <t>esteban.perez@tzd.com.co</t>
        </is>
      </c>
    </row>
    <row r="139">
      <c r="B139" s="170" t="n">
        <v>127</v>
      </c>
      <c r="C139" s="246" t="inlineStr">
        <is>
          <t xml:space="preserve">COTIZACION DEL DISEÑO DE DETECCIÓN DE INCENDIOS PARA EL PROYECTO PISO 7 SUR
</t>
        </is>
      </c>
      <c r="D139" s="312" t="n"/>
      <c r="E139" s="312" t="n"/>
      <c r="F139" s="312" t="n"/>
      <c r="G139" s="312" t="n"/>
      <c r="H139" s="312" t="n"/>
      <c r="I139" s="313" t="n"/>
      <c r="J139" s="199" t="inlineStr">
        <is>
          <t xml:space="preserve"> Hidráulica y Montajes</t>
        </is>
      </c>
      <c r="K139" s="314" t="n">
        <v>2350000</v>
      </c>
      <c r="L139" s="2" t="n">
        <v>45013</v>
      </c>
      <c r="M139" s="2" t="inlineStr">
        <is>
          <t>X</t>
        </is>
      </c>
      <c r="N139" s="170" t="inlineStr">
        <is>
          <t>301 4487912</t>
        </is>
      </c>
      <c r="O139" s="170" t="inlineStr">
        <is>
          <t>Evelin Rojas</t>
        </is>
      </c>
      <c r="P139" s="52" t="inlineStr">
        <is>
          <t>hidraulicaymontajes@gmail.com</t>
        </is>
      </c>
    </row>
    <row r="140">
      <c r="B140" s="170" t="n">
        <v>128</v>
      </c>
      <c r="C140" s="246" t="inlineStr">
        <is>
          <t xml:space="preserve">COTIZACION DEL DISEÑO DE DETECCIÓN DE INCENDIOS PARA EL PROYECTO PISO 10
</t>
        </is>
      </c>
      <c r="D140" s="312" t="n"/>
      <c r="E140" s="312" t="n"/>
      <c r="F140" s="312" t="n"/>
      <c r="G140" s="312" t="n"/>
      <c r="H140" s="312" t="n"/>
      <c r="I140" s="313" t="n"/>
      <c r="J140" s="199" t="inlineStr">
        <is>
          <t xml:space="preserve"> Hidráulica y Montajes</t>
        </is>
      </c>
      <c r="K140" s="314" t="n">
        <v>2350000</v>
      </c>
      <c r="L140" s="2" t="n">
        <v>45013</v>
      </c>
      <c r="M140" s="2" t="inlineStr">
        <is>
          <t>X</t>
        </is>
      </c>
      <c r="N140" s="170" t="inlineStr">
        <is>
          <t>301 4487912</t>
        </is>
      </c>
      <c r="O140" s="170" t="inlineStr">
        <is>
          <t>Evelin Rojas</t>
        </is>
      </c>
      <c r="P140" s="52" t="inlineStr">
        <is>
          <t>hidraulicaymontajes@gmail.com</t>
        </is>
      </c>
    </row>
    <row r="141">
      <c r="B141" s="170" t="n">
        <v>129</v>
      </c>
      <c r="C141" s="199" t="inlineStr">
        <is>
          <t>COTIZACION DEL DISEÑO DE EXTINCIÓN DE INCENDIOS PARA EL PROYECTO CIUDADELA DEL VALLE BODEGA #85</t>
        </is>
      </c>
      <c r="D141" s="312" t="n"/>
      <c r="E141" s="312" t="n"/>
      <c r="F141" s="312" t="n"/>
      <c r="G141" s="312" t="n"/>
      <c r="H141" s="312" t="n"/>
      <c r="I141" s="313" t="n"/>
      <c r="J141" s="199" t="inlineStr">
        <is>
          <t>EDIVA</t>
        </is>
      </c>
      <c r="K141" s="314" t="n">
        <v>8750000</v>
      </c>
      <c r="L141" s="2" t="n">
        <v>45013</v>
      </c>
      <c r="M141" s="2" t="n"/>
      <c r="N141" s="170" t="n"/>
      <c r="O141" s="170" t="inlineStr">
        <is>
          <t>Jaime Vergara</t>
        </is>
      </c>
      <c r="P141" s="52" t="n"/>
    </row>
    <row r="142">
      <c r="B142" s="170" t="n">
        <v>130</v>
      </c>
      <c r="C142" s="233" t="inlineStr">
        <is>
          <t>COTIZACION DE LOS DISEÑOS DE PROTECCIÓN CONTRA INCENDIOS Y SEGURIDAD HUMANA PARA EL PROYECTO SEDE ADM BANCOLOMBIA CALI</t>
        </is>
      </c>
      <c r="D142" s="312" t="n"/>
      <c r="E142" s="312" t="n"/>
      <c r="F142" s="312" t="n"/>
      <c r="G142" s="312" t="n"/>
      <c r="H142" s="312" t="n"/>
      <c r="I142" s="313" t="n"/>
      <c r="J142" s="199" t="inlineStr">
        <is>
          <t>STUDIO SUR</t>
        </is>
      </c>
      <c r="K142" s="314" t="n">
        <v>7960000</v>
      </c>
      <c r="L142" s="2" t="n">
        <v>44989</v>
      </c>
      <c r="M142" s="170" t="n"/>
      <c r="N142" s="170" t="n"/>
      <c r="O142" s="170" t="inlineStr">
        <is>
          <t>Andrea Sanchez</t>
        </is>
      </c>
      <c r="P142" s="52" t="n"/>
    </row>
    <row r="143">
      <c r="B143" s="170" t="n">
        <v>131</v>
      </c>
      <c r="C143" s="199" t="inlineStr">
        <is>
          <t>COTIZACION DE LOS DISEÑOS DE PROTECCIÓN CONTRA INCENDIOS Y SEGURIDAD HUMANA PARA EL PROYECTO CURTIMBRES LOTE A</t>
        </is>
      </c>
      <c r="D143" s="312" t="n"/>
      <c r="E143" s="312" t="n"/>
      <c r="F143" s="312" t="n"/>
      <c r="G143" s="312" t="n"/>
      <c r="H143" s="312" t="n"/>
      <c r="I143" s="313" t="n"/>
      <c r="J143" s="199" t="inlineStr">
        <is>
          <t>B&amp;B</t>
        </is>
      </c>
      <c r="K143" s="314" t="n">
        <v>69750000</v>
      </c>
      <c r="L143" s="2" t="n">
        <v>45015</v>
      </c>
      <c r="M143" s="170" t="n"/>
      <c r="N143" s="170" t="inlineStr">
        <is>
          <t xml:space="preserve">(054) 311 - 8500 </t>
        </is>
      </c>
      <c r="O143" s="170" t="inlineStr">
        <is>
          <t>Maria Camila Madrid Quiceno</t>
        </is>
      </c>
      <c r="P143" s="52" t="inlineStr">
        <is>
          <t>maria.madrid@bienesybienes.com.co</t>
        </is>
      </c>
    </row>
    <row r="144">
      <c r="B144" s="170" t="n">
        <v>132</v>
      </c>
      <c r="C144" s="199" t="inlineStr">
        <is>
          <t>COTIZACION DE LOS DISEÑOS DE SEGURIDAD HUMANA Y PROTECCIÓN CONTRA INCENDIOS - EDIFICIO COMERCIAL 4 PISOS</t>
        </is>
      </c>
      <c r="D144" s="312" t="n"/>
      <c r="E144" s="312" t="n"/>
      <c r="F144" s="312" t="n"/>
      <c r="G144" s="312" t="n"/>
      <c r="H144" s="312" t="n"/>
      <c r="I144" s="313" t="n"/>
      <c r="J144" s="199" t="inlineStr">
        <is>
          <t>SUMARIO ARQUITECTURA</t>
        </is>
      </c>
      <c r="K144" s="314" t="n">
        <v>10970000</v>
      </c>
      <c r="L144" s="2" t="n">
        <v>45015</v>
      </c>
      <c r="M144" s="2" t="n"/>
      <c r="N144" s="170" t="inlineStr">
        <is>
          <t>317 2207906</t>
        </is>
      </c>
      <c r="O144" s="170" t="inlineStr">
        <is>
          <t>Cristina Tamayo</t>
        </is>
      </c>
      <c r="P144" s="52" t="inlineStr">
        <is>
          <t>cristina@sumario.co</t>
        </is>
      </c>
    </row>
    <row r="145">
      <c r="B145" s="170" t="n">
        <v>133</v>
      </c>
      <c r="C145" s="199" t="inlineStr">
        <is>
          <t>COTIZACION DEL DISEÑO DE DETECCIÓN DE INCENDIOS PARA EL PROYECTO CENTRO EMPRESARIAL CIUDAD DEL RIO</t>
        </is>
      </c>
      <c r="D145" s="312" t="n"/>
      <c r="E145" s="312" t="n"/>
      <c r="F145" s="312" t="n"/>
      <c r="G145" s="312" t="n"/>
      <c r="H145" s="312" t="n"/>
      <c r="I145" s="313" t="n"/>
      <c r="J145" s="199" t="inlineStr">
        <is>
          <t>SPCI</t>
        </is>
      </c>
      <c r="K145" s="314" t="n">
        <v>1950000</v>
      </c>
      <c r="L145" s="2" t="n">
        <v>45015</v>
      </c>
      <c r="M145" s="170" t="n"/>
      <c r="N145" s="170" t="inlineStr">
        <is>
          <t>321 482 61 68</t>
        </is>
      </c>
      <c r="O145" s="170" t="inlineStr">
        <is>
          <t>Ana Maria Restrepo Mayo.</t>
        </is>
      </c>
      <c r="P145" s="52" t="inlineStr">
        <is>
          <t>ana.restrepo@spci.com.co</t>
        </is>
      </c>
    </row>
    <row r="146">
      <c r="B146" s="170" t="n">
        <v>134</v>
      </c>
      <c r="C146" s="199" t="inlineStr">
        <is>
          <t>COTIZACION DE LOS DISEÑOS DE PROTECCIÓN CONTRA INCENDIOS PARA EL PROYECTO COCINA OCULTA CREPS</t>
        </is>
      </c>
      <c r="D146" s="312" t="n"/>
      <c r="E146" s="312" t="n"/>
      <c r="F146" s="312" t="n"/>
      <c r="G146" s="312" t="n"/>
      <c r="H146" s="312" t="n"/>
      <c r="I146" s="313" t="n"/>
      <c r="J146" s="199" t="inlineStr">
        <is>
          <t>Comex Internacional</t>
        </is>
      </c>
      <c r="K146" s="314" t="n">
        <v>2700000</v>
      </c>
      <c r="L146" s="2" t="n">
        <v>45015</v>
      </c>
      <c r="M146" s="170" t="inlineStr">
        <is>
          <t>X</t>
        </is>
      </c>
      <c r="N146" s="170" t="inlineStr">
        <is>
          <t>311 3227629</t>
        </is>
      </c>
      <c r="O146" s="170" t="inlineStr">
        <is>
          <t>Juan Hernando Pérez</t>
        </is>
      </c>
      <c r="P146" s="52" t="n"/>
    </row>
    <row r="147">
      <c r="B147" s="170" t="n">
        <v>135</v>
      </c>
      <c r="C147" s="199" t="inlineStr">
        <is>
          <t>COTIZACION DE LOS DISEÑOS DE SEGURIDAD HUMANA Y EXTINCIÓN DE INCENDIOS - AL PARQUE</t>
        </is>
      </c>
      <c r="D147" s="312" t="n"/>
      <c r="E147" s="312" t="n"/>
      <c r="F147" s="312" t="n"/>
      <c r="G147" s="312" t="n"/>
      <c r="H147" s="312" t="n"/>
      <c r="I147" s="313" t="n"/>
      <c r="J147" s="199" t="inlineStr">
        <is>
          <t>I+CONSTRUCTORA</t>
        </is>
      </c>
      <c r="K147" s="314" t="n">
        <v>9400000</v>
      </c>
      <c r="L147" s="2" t="n">
        <v>45016</v>
      </c>
      <c r="M147" s="170" t="inlineStr">
        <is>
          <t>X</t>
        </is>
      </c>
      <c r="N147" s="170" t="n">
        <v>4443091</v>
      </c>
      <c r="O147" s="172" t="inlineStr">
        <is>
          <t>Lina Maria Montoya Gonzalez</t>
        </is>
      </c>
      <c r="P147" s="52" t="inlineStr">
        <is>
          <t>lmontoya@iconstructora.com.co</t>
        </is>
      </c>
    </row>
    <row r="148">
      <c r="B148" s="170" t="n">
        <v>136</v>
      </c>
      <c r="C148" s="199" t="inlineStr">
        <is>
          <t>COTIZACION DE LOS DISEÑOS DE PROTECCIÓN CONTRA INCENDIOS PARA EL PROYECTO CAFÉ PERGAMINO</t>
        </is>
      </c>
      <c r="D148" s="312" t="n"/>
      <c r="E148" s="312" t="n"/>
      <c r="F148" s="312" t="n"/>
      <c r="G148" s="312" t="n"/>
      <c r="H148" s="312" t="n"/>
      <c r="I148" s="313" t="n"/>
      <c r="J148" s="199" t="inlineStr">
        <is>
          <t>SOLUCIONES INMOBILIARIAS</t>
        </is>
      </c>
      <c r="K148" s="314" t="n">
        <v>7530000</v>
      </c>
      <c r="L148" s="2" t="n">
        <v>45019</v>
      </c>
      <c r="M148" s="170" t="n"/>
      <c r="N148" s="170" t="n">
        <v>3104592285</v>
      </c>
      <c r="O148" s="170" t="inlineStr">
        <is>
          <t>Santiago Duque Salazar</t>
        </is>
      </c>
      <c r="P148" s="52" t="inlineStr">
        <is>
          <t xml:space="preserve"> santiagoduque@solucionesinmobiliariassas.com</t>
        </is>
      </c>
    </row>
    <row r="149">
      <c r="B149" s="170" t="n">
        <v>137</v>
      </c>
      <c r="C149" s="199" t="inlineStr">
        <is>
          <t>COTIZACION DEL DISEÑO DE EXTINCIÓN DE INCENDIOS PARA EL PROYECTO MIRADOR DE LAS VEGAS</t>
        </is>
      </c>
      <c r="D149" s="312" t="n"/>
      <c r="E149" s="312" t="n"/>
      <c r="F149" s="312" t="n"/>
      <c r="G149" s="312" t="n"/>
      <c r="H149" s="312" t="n"/>
      <c r="I149" s="313" t="n"/>
      <c r="J149" s="199" t="inlineStr">
        <is>
          <t>MAUREN VALENCIA TORO</t>
        </is>
      </c>
      <c r="K149" s="314" t="n">
        <v>15250000</v>
      </c>
      <c r="L149" s="2" t="n">
        <v>45020</v>
      </c>
      <c r="M149" s="170" t="n"/>
      <c r="N149" s="170" t="n"/>
      <c r="O149" s="170" t="inlineStr">
        <is>
          <t xml:space="preserve"> MAUREN VALENCIA TORO</t>
        </is>
      </c>
      <c r="P149" s="52" t="inlineStr">
        <is>
          <t>maurenvalenciatoro@gmail.com</t>
        </is>
      </c>
    </row>
    <row r="150">
      <c r="B150" s="170" t="n">
        <v>138</v>
      </c>
      <c r="C150" s="199" t="inlineStr">
        <is>
          <t>COTIZACION DE LOS DISEÑOS DE PROTECCIÓN CONTRA INCENDIOS PARA EL PROYECTO PLANTA  BIMBO BARRANQUILLA</t>
        </is>
      </c>
      <c r="D150" s="312" t="n"/>
      <c r="E150" s="312" t="n"/>
      <c r="F150" s="312" t="n"/>
      <c r="G150" s="312" t="n"/>
      <c r="H150" s="312" t="n"/>
      <c r="I150" s="313" t="n"/>
      <c r="J150" s="199" t="inlineStr">
        <is>
          <t>ESPIRAL</t>
        </is>
      </c>
      <c r="K150" s="314" t="n">
        <v>34490000</v>
      </c>
      <c r="L150" s="2" t="n">
        <v>45026</v>
      </c>
      <c r="M150" s="2" t="n"/>
      <c r="N150" s="170" t="n">
        <v>3187125442</v>
      </c>
      <c r="O150" s="170" t="inlineStr">
        <is>
          <t>Camilo Torres</t>
        </is>
      </c>
      <c r="P150" s="52" t="inlineStr">
        <is>
          <t>camilo.torres@espiral.com.co</t>
        </is>
      </c>
    </row>
    <row r="151">
      <c r="B151" s="170" t="n">
        <v>139</v>
      </c>
      <c r="C151" s="233" t="inlineStr">
        <is>
          <t>COTIZACION DE LOS DISEÑOS DE PROTECCIÓN CONTRA INCENDIOS PARA EL PROYECTO PLANTA  BIMBO ITAGUI</t>
        </is>
      </c>
      <c r="D151" s="312" t="n"/>
      <c r="E151" s="312" t="n"/>
      <c r="F151" s="312" t="n"/>
      <c r="G151" s="312" t="n"/>
      <c r="H151" s="312" t="n"/>
      <c r="I151" s="313" t="n"/>
      <c r="J151" s="199" t="inlineStr">
        <is>
          <t>ESPIRAL</t>
        </is>
      </c>
      <c r="K151" s="314" t="n">
        <v>26470000</v>
      </c>
      <c r="L151" s="2" t="n">
        <v>45026</v>
      </c>
      <c r="M151" s="2" t="n"/>
      <c r="N151" s="170" t="n">
        <v>3187125442</v>
      </c>
      <c r="O151" s="170" t="inlineStr">
        <is>
          <t>Camilo Torres</t>
        </is>
      </c>
      <c r="P151" s="52" t="inlineStr">
        <is>
          <t>camilo.torres@espiral.com.co</t>
        </is>
      </c>
    </row>
    <row r="152">
      <c r="B152" s="170" t="n">
        <v>140</v>
      </c>
      <c r="C152" s="199" t="inlineStr">
        <is>
          <t>COTIZACION DEL ANÁLISIS DE SEGURIDAD HUMANA PARA EL PROYECTO BOSQUES DE ALCALÁ</t>
        </is>
      </c>
      <c r="D152" s="312" t="n"/>
      <c r="E152" s="312" t="n"/>
      <c r="F152" s="312" t="n"/>
      <c r="G152" s="312" t="n"/>
      <c r="H152" s="312" t="n"/>
      <c r="I152" s="313" t="n"/>
      <c r="J152" s="199" t="inlineStr">
        <is>
          <t>SOCOMES</t>
        </is>
      </c>
      <c r="K152" s="314" t="n">
        <v>1950000</v>
      </c>
      <c r="L152" s="2" t="n">
        <v>45029</v>
      </c>
      <c r="M152" s="170" t="n"/>
      <c r="N152" s="170" t="n">
        <v>3137851941</v>
      </c>
      <c r="O152" s="170" t="inlineStr">
        <is>
          <t>David Lopera Medina</t>
        </is>
      </c>
      <c r="P152" s="52" t="inlineStr">
        <is>
          <t>david.lopera@socomes.com</t>
        </is>
      </c>
    </row>
    <row r="153">
      <c r="B153" s="170" t="n">
        <v>141</v>
      </c>
      <c r="C153" s="199" t="inlineStr">
        <is>
          <t>COTIZACION DEL DISEÑO DE EXTINCIÓN DE INCENDIOS PARA EL PROYECTO HOTEL 10A</t>
        </is>
      </c>
      <c r="D153" s="312" t="n"/>
      <c r="E153" s="312" t="n"/>
      <c r="F153" s="312" t="n"/>
      <c r="G153" s="312" t="n"/>
      <c r="H153" s="312" t="n"/>
      <c r="I153" s="313" t="n"/>
      <c r="J153" s="199" t="inlineStr">
        <is>
          <t>4RQSTUDIO</t>
        </is>
      </c>
      <c r="K153" s="314" t="n">
        <v>7980000</v>
      </c>
      <c r="L153" s="2" t="n">
        <v>45029</v>
      </c>
      <c r="M153" s="2" t="n"/>
      <c r="N153" s="170" t="n">
        <v>3106903066</v>
      </c>
      <c r="O153" s="170" t="inlineStr">
        <is>
          <t>Sara Ledesma</t>
        </is>
      </c>
      <c r="P153" s="52" t="inlineStr">
        <is>
          <t>equipo@4rqstudio.com</t>
        </is>
      </c>
    </row>
    <row r="154">
      <c r="B154" s="170" t="n">
        <v>142</v>
      </c>
      <c r="C154" s="233" t="inlineStr">
        <is>
          <t>COTIZACION DE LOS DISEÑOS DE EXTINCIÓN DE INCENDIOS Y SEGURIDAD HUMANA PARA EL PROYECTO COLEGIO BILIGUE SAN JUAN DE DIOS</t>
        </is>
      </c>
      <c r="D154" s="312" t="n"/>
      <c r="E154" s="312" t="n"/>
      <c r="F154" s="312" t="n"/>
      <c r="G154" s="312" t="n"/>
      <c r="H154" s="312" t="n"/>
      <c r="I154" s="313" t="n"/>
      <c r="J154" s="199" t="inlineStr">
        <is>
          <t>C SAN JUAN DE DIOS</t>
        </is>
      </c>
      <c r="K154" s="314" t="n">
        <v>15800000</v>
      </c>
      <c r="L154" s="2" t="n">
        <v>45029</v>
      </c>
      <c r="M154" s="170" t="n"/>
      <c r="N154" s="170" t="n"/>
      <c r="O154" s="170" t="inlineStr">
        <is>
          <t>Julian Francisco Larrota Rojas</t>
        </is>
      </c>
      <c r="P154" s="52" t="inlineStr">
        <is>
          <t>jlarrota@ordenhospitalaria.org</t>
        </is>
      </c>
    </row>
    <row r="155">
      <c r="B155" s="170" t="n">
        <v>143</v>
      </c>
      <c r="C155" s="199" t="inlineStr">
        <is>
          <t>OTIZACION DEL ANÁLISIS DE SEGURIDAD HUMANA Y LA DEFINICIÓN DE LOS SISTEMAS DE PROTECCIÓN CONTRA INCENDIOS PARA EL PROYECTO CENTRAL PARK BELLO</t>
        </is>
      </c>
      <c r="D155" s="312" t="n"/>
      <c r="E155" s="312" t="n"/>
      <c r="F155" s="312" t="n"/>
      <c r="G155" s="312" t="n"/>
      <c r="H155" s="312" t="n"/>
      <c r="I155" s="313" t="n"/>
      <c r="J155" s="199" t="inlineStr">
        <is>
          <t>RISK SOLUTION GROUP</t>
        </is>
      </c>
      <c r="K155" s="314" t="n">
        <v>7000000</v>
      </c>
      <c r="L155" s="2" t="n">
        <v>45028</v>
      </c>
      <c r="M155" s="170" t="n"/>
      <c r="N155" s="170" t="inlineStr">
        <is>
          <t>310 4473509</t>
        </is>
      </c>
      <c r="O155" s="170" t="inlineStr">
        <is>
          <t>Carlos Alberto Gil Valencia</t>
        </is>
      </c>
      <c r="P155" s="52" t="inlineStr">
        <is>
          <t>carlos.gil@risksg.com</t>
        </is>
      </c>
    </row>
    <row r="156">
      <c r="B156" s="170" t="n">
        <v>144</v>
      </c>
      <c r="C156" s="199" t="inlineStr">
        <is>
          <t>COTIZACION DE LOS PLANOS Y CÁLCULOS DE DETECCIÓN DE INCENDIOS PARA EL PROYECTO ZONA COMÚN CENTRO COMERCIAL VIVA LAURELES</t>
        </is>
      </c>
      <c r="D156" s="312" t="n"/>
      <c r="E156" s="312" t="n"/>
      <c r="F156" s="312" t="n"/>
      <c r="G156" s="312" t="n"/>
      <c r="H156" s="312" t="n"/>
      <c r="I156" s="313" t="n"/>
      <c r="J156" s="199" t="inlineStr">
        <is>
          <t>SPCI</t>
        </is>
      </c>
      <c r="K156" s="314" t="n">
        <v>1750000</v>
      </c>
      <c r="L156" s="2" t="n">
        <v>45030</v>
      </c>
      <c r="M156" s="170" t="n"/>
      <c r="N156" s="170" t="n">
        <v>3137546144</v>
      </c>
      <c r="O156" s="170" t="inlineStr">
        <is>
          <t xml:space="preserve"> Juan Camilo Quintero Bedoya</t>
        </is>
      </c>
      <c r="P156" s="52" t="inlineStr">
        <is>
          <t>camilo.quintero@spci.com.co</t>
        </is>
      </c>
    </row>
    <row r="157">
      <c r="B157" s="170" t="n">
        <v>145</v>
      </c>
      <c r="C157" s="233" t="inlineStr">
        <is>
          <t>COTIZACION DEL DISEÑO DE DETECCIÓN DE INCENDIOS - GESTIÓN CARGO</t>
        </is>
      </c>
      <c r="D157" s="312" t="n"/>
      <c r="E157" s="312" t="n"/>
      <c r="F157" s="312" t="n"/>
      <c r="G157" s="312" t="n"/>
      <c r="H157" s="312" t="n"/>
      <c r="I157" s="313" t="n"/>
      <c r="J157" s="199" t="inlineStr">
        <is>
          <t>SPCI</t>
        </is>
      </c>
      <c r="K157" s="314" t="n">
        <v>19950000</v>
      </c>
      <c r="L157" s="2" t="n">
        <v>45030</v>
      </c>
      <c r="M157" s="2" t="n"/>
      <c r="N157" s="170" t="inlineStr">
        <is>
          <t>310 4165783</t>
        </is>
      </c>
      <c r="O157" s="170" t="inlineStr">
        <is>
          <t>Cristiam Gustavo Mondragon Cortes</t>
        </is>
      </c>
      <c r="P157" s="52" t="inlineStr">
        <is>
          <t>cristiam.mondragon@spci.com.co</t>
        </is>
      </c>
    </row>
    <row r="158">
      <c r="B158" s="170" t="n">
        <v>146</v>
      </c>
      <c r="C158" s="199" t="inlineStr">
        <is>
          <t>COTIZACION DE LA REVISIÓN DE LOS DISEÑOS DE EXTINCIÓN DE INCENDIOS - PLANTA GALVANIZADO</t>
        </is>
      </c>
      <c r="D158" s="312" t="n"/>
      <c r="E158" s="312" t="n"/>
      <c r="F158" s="312" t="n"/>
      <c r="G158" s="312" t="n"/>
      <c r="H158" s="312" t="n"/>
      <c r="I158" s="313" t="n"/>
      <c r="J158" s="199" t="inlineStr">
        <is>
          <t>SOLUCIONES IRS</t>
        </is>
      </c>
      <c r="K158" s="314" t="n">
        <v>3950000</v>
      </c>
      <c r="L158" s="2" t="n">
        <v>45030</v>
      </c>
      <c r="M158" s="170" t="n"/>
      <c r="N158" s="170" t="inlineStr">
        <is>
          <t>318 4093800</t>
        </is>
      </c>
      <c r="O158" s="170" t="inlineStr">
        <is>
          <t>Luis Esteban Ramírez</t>
        </is>
      </c>
      <c r="P158" s="52" t="inlineStr">
        <is>
          <t xml:space="preserve">	luis.ramirez@solucionesirs.com</t>
        </is>
      </c>
    </row>
    <row r="159">
      <c r="B159" s="170" t="n">
        <v>147</v>
      </c>
      <c r="C159" s="199" t="inlineStr">
        <is>
          <t>COTIZACION DEL DISEÑO DE EXTINCIÓN DE INCENDIOS - PLAZA MINORISTA</t>
        </is>
      </c>
      <c r="D159" s="312" t="n"/>
      <c r="E159" s="312" t="n"/>
      <c r="F159" s="312" t="n"/>
      <c r="G159" s="312" t="n"/>
      <c r="H159" s="312" t="n"/>
      <c r="I159" s="313" t="n"/>
      <c r="J159" s="199" t="inlineStr">
        <is>
          <t>Yadirton Vargas</t>
        </is>
      </c>
      <c r="K159" s="314">
        <f>38500000*1.4</f>
        <v/>
      </c>
      <c r="L159" s="2" t="n">
        <v>45030</v>
      </c>
      <c r="M159" s="170" t="n"/>
      <c r="N159" s="170" t="n">
        <v>3004836240</v>
      </c>
      <c r="O159" s="170" t="inlineStr">
        <is>
          <t>Yadirton Vargas</t>
        </is>
      </c>
      <c r="P159" s="52" t="n"/>
    </row>
    <row r="160">
      <c r="B160" s="170" t="n">
        <v>148</v>
      </c>
      <c r="C160" s="199" t="inlineStr">
        <is>
          <t>COTIZACION DEL DISEÑO DE EXTINCIÓN DE INCENDIOS PARA EL PROYECTO BODEGA MAERSK</t>
        </is>
      </c>
      <c r="D160" s="312" t="n"/>
      <c r="E160" s="312" t="n"/>
      <c r="F160" s="312" t="n"/>
      <c r="G160" s="312" t="n"/>
      <c r="H160" s="312" t="n"/>
      <c r="I160" s="313" t="n"/>
      <c r="J160" s="199" t="inlineStr">
        <is>
          <t>COINSI</t>
        </is>
      </c>
      <c r="K160" s="314" t="n">
        <v>15950000</v>
      </c>
      <c r="L160" s="2" t="n">
        <v>45030</v>
      </c>
      <c r="M160" s="170" t="n"/>
      <c r="N160" s="170" t="n">
        <v>3117208541</v>
      </c>
      <c r="O160" s="170" t="inlineStr">
        <is>
          <t xml:space="preserve">Sergio Rodriguez </t>
        </is>
      </c>
      <c r="P160" s="52" t="inlineStr">
        <is>
          <t>diseno4@gyd.com.co</t>
        </is>
      </c>
    </row>
    <row r="161">
      <c r="B161" s="170" t="n">
        <v>149</v>
      </c>
      <c r="C161" s="199" t="inlineStr">
        <is>
          <t>COTIZACION DEL DISEÑO DE DETECCIÓN DE INCENDIOS PARA EL PROYECTO LOCAL PURPURE</t>
        </is>
      </c>
      <c r="D161" s="312" t="n"/>
      <c r="E161" s="312" t="n"/>
      <c r="F161" s="312" t="n"/>
      <c r="G161" s="312" t="n"/>
      <c r="H161" s="312" t="n"/>
      <c r="I161" s="313" t="n"/>
      <c r="J161" s="199" t="inlineStr">
        <is>
          <t>JOMARK</t>
        </is>
      </c>
      <c r="K161" s="314" t="n">
        <v>650000</v>
      </c>
      <c r="L161" s="2" t="n">
        <v>45030</v>
      </c>
      <c r="M161" s="170" t="n"/>
      <c r="N161" s="170" t="n">
        <v>3194913179</v>
      </c>
      <c r="O161" s="170" t="inlineStr">
        <is>
          <t>Carlos Almanya Patiño</t>
        </is>
      </c>
      <c r="P161" s="52" t="inlineStr">
        <is>
          <t>calmanya@jomarkseguridad.com</t>
        </is>
      </c>
    </row>
    <row r="162">
      <c r="B162" s="170" t="n">
        <v>150</v>
      </c>
      <c r="C162" s="199" t="inlineStr">
        <is>
          <t>COTIZACION DE LOS DISEÑOS DE SEGURIDAD HUMANA Y PROTECCIÓN CONTRA INCENDIOS - MANANTIALES</t>
        </is>
      </c>
      <c r="D162" s="312" t="n"/>
      <c r="E162" s="312" t="n"/>
      <c r="F162" s="312" t="n"/>
      <c r="G162" s="312" t="n"/>
      <c r="H162" s="312" t="n"/>
      <c r="I162" s="313" t="n"/>
      <c r="J162" s="199" t="inlineStr">
        <is>
          <t>ARQUITECTURA Y CONCRETO</t>
        </is>
      </c>
      <c r="K162" s="314" t="n">
        <v>5950000</v>
      </c>
      <c r="L162" s="2" t="n">
        <v>45033</v>
      </c>
      <c r="M162" s="2" t="n"/>
      <c r="N162" s="170" t="n"/>
      <c r="O162" s="172" t="inlineStr">
        <is>
          <t>Cristian Ospina</t>
        </is>
      </c>
      <c r="P162" s="52" t="inlineStr">
        <is>
          <t>cristianospina@arquitecturayconcreto.com</t>
        </is>
      </c>
    </row>
    <row r="163">
      <c r="B163" s="170" t="n">
        <v>151</v>
      </c>
      <c r="C163" s="248" t="inlineStr">
        <is>
          <t xml:space="preserve">COTIZACION DEL ANÁLISIS DE SEGURIDAD HUMANA PARA EL PROYECTO OFICINAS MASTERCARD
</t>
        </is>
      </c>
      <c r="D163" s="312" t="n"/>
      <c r="E163" s="312" t="n"/>
      <c r="F163" s="312" t="n"/>
      <c r="G163" s="312" t="n"/>
      <c r="H163" s="312" t="n"/>
      <c r="I163" s="313" t="n"/>
      <c r="J163" s="199" t="inlineStr">
        <is>
          <t>STUDIO SUR</t>
        </is>
      </c>
      <c r="K163" s="314" t="n">
        <v>3450000</v>
      </c>
      <c r="L163" s="2" t="n">
        <v>45033</v>
      </c>
      <c r="M163" s="170" t="n"/>
      <c r="N163" s="170" t="inlineStr">
        <is>
          <t>571 2357612</t>
        </is>
      </c>
      <c r="O163" s="78" t="inlineStr">
        <is>
          <t xml:space="preserve"> Laura Arias</t>
        </is>
      </c>
      <c r="P163" s="88" t="inlineStr">
        <is>
          <t>laura.arias@studiosur.net</t>
        </is>
      </c>
    </row>
    <row r="164">
      <c r="B164" s="170" t="n">
        <v>152</v>
      </c>
      <c r="C164" s="199" t="inlineStr">
        <is>
          <t>COTIZACION DE LOS DISEÑOS DE PROTECCIÓN CONTRA INCENDIOS Y SEGURIDAD HUMANA PARA EL PROYECTO SECRETARIA DE MOVILIDAD DE ENVIGADO</t>
        </is>
      </c>
      <c r="D164" s="312" t="n"/>
      <c r="E164" s="312" t="n"/>
      <c r="F164" s="312" t="n"/>
      <c r="G164" s="312" t="n"/>
      <c r="H164" s="312" t="n"/>
      <c r="I164" s="313" t="n"/>
      <c r="J164" s="199" t="inlineStr">
        <is>
          <t>CONSTRUGEN</t>
        </is>
      </c>
      <c r="K164" s="314" t="n">
        <v>14950000</v>
      </c>
      <c r="L164" s="2" t="n">
        <v>45033</v>
      </c>
      <c r="M164" s="170" t="n"/>
      <c r="N164" s="170" t="n">
        <v>3174376208</v>
      </c>
      <c r="O164" s="170" t="inlineStr">
        <is>
          <t>Willian Hernandez Mathieu</t>
        </is>
      </c>
      <c r="P164" s="52" t="inlineStr">
        <is>
          <t>william.hernandez@construgen.com</t>
        </is>
      </c>
    </row>
    <row r="165">
      <c r="B165" s="170" t="n">
        <v>153</v>
      </c>
      <c r="C165" s="199" t="inlineStr">
        <is>
          <t>COTIZACION DEL ANÁLISIS DE SEGURIDAD HUMANA PARA EL PROYECTO EDIFICIO DE LABORATORIOS DE LA ESCUELA DE INGENIERIA CIVIL Y GEOMATICA DE LA UNIVERSIDAD DEL VALLE</t>
        </is>
      </c>
      <c r="D165" s="312" t="n"/>
      <c r="E165" s="312" t="n"/>
      <c r="F165" s="312" t="n"/>
      <c r="G165" s="312" t="n"/>
      <c r="H165" s="312" t="n"/>
      <c r="I165" s="313" t="n"/>
      <c r="J165" s="207" t="inlineStr">
        <is>
          <t>INGENIO BIM</t>
        </is>
      </c>
      <c r="K165" s="314" t="n">
        <v>3950000</v>
      </c>
      <c r="L165" s="2" t="n">
        <v>45033</v>
      </c>
      <c r="M165" s="170" t="n"/>
      <c r="N165" s="170" t="n">
        <v>3012311524</v>
      </c>
      <c r="O165" s="170" t="inlineStr">
        <is>
          <t>Luisa Fernanda Londoño Ciro</t>
        </is>
      </c>
      <c r="P165" s="52" t="inlineStr">
        <is>
          <t xml:space="preserve">luisa.londono@ingeniobim.co  </t>
        </is>
      </c>
    </row>
    <row r="166">
      <c r="B166" s="170" t="n">
        <v>154</v>
      </c>
      <c r="C166" s="199" t="inlineStr">
        <is>
          <t>COTIZACION DE LOS DISEÑOS DE PROTECCIÓN CONTRA INCENDIOS PARA EL PROYECTO ECUADOR</t>
        </is>
      </c>
      <c r="D166" s="312" t="n"/>
      <c r="E166" s="312" t="n"/>
      <c r="F166" s="312" t="n"/>
      <c r="G166" s="312" t="n"/>
      <c r="H166" s="312" t="n"/>
      <c r="I166" s="313" t="n"/>
      <c r="J166" s="199" t="inlineStr">
        <is>
          <t>FIRE PROTECTION</t>
        </is>
      </c>
      <c r="K166" s="314" t="n">
        <v>16950</v>
      </c>
      <c r="L166" s="2" t="n">
        <v>45033</v>
      </c>
      <c r="M166" s="2" t="n"/>
      <c r="N166" s="170" t="n">
        <v>3108227462</v>
      </c>
      <c r="O166" s="170" t="inlineStr">
        <is>
          <t>alvaro manosalva</t>
        </is>
      </c>
      <c r="P166" s="52" t="inlineStr">
        <is>
          <t>alvaromanosalva@sfiregroup.com</t>
        </is>
      </c>
    </row>
    <row r="167">
      <c r="B167" s="170" t="n">
        <v>155</v>
      </c>
      <c r="C167" s="235" t="inlineStr">
        <is>
          <t>COTIZACION DE LA REVISIÓN DE SEGURIDAD HUMANA Y PROTECCIÓN CONTRA INCENDIOS PARA EL TEATRO DE LA UNIVESIDAD DE MEDELLÍN</t>
        </is>
      </c>
      <c r="D167" s="312" t="n"/>
      <c r="E167" s="312" t="n"/>
      <c r="F167" s="312" t="n"/>
      <c r="G167" s="312" t="n"/>
      <c r="H167" s="312" t="n"/>
      <c r="I167" s="313" t="n"/>
      <c r="J167" s="235" t="inlineStr">
        <is>
          <t>CARLOS GIL</t>
        </is>
      </c>
      <c r="K167" s="314" t="n">
        <v>1000000</v>
      </c>
      <c r="L167" s="2" t="n">
        <v>45036</v>
      </c>
      <c r="M167" s="170" t="n"/>
      <c r="N167" s="170" t="n"/>
      <c r="O167" s="170" t="n"/>
      <c r="P167" s="52" t="n"/>
    </row>
    <row r="168">
      <c r="B168" s="170" t="n">
        <v>156</v>
      </c>
      <c r="C168" s="199" t="inlineStr">
        <is>
          <t>COTIZACION DEL DISEÑO DE DETECCIÓN DE INCENDIOS PARA EL PROYECTO BODEGA FAMILIA</t>
        </is>
      </c>
      <c r="D168" s="312" t="n"/>
      <c r="E168" s="312" t="n"/>
      <c r="F168" s="312" t="n"/>
      <c r="G168" s="312" t="n"/>
      <c r="H168" s="312" t="n"/>
      <c r="I168" s="313" t="n"/>
      <c r="J168" s="199" t="inlineStr">
        <is>
          <t>RCI INGENIERIA Y MONTAJES</t>
        </is>
      </c>
      <c r="K168" s="314" t="n">
        <v>5950000</v>
      </c>
      <c r="L168" s="2" t="n">
        <v>45035</v>
      </c>
      <c r="M168" s="2" t="n"/>
      <c r="N168" s="170" t="n">
        <v>3175179593</v>
      </c>
      <c r="O168" s="170" t="inlineStr">
        <is>
          <t>Diego Alejandro Correa Bedoya</t>
        </is>
      </c>
      <c r="P168" s="52" t="inlineStr">
        <is>
          <t>dacorrea@rcimontajes.co</t>
        </is>
      </c>
    </row>
    <row r="169">
      <c r="B169" s="170" t="n">
        <v>157</v>
      </c>
      <c r="C169" s="199" t="inlineStr">
        <is>
          <t>COTIZACION DE LOS DISEÑOS DE PROTECCIÓN CONTRA INCENDIOS PARA EL PROYECTO BANCOLOMBIA HALL CAJEROS CENTRO COMERCIAL UNICO</t>
        </is>
      </c>
      <c r="D169" s="312" t="n"/>
      <c r="E169" s="312" t="n"/>
      <c r="F169" s="312" t="n"/>
      <c r="G169" s="312" t="n"/>
      <c r="H169" s="312" t="n"/>
      <c r="I169" s="313" t="n"/>
      <c r="J169" s="199" t="inlineStr">
        <is>
          <t>SANTIAGO ROJAS</t>
        </is>
      </c>
      <c r="K169" s="314" t="n">
        <v>1500000</v>
      </c>
      <c r="L169" s="2" t="n">
        <v>45035</v>
      </c>
      <c r="M169" s="2" t="n"/>
      <c r="N169" s="170" t="n">
        <v>3117559090</v>
      </c>
      <c r="O169" s="170" t="inlineStr">
        <is>
          <t>Catalina Uribe</t>
        </is>
      </c>
      <c r="P169" s="52" t="inlineStr">
        <is>
          <t>sraic.diseno@gmail.com</t>
        </is>
      </c>
    </row>
    <row r="170">
      <c r="B170" s="170" t="n">
        <v>158</v>
      </c>
      <c r="C170" s="199" t="inlineStr">
        <is>
          <t>COTIZACION DEL DISEÑO DE EXTINCIÓN DE INCENDIOS PARA EL PROYECTO ZONA DISLICORES</t>
        </is>
      </c>
      <c r="D170" s="312" t="n"/>
      <c r="E170" s="312" t="n"/>
      <c r="F170" s="312" t="n"/>
      <c r="G170" s="312" t="n"/>
      <c r="H170" s="312" t="n"/>
      <c r="I170" s="313" t="n"/>
      <c r="J170" s="199" t="inlineStr">
        <is>
          <t>SPCI</t>
        </is>
      </c>
      <c r="K170" s="314" t="n">
        <v>1950000</v>
      </c>
      <c r="L170" s="2" t="n">
        <v>45036</v>
      </c>
      <c r="M170" s="170" t="n"/>
      <c r="N170" s="170" t="n">
        <v>3103939739</v>
      </c>
      <c r="O170" s="170" t="inlineStr">
        <is>
          <t>Victor Hugo Saldarriaga Botero</t>
        </is>
      </c>
      <c r="P170" s="52" t="inlineStr">
        <is>
          <t>victor.saldarriaga@spci.com.co</t>
        </is>
      </c>
    </row>
    <row r="171">
      <c r="B171" s="170" t="n">
        <v>159</v>
      </c>
      <c r="C171" s="199" t="inlineStr">
        <is>
          <t>COTIZACION DEL DISEÑO DE EXTINCIÓN DE INCENDIOS PARA EL PROYECTO PIAMONTE APARTAMENTOS</t>
        </is>
      </c>
      <c r="D171" s="312" t="n"/>
      <c r="E171" s="312" t="n"/>
      <c r="F171" s="312" t="n"/>
      <c r="G171" s="312" t="n"/>
      <c r="H171" s="312" t="n"/>
      <c r="I171" s="313" t="n"/>
      <c r="J171" s="199" t="inlineStr">
        <is>
          <t>INGESED</t>
        </is>
      </c>
      <c r="K171" s="314" t="n">
        <v>14950000</v>
      </c>
      <c r="L171" s="2" t="n">
        <v>45036</v>
      </c>
      <c r="M171" s="2" t="n"/>
      <c r="N171" s="170" t="n">
        <v>3014201614</v>
      </c>
      <c r="O171" s="170" t="inlineStr">
        <is>
          <t>Jhon Anderson Rodriguez Nieto</t>
        </is>
      </c>
      <c r="P171" s="52" t="inlineStr">
        <is>
          <t>jrodriguez@ingesed.com</t>
        </is>
      </c>
    </row>
    <row r="172">
      <c r="B172" s="170" t="n">
        <v>160</v>
      </c>
      <c r="C172" s="233" t="inlineStr">
        <is>
          <t xml:space="preserve">COTIZACION DEL DISEÑO DE EXTINCIÓN DE INCENDIOS PARA EL PROYECTO HOTEL SUPER ESTRELLA
</t>
        </is>
      </c>
      <c r="D172" s="312" t="n"/>
      <c r="E172" s="312" t="n"/>
      <c r="F172" s="312" t="n"/>
      <c r="G172" s="312" t="n"/>
      <c r="H172" s="312" t="n"/>
      <c r="I172" s="313" t="n"/>
      <c r="J172" s="199" t="inlineStr">
        <is>
          <t>Comercializadora Súper Estrellas</t>
        </is>
      </c>
      <c r="K172" s="314" t="n">
        <v>6950000</v>
      </c>
      <c r="L172" s="2" t="n">
        <v>45037</v>
      </c>
      <c r="M172" s="170" t="n"/>
      <c r="N172" s="170" t="n">
        <v>3156523447</v>
      </c>
      <c r="O172" s="170" t="inlineStr">
        <is>
          <t>KARINA RUIZ ROJAS</t>
        </is>
      </c>
      <c r="P172" s="52" t="inlineStr">
        <is>
          <t>hseqsuper@gmail.com</t>
        </is>
      </c>
    </row>
    <row r="173">
      <c r="B173" s="170" t="n">
        <v>161</v>
      </c>
      <c r="C173" s="233" t="inlineStr">
        <is>
          <t>COTIZACION DEL DISEÑO DE EXTINCIÓN DE INCENDIOS PARA EL PROYECTO CENTRO AMBULATORIO TORRE MEDICA OVIEDO P4</t>
        </is>
      </c>
      <c r="D173" s="312" t="n"/>
      <c r="E173" s="312" t="n"/>
      <c r="F173" s="312" t="n"/>
      <c r="G173" s="312" t="n"/>
      <c r="H173" s="312" t="n"/>
      <c r="I173" s="313" t="n"/>
      <c r="J173" s="199" t="inlineStr">
        <is>
          <t>CLINICA CES</t>
        </is>
      </c>
      <c r="K173" s="314" t="n">
        <v>7750000</v>
      </c>
      <c r="L173" s="2" t="n">
        <v>45037</v>
      </c>
      <c r="M173" s="170" t="n"/>
      <c r="N173" s="170" t="inlineStr">
        <is>
          <t xml:space="preserve"> 5767272- Ext 7387</t>
        </is>
      </c>
      <c r="O173" s="170" t="inlineStr">
        <is>
          <t>Leidy Alzate Quintero</t>
        </is>
      </c>
      <c r="P173" s="52" t="inlineStr">
        <is>
          <t>leidyalzateq@clinicaces.edu.co</t>
        </is>
      </c>
    </row>
    <row r="174" ht="15" customHeight="1">
      <c r="B174" s="170" t="n">
        <v>162</v>
      </c>
      <c r="C174" s="233" t="inlineStr">
        <is>
          <t>COTIZACION DE LOS DISEÑOS DE PROTECCIÓN CONTRA INCENDIOS PARA EL PROYECTO CLINICA MEDELLIN SEDE OCCIDENTE</t>
        </is>
      </c>
      <c r="D174" s="312" t="n"/>
      <c r="E174" s="312" t="n"/>
      <c r="F174" s="312" t="n"/>
      <c r="G174" s="312" t="n"/>
      <c r="H174" s="312" t="n"/>
      <c r="I174" s="313" t="n"/>
      <c r="J174" s="199" t="inlineStr">
        <is>
          <t>IPM</t>
        </is>
      </c>
      <c r="K174" s="314" t="n">
        <v>46150000</v>
      </c>
      <c r="L174" s="2" t="n">
        <v>45037</v>
      </c>
      <c r="M174" s="170" t="n"/>
      <c r="N174" s="170" t="inlineStr">
        <is>
          <t>301 542 1412</t>
        </is>
      </c>
      <c r="O174" s="170" t="inlineStr">
        <is>
          <t>Juan Santiago Londoño Quiceno</t>
        </is>
      </c>
      <c r="P174" s="52" t="inlineStr">
        <is>
          <t>juan.londono@serviciosipm.com</t>
        </is>
      </c>
    </row>
    <row r="175" ht="15" customHeight="1">
      <c r="B175" s="170" t="n">
        <v>163</v>
      </c>
      <c r="C175" s="246" t="inlineStr">
        <is>
          <t>COTIZACION REVISIÓN Y PRUEBAS SISTEMAS CONTRA INCENDIOS Y LA SEGURIDAD HUMANA PARA EL CENTRO COMERCIAL PREMIUM PLAZA</t>
        </is>
      </c>
      <c r="D175" s="312" t="n"/>
      <c r="E175" s="312" t="n"/>
      <c r="F175" s="312" t="n"/>
      <c r="G175" s="312" t="n"/>
      <c r="H175" s="312" t="n"/>
      <c r="I175" s="313" t="n"/>
      <c r="J175" s="199" t="inlineStr">
        <is>
          <t>IPM</t>
        </is>
      </c>
      <c r="K175" s="314" t="n">
        <v>3300000</v>
      </c>
      <c r="L175" s="2" t="n">
        <v>45043</v>
      </c>
      <c r="M175" s="170" t="n"/>
      <c r="N175" s="170" t="inlineStr">
        <is>
          <t>301 542 1412</t>
        </is>
      </c>
      <c r="O175" s="170" t="inlineStr">
        <is>
          <t>Juan Santiago Londoño Quiceno</t>
        </is>
      </c>
      <c r="P175" s="52" t="inlineStr">
        <is>
          <t>juan.londono@serviciosipm.com</t>
        </is>
      </c>
    </row>
    <row r="176">
      <c r="B176" s="170" t="n">
        <v>164</v>
      </c>
      <c r="C176" s="199" t="inlineStr">
        <is>
          <t>COTIZACION DE LOS DISEÑOS DE PROTECCIÓN CONTRA INCENDIOS Y SEGURIDAD HUMANA PARA EL PROYECTO CENTRO AMBULATORIO TORRE MEDICA OVIEDO P-4 CLINICA CES</t>
        </is>
      </c>
      <c r="D176" s="312" t="n"/>
      <c r="E176" s="312" t="n"/>
      <c r="F176" s="312" t="n"/>
      <c r="G176" s="312" t="n"/>
      <c r="H176" s="312" t="n"/>
      <c r="I176" s="313" t="n"/>
      <c r="J176" s="235" t="inlineStr">
        <is>
          <t>JOMARK</t>
        </is>
      </c>
      <c r="K176" s="314" t="n">
        <v>7750000</v>
      </c>
      <c r="L176" s="2" t="n">
        <v>45037</v>
      </c>
      <c r="M176" s="2" t="n"/>
      <c r="N176" s="170" t="inlineStr">
        <is>
          <t>324 2594697</t>
        </is>
      </c>
      <c r="O176" s="170" t="inlineStr">
        <is>
          <t>Laura Duque betancur</t>
        </is>
      </c>
      <c r="P176" s="52" t="inlineStr">
        <is>
          <t>proyectos2@jomarkseguridad.com</t>
        </is>
      </c>
    </row>
    <row r="177">
      <c r="B177" s="170" t="n">
        <v>165</v>
      </c>
      <c r="C177" s="233" t="inlineStr">
        <is>
          <t>COTIZACION DEL DISEÑO DE EXTINCIÓN DE INCENDIOS - MODELACIÓN Y CÁLCULOS FIC48 PISO 15</t>
        </is>
      </c>
      <c r="D177" s="312" t="n"/>
      <c r="E177" s="312" t="n"/>
      <c r="F177" s="312" t="n"/>
      <c r="G177" s="312" t="n"/>
      <c r="H177" s="312" t="n"/>
      <c r="I177" s="313" t="n"/>
      <c r="J177" s="199" t="inlineStr">
        <is>
          <t>MAURICIO SEPULVEDA</t>
        </is>
      </c>
      <c r="K177" s="314" t="n">
        <v>950000</v>
      </c>
      <c r="L177" s="2" t="n">
        <v>45037</v>
      </c>
      <c r="M177" s="170" t="n"/>
      <c r="N177" s="170" t="inlineStr">
        <is>
          <t>301 2547727</t>
        </is>
      </c>
      <c r="O177" s="172" t="inlineStr">
        <is>
          <t>Mauricio Sepulveda</t>
        </is>
      </c>
      <c r="P177" s="52" t="inlineStr">
        <is>
          <t>obrasms84@gmail.com</t>
        </is>
      </c>
    </row>
    <row r="178" ht="15" customHeight="1">
      <c r="B178" s="170" t="n">
        <v>166</v>
      </c>
      <c r="C178" s="233" t="inlineStr">
        <is>
          <t>COTIZACION DEL DISEÑO DE EXTINCIÓN DE INCENDIOS - MODELACIÓN Y CÁLCULOS FIC48 PISO 16</t>
        </is>
      </c>
      <c r="D178" s="312" t="n"/>
      <c r="E178" s="312" t="n"/>
      <c r="F178" s="312" t="n"/>
      <c r="G178" s="312" t="n"/>
      <c r="H178" s="312" t="n"/>
      <c r="I178" s="313" t="n"/>
      <c r="J178" s="199" t="inlineStr">
        <is>
          <t>MAURICIO SEPULVEDA</t>
        </is>
      </c>
      <c r="K178" s="314" t="n">
        <v>500000</v>
      </c>
      <c r="L178" s="2" t="n">
        <v>45040</v>
      </c>
      <c r="M178" s="2" t="n"/>
      <c r="N178" s="170" t="inlineStr">
        <is>
          <t>302 2547727</t>
        </is>
      </c>
      <c r="O178" s="172" t="inlineStr">
        <is>
          <t>Mauricio Sepulveda</t>
        </is>
      </c>
      <c r="P178" s="52" t="inlineStr">
        <is>
          <t>obrasms84@gmail.com</t>
        </is>
      </c>
    </row>
    <row r="179">
      <c r="B179" s="170" t="n">
        <v>167</v>
      </c>
      <c r="C179" s="199" t="inlineStr">
        <is>
          <t>COTIZACION DEL DISEÑO DE EXTINCIÓN DE INCENDIOS - BODEGAS AVILA</t>
        </is>
      </c>
      <c r="D179" s="312" t="n"/>
      <c r="E179" s="312" t="n"/>
      <c r="F179" s="312" t="n"/>
      <c r="G179" s="312" t="n"/>
      <c r="H179" s="312" t="n"/>
      <c r="I179" s="313" t="n"/>
      <c r="J179" s="235" t="inlineStr">
        <is>
          <t>ANURI</t>
        </is>
      </c>
      <c r="K179" s="314" t="n">
        <v>6950000</v>
      </c>
      <c r="L179" s="2" t="n">
        <v>45040</v>
      </c>
      <c r="M179" s="170" t="n"/>
      <c r="N179" s="170" t="inlineStr">
        <is>
          <t>57 310 7885323</t>
        </is>
      </c>
      <c r="O179" s="170" t="inlineStr">
        <is>
          <t>Laura Estrada</t>
        </is>
      </c>
      <c r="P179" s="52" t="inlineStr">
        <is>
          <t>anuri.obra@gmail.com</t>
        </is>
      </c>
    </row>
    <row r="180">
      <c r="B180" s="170" t="n">
        <v>168</v>
      </c>
      <c r="C180" s="233" t="inlineStr">
        <is>
          <t>COTIZACION DE LOS DISEÑOS DE PROTECCIÓN CONTRA INCENDIOS Y SEGURIDAD HUMANA PARA EL PROYECTO HOTEL 59</t>
        </is>
      </c>
      <c r="D180" s="312" t="n"/>
      <c r="E180" s="312" t="n"/>
      <c r="F180" s="312" t="n"/>
      <c r="G180" s="312" t="n"/>
      <c r="H180" s="312" t="n"/>
      <c r="I180" s="313" t="n"/>
      <c r="J180" s="199" t="inlineStr">
        <is>
          <t>SPCI</t>
        </is>
      </c>
      <c r="K180" s="314" t="n">
        <v>14800000</v>
      </c>
      <c r="L180" s="2" t="n">
        <v>45042</v>
      </c>
      <c r="M180" s="170" t="n"/>
      <c r="N180" s="170" t="inlineStr">
        <is>
          <t>321 482 61 68</t>
        </is>
      </c>
      <c r="O180" s="170" t="inlineStr">
        <is>
          <t>Ana Maria Restrepo Mayo.</t>
        </is>
      </c>
      <c r="P180" s="52" t="inlineStr">
        <is>
          <t>ana.restrepo@spci.com.co</t>
        </is>
      </c>
    </row>
    <row r="181">
      <c r="B181" s="170" t="n">
        <v>169</v>
      </c>
      <c r="C181" s="233" t="inlineStr">
        <is>
          <t>COTIZACION DEL DISEÑO DE EXTINCIÓN DE INCENDIOS PARA EL PROYECTO BODEGA LOTE 15 PARQUE INDUSTRIAL ELITE</t>
        </is>
      </c>
      <c r="D181" s="312" t="n"/>
      <c r="E181" s="312" t="n"/>
      <c r="F181" s="312" t="n"/>
      <c r="G181" s="312" t="n"/>
      <c r="H181" s="312" t="n"/>
      <c r="I181" s="313" t="n"/>
      <c r="J181" s="199" t="inlineStr">
        <is>
          <t>INGESED</t>
        </is>
      </c>
      <c r="K181" s="314" t="n">
        <v>14950000</v>
      </c>
      <c r="L181" s="2" t="n">
        <v>45045</v>
      </c>
      <c r="M181" s="170" t="n"/>
      <c r="N181" s="170" t="n">
        <v>3014201614</v>
      </c>
      <c r="O181" s="170" t="inlineStr">
        <is>
          <t>Jhon Anderson Rodriguez Nieto</t>
        </is>
      </c>
      <c r="P181" s="52" t="inlineStr">
        <is>
          <t>jrodriguez@ingesed.com</t>
        </is>
      </c>
    </row>
    <row r="182">
      <c r="B182" s="170" t="n">
        <v>170</v>
      </c>
      <c r="C182" s="199" t="inlineStr">
        <is>
          <t>COTIZACION REVISIÓN Y PRUEBAS SISTEMAS CONTRA INCENDIOS Y LA SEGURIDAD HUMANA PARA EL CENTRO COMERCIAL PREMIUM PLAZA</t>
        </is>
      </c>
      <c r="D182" s="312" t="n"/>
      <c r="E182" s="312" t="n"/>
      <c r="F182" s="312" t="n"/>
      <c r="G182" s="312" t="n"/>
      <c r="H182" s="312" t="n"/>
      <c r="I182" s="313" t="n"/>
      <c r="J182" s="199" t="inlineStr">
        <is>
          <t>PREMIUM PLAZA</t>
        </is>
      </c>
      <c r="K182" s="314" t="n">
        <v>5400000</v>
      </c>
      <c r="L182" s="2" t="n">
        <v>45043</v>
      </c>
      <c r="M182" s="170" t="n"/>
      <c r="N182" s="170" t="inlineStr">
        <is>
          <t>304 2577204</t>
        </is>
      </c>
      <c r="O182" s="170" t="inlineStr">
        <is>
          <t>Paula Herrera</t>
        </is>
      </c>
      <c r="P182" s="52" t="inlineStr">
        <is>
          <t>analistasst@ccpremiumplaza.com</t>
        </is>
      </c>
    </row>
    <row r="183">
      <c r="B183" s="170" t="n">
        <v>171</v>
      </c>
      <c r="C183" s="199" t="inlineStr">
        <is>
          <t>COTIZACION DEL DISEÑO DE DETECCIÓN DE INCENDIOS - LOCAL SR WOK VIVA TUNJA</t>
        </is>
      </c>
      <c r="D183" s="312" t="n"/>
      <c r="E183" s="312" t="n"/>
      <c r="F183" s="312" t="n"/>
      <c r="G183" s="312" t="n"/>
      <c r="H183" s="312" t="n"/>
      <c r="I183" s="313" t="n"/>
      <c r="J183" s="199" t="inlineStr">
        <is>
          <t>SPCI</t>
        </is>
      </c>
      <c r="K183" s="314" t="n">
        <v>600000</v>
      </c>
      <c r="L183" s="2" t="n">
        <v>45043</v>
      </c>
      <c r="M183" s="170" t="n"/>
      <c r="N183" s="170" t="n">
        <v>3137546144</v>
      </c>
      <c r="O183" s="170" t="inlineStr">
        <is>
          <t xml:space="preserve"> Juan Camilo Quintero Bedoya</t>
        </is>
      </c>
      <c r="P183" s="52" t="inlineStr">
        <is>
          <t>camilo.quintero@spci.com.co</t>
        </is>
      </c>
    </row>
    <row r="184">
      <c r="B184" s="170" t="n">
        <v>172</v>
      </c>
      <c r="C184" s="199" t="inlineStr">
        <is>
          <t>COTIZACION DE LOS DISEÑOS DE PROTECCIÓN CONTRA INCENDIOS Y SEGURIDAD HUMANA PARA EL PROYECTO TRUITT EDIFICIO CAMPESTRE</t>
        </is>
      </c>
      <c r="D184" s="312" t="n"/>
      <c r="E184" s="312" t="n"/>
      <c r="F184" s="312" t="n"/>
      <c r="G184" s="312" t="n"/>
      <c r="H184" s="312" t="n"/>
      <c r="I184" s="313" t="n"/>
      <c r="J184" s="199" t="inlineStr">
        <is>
          <t>SPCI</t>
        </is>
      </c>
      <c r="K184" s="314" t="n">
        <v>13170000</v>
      </c>
      <c r="L184" s="2" t="n">
        <v>45045</v>
      </c>
      <c r="M184" s="170" t="n"/>
      <c r="N184" s="170" t="inlineStr">
        <is>
          <t>321 482 61 68</t>
        </is>
      </c>
      <c r="O184" s="170" t="inlineStr">
        <is>
          <t>Ana Maria Restrepo Mayo.</t>
        </is>
      </c>
      <c r="P184" s="52" t="inlineStr">
        <is>
          <t>ana.restrepo@spci.com.co</t>
        </is>
      </c>
    </row>
    <row r="185">
      <c r="B185" s="170" t="n">
        <v>173</v>
      </c>
      <c r="C185" s="199" t="inlineStr">
        <is>
          <t>COTIZACION DE LOS DISEÑOS DE PROTECCIÓN CONTRA INCENDIOS PARA EL PROYECTO UNIVAR</t>
        </is>
      </c>
      <c r="D185" s="312" t="n"/>
      <c r="E185" s="312" t="n"/>
      <c r="F185" s="312" t="n"/>
      <c r="G185" s="312" t="n"/>
      <c r="H185" s="312" t="n"/>
      <c r="I185" s="313" t="n"/>
      <c r="J185" s="199" t="inlineStr">
        <is>
          <t>FIRE PROTECTION SOLUTIONS GROUP</t>
        </is>
      </c>
      <c r="K185" s="314" t="n">
        <v>25000000</v>
      </c>
      <c r="L185" s="2" t="n">
        <v>45044</v>
      </c>
      <c r="M185" s="2" t="n"/>
      <c r="N185" s="170" t="n">
        <v>3103860407</v>
      </c>
      <c r="O185" s="170" t="inlineStr">
        <is>
          <t>Miguel Robayo</t>
        </is>
      </c>
      <c r="P185" s="52" t="inlineStr">
        <is>
          <t>miguelrobayo@sfiregroup.com</t>
        </is>
      </c>
    </row>
    <row r="186" ht="15" customHeight="1">
      <c r="B186" s="170" t="n">
        <v>174</v>
      </c>
      <c r="C186" s="199" t="inlineStr">
        <is>
          <t xml:space="preserve">COTIZACION DE LOS DISEÑOS DE PROTECCIÓN CONTRA INCENDIOS PARA EL PROYECTO EDIFICIO RESIDENCIAL
</t>
        </is>
      </c>
      <c r="D186" s="312" t="n"/>
      <c r="E186" s="312" t="n"/>
      <c r="F186" s="312" t="n"/>
      <c r="G186" s="312" t="n"/>
      <c r="H186" s="312" t="n"/>
      <c r="I186" s="313" t="n"/>
      <c r="J186" s="199" t="inlineStr">
        <is>
          <t>David Duque</t>
        </is>
      </c>
      <c r="K186" s="314" t="n"/>
      <c r="L186" s="2" t="n">
        <v>45048</v>
      </c>
      <c r="M186" s="2" t="n"/>
      <c r="N186" s="170" t="inlineStr">
        <is>
          <t>322 6861576</t>
        </is>
      </c>
      <c r="O186" s="170" t="inlineStr">
        <is>
          <t>David Duque</t>
        </is>
      </c>
      <c r="P186" s="52" t="n"/>
    </row>
    <row r="187" ht="15" customHeight="1">
      <c r="B187" s="170" t="n">
        <v>175</v>
      </c>
      <c r="C187" s="199" t="inlineStr">
        <is>
          <t>COTIZACION PLANOS DE SEGURIDAD HUMANA - PROYECTO JAGGUA</t>
        </is>
      </c>
      <c r="D187" s="312" t="n"/>
      <c r="E187" s="312" t="n"/>
      <c r="F187" s="312" t="n"/>
      <c r="G187" s="312" t="n"/>
      <c r="H187" s="312" t="n"/>
      <c r="I187" s="313" t="n"/>
      <c r="J187" s="199" t="inlineStr">
        <is>
          <t>CONTEX</t>
        </is>
      </c>
      <c r="K187" s="314" t="n">
        <v>2350000</v>
      </c>
      <c r="L187" s="2" t="n">
        <v>44952</v>
      </c>
      <c r="M187" s="170" t="n"/>
      <c r="N187" s="170" t="inlineStr">
        <is>
          <t>317 3789177</t>
        </is>
      </c>
      <c r="O187" s="170" t="inlineStr">
        <is>
          <t>Elisa Pantoja</t>
        </is>
      </c>
      <c r="P187" s="52" t="inlineStr">
        <is>
          <t>epantoja@contex.com.co</t>
        </is>
      </c>
    </row>
    <row r="188">
      <c r="B188" s="170" t="n">
        <v>176</v>
      </c>
      <c r="C188" s="199" t="inlineStr">
        <is>
          <t>COTIZACION DEL DISEÑO DE EXTINCIÓN DE INCENDIOS PARA EL PROYECTO CENTRO DE DISTRIBUCION MAQUILA INTERNACIONAL DE CONFECCION -PANAMA</t>
        </is>
      </c>
      <c r="D188" s="312" t="n"/>
      <c r="E188" s="312" t="n"/>
      <c r="F188" s="312" t="n"/>
      <c r="G188" s="312" t="n"/>
      <c r="H188" s="312" t="n"/>
      <c r="I188" s="313" t="n"/>
      <c r="J188" s="199" t="inlineStr">
        <is>
          <t>MIC</t>
        </is>
      </c>
      <c r="K188" s="314" t="n">
        <v>6950000</v>
      </c>
      <c r="L188" s="2" t="n">
        <v>45044</v>
      </c>
      <c r="M188" s="170" t="n"/>
      <c r="N188" s="170" t="inlineStr">
        <is>
          <t>604 444 2849 – Ext. 691</t>
        </is>
      </c>
      <c r="O188" s="170" t="inlineStr">
        <is>
          <t>Simon Uribe Mejia</t>
        </is>
      </c>
      <c r="P188" s="52" t="inlineStr">
        <is>
          <t>jefe.mantenimiento@mic.com.co</t>
        </is>
      </c>
    </row>
    <row r="189">
      <c r="B189" s="170" t="n">
        <v>177</v>
      </c>
      <c r="C189" s="199" t="inlineStr">
        <is>
          <t>COTIZACION DE LOS DISEÑOS DE PROTECCIÓN CONTRA INCENDIOS PARA EL PROYECTO PLANTA COMPROIND</t>
        </is>
      </c>
      <c r="D189" s="312" t="n"/>
      <c r="E189" s="312" t="n"/>
      <c r="F189" s="312" t="n"/>
      <c r="G189" s="312" t="n"/>
      <c r="H189" s="312" t="n"/>
      <c r="I189" s="313" t="n"/>
      <c r="J189" s="199" t="inlineStr">
        <is>
          <t>EXSOLVEN</t>
        </is>
      </c>
      <c r="K189" s="314" t="n"/>
      <c r="L189" s="2" t="n">
        <v>45048</v>
      </c>
      <c r="M189" s="170" t="n"/>
      <c r="N189" s="170" t="n">
        <v>3193825585</v>
      </c>
      <c r="O189" s="170" t="inlineStr">
        <is>
          <t xml:space="preserve">Santiago Castro </t>
        </is>
      </c>
      <c r="P189" s="52" t="inlineStr">
        <is>
          <t>spava@exsolven.com.co</t>
        </is>
      </c>
    </row>
    <row r="190">
      <c r="B190" s="170" t="n">
        <v>178</v>
      </c>
      <c r="C190" s="199" t="inlineStr">
        <is>
          <t>COTIZACION DEL DISEÑO DE EXTINCIÓN DE INCENDIOS PARA EL PROYECTO CENTRO DE DISTRIBUCION LEBRIJA</t>
        </is>
      </c>
      <c r="D190" s="312" t="n"/>
      <c r="E190" s="312" t="n"/>
      <c r="F190" s="312" t="n"/>
      <c r="G190" s="312" t="n"/>
      <c r="H190" s="312" t="n"/>
      <c r="I190" s="313" t="n"/>
      <c r="J190" s="199" t="inlineStr">
        <is>
          <t>SPCI</t>
        </is>
      </c>
      <c r="K190" s="314" t="n">
        <v>3950000</v>
      </c>
      <c r="L190" s="2" t="n">
        <v>45045</v>
      </c>
      <c r="M190" s="170" t="n"/>
      <c r="N190" s="170" t="n">
        <v>3104203649</v>
      </c>
      <c r="O190" s="170" t="inlineStr">
        <is>
          <t>Mauricio Guzman Urrea</t>
        </is>
      </c>
      <c r="P190" s="52" t="inlineStr">
        <is>
          <t>mauricio.guzman@spci.com.co</t>
        </is>
      </c>
    </row>
    <row r="191">
      <c r="B191" s="170" t="n">
        <v>179</v>
      </c>
      <c r="C191" s="199" t="inlineStr">
        <is>
          <t>COTIZACION DE PRUBAS DE FLUJO SISTEMA DE CONEXIONES DE MANGUERA - THE COLOMBUS SCHOOL</t>
        </is>
      </c>
      <c r="D191" s="312" t="n"/>
      <c r="E191" s="312" t="n"/>
      <c r="F191" s="312" t="n"/>
      <c r="G191" s="312" t="n"/>
      <c r="H191" s="312" t="n"/>
      <c r="I191" s="313" t="n"/>
      <c r="J191" s="199" t="inlineStr">
        <is>
          <t>Colegio The Columbus School</t>
        </is>
      </c>
      <c r="K191" s="314" t="n">
        <v>2450000</v>
      </c>
      <c r="L191" s="2" t="n">
        <v>45045</v>
      </c>
      <c r="M191" s="170" t="n"/>
      <c r="N191" s="170" t="inlineStr">
        <is>
          <t>312 2886611</t>
        </is>
      </c>
      <c r="O191" s="170" t="inlineStr">
        <is>
          <t xml:space="preserve"> Paula Andrea Duque</t>
        </is>
      </c>
      <c r="P191" s="52" t="inlineStr">
        <is>
          <t>pduque@columbus.edu.co</t>
        </is>
      </c>
    </row>
    <row r="192">
      <c r="B192" s="170" t="n">
        <v>180</v>
      </c>
      <c r="C192" s="199" t="inlineStr">
        <is>
          <t>COTIZACION DE LOS DISEÑOS DE PROTECCIÓN CONTRA INCENDIOS - ÁREAS FALTANTES ECOFLORA</t>
        </is>
      </c>
      <c r="D192" s="312" t="n"/>
      <c r="E192" s="312" t="n"/>
      <c r="F192" s="312" t="n"/>
      <c r="G192" s="312" t="n"/>
      <c r="H192" s="312" t="n"/>
      <c r="I192" s="313" t="n"/>
      <c r="J192" s="199" t="inlineStr">
        <is>
          <t>SPCI</t>
        </is>
      </c>
      <c r="K192" s="314" t="n">
        <v>5840000</v>
      </c>
      <c r="L192" s="2" t="n">
        <v>45049</v>
      </c>
      <c r="M192" s="170" t="n"/>
      <c r="N192" s="170" t="n">
        <v>3229057649</v>
      </c>
      <c r="O192" s="170" t="inlineStr">
        <is>
          <t>Santiago Cardona</t>
        </is>
      </c>
      <c r="P192" s="52" t="inlineStr">
        <is>
          <t xml:space="preserve">santiago.cardona@spci.com.co </t>
        </is>
      </c>
    </row>
    <row r="193">
      <c r="B193" s="170" t="n">
        <v>181</v>
      </c>
      <c r="C193" s="199" t="inlineStr">
        <is>
          <t>COTIZACION DEL DISEÑO DE DETECCIÓN DE INCENDIOS PARA EL PROYECTO MIRADOR DE LAS VEGAS</t>
        </is>
      </c>
      <c r="D193" s="312" t="n"/>
      <c r="E193" s="312" t="n"/>
      <c r="F193" s="312" t="n"/>
      <c r="G193" s="312" t="n"/>
      <c r="H193" s="312" t="n"/>
      <c r="I193" s="313" t="n"/>
      <c r="J193" s="199" t="inlineStr">
        <is>
          <t>SPCI</t>
        </is>
      </c>
      <c r="K193" s="314" t="n">
        <v>4950000</v>
      </c>
      <c r="L193" s="2" t="n">
        <v>45052</v>
      </c>
      <c r="M193" s="2" t="n"/>
      <c r="N193" s="170" t="inlineStr">
        <is>
          <t>310 416 57 83</t>
        </is>
      </c>
      <c r="O193" s="170" t="inlineStr">
        <is>
          <t>Cristiam Gustavo Mondragon Cortes</t>
        </is>
      </c>
      <c r="P193" s="52" t="inlineStr">
        <is>
          <t>Cristiam Gustavo Mondragon Cortes</t>
        </is>
      </c>
    </row>
    <row r="194">
      <c r="B194" s="170" t="n">
        <v>182</v>
      </c>
      <c r="C194" s="199" t="inlineStr">
        <is>
          <t>COTIZACION DEL DISEÑO DE EXTINCIÓN DE INCENDIOS PARA EL PROYECTO SEDE BELLO</t>
        </is>
      </c>
      <c r="D194" s="312" t="n"/>
      <c r="E194" s="312" t="n"/>
      <c r="F194" s="312" t="n"/>
      <c r="G194" s="312" t="n"/>
      <c r="H194" s="312" t="n"/>
      <c r="I194" s="313" t="n"/>
      <c r="J194" s="199" t="inlineStr">
        <is>
          <t>salud y salud</t>
        </is>
      </c>
      <c r="K194" s="314" t="n">
        <v>1950000</v>
      </c>
      <c r="L194" s="2" t="n">
        <v>45050</v>
      </c>
      <c r="M194" s="170" t="n"/>
      <c r="N194" s="170" t="n"/>
      <c r="O194" s="170" t="inlineStr">
        <is>
          <t>Juan Carlos Casas</t>
        </is>
      </c>
      <c r="P194" s="52" t="n"/>
    </row>
    <row r="195">
      <c r="B195" s="170" t="n">
        <v>183</v>
      </c>
      <c r="C195" s="246" t="inlineStr">
        <is>
          <t xml:space="preserve">COTIZACION DEL DISEÑO DE DETECCIÓN DE INCENDIOS PARA EL PROYECTO BODEGAS 20,21 Y 11 DE UNITEC
</t>
        </is>
      </c>
      <c r="D195" s="312" t="n"/>
      <c r="E195" s="312" t="n"/>
      <c r="F195" s="312" t="n"/>
      <c r="G195" s="312" t="n"/>
      <c r="H195" s="312" t="n"/>
      <c r="I195" s="313" t="n"/>
      <c r="J195" s="199" t="inlineStr">
        <is>
          <t>SECURETEC</t>
        </is>
      </c>
      <c r="K195" s="314" t="n">
        <v>7950000</v>
      </c>
      <c r="L195" s="2" t="n">
        <v>45050</v>
      </c>
      <c r="M195" s="2" t="n"/>
      <c r="N195" s="170" t="n">
        <v>3206678830</v>
      </c>
      <c r="O195" s="170" t="inlineStr">
        <is>
          <t>Jhonny Castro</t>
        </is>
      </c>
      <c r="P195" s="52" t="inlineStr">
        <is>
          <t>dirproyectos@securetec.com.co</t>
        </is>
      </c>
    </row>
    <row r="196">
      <c r="B196" s="170" t="n">
        <v>184</v>
      </c>
      <c r="C196" s="199" t="inlineStr">
        <is>
          <t>COTIZACION DEL ANÁLISIS DE SEGURIDAD HUMANA PARA EL PROYECTO PISO 8 OFICINAS MASTERCARD</t>
        </is>
      </c>
      <c r="D196" s="312" t="n"/>
      <c r="E196" s="312" t="n"/>
      <c r="F196" s="312" t="n"/>
      <c r="G196" s="312" t="n"/>
      <c r="H196" s="312" t="n"/>
      <c r="I196" s="313" t="n"/>
      <c r="J196" s="199" t="inlineStr">
        <is>
          <t>SSTUDIO SUR</t>
        </is>
      </c>
      <c r="K196" s="314" t="n">
        <v>950000</v>
      </c>
      <c r="L196" s="2" t="n">
        <v>45051</v>
      </c>
      <c r="M196" s="170" t="n"/>
      <c r="N196" s="170" t="n">
        <v>5712357612</v>
      </c>
      <c r="O196" s="170" t="inlineStr">
        <is>
          <t xml:space="preserve"> Laura Arias</t>
        </is>
      </c>
      <c r="P196" s="52" t="inlineStr">
        <is>
          <t>laura.arias@studiosur.net</t>
        </is>
      </c>
    </row>
    <row r="197">
      <c r="B197" s="170" t="n">
        <v>185</v>
      </c>
      <c r="C197" s="199" t="inlineStr">
        <is>
          <t>COTIZACION DE LOS DISEÑOS DE PROTECCIÓN CONTRA INCENDIOS PARA EL PROYECTO APLA COLOMBIA</t>
        </is>
      </c>
      <c r="D197" s="312" t="n"/>
      <c r="E197" s="312" t="n"/>
      <c r="F197" s="312" t="n"/>
      <c r="G197" s="312" t="n"/>
      <c r="H197" s="312" t="n"/>
      <c r="I197" s="313" t="n"/>
      <c r="J197" s="199" t="inlineStr">
        <is>
          <t>SECURETEC</t>
        </is>
      </c>
      <c r="K197" s="314" t="n">
        <v>24950000</v>
      </c>
      <c r="L197" s="2" t="n">
        <v>45051</v>
      </c>
      <c r="M197" s="170" t="n"/>
      <c r="N197" s="170" t="n">
        <v>3206678830</v>
      </c>
      <c r="O197" s="170" t="inlineStr">
        <is>
          <t>Jhonny Castro</t>
        </is>
      </c>
      <c r="P197" s="52" t="inlineStr">
        <is>
          <t>dirproyectos@securetec.com.co</t>
        </is>
      </c>
    </row>
    <row r="198">
      <c r="B198" s="170" t="n">
        <v>186</v>
      </c>
      <c r="C198" s="199" t="inlineStr">
        <is>
          <t>COTIZACION DEL DISEÑO DE DETECCIÓN DE INCENDIOS PARA EL PROYECTO HALL DE CAJEROS DE JARDIN PLAZA</t>
        </is>
      </c>
      <c r="D198" s="312" t="n"/>
      <c r="E198" s="312" t="n"/>
      <c r="F198" s="312" t="n"/>
      <c r="G198" s="312" t="n"/>
      <c r="H198" s="312" t="n"/>
      <c r="I198" s="313" t="n"/>
      <c r="J198" s="199" t="inlineStr">
        <is>
          <t>SANTIAGO ROJAS</t>
        </is>
      </c>
      <c r="K198" s="314" t="n">
        <v>990000</v>
      </c>
      <c r="L198" s="2" t="n">
        <v>45052</v>
      </c>
      <c r="M198" s="170" t="n"/>
      <c r="N198" s="170" t="n">
        <v>3245671666</v>
      </c>
      <c r="O198" s="170" t="inlineStr">
        <is>
          <t>Sindy Silva</t>
        </is>
      </c>
      <c r="P198" s="52" t="inlineStr">
        <is>
          <t>sraic.asistente@gmail.com</t>
        </is>
      </c>
    </row>
    <row r="199">
      <c r="B199" s="170" t="n">
        <v>187</v>
      </c>
      <c r="C199" s="199" t="inlineStr">
        <is>
          <t>COTIZACION DEL DISEÑO DE DETECCIÓN DE INCENDIOS PARA EL PROYECTO FERRATORE</t>
        </is>
      </c>
      <c r="D199" s="312" t="n"/>
      <c r="E199" s="312" t="n"/>
      <c r="F199" s="312" t="n"/>
      <c r="G199" s="312" t="n"/>
      <c r="H199" s="312" t="n"/>
      <c r="I199" s="313" t="n"/>
      <c r="J199" s="199" t="inlineStr">
        <is>
          <t>GINO MONTOYA</t>
        </is>
      </c>
      <c r="K199" s="314" t="n">
        <v>3500000</v>
      </c>
      <c r="L199" s="2" t="inlineStr">
        <is>
          <t>08/05/02023</t>
        </is>
      </c>
      <c r="M199" s="170" t="n"/>
      <c r="N199" s="170" t="n">
        <v>3044003430</v>
      </c>
      <c r="O199" s="172" t="inlineStr">
        <is>
          <t>Gino Montoya</t>
        </is>
      </c>
      <c r="P199" s="52" t="inlineStr">
        <is>
          <t>gino1037@hotmail.com</t>
        </is>
      </c>
    </row>
    <row r="200">
      <c r="B200" s="170" t="n">
        <v>188</v>
      </c>
      <c r="C200" s="199" t="inlineStr">
        <is>
          <t>COTIZACION DEL DISEÑO DE EXTINCIÓN DE INCENDIOS PARA EL PROYECTO EDIFICIO JUANAMBU</t>
        </is>
      </c>
      <c r="D200" s="312" t="n"/>
      <c r="E200" s="312" t="n"/>
      <c r="F200" s="312" t="n"/>
      <c r="G200" s="312" t="n"/>
      <c r="H200" s="312" t="n"/>
      <c r="I200" s="313" t="n"/>
      <c r="J200" s="199" t="inlineStr">
        <is>
          <t>ABILE CONSTRUCTORES</t>
        </is>
      </c>
      <c r="K200" s="314" t="n">
        <v>4025000</v>
      </c>
      <c r="L200" s="2" t="n">
        <v>45054</v>
      </c>
      <c r="M200" s="2" t="n"/>
      <c r="N200" s="170" t="n"/>
      <c r="O200" s="170" t="inlineStr">
        <is>
          <t xml:space="preserve">Edgar Alexander López Arángo </t>
        </is>
      </c>
      <c r="P200" s="52" t="inlineStr">
        <is>
          <t>edgar.lopez@abile.co</t>
        </is>
      </c>
    </row>
    <row r="201">
      <c r="B201" s="170" t="n">
        <v>189</v>
      </c>
      <c r="C201" s="199" t="inlineStr">
        <is>
          <t>COTIZACION DEL DISEÑO DE DETECCIÓN DE INCENDIOS PARA EL PROYECTO FERRATORE</t>
        </is>
      </c>
      <c r="D201" s="312" t="n"/>
      <c r="E201" s="312" t="n"/>
      <c r="F201" s="312" t="n"/>
      <c r="G201" s="312" t="n"/>
      <c r="H201" s="312" t="n"/>
      <c r="I201" s="313" t="n"/>
      <c r="J201" s="199" t="inlineStr">
        <is>
          <t>GINO MONTOYA</t>
        </is>
      </c>
      <c r="K201" s="314" t="n">
        <v>2700000</v>
      </c>
      <c r="L201" s="2" t="inlineStr">
        <is>
          <t>09/05/02023</t>
        </is>
      </c>
      <c r="M201" s="170" t="n"/>
      <c r="N201" s="170" t="n">
        <v>3044003430</v>
      </c>
      <c r="O201" s="172" t="inlineStr">
        <is>
          <t>Gino Montoya</t>
        </is>
      </c>
      <c r="P201" s="52" t="inlineStr">
        <is>
          <t>gino1037@hotmail.com</t>
        </is>
      </c>
    </row>
    <row r="202">
      <c r="B202" s="170" t="n">
        <v>190</v>
      </c>
      <c r="C202" s="199" t="inlineStr">
        <is>
          <t>COTIZACION DE LOS DISEÑOS DE PROTECCIÓN CONTRA INCENDIOS Y SEGURIDAD HUMANA PARA EL PROYECTO PALMA 2</t>
        </is>
      </c>
      <c r="D202" s="312" t="n"/>
      <c r="E202" s="312" t="n"/>
      <c r="F202" s="312" t="n"/>
      <c r="G202" s="312" t="n"/>
      <c r="H202" s="312" t="n"/>
      <c r="I202" s="313" t="n"/>
      <c r="J202" s="199" t="inlineStr">
        <is>
          <t>CONALTURA</t>
        </is>
      </c>
      <c r="K202" s="314" t="n">
        <v>13950000</v>
      </c>
      <c r="L202" s="2" t="n">
        <v>45056</v>
      </c>
      <c r="M202" s="2" t="n"/>
      <c r="N202" s="170" t="n">
        <v>2662267</v>
      </c>
      <c r="O202" s="170" t="inlineStr">
        <is>
          <t>Frank Jhovany Rodríguez</t>
        </is>
      </c>
      <c r="P202" s="52" t="inlineStr">
        <is>
          <t>frodriguez@conaltura.com</t>
        </is>
      </c>
    </row>
    <row r="203" ht="15" customHeight="1">
      <c r="B203" s="170" t="n">
        <v>191</v>
      </c>
      <c r="C203" s="199" t="inlineStr">
        <is>
          <t xml:space="preserve">
COTIZACION DE LOS DISEÑOS DE PROTECCIÓN CONTRA INCENDIOS Y SEGURIDAD HUMANA PARA EL PROYECTO CATALANA 2</t>
        </is>
      </c>
      <c r="D203" s="312" t="n"/>
      <c r="E203" s="312" t="n"/>
      <c r="F203" s="312" t="n"/>
      <c r="G203" s="312" t="n"/>
      <c r="H203" s="312" t="n"/>
      <c r="I203" s="313" t="n"/>
      <c r="J203" s="199" t="inlineStr">
        <is>
          <t>CONALTURA</t>
        </is>
      </c>
      <c r="K203" s="314" t="n">
        <v>13950000</v>
      </c>
      <c r="L203" s="2" t="n">
        <v>45056</v>
      </c>
      <c r="M203" s="170" t="n"/>
      <c r="N203" s="170" t="n">
        <v>2662267</v>
      </c>
      <c r="O203" s="78" t="inlineStr">
        <is>
          <t>Frank Jhovany Rodríguez</t>
        </is>
      </c>
      <c r="P203" s="52" t="inlineStr">
        <is>
          <t>frodriguez@conaltura.com</t>
        </is>
      </c>
    </row>
    <row r="204">
      <c r="B204" s="170" t="n">
        <v>192</v>
      </c>
      <c r="C204" s="199" t="inlineStr">
        <is>
          <t>COTIZACION DE LOS DISEÑOS DE PROTECCIÓN CONTRA INCENDIOS Y SEGURIDAD HUMANA PARA EL PROYECTO SOLEI</t>
        </is>
      </c>
      <c r="D204" s="312" t="n"/>
      <c r="E204" s="312" t="n"/>
      <c r="F204" s="312" t="n"/>
      <c r="G204" s="312" t="n"/>
      <c r="H204" s="312" t="n"/>
      <c r="I204" s="313" t="n"/>
      <c r="J204" s="199" t="inlineStr">
        <is>
          <t>CONALTURA</t>
        </is>
      </c>
      <c r="K204" s="314" t="n">
        <v>27250000</v>
      </c>
      <c r="L204" s="2" t="n">
        <v>45056</v>
      </c>
      <c r="M204" s="170" t="n"/>
      <c r="N204" s="170" t="n">
        <v>2662267</v>
      </c>
      <c r="O204" s="170" t="inlineStr">
        <is>
          <t>Frank Jhovany Rodríguez</t>
        </is>
      </c>
      <c r="P204" s="52" t="inlineStr">
        <is>
          <t>frodriguez@conaltura.com</t>
        </is>
      </c>
    </row>
    <row r="205">
      <c r="B205" s="170" t="n">
        <v>193</v>
      </c>
      <c r="C205" s="199" t="inlineStr">
        <is>
          <t xml:space="preserve">COTIZACION DE LOS DISEÑOS DE PROTECCIÓN CONTRA INCENDIOS Y SEGURIDAD HUMANA PARA EL PROYECTO TORRE DEL CAMPO </t>
        </is>
      </c>
      <c r="D205" s="312" t="n"/>
      <c r="E205" s="312" t="n"/>
      <c r="F205" s="312" t="n"/>
      <c r="G205" s="312" t="n"/>
      <c r="H205" s="312" t="n"/>
      <c r="I205" s="313" t="n"/>
      <c r="J205" s="199" t="inlineStr">
        <is>
          <t>CONALTURA</t>
        </is>
      </c>
      <c r="K205" s="314" t="n">
        <v>27250000</v>
      </c>
      <c r="L205" s="2" t="n">
        <v>45056</v>
      </c>
      <c r="M205" s="170" t="n"/>
      <c r="N205" s="170" t="n">
        <v>2662267</v>
      </c>
      <c r="O205" s="170" t="inlineStr">
        <is>
          <t>Frank Jhovany Rodríguez</t>
        </is>
      </c>
      <c r="P205" s="52" t="inlineStr">
        <is>
          <t>frodriguez@conaltura.com</t>
        </is>
      </c>
    </row>
    <row r="206">
      <c r="B206" s="170" t="n">
        <v>194</v>
      </c>
      <c r="C206" s="199" t="inlineStr">
        <is>
          <t>COTIZACION DE LOS DISEÑOS DE PROTECCIÓN CONTRA INCENDIOS PARA EL PROYECTO LOCAL VIVA BARRANQUILLA</t>
        </is>
      </c>
      <c r="D206" s="312" t="n"/>
      <c r="E206" s="312" t="n"/>
      <c r="F206" s="312" t="n"/>
      <c r="G206" s="312" t="n"/>
      <c r="H206" s="312" t="n"/>
      <c r="I206" s="313" t="n"/>
      <c r="J206" s="199" t="inlineStr">
        <is>
          <t>SPCI</t>
        </is>
      </c>
      <c r="K206" s="314" t="n">
        <v>2300000</v>
      </c>
      <c r="L206" s="2" t="n">
        <v>45058</v>
      </c>
      <c r="M206" s="170" t="n"/>
      <c r="N206" s="170" t="n">
        <v>3137546144</v>
      </c>
      <c r="O206" s="170" t="inlineStr">
        <is>
          <t xml:space="preserve"> Juan Camilo Quintero Bedoya</t>
        </is>
      </c>
      <c r="P206" s="52" t="inlineStr">
        <is>
          <t>camilo.quintero@spci.com.co</t>
        </is>
      </c>
    </row>
    <row r="207" ht="15" customHeight="1">
      <c r="B207" s="170" t="n">
        <v>195</v>
      </c>
      <c r="C207" s="199" t="inlineStr">
        <is>
          <t xml:space="preserve">COTIZACION DE LOS DISEÑOS DE PROTECCIÓN CONTRA INCENDIOS PARA EL PROYECTO OFICINA 313 CCI
</t>
        </is>
      </c>
      <c r="D207" s="312" t="n"/>
      <c r="E207" s="312" t="n"/>
      <c r="F207" s="312" t="n"/>
      <c r="G207" s="312" t="n"/>
      <c r="H207" s="312" t="n"/>
      <c r="I207" s="313" t="n"/>
      <c r="J207" s="199" t="inlineStr">
        <is>
          <t>SPCI</t>
        </is>
      </c>
      <c r="K207" s="314" t="n">
        <v>2950000</v>
      </c>
      <c r="L207" s="2" t="n">
        <v>45058</v>
      </c>
      <c r="M207" s="170" t="n"/>
      <c r="N207" s="170" t="n">
        <v>3137546144</v>
      </c>
      <c r="O207" s="170" t="inlineStr">
        <is>
          <t xml:space="preserve"> Juan Camilo Quintero Bedoya</t>
        </is>
      </c>
      <c r="P207" s="52" t="inlineStr">
        <is>
          <t>camilo.quintero@spci.com.co</t>
        </is>
      </c>
    </row>
    <row r="208">
      <c r="B208" s="170" t="n">
        <v>196</v>
      </c>
      <c r="C208" s="199" t="inlineStr">
        <is>
          <t>COTIZACION DEL DISEÑO DE DETECCIÓN DE INCENDIOS PARA EL PROYECTO SUBESTACION ELECTRICA Y CUARTOS CCM Y CCV</t>
        </is>
      </c>
      <c r="D208" s="312" t="n"/>
      <c r="E208" s="312" t="n"/>
      <c r="F208" s="312" t="n"/>
      <c r="G208" s="312" t="n"/>
      <c r="H208" s="312" t="n"/>
      <c r="I208" s="313" t="n"/>
      <c r="J208" s="199" t="inlineStr">
        <is>
          <t>SPCI</t>
        </is>
      </c>
      <c r="K208" s="314" t="n">
        <v>1880000</v>
      </c>
      <c r="L208" s="2" t="n">
        <v>45058</v>
      </c>
      <c r="M208" s="170" t="n"/>
      <c r="N208" s="170" t="inlineStr">
        <is>
          <t>310 416 57 83</t>
        </is>
      </c>
      <c r="O208" s="170" t="inlineStr">
        <is>
          <t>Cristiam Gustavo Mondragón Cortés</t>
        </is>
      </c>
      <c r="P208" s="52" t="inlineStr">
        <is>
          <t>cristiam.mondragon@spci.com.co</t>
        </is>
      </c>
    </row>
    <row r="209">
      <c r="B209" s="170" t="n">
        <v>197</v>
      </c>
      <c r="C209" s="199" t="inlineStr">
        <is>
          <t>COTIZACION DE LOS DISEÑOS DE PROTECCIÓN CONTRA INCENDIOS PARA EL PROYECTO CASA MONTOYA EMPLAZADO</t>
        </is>
      </c>
      <c r="D209" s="312" t="n"/>
      <c r="E209" s="312" t="n"/>
      <c r="F209" s="312" t="n"/>
      <c r="G209" s="312" t="n"/>
      <c r="H209" s="312" t="n"/>
      <c r="I209" s="313" t="n"/>
      <c r="J209" s="199" t="inlineStr">
        <is>
          <t>Jhonatan Vasquez Grajales</t>
        </is>
      </c>
      <c r="K209" s="314" t="n">
        <v>4980000</v>
      </c>
      <c r="L209" s="2" t="n">
        <v>45058</v>
      </c>
      <c r="M209" s="170" t="n"/>
      <c r="N209" s="170" t="n"/>
      <c r="O209" s="170" t="inlineStr">
        <is>
          <t>Jhonatan Vasquez Grajales</t>
        </is>
      </c>
      <c r="P209" s="52" t="n"/>
    </row>
    <row r="210">
      <c r="B210" s="170" t="n">
        <v>198</v>
      </c>
      <c r="C210" s="199" t="inlineStr">
        <is>
          <t>COTIZACION DEL DISEÑO DE EXTINCIÓN DE INCENDIOS PARA EL PROYECTO TERRAZA HOTEL EL CIELO</t>
        </is>
      </c>
      <c r="D210" s="312" t="n"/>
      <c r="E210" s="312" t="n"/>
      <c r="F210" s="312" t="n"/>
      <c r="G210" s="312" t="n"/>
      <c r="H210" s="312" t="n"/>
      <c r="I210" s="313" t="n"/>
      <c r="J210" s="199" t="inlineStr">
        <is>
          <t>SPCI</t>
        </is>
      </c>
      <c r="K210" s="314" t="n">
        <v>1950000</v>
      </c>
      <c r="L210" s="2" t="n">
        <v>45058</v>
      </c>
      <c r="M210" s="170" t="n"/>
      <c r="N210" s="170" t="n">
        <v>3137546144</v>
      </c>
      <c r="O210" s="170" t="inlineStr">
        <is>
          <t xml:space="preserve"> Juan Camilo Quintero Bedoya</t>
        </is>
      </c>
      <c r="P210" s="52" t="inlineStr">
        <is>
          <t>camilo.quintero@spci.com.co</t>
        </is>
      </c>
    </row>
    <row r="211" ht="15" customHeight="1">
      <c r="B211" s="170" t="n">
        <v>199</v>
      </c>
      <c r="C211" s="199" t="inlineStr">
        <is>
          <t xml:space="preserve">COTIZACION DE LOS DISEÑOS DE PROTECCIÓN CONTRA INCENDIOS Y SEGURIDAD HUMANA PARA EL PROYECTO TOLEDANA
</t>
        </is>
      </c>
      <c r="D211" s="312" t="n"/>
      <c r="E211" s="312" t="n"/>
      <c r="F211" s="312" t="n"/>
      <c r="G211" s="312" t="n"/>
      <c r="H211" s="312" t="n"/>
      <c r="I211" s="313" t="n"/>
      <c r="J211" s="199" t="inlineStr">
        <is>
          <t>SOLUCIONES CIVILES</t>
        </is>
      </c>
      <c r="K211" s="314" t="inlineStr">
        <is>
          <t>Variable</t>
        </is>
      </c>
      <c r="L211" s="2" t="n">
        <v>45058</v>
      </c>
      <c r="M211" s="170" t="n"/>
      <c r="N211" s="170" t="n">
        <v>4483960</v>
      </c>
      <c r="O211" s="78" t="inlineStr">
        <is>
          <t>Gustavo Aguirre Arcila</t>
        </is>
      </c>
      <c r="P211" s="52" t="inlineStr">
        <is>
          <t>gaguirre@solciviles.com</t>
        </is>
      </c>
    </row>
    <row r="212">
      <c r="B212" s="170" t="n">
        <v>200</v>
      </c>
      <c r="C212" s="199" t="inlineStr">
        <is>
          <t>REVISIÓN DE LOS DISEÑOS DE EXTINCIÓN Y SEGURIDAD HUMANA PARA EL PROYECTO CAM</t>
        </is>
      </c>
      <c r="D212" s="312" t="n"/>
      <c r="E212" s="312" t="n"/>
      <c r="F212" s="312" t="n"/>
      <c r="G212" s="312" t="n"/>
      <c r="H212" s="312" t="n"/>
      <c r="I212" s="313" t="n"/>
      <c r="J212" s="199" t="inlineStr">
        <is>
          <t>BOMBEROS ENVIGADO</t>
        </is>
      </c>
      <c r="K212" s="314" t="n">
        <v>5000000</v>
      </c>
      <c r="L212" s="2" t="n">
        <v>45058</v>
      </c>
      <c r="M212" s="170" t="n"/>
      <c r="N212" s="170" t="inlineStr">
        <is>
          <t>321 8338189</t>
        </is>
      </c>
      <c r="O212" s="170" t="inlineStr">
        <is>
          <t>Laura Delgado</t>
        </is>
      </c>
      <c r="P212" s="52" t="inlineStr">
        <is>
          <t>ldelgado@bomberosenvigado.org</t>
        </is>
      </c>
    </row>
    <row r="213">
      <c r="B213" s="170" t="n">
        <v>201</v>
      </c>
      <c r="C213" s="199" t="inlineStr">
        <is>
          <t>COTIZACION DE LOS DISEÑOS DE PROTECCIÓN CONTRA INCENDIOS PARA EL PROYECTO INST. DE DEPORTES Y RECREACION DE MEDELLIN</t>
        </is>
      </c>
      <c r="D213" s="312" t="n"/>
      <c r="E213" s="312" t="n"/>
      <c r="F213" s="312" t="n"/>
      <c r="G213" s="312" t="n"/>
      <c r="H213" s="312" t="n"/>
      <c r="I213" s="313" t="n"/>
      <c r="J213" s="199" t="inlineStr">
        <is>
          <t>COINSI</t>
        </is>
      </c>
      <c r="K213" s="314" t="n">
        <v>7950000</v>
      </c>
      <c r="L213" s="2" t="n">
        <v>45058</v>
      </c>
      <c r="M213" s="170" t="n"/>
      <c r="N213" s="170" t="n"/>
      <c r="O213" s="170" t="inlineStr">
        <is>
          <t>Sergio Rodriguez</t>
        </is>
      </c>
      <c r="P213" s="52" t="inlineStr">
        <is>
          <t>diseno4@gyd.com.co</t>
        </is>
      </c>
    </row>
    <row r="214">
      <c r="B214" s="170" t="n">
        <v>202</v>
      </c>
      <c r="C214" s="233" t="inlineStr">
        <is>
          <t>COTIZACION DE LOS DISEÑOS DE PROTECCIÓN CONTRA INCENDIOS PARA EL PROYECTO SEDE DE IMPLESEG</t>
        </is>
      </c>
      <c r="D214" s="312" t="n"/>
      <c r="E214" s="312" t="n"/>
      <c r="F214" s="312" t="n"/>
      <c r="G214" s="312" t="n"/>
      <c r="H214" s="312" t="n"/>
      <c r="I214" s="313" t="n"/>
      <c r="J214" s="199" t="inlineStr">
        <is>
          <t>IPM</t>
        </is>
      </c>
      <c r="K214" s="314" t="n">
        <v>5000000</v>
      </c>
      <c r="L214" s="2" t="n">
        <v>45058</v>
      </c>
      <c r="M214" s="170" t="n"/>
      <c r="N214" s="170" t="inlineStr">
        <is>
          <t>301 542 1412</t>
        </is>
      </c>
      <c r="O214" s="170" t="inlineStr">
        <is>
          <t>Juan Santiago Londoño Quiceno</t>
        </is>
      </c>
      <c r="P214" s="52" t="inlineStr">
        <is>
          <t>juan.londono@serviciosipm.com</t>
        </is>
      </c>
    </row>
    <row r="215">
      <c r="B215" s="170" t="n">
        <v>203</v>
      </c>
      <c r="C215" s="199" t="inlineStr">
        <is>
          <t>COTIZACION DE LOS DISEÑOS DE PROTECCIÓN CONTRA INCENDIOS Y SEGURIDAD HUMANA PARA EL PROYECTO LA COLINITA</t>
        </is>
      </c>
      <c r="D215" s="312" t="n"/>
      <c r="E215" s="312" t="n"/>
      <c r="F215" s="312" t="n"/>
      <c r="G215" s="312" t="n"/>
      <c r="H215" s="312" t="n"/>
      <c r="I215" s="313" t="n"/>
      <c r="J215" s="199" t="inlineStr">
        <is>
          <t>SPCI</t>
        </is>
      </c>
      <c r="K215" s="314" t="n">
        <v>6650000</v>
      </c>
      <c r="L215" s="2" t="n">
        <v>45062</v>
      </c>
      <c r="M215" s="2" t="n"/>
      <c r="N215" s="170" t="inlineStr">
        <is>
          <t>310 416 57 83</t>
        </is>
      </c>
      <c r="O215" s="170" t="inlineStr">
        <is>
          <t>Cristiam Gustavo Mondragon Cortes</t>
        </is>
      </c>
      <c r="P215" s="52" t="inlineStr">
        <is>
          <t>cristiam.mondragon@spci.com.co</t>
        </is>
      </c>
    </row>
    <row r="216">
      <c r="B216" s="170" t="n">
        <v>204</v>
      </c>
      <c r="C216" s="199" t="inlineStr">
        <is>
          <t>COTIZACIÓN DEL LEVANTAMIENTO Y PLANOS ASBUIT DEL SISTEMA DE EXTINCIÓN DE INCENDIOS PARA EL CENTRO COMERCIAL LA STRADA Y EL HOTEL</t>
        </is>
      </c>
      <c r="D216" s="312" t="n"/>
      <c r="E216" s="312" t="n"/>
      <c r="F216" s="312" t="n"/>
      <c r="G216" s="312" t="n"/>
      <c r="H216" s="312" t="n"/>
      <c r="I216" s="313" t="n"/>
      <c r="J216" s="199" t="inlineStr">
        <is>
          <t>SPCI</t>
        </is>
      </c>
      <c r="K216" s="314" t="n">
        <v>12550000</v>
      </c>
      <c r="L216" s="2" t="n">
        <v>45062</v>
      </c>
      <c r="M216" s="170" t="n"/>
      <c r="N216" s="170" t="n">
        <v>3137546144</v>
      </c>
      <c r="O216" s="170" t="inlineStr">
        <is>
          <t xml:space="preserve"> Juan Camilo Quintero Bedoya</t>
        </is>
      </c>
      <c r="P216" s="52" t="inlineStr">
        <is>
          <t>camilo.quintero@spci.com.co</t>
        </is>
      </c>
    </row>
    <row r="217">
      <c r="B217" s="170" t="n">
        <v>205</v>
      </c>
      <c r="C217" s="199" t="inlineStr">
        <is>
          <t>COTIZACION DEL DISEÑO DE EXTINCIÓN DE INCENDIOS PARA EL PROYECTO PARQUE TECNOLOGICO DE EFICIENCIA ENERGETICA EUROCLIMA</t>
        </is>
      </c>
      <c r="D217" s="312" t="n"/>
      <c r="E217" s="312" t="n"/>
      <c r="F217" s="312" t="n"/>
      <c r="G217" s="312" t="n"/>
      <c r="H217" s="312" t="n"/>
      <c r="I217" s="313" t="n"/>
      <c r="J217" s="199" t="inlineStr">
        <is>
          <t>IPM</t>
        </is>
      </c>
      <c r="K217" s="314" t="n">
        <v>3150000</v>
      </c>
      <c r="L217" s="2" t="n">
        <v>45062</v>
      </c>
      <c r="M217" s="170" t="n"/>
      <c r="N217" s="170" t="inlineStr">
        <is>
          <t>301 542 1412</t>
        </is>
      </c>
      <c r="O217" s="170" t="inlineStr">
        <is>
          <t>Juan Santiago Londoño</t>
        </is>
      </c>
      <c r="P217" s="52" t="inlineStr">
        <is>
          <t>juan.londono@serviciosipm.com</t>
        </is>
      </c>
    </row>
    <row r="218">
      <c r="B218" s="170" t="n">
        <v>206</v>
      </c>
      <c r="C218" s="199" t="inlineStr">
        <is>
          <t>COTIZACION DEL DISEÑO DE EXTINCIÓN DE INCENDIOS PARA EL PROYECTO BODEGA DE TRITURACION</t>
        </is>
      </c>
      <c r="D218" s="312" t="n"/>
      <c r="E218" s="312" t="n"/>
      <c r="F218" s="312" t="n"/>
      <c r="G218" s="312" t="n"/>
      <c r="H218" s="312" t="n"/>
      <c r="I218" s="313" t="n"/>
      <c r="J218" s="199" t="inlineStr">
        <is>
          <t>Berince SAS</t>
        </is>
      </c>
      <c r="K218" s="314" t="n">
        <v>3150000</v>
      </c>
      <c r="L218" s="2" t="n">
        <v>45062</v>
      </c>
      <c r="M218" s="2" t="n"/>
      <c r="N218" s="170" t="n"/>
      <c r="O218" s="170" t="inlineStr">
        <is>
          <t>Cristina Lamb</t>
        </is>
      </c>
      <c r="P218" s="52" t="inlineStr">
        <is>
          <t>berincesas@gmail.com</t>
        </is>
      </c>
    </row>
    <row r="219">
      <c r="B219" s="170" t="n">
        <v>207</v>
      </c>
      <c r="C219" s="199" t="inlineStr">
        <is>
          <t>COTIZACION DEL ANÁLISIS DE SEGURIDAD HUMANA PARA EL PROYECTO FLAMINGO</t>
        </is>
      </c>
      <c r="D219" s="312" t="n"/>
      <c r="E219" s="312" t="n"/>
      <c r="F219" s="312" t="n"/>
      <c r="G219" s="312" t="n"/>
      <c r="H219" s="312" t="n"/>
      <c r="I219" s="313" t="n"/>
      <c r="J219" s="199" t="inlineStr">
        <is>
          <t>Londoño Gomez</t>
        </is>
      </c>
      <c r="K219" s="314" t="n">
        <v>10350000</v>
      </c>
      <c r="L219" s="2" t="n">
        <v>45063</v>
      </c>
      <c r="M219" s="170" t="n"/>
      <c r="N219" s="170" t="inlineStr">
        <is>
          <t>3111770 ext 455</t>
        </is>
      </c>
      <c r="O219" s="170" t="inlineStr">
        <is>
          <t>Lina M Saldarriaga</t>
        </is>
      </c>
      <c r="P219" s="52" t="inlineStr">
        <is>
          <t>lsaldarriaga@interlg.com</t>
        </is>
      </c>
    </row>
    <row r="220">
      <c r="B220" s="170" t="n">
        <v>208</v>
      </c>
      <c r="C220" s="199" t="inlineStr">
        <is>
          <t>COTIZACION DEL ANÁLISIS DE SEGURIDAD HUMANA PARA EL PROYECTO VOLARÉ TORRE 5 Y 6</t>
        </is>
      </c>
      <c r="D220" s="312" t="n"/>
      <c r="E220" s="312" t="n"/>
      <c r="F220" s="312" t="n"/>
      <c r="G220" s="312" t="n"/>
      <c r="H220" s="312" t="n"/>
      <c r="I220" s="313" t="n"/>
      <c r="J220" s="199" t="inlineStr">
        <is>
          <t>INSERCO</t>
        </is>
      </c>
      <c r="K220" s="314" t="n">
        <v>4390000</v>
      </c>
      <c r="L220" s="2" t="n">
        <v>45064</v>
      </c>
      <c r="M220" s="170" t="n"/>
      <c r="N220" s="170" t="n">
        <v>3104131109</v>
      </c>
      <c r="O220" s="170" t="inlineStr">
        <is>
          <t>Leandro Herrera Gutierrez</t>
        </is>
      </c>
      <c r="P220" s="52" t="inlineStr">
        <is>
          <t>directorlean@inserco.com.co</t>
        </is>
      </c>
    </row>
    <row r="221">
      <c r="B221" s="170" t="n">
        <v>209</v>
      </c>
      <c r="C221" s="199" t="inlineStr">
        <is>
          <t>COTIZACION DEL DISEÑO DE DETECCIÓN DE INCENDIOS PARA EL PROYECTO EDIFICIO MIRADOR DE LAS VEGAS</t>
        </is>
      </c>
      <c r="D221" s="312" t="n"/>
      <c r="E221" s="312" t="n"/>
      <c r="F221" s="312" t="n"/>
      <c r="G221" s="312" t="n"/>
      <c r="H221" s="312" t="n"/>
      <c r="I221" s="313" t="n"/>
      <c r="J221" s="199" t="inlineStr">
        <is>
          <t>SOCOMES</t>
        </is>
      </c>
      <c r="K221" s="314" t="n">
        <v>4950000</v>
      </c>
      <c r="L221" s="2" t="n">
        <v>45064</v>
      </c>
      <c r="M221" s="2" t="n"/>
      <c r="N221" s="170" t="n">
        <v>3137851941</v>
      </c>
      <c r="O221" s="170" t="inlineStr">
        <is>
          <t>David Lopera medina</t>
        </is>
      </c>
      <c r="P221" s="91" t="inlineStr">
        <is>
          <t>david.lopera@socomes.com</t>
        </is>
      </c>
    </row>
    <row r="222">
      <c r="B222" s="170" t="n">
        <v>210</v>
      </c>
      <c r="C222" s="199" t="inlineStr">
        <is>
          <t>COTIZACION DE LOS DISEÑOS DE PROTECCIÓN CONTRA INCENDIOS PARA EL PROYECTO EDIFICIO DE LABORATORIOS DE LA ESCUELA DE INGENIERIA CIVIL Y GEOMATICA</t>
        </is>
      </c>
      <c r="D222" s="312" t="n"/>
      <c r="E222" s="312" t="n"/>
      <c r="F222" s="312" t="n"/>
      <c r="G222" s="312" t="n"/>
      <c r="H222" s="312" t="n"/>
      <c r="I222" s="313" t="n"/>
      <c r="J222" s="199" t="inlineStr">
        <is>
          <t>INGENIO BIM</t>
        </is>
      </c>
      <c r="K222" s="328" t="n">
        <v>13170000</v>
      </c>
      <c r="L222" s="2" t="n">
        <v>45072</v>
      </c>
      <c r="M222" s="170" t="n"/>
      <c r="N222" s="170" t="n">
        <v>3012311524</v>
      </c>
      <c r="O222" s="170" t="inlineStr">
        <is>
          <t>Luisa Fernanda Londoño Ciro</t>
        </is>
      </c>
      <c r="P222" s="52" t="inlineStr">
        <is>
          <t>luisa.londono@ingeniobim.co</t>
        </is>
      </c>
    </row>
    <row r="223">
      <c r="B223" s="170" t="n">
        <v>211</v>
      </c>
      <c r="C223" s="199" t="inlineStr">
        <is>
          <t>COTIZACION DEL ANÁLISIS DE SEGURIDAD HUMANA PARA EL PROYECTO OFICINAS MEDELLIN</t>
        </is>
      </c>
      <c r="D223" s="312" t="n"/>
      <c r="E223" s="312" t="n"/>
      <c r="F223" s="312" t="n"/>
      <c r="G223" s="312" t="n"/>
      <c r="H223" s="312" t="n"/>
      <c r="I223" s="313" t="n"/>
      <c r="J223" s="199" t="inlineStr">
        <is>
          <t>STUDIO SUR</t>
        </is>
      </c>
      <c r="K223" s="314" t="n">
        <v>3950000</v>
      </c>
      <c r="L223" s="2" t="n">
        <v>45065</v>
      </c>
      <c r="M223" s="170" t="n"/>
      <c r="N223" s="170" t="n"/>
      <c r="O223" s="170" t="inlineStr">
        <is>
          <t>Liliana Gutierrez</t>
        </is>
      </c>
      <c r="P223" s="52" t="inlineStr">
        <is>
          <t>liliana.gutierrez@studiosur.net</t>
        </is>
      </c>
    </row>
    <row r="224">
      <c r="B224" s="170" t="n">
        <v>212</v>
      </c>
      <c r="C224" s="199" t="inlineStr">
        <is>
          <t>COTIZACION DE VISITAS DE REVISIÓN INSTALACIÓN SISTEMAS PROTECCIÓN CONTRA INCENDIOS - OFICINAS CCI</t>
        </is>
      </c>
      <c r="D224" s="312" t="n"/>
      <c r="E224" s="312" t="n"/>
      <c r="F224" s="312" t="n"/>
      <c r="G224" s="312" t="n"/>
      <c r="H224" s="312" t="n"/>
      <c r="I224" s="313" t="n"/>
      <c r="J224" s="199" t="inlineStr">
        <is>
          <t>SPCI</t>
        </is>
      </c>
      <c r="K224" s="314" t="inlineStr">
        <is>
          <t>Variable</t>
        </is>
      </c>
      <c r="L224" s="2" t="n">
        <v>45069</v>
      </c>
      <c r="M224" s="170" t="n"/>
      <c r="N224" s="170" t="n">
        <v>3137546144</v>
      </c>
      <c r="O224" s="170" t="inlineStr">
        <is>
          <t xml:space="preserve"> Juan Camilo Quintero Bedoya</t>
        </is>
      </c>
      <c r="P224" s="52" t="inlineStr">
        <is>
          <t>camilo.quintero@spci.com.co</t>
        </is>
      </c>
    </row>
    <row r="225">
      <c r="B225" s="170" t="n">
        <v>213</v>
      </c>
      <c r="C225" s="199" t="inlineStr">
        <is>
          <t>COTIZACION DE LOS DISEÑOS DE EXTINCIÓN DE INCENDIOS Y SEGURIDAD HUMANA PARA EL PROYECTO PARQUEADEROS MINORISTA</t>
        </is>
      </c>
      <c r="D225" s="312" t="n"/>
      <c r="E225" s="312" t="n"/>
      <c r="F225" s="312" t="n"/>
      <c r="G225" s="312" t="n"/>
      <c r="H225" s="312" t="n"/>
      <c r="I225" s="313" t="n"/>
      <c r="J225" s="199" t="inlineStr">
        <is>
          <t>SPCI</t>
        </is>
      </c>
      <c r="K225" s="314" t="n">
        <v>16960000</v>
      </c>
      <c r="L225" s="2" t="n">
        <v>45069</v>
      </c>
      <c r="M225" s="170" t="n"/>
      <c r="N225" s="170" t="inlineStr">
        <is>
          <t>310 416 57 83</t>
        </is>
      </c>
      <c r="O225" s="170" t="inlineStr">
        <is>
          <t>Cristiam Gustavo Mondragón Cortés</t>
        </is>
      </c>
      <c r="P225" s="52" t="inlineStr">
        <is>
          <t>cristiam.mondragon@spci.com.co</t>
        </is>
      </c>
    </row>
    <row r="226">
      <c r="B226" s="170" t="n">
        <v>214</v>
      </c>
      <c r="C226" s="199" t="inlineStr">
        <is>
          <t>COTIZACION DEL DISEÑO DE DETECCIÓN DE INCENDIOS - COLUMBUS SCHOOL</t>
        </is>
      </c>
      <c r="D226" s="312" t="n"/>
      <c r="E226" s="312" t="n"/>
      <c r="F226" s="312" t="n"/>
      <c r="G226" s="312" t="n"/>
      <c r="H226" s="312" t="n"/>
      <c r="I226" s="313" t="n"/>
      <c r="J226" s="199" t="inlineStr">
        <is>
          <t>Colegio The Columbus School</t>
        </is>
      </c>
      <c r="K226" s="314" t="inlineStr">
        <is>
          <t>Variable</t>
        </is>
      </c>
      <c r="L226" s="2" t="n">
        <v>45069</v>
      </c>
      <c r="M226" s="170" t="n"/>
      <c r="N226" s="170" t="inlineStr">
        <is>
          <t>312 2886611</t>
        </is>
      </c>
      <c r="O226" s="170" t="inlineStr">
        <is>
          <t xml:space="preserve"> Paula Andrea Duque</t>
        </is>
      </c>
      <c r="P226" s="52" t="inlineStr">
        <is>
          <t>pduque@columbus.edu.co</t>
        </is>
      </c>
    </row>
    <row r="227" ht="15" customHeight="1">
      <c r="B227" s="170" t="n">
        <v>215</v>
      </c>
      <c r="C227" s="199" t="inlineStr">
        <is>
          <t>COTIZACION DEL DISEÑO DE DETECCIÓN DE INCENDIOS PARA EL PROYECTO PLANTA PLASTICOS</t>
        </is>
      </c>
      <c r="D227" s="312" t="n"/>
      <c r="E227" s="312" t="n"/>
      <c r="F227" s="312" t="n"/>
      <c r="G227" s="312" t="n"/>
      <c r="H227" s="312" t="n"/>
      <c r="I227" s="313" t="n"/>
      <c r="J227" s="199" t="inlineStr">
        <is>
          <t>PLASTICOMINIPET</t>
        </is>
      </c>
      <c r="K227" s="314" t="n">
        <v>5650000</v>
      </c>
      <c r="L227" s="2" t="n">
        <v>45072</v>
      </c>
      <c r="M227" s="170" t="n"/>
      <c r="N227" s="170" t="inlineStr">
        <is>
          <t>4485047 ext 114</t>
        </is>
      </c>
      <c r="O227" s="170" t="inlineStr">
        <is>
          <t>Angie Vanessa Foronda</t>
        </is>
      </c>
      <c r="P227" s="52" t="inlineStr">
        <is>
          <t>angie.foronda@plasticosminipet.com</t>
        </is>
      </c>
    </row>
    <row r="228">
      <c r="B228" s="170" t="n">
        <v>216</v>
      </c>
      <c r="C228" s="199" t="inlineStr">
        <is>
          <t>COTIZACION DEL DISEÑO DE EXTINCIÓN DE INCENDIOS - C26</t>
        </is>
      </c>
      <c r="D228" s="312" t="n"/>
      <c r="E228" s="312" t="n"/>
      <c r="F228" s="312" t="n"/>
      <c r="G228" s="312" t="n"/>
      <c r="H228" s="312" t="n"/>
      <c r="I228" s="313" t="n"/>
      <c r="J228" s="235" t="inlineStr">
        <is>
          <t>JOMARK</t>
        </is>
      </c>
      <c r="K228" s="314" t="n">
        <v>14950000</v>
      </c>
      <c r="L228" s="2" t="n">
        <v>45070</v>
      </c>
      <c r="M228" s="2" t="n"/>
      <c r="N228" s="170" t="inlineStr">
        <is>
          <t>324 2594697</t>
        </is>
      </c>
      <c r="O228" s="170" t="inlineStr">
        <is>
          <t>Laura Duque betancur</t>
        </is>
      </c>
      <c r="P228" s="52" t="inlineStr">
        <is>
          <t>proyectos2@jomarkseguridad.com</t>
        </is>
      </c>
    </row>
    <row r="229">
      <c r="B229" s="170" t="n">
        <v>217</v>
      </c>
      <c r="C229" s="233" t="inlineStr">
        <is>
          <t>COTIZACION DE LOS DISEÑOS DE PROTECCIÓN CONTRA INCENDIOS Y SEGURIDAD HUMANA PARA EL PROYECTO PISO 10 EDIFICIO MERIDIAN EL POBLADO</t>
        </is>
      </c>
      <c r="D229" s="312" t="n"/>
      <c r="E229" s="312" t="n"/>
      <c r="F229" s="312" t="n"/>
      <c r="G229" s="312" t="n"/>
      <c r="H229" s="312" t="n"/>
      <c r="I229" s="313" t="n"/>
      <c r="J229" s="199" t="inlineStr">
        <is>
          <t>CONVEL</t>
        </is>
      </c>
      <c r="K229" s="314" t="n">
        <v>11915000</v>
      </c>
      <c r="L229" s="2" t="n">
        <v>45070</v>
      </c>
      <c r="M229" s="170" t="n"/>
      <c r="N229" s="170" t="n"/>
      <c r="O229" s="170" t="inlineStr">
        <is>
          <t>Juan Naranjo</t>
        </is>
      </c>
      <c r="P229" s="52" t="n"/>
    </row>
    <row r="230">
      <c r="B230" s="170" t="n">
        <v>218</v>
      </c>
      <c r="C230" s="199" t="inlineStr">
        <is>
          <t>COTIZACION DE LOS DISEÑOS DE PROTECCIÓN CONTRA INCENDIOS Y SEGURIDAD HUMANA PARA EL PROYECTO HOTEL MEDELLIN</t>
        </is>
      </c>
      <c r="D230" s="312" t="n"/>
      <c r="E230" s="312" t="n"/>
      <c r="F230" s="312" t="n"/>
      <c r="G230" s="312" t="n"/>
      <c r="H230" s="312" t="n"/>
      <c r="I230" s="313" t="n"/>
      <c r="J230" s="199" t="inlineStr">
        <is>
          <t>Cristian Gañan</t>
        </is>
      </c>
      <c r="K230" s="314" t="n">
        <v>5650000</v>
      </c>
      <c r="L230" s="2" t="n">
        <v>45072</v>
      </c>
      <c r="M230" s="170" t="n"/>
      <c r="N230" s="170" t="inlineStr">
        <is>
          <t>310 5104288</t>
        </is>
      </c>
      <c r="O230" s="170" t="inlineStr">
        <is>
          <t>Cristian Gañan</t>
        </is>
      </c>
      <c r="P230" s="90" t="n"/>
    </row>
    <row r="231">
      <c r="B231" s="170" t="n">
        <v>219</v>
      </c>
      <c r="C231" s="199" t="inlineStr">
        <is>
          <t>COTIZACION DE LOS DISEÑOS DE PROTECCIÓN CONTRA INCENDIOS Y SEGURIDAD HUMANA PARA EL PROYECTO USHUAYA</t>
        </is>
      </c>
      <c r="D231" s="312" t="n"/>
      <c r="E231" s="312" t="n"/>
      <c r="F231" s="312" t="n"/>
      <c r="G231" s="312" t="n"/>
      <c r="H231" s="312" t="n"/>
      <c r="I231" s="313" t="n"/>
      <c r="J231" s="199" t="inlineStr">
        <is>
          <t>EDYFICA</t>
        </is>
      </c>
      <c r="K231" s="314" t="n">
        <v>27960000</v>
      </c>
      <c r="L231" s="2" t="n">
        <v>45072</v>
      </c>
      <c r="M231" s="170" t="n"/>
      <c r="N231" s="170" t="n">
        <v>3164946679</v>
      </c>
      <c r="O231" s="170" t="inlineStr">
        <is>
          <t>Daniel Gómez Velásquez</t>
        </is>
      </c>
      <c r="P231" s="52" t="inlineStr">
        <is>
          <t>daniel.gomez@edyfica.co</t>
        </is>
      </c>
    </row>
    <row r="232">
      <c r="B232" s="170" t="n">
        <v>220</v>
      </c>
      <c r="C232" s="199" t="inlineStr">
        <is>
          <t>COTIZACION DE LOS DISEÑOS DE PROTECCIÓN CONTRA INCENDIOS EN REVIT PARA EL PROYECTO EDIFICIO DE LABORATORIOS DE LA ESCUELA DE INGENIERIA CIVIL Y GEOMATICA</t>
        </is>
      </c>
      <c r="D232" s="312" t="n"/>
      <c r="E232" s="312" t="n"/>
      <c r="F232" s="312" t="n"/>
      <c r="G232" s="312" t="n"/>
      <c r="H232" s="312" t="n"/>
      <c r="I232" s="313" t="n"/>
      <c r="J232" s="199" t="inlineStr">
        <is>
          <t>INGENIO BIM</t>
        </is>
      </c>
      <c r="K232" s="328" t="n">
        <v>23700000</v>
      </c>
      <c r="L232" s="2" t="n">
        <v>45072</v>
      </c>
      <c r="M232" s="170" t="n"/>
      <c r="N232" s="170" t="n">
        <v>3012311524</v>
      </c>
      <c r="O232" s="170" t="inlineStr">
        <is>
          <t>Luisa Fernanda Londoño Ciro</t>
        </is>
      </c>
      <c r="P232" s="52" t="inlineStr">
        <is>
          <t>luisa.londono@ingeniobim.co</t>
        </is>
      </c>
    </row>
    <row r="233">
      <c r="B233" s="170" t="n">
        <v>221</v>
      </c>
      <c r="C233" s="199" t="inlineStr">
        <is>
          <t>COTIZACION DE LOS DISEÑOS DE PROTECCIÓN CONTRA INCENDIOS Y SEGURIDAD HUMANA PARA EL PROYECTO ART CITY</t>
        </is>
      </c>
      <c r="D233" s="312" t="n"/>
      <c r="E233" s="312" t="n"/>
      <c r="F233" s="312" t="n"/>
      <c r="G233" s="312" t="n"/>
      <c r="H233" s="312" t="n"/>
      <c r="I233" s="313" t="n"/>
      <c r="J233" s="199" t="inlineStr">
        <is>
          <t>AYT</t>
        </is>
      </c>
      <c r="K233" s="314" t="n">
        <v>2950000</v>
      </c>
      <c r="L233" s="2" t="n">
        <v>45072</v>
      </c>
      <c r="M233" s="170" t="n"/>
      <c r="N233" s="170" t="n">
        <v>3162439535</v>
      </c>
      <c r="O233" s="170" t="inlineStr">
        <is>
          <t>Sebastian Gomez Ochoa</t>
        </is>
      </c>
      <c r="P233" s="52" t="inlineStr">
        <is>
          <t>sebastianochoa@arquitecturayconcreto.com</t>
        </is>
      </c>
    </row>
    <row r="234">
      <c r="B234" s="170" t="n">
        <v>222</v>
      </c>
      <c r="C234" s="233" t="inlineStr">
        <is>
          <t>COTIZACION DE LOS DISEÑOS DE PROTECCIÓN CONTRA INCENDIOS Y SEGURIDAD HUMANA PARA EL PROYECTO GARDENNIAL</t>
        </is>
      </c>
      <c r="D234" s="312" t="n"/>
      <c r="E234" s="312" t="n"/>
      <c r="F234" s="312" t="n"/>
      <c r="G234" s="312" t="n"/>
      <c r="H234" s="312" t="n"/>
      <c r="I234" s="313" t="n"/>
      <c r="J234" s="199" t="inlineStr">
        <is>
          <t>FCR</t>
        </is>
      </c>
      <c r="K234" s="314" t="inlineStr">
        <is>
          <t>Variable</t>
        </is>
      </c>
      <c r="L234" s="2" t="n">
        <v>45075</v>
      </c>
      <c r="M234" s="170" t="n"/>
      <c r="N234" s="170" t="n">
        <v>3014317086</v>
      </c>
      <c r="O234" s="170" t="inlineStr">
        <is>
          <t>Tamara Puerta</t>
        </is>
      </c>
      <c r="P234" s="52" t="inlineStr">
        <is>
          <t>fcrtamarapuerta@gmail.com</t>
        </is>
      </c>
    </row>
    <row r="235">
      <c r="B235" s="170" t="n">
        <v>223</v>
      </c>
      <c r="C235" s="233" t="inlineStr">
        <is>
          <t>COTIZACION DEL DISEÑO DE EXTINCIÓN DE INCENDIOS PARA EL PROYECTO USHUAYA</t>
        </is>
      </c>
      <c r="D235" s="312" t="n"/>
      <c r="E235" s="312" t="n"/>
      <c r="F235" s="312" t="n"/>
      <c r="G235" s="312" t="n"/>
      <c r="H235" s="312" t="n"/>
      <c r="I235" s="313" t="n"/>
      <c r="J235" s="199" t="inlineStr">
        <is>
          <t>Comex Internacional</t>
        </is>
      </c>
      <c r="K235" s="314" t="n"/>
      <c r="L235" s="2" t="n">
        <v>45076</v>
      </c>
      <c r="M235" s="2" t="n"/>
      <c r="N235" s="57" t="inlineStr">
        <is>
          <t>316 496 20 26</t>
        </is>
      </c>
      <c r="O235" s="170" t="inlineStr">
        <is>
          <t>Juan David Ossa Salazar</t>
        </is>
      </c>
      <c r="P235" s="52" t="inlineStr">
        <is>
          <t>comercial@comexinternacional.com.co</t>
        </is>
      </c>
    </row>
    <row r="236" ht="15" customHeight="1">
      <c r="B236" s="170" t="n">
        <v>224</v>
      </c>
      <c r="C236" s="246" t="inlineStr">
        <is>
          <t xml:space="preserve">COTIZACION DE LOS DISEÑOS DE PROTECCIÓN CONTRA INCENDIOS Y SEGURIDAD HUMANA PARA EL PROYECTO EDIFICIO RIONEGRO
</t>
        </is>
      </c>
      <c r="D236" s="312" t="n"/>
      <c r="E236" s="312" t="n"/>
      <c r="F236" s="312" t="n"/>
      <c r="G236" s="312" t="n"/>
      <c r="H236" s="312" t="n"/>
      <c r="I236" s="313" t="n"/>
      <c r="J236" s="199" t="inlineStr">
        <is>
          <t>SOCOMES</t>
        </is>
      </c>
      <c r="K236" s="314" t="n">
        <v>15680000</v>
      </c>
      <c r="L236" s="2" t="n">
        <v>45078</v>
      </c>
      <c r="M236" s="170" t="n"/>
      <c r="N236" s="170" t="n">
        <v>3137851941</v>
      </c>
      <c r="O236" s="172" t="inlineStr">
        <is>
          <t>David Lopera medina</t>
        </is>
      </c>
      <c r="P236" s="52" t="inlineStr">
        <is>
          <t>david.lopera@socomes.com</t>
        </is>
      </c>
    </row>
    <row r="237" ht="15" customHeight="1">
      <c r="B237" s="170" t="n">
        <v>225</v>
      </c>
      <c r="C237" s="199" t="inlineStr">
        <is>
          <t>COTIZACION DE LOS DISEÑOS DE PROTECCIÓN CONTRA INCENDIOS Y SEGURIDAD HUMANA PARA EL PROYECTO CLINICA VETERINARIA</t>
        </is>
      </c>
      <c r="D237" s="312" t="n"/>
      <c r="E237" s="312" t="n"/>
      <c r="F237" s="312" t="n"/>
      <c r="G237" s="312" t="n"/>
      <c r="H237" s="312" t="n"/>
      <c r="I237" s="313" t="n"/>
      <c r="J237" s="199" t="inlineStr">
        <is>
          <t>CONDISEÑO</t>
        </is>
      </c>
      <c r="K237" s="314" t="n">
        <v>4890000</v>
      </c>
      <c r="L237" s="2" t="n">
        <v>45077</v>
      </c>
      <c r="M237" s="170" t="n"/>
      <c r="N237" s="170" t="n">
        <v>3175594091</v>
      </c>
      <c r="O237" s="170" t="inlineStr">
        <is>
          <t>Nakary García Romero</t>
        </is>
      </c>
      <c r="P237" s="52" t="inlineStr">
        <is>
          <t>n.garcia@condiseno.co</t>
        </is>
      </c>
    </row>
    <row r="238">
      <c r="B238" s="170" t="n">
        <v>226</v>
      </c>
      <c r="C238" s="199" t="inlineStr">
        <is>
          <t>COTIZACION DE LOS DISEÑOS DE PROTECCIÓN CONTRA INCENDIOS Y SEGURIDAD HUMANA PARA EL PROYECTO VIBRA PORTERIA Y ZONAS COMUNES</t>
        </is>
      </c>
      <c r="D238" s="312" t="n"/>
      <c r="E238" s="312" t="n"/>
      <c r="F238" s="312" t="n"/>
      <c r="G238" s="312" t="n"/>
      <c r="H238" s="312" t="n"/>
      <c r="I238" s="313" t="n"/>
      <c r="J238" s="199" t="inlineStr">
        <is>
          <t>ESPIRAL</t>
        </is>
      </c>
      <c r="K238" s="314" t="n">
        <v>3890000</v>
      </c>
      <c r="L238" s="2" t="n">
        <v>45078</v>
      </c>
      <c r="M238" s="170" t="n"/>
      <c r="N238" s="170" t="n"/>
      <c r="O238" s="172" t="inlineStr">
        <is>
          <t>Jorge Escobar</t>
        </is>
      </c>
      <c r="P238" s="52" t="n"/>
    </row>
    <row r="239">
      <c r="B239" s="170" t="n">
        <v>227</v>
      </c>
      <c r="C239" s="199" t="inlineStr">
        <is>
          <t>COTIZACION DE LOS DISEÑOS DE PROTECCIÓN CONTRA INCENDIOS Y SEGURIDAD HUMANA PARA EL PROYECTO CENTRIKA-LIKE</t>
        </is>
      </c>
      <c r="D239" s="312" t="n"/>
      <c r="E239" s="312" t="n"/>
      <c r="F239" s="312" t="n"/>
      <c r="G239" s="312" t="n"/>
      <c r="H239" s="312" t="n"/>
      <c r="I239" s="313" t="n"/>
      <c r="J239" s="199" t="inlineStr">
        <is>
          <t>FCR</t>
        </is>
      </c>
      <c r="K239" s="314" t="n">
        <v>29730000</v>
      </c>
      <c r="L239" s="2" t="n">
        <v>45078</v>
      </c>
      <c r="M239" s="170" t="n"/>
      <c r="N239" s="81" t="n"/>
      <c r="O239" s="170" t="inlineStr">
        <is>
          <t>Daniela Vélez Cortés</t>
        </is>
      </c>
      <c r="P239" s="52" t="inlineStr">
        <is>
          <t>danielavelez.fcr@gmail.com</t>
        </is>
      </c>
    </row>
    <row r="240">
      <c r="B240" s="170" t="n">
        <v>228</v>
      </c>
      <c r="C240" s="246" t="inlineStr">
        <is>
          <t xml:space="preserve">COTIZACION DE LOS DISEÑOS DE PROTECCIÓN CONTRA INCENDIOS Y SEGURIDAD HUMANA PARA EL PROYECTO SAN ANGELO
</t>
        </is>
      </c>
      <c r="D240" s="312" t="n"/>
      <c r="E240" s="312" t="n"/>
      <c r="F240" s="312" t="n"/>
      <c r="G240" s="312" t="n"/>
      <c r="H240" s="312" t="n"/>
      <c r="I240" s="313" t="n"/>
      <c r="J240" s="199" t="inlineStr">
        <is>
          <t>GRUPO SAN REMO</t>
        </is>
      </c>
      <c r="K240" s="314" t="n">
        <v>19980000</v>
      </c>
      <c r="L240" s="2" t="n">
        <v>45078</v>
      </c>
      <c r="M240" s="170" t="n"/>
      <c r="N240" s="170" t="inlineStr">
        <is>
          <t>317 436 15 85</t>
        </is>
      </c>
      <c r="O240" s="172" t="inlineStr">
        <is>
          <t>Doris Duarte</t>
        </is>
      </c>
      <c r="P240" s="52" t="inlineStr">
        <is>
          <t>dirobra.gruposanremo@gmail.com</t>
        </is>
      </c>
    </row>
    <row r="241">
      <c r="B241" s="170" t="n">
        <v>229</v>
      </c>
      <c r="C241" s="199" t="inlineStr">
        <is>
          <t>COTIZACION DE LOS DISEÑOS DE PROTECCIÓN CONTRA INCENDIOS Y SEGURIDAD HUMANA PARA EL PROYECTO PINOCHO</t>
        </is>
      </c>
      <c r="D241" s="312" t="n"/>
      <c r="E241" s="312" t="n"/>
      <c r="F241" s="312" t="n"/>
      <c r="G241" s="312" t="n"/>
      <c r="H241" s="312" t="n"/>
      <c r="I241" s="313" t="n"/>
      <c r="J241" s="199" t="inlineStr">
        <is>
          <t xml:space="preserve">WG ingenieria civil SAS </t>
        </is>
      </c>
      <c r="K241" s="314" t="n">
        <v>11920000</v>
      </c>
      <c r="L241" s="2" t="n">
        <v>45078</v>
      </c>
      <c r="M241" s="170" t="n"/>
      <c r="N241" s="170" t="n">
        <v>6044731717</v>
      </c>
      <c r="O241" s="172" t="inlineStr">
        <is>
          <t>Katherine Jaramillo</t>
        </is>
      </c>
      <c r="P241" s="52" t="inlineStr">
        <is>
          <t xml:space="preserve">Kathe.jara@hotmail.com </t>
        </is>
      </c>
    </row>
    <row r="242">
      <c r="B242" s="170" t="n">
        <v>230</v>
      </c>
      <c r="C242" s="199" t="inlineStr">
        <is>
          <t>COTIZACION DE LOS DISEÑOS DE PROTECCIÓN CONTRA INCENDIOS Y SEGURIDAD HUMANA PARA EL PROYECTO BODEGA</t>
        </is>
      </c>
      <c r="D242" s="312" t="n"/>
      <c r="E242" s="312" t="n"/>
      <c r="F242" s="312" t="n"/>
      <c r="G242" s="312" t="n"/>
      <c r="H242" s="312" t="n"/>
      <c r="I242" s="313" t="n"/>
      <c r="J242" s="199" t="inlineStr">
        <is>
          <t>SECURETEC</t>
        </is>
      </c>
      <c r="K242" s="314" t="n">
        <v>24850000</v>
      </c>
      <c r="L242" s="2" t="n">
        <v>45077</v>
      </c>
      <c r="M242" s="170" t="n"/>
      <c r="N242" s="170" t="n">
        <v>3206678830</v>
      </c>
      <c r="O242" s="170" t="inlineStr">
        <is>
          <t>Jhonny Castro</t>
        </is>
      </c>
      <c r="P242" s="52" t="inlineStr">
        <is>
          <t>dirproyectos@securetec.com.co</t>
        </is>
      </c>
    </row>
    <row r="243">
      <c r="B243" s="170" t="n">
        <v>231</v>
      </c>
      <c r="C243" s="233" t="inlineStr">
        <is>
          <t>COTIZACION DE LOS DISEÑOS DE PROTECCIÓN CONTRA INCENDIOS PARA EL PROYECTO CES CENTRO</t>
        </is>
      </c>
      <c r="D243" s="312" t="n"/>
      <c r="E243" s="312" t="n"/>
      <c r="F243" s="312" t="n"/>
      <c r="G243" s="312" t="n"/>
      <c r="H243" s="312" t="n"/>
      <c r="I243" s="313" t="n"/>
      <c r="J243" s="199" t="inlineStr">
        <is>
          <t>CLINICA CES</t>
        </is>
      </c>
      <c r="K243" s="314" t="n">
        <v>29950000</v>
      </c>
      <c r="L243" s="2" t="n">
        <v>45077</v>
      </c>
      <c r="M243" s="170" t="n"/>
      <c r="N243" s="170" t="inlineStr">
        <is>
          <t>5767272- Ext 7387</t>
        </is>
      </c>
      <c r="O243" s="170" t="inlineStr">
        <is>
          <t>Leidy Alzate Quintero</t>
        </is>
      </c>
      <c r="P243" s="52" t="inlineStr">
        <is>
          <t>eidyalzateq@clinicaces.edu.co</t>
        </is>
      </c>
    </row>
    <row r="244" ht="15" customHeight="1">
      <c r="B244" s="170" t="n">
        <v>232</v>
      </c>
      <c r="C244" s="233" t="inlineStr">
        <is>
          <t>COTIZACION DE LOS DISEÑOS DE PROTECCIÓN CONTRA INCENDIOS Y SEGURIDAD HUMANA PARA EL PROYECTO A22</t>
        </is>
      </c>
      <c r="D244" s="312" t="n"/>
      <c r="E244" s="312" t="n"/>
      <c r="F244" s="312" t="n"/>
      <c r="G244" s="312" t="n"/>
      <c r="H244" s="312" t="n"/>
      <c r="I244" s="313" t="n"/>
      <c r="J244" s="199" t="inlineStr">
        <is>
          <t>Santiago Cardona</t>
        </is>
      </c>
      <c r="K244" s="314" t="n">
        <v>15950000</v>
      </c>
      <c r="L244" s="2" t="n">
        <v>45078</v>
      </c>
      <c r="M244" s="2" t="n"/>
      <c r="N244" s="170" t="n"/>
      <c r="O244" s="170" t="inlineStr">
        <is>
          <t>Santiago Cardona</t>
        </is>
      </c>
      <c r="P244" s="52" t="n"/>
    </row>
    <row r="245">
      <c r="B245" s="170" t="n">
        <v>233</v>
      </c>
      <c r="C245" s="199" t="inlineStr">
        <is>
          <t>COTIZACION DEL LEVANTAMIENTO Y PLANOS DE SEÑALIZACIÓN DE EMERGENCIA HUMANA PARA EL PROYECTO PUERTA MADERA</t>
        </is>
      </c>
      <c r="D245" s="312" t="n"/>
      <c r="E245" s="312" t="n"/>
      <c r="F245" s="312" t="n"/>
      <c r="G245" s="312" t="n"/>
      <c r="H245" s="312" t="n"/>
      <c r="I245" s="313" t="n"/>
      <c r="J245" s="199" t="inlineStr">
        <is>
          <t>I+CONSTRUCTORA</t>
        </is>
      </c>
      <c r="K245" s="314" t="n">
        <v>1880000</v>
      </c>
      <c r="L245" s="2" t="n">
        <v>45085</v>
      </c>
      <c r="M245" s="170" t="n"/>
      <c r="N245" s="170" t="n"/>
      <c r="O245" s="170" t="inlineStr">
        <is>
          <t xml:space="preserve"> Lina Maria Montoya Gonzalez</t>
        </is>
      </c>
      <c r="P245" s="52" t="inlineStr">
        <is>
          <t>lmontoya@iconstructora.com.co</t>
        </is>
      </c>
    </row>
    <row r="246">
      <c r="B246" s="170" t="n">
        <v>234</v>
      </c>
      <c r="C246" s="233" t="inlineStr">
        <is>
          <t xml:space="preserve">COTIZACION DE LOS DISEÑOS DE PROTECCIÓN CONTRA INCENDIOS Y SEGURIDAD HUMANA PARA EL PROYECTO LIFF
</t>
        </is>
      </c>
      <c r="D246" s="312" t="n"/>
      <c r="E246" s="312" t="n"/>
      <c r="F246" s="312" t="n"/>
      <c r="G246" s="312" t="n"/>
      <c r="H246" s="312" t="n"/>
      <c r="I246" s="313" t="n"/>
      <c r="J246" s="199" t="inlineStr">
        <is>
          <t>CONSTRUGEN</t>
        </is>
      </c>
      <c r="K246" s="314" t="n">
        <v>14920000</v>
      </c>
      <c r="L246" s="2" t="n">
        <v>45085</v>
      </c>
      <c r="M246" s="170" t="n"/>
      <c r="N246" s="170" t="n">
        <v>3174376208</v>
      </c>
      <c r="O246" s="170" t="inlineStr">
        <is>
          <t>Willian Hernandez</t>
        </is>
      </c>
      <c r="P246" s="52" t="inlineStr">
        <is>
          <t>william.hernandez@construgen.com</t>
        </is>
      </c>
    </row>
    <row r="247">
      <c r="B247" s="170" t="n">
        <v>235</v>
      </c>
      <c r="C247" s="199" t="inlineStr">
        <is>
          <t>COTIZACION DE LOS DISEÑOS DE EXTINCIÓN DE INCENDIOS Y SEGURIDAD HUMANA PARA EL PROYECTO SAN NICOLAS ETAPA 5</t>
        </is>
      </c>
      <c r="D247" s="312" t="n"/>
      <c r="E247" s="312" t="n"/>
      <c r="F247" s="312" t="n"/>
      <c r="G247" s="312" t="n"/>
      <c r="H247" s="312" t="n"/>
      <c r="I247" s="313" t="n"/>
      <c r="J247" s="199" t="inlineStr">
        <is>
          <t>Londoño Gomez</t>
        </is>
      </c>
      <c r="K247" s="314" t="n">
        <v>24930000</v>
      </c>
      <c r="L247" s="2" t="n">
        <v>45085</v>
      </c>
      <c r="M247" s="170" t="n"/>
      <c r="N247" s="170" t="inlineStr">
        <is>
          <t>3111770 ext 455</t>
        </is>
      </c>
      <c r="O247" s="170" t="inlineStr">
        <is>
          <t>Lina M Saldarriaga</t>
        </is>
      </c>
      <c r="P247" s="52" t="inlineStr">
        <is>
          <t>lsaldarriaga@interlg.com</t>
        </is>
      </c>
    </row>
    <row r="248">
      <c r="B248" s="170" t="n">
        <v>236</v>
      </c>
      <c r="C248" s="246" t="inlineStr">
        <is>
          <t xml:space="preserve">COTIZACION DEL ANÁLISIS DE SEGURIDAD HUMANA PARA EL PROYECTO JERONIMO MARTINS
</t>
        </is>
      </c>
      <c r="D248" s="312" t="n"/>
      <c r="E248" s="312" t="n"/>
      <c r="F248" s="312" t="n"/>
      <c r="G248" s="312" t="n"/>
      <c r="H248" s="312" t="n"/>
      <c r="I248" s="313" t="n"/>
      <c r="J248" s="199" t="inlineStr">
        <is>
          <t>CONCONCRETO</t>
        </is>
      </c>
      <c r="K248" s="314" t="n">
        <v>8780000</v>
      </c>
      <c r="L248" s="2" t="n">
        <v>45085</v>
      </c>
      <c r="M248" s="170" t="n"/>
      <c r="N248" s="170" t="n">
        <v>3148646158</v>
      </c>
      <c r="O248" s="170" t="inlineStr">
        <is>
          <t>Francisco Javier Restrepo Vanegas</t>
        </is>
      </c>
      <c r="P248" s="52" t="inlineStr">
        <is>
          <t>fjrestrepo@conconcreto.com</t>
        </is>
      </c>
    </row>
    <row r="249">
      <c r="B249" s="170" t="n">
        <v>237</v>
      </c>
      <c r="C249" s="199" t="inlineStr">
        <is>
          <t>COTIZACION DE LOS DISEÑOS DE EXTINCIÓN DE INCENDIOS Y SEGURIDAD HUMANA PARA EL PROYECTO GARDEN TOWER 122</t>
        </is>
      </c>
      <c r="D249" s="312" t="n"/>
      <c r="E249" s="312" t="n"/>
      <c r="F249" s="312" t="n"/>
      <c r="G249" s="312" t="n"/>
      <c r="H249" s="312" t="n"/>
      <c r="I249" s="313" t="n"/>
      <c r="J249" s="199" t="inlineStr">
        <is>
          <t>FEL INGENIERIA</t>
        </is>
      </c>
      <c r="K249" s="314" t="n">
        <v>12920000</v>
      </c>
      <c r="L249" s="2" t="n">
        <v>45085</v>
      </c>
      <c r="M249" s="170" t="n"/>
      <c r="N249" s="170" t="n">
        <v>3157703942</v>
      </c>
      <c r="O249" s="170" t="inlineStr">
        <is>
          <t>Karol Bautista Rios</t>
        </is>
      </c>
      <c r="P249" s="52" t="inlineStr">
        <is>
          <t>ventas@felingenieria.onmicrosoft.com</t>
        </is>
      </c>
    </row>
    <row r="250">
      <c r="B250" s="170" t="n">
        <v>238</v>
      </c>
      <c r="C250" s="199" t="inlineStr">
        <is>
          <t>COTIZACION DE LOS DISEÑOS DE PROTECCIÓN CONTRA INCENDIOS - BODEGA EN MEDELLÍN</t>
        </is>
      </c>
      <c r="D250" s="312" t="n"/>
      <c r="E250" s="312" t="n"/>
      <c r="F250" s="312" t="n"/>
      <c r="G250" s="312" t="n"/>
      <c r="H250" s="312" t="n"/>
      <c r="I250" s="313" t="n"/>
      <c r="J250" s="199" t="inlineStr">
        <is>
          <t>Martín Villegas</t>
        </is>
      </c>
      <c r="K250" s="314" t="n">
        <v>12540000</v>
      </c>
      <c r="L250" s="2" t="n">
        <v>45085</v>
      </c>
      <c r="M250" s="170" t="n"/>
      <c r="N250" s="170" t="inlineStr">
        <is>
          <t>320 6436169</t>
        </is>
      </c>
      <c r="O250" s="170" t="inlineStr">
        <is>
          <t>Martín Villegas</t>
        </is>
      </c>
      <c r="P250" s="52" t="n"/>
    </row>
    <row r="251">
      <c r="B251" s="170" t="n">
        <v>239</v>
      </c>
      <c r="C251" s="246" t="inlineStr">
        <is>
          <t xml:space="preserve">COTIZACION DEL ANÁLISIS DE SEGURIDAD HUMANA PARA EL PROYECTO CONTREE TORRE 2
</t>
        </is>
      </c>
      <c r="D251" s="312" t="n"/>
      <c r="E251" s="312" t="n"/>
      <c r="F251" s="312" t="n"/>
      <c r="G251" s="312" t="n"/>
      <c r="H251" s="312" t="n"/>
      <c r="I251" s="313" t="n"/>
      <c r="J251" s="199" t="inlineStr">
        <is>
          <t>CONCONCRETO</t>
        </is>
      </c>
      <c r="K251" s="314" t="n">
        <v>3510000</v>
      </c>
      <c r="L251" s="2" t="n">
        <v>45085</v>
      </c>
      <c r="M251" s="170" t="n"/>
      <c r="N251" s="170" t="n">
        <v>3146942116</v>
      </c>
      <c r="O251" s="170" t="inlineStr">
        <is>
          <t>Héctor Gallego Cardona</t>
        </is>
      </c>
      <c r="P251" s="52" t="inlineStr">
        <is>
          <t>hgallego@conconcreto.com</t>
        </is>
      </c>
    </row>
    <row r="252">
      <c r="B252" s="170" t="n">
        <v>240</v>
      </c>
      <c r="C252" s="199" t="inlineStr">
        <is>
          <t>COTIZACION DEL ANÁLISIS DE SEGURIDAD HUMANA PARA EL PROYECTO DE VIVIENDA CABALLEROS DE LA VIRGEN</t>
        </is>
      </c>
      <c r="D252" s="312" t="n"/>
      <c r="E252" s="312" t="n"/>
      <c r="F252" s="312" t="n"/>
      <c r="G252" s="312" t="n"/>
      <c r="H252" s="312" t="n"/>
      <c r="I252" s="313" t="n"/>
      <c r="J252" s="199" t="inlineStr">
        <is>
          <t>CONCONCRETO</t>
        </is>
      </c>
      <c r="K252" s="314" t="n">
        <v>3950000</v>
      </c>
      <c r="L252" s="2" t="n">
        <v>45085</v>
      </c>
      <c r="M252" s="170" t="n"/>
      <c r="N252" s="170" t="n">
        <v>3003404902</v>
      </c>
      <c r="O252" s="170" t="inlineStr">
        <is>
          <t xml:space="preserve">Pilar Arango Restrepo </t>
        </is>
      </c>
      <c r="P252" s="52" t="inlineStr">
        <is>
          <t>parangor@conconcreto.com</t>
        </is>
      </c>
    </row>
    <row r="253">
      <c r="B253" s="170" t="n">
        <v>241</v>
      </c>
      <c r="C253" s="199" t="inlineStr">
        <is>
          <t xml:space="preserve">COTIZACION DE LOS DISEÑOS DE PROTECCIÓN CONTRA INCENDIOS PARA EL PROYECTO PLANTA EMPACADORA </t>
        </is>
      </c>
      <c r="D253" s="312" t="n"/>
      <c r="E253" s="312" t="n"/>
      <c r="F253" s="312" t="n"/>
      <c r="G253" s="312" t="n"/>
      <c r="H253" s="312" t="n"/>
      <c r="I253" s="313" t="n"/>
      <c r="J253" s="199" t="inlineStr">
        <is>
          <t>SPCI</t>
        </is>
      </c>
      <c r="K253" s="314" t="n">
        <v>39950000</v>
      </c>
      <c r="L253" s="2" t="n">
        <v>45092</v>
      </c>
      <c r="M253" s="170" t="n"/>
      <c r="N253" s="170" t="inlineStr">
        <is>
          <t>321 482 61 68</t>
        </is>
      </c>
      <c r="O253" s="170" t="inlineStr">
        <is>
          <t>Ana Maria Restrepo Mayo.</t>
        </is>
      </c>
      <c r="P253" s="52" t="inlineStr">
        <is>
          <t>ana.restrepo@spci.com.co</t>
        </is>
      </c>
    </row>
    <row r="254">
      <c r="B254" s="170" t="n">
        <v>242</v>
      </c>
      <c r="C254" s="199" t="inlineStr">
        <is>
          <t>COTIZACION DE LOS DISEÑOS DE PROTECCIÓN CONTRA INCENDIOS Y SEGURIDAD HUMANA PARA EL PROYECTO NAVIVA</t>
        </is>
      </c>
      <c r="D254" s="312" t="n"/>
      <c r="E254" s="312" t="n"/>
      <c r="F254" s="312" t="n"/>
      <c r="G254" s="312" t="n"/>
      <c r="H254" s="312" t="n"/>
      <c r="I254" s="313" t="n"/>
      <c r="J254" s="199" t="inlineStr">
        <is>
          <t>Cristian Gañan</t>
        </is>
      </c>
      <c r="K254" s="314" t="n">
        <v>11920000</v>
      </c>
      <c r="L254" s="2" t="n">
        <v>45091</v>
      </c>
      <c r="M254" s="170" t="n"/>
      <c r="N254" s="170" t="inlineStr">
        <is>
          <t>310 5104288</t>
        </is>
      </c>
      <c r="O254" s="170" t="inlineStr">
        <is>
          <t>Cristian Gañan</t>
        </is>
      </c>
      <c r="P254" s="52" t="n"/>
    </row>
    <row r="255">
      <c r="B255" s="170" t="n">
        <v>243</v>
      </c>
      <c r="C255" s="246" t="inlineStr">
        <is>
          <t xml:space="preserve">COTIZACION DEL DISEÑO DE DETECCIÓN DE INCENDIOS PARA EL PROYECTO NAVIVA
</t>
        </is>
      </c>
      <c r="D255" s="312" t="n"/>
      <c r="E255" s="312" t="n"/>
      <c r="F255" s="312" t="n"/>
      <c r="G255" s="312" t="n"/>
      <c r="H255" s="312" t="n"/>
      <c r="I255" s="313" t="n"/>
      <c r="J255" s="199" t="inlineStr">
        <is>
          <t>GINO MONTOYA</t>
        </is>
      </c>
      <c r="K255" s="314" t="n">
        <v>3140000</v>
      </c>
      <c r="L255" s="2" t="n">
        <v>45091</v>
      </c>
      <c r="M255" s="2" t="n"/>
      <c r="N255" s="170" t="n">
        <v>3044003430</v>
      </c>
      <c r="O255" s="172" t="inlineStr">
        <is>
          <t>Gino Montoya</t>
        </is>
      </c>
      <c r="P255" s="52" t="inlineStr">
        <is>
          <t>gino1037@hotmail.com</t>
        </is>
      </c>
    </row>
    <row r="256">
      <c r="B256" s="170" t="n">
        <v>244</v>
      </c>
      <c r="C256" s="199" t="inlineStr">
        <is>
          <t>COTIZACION DE LOS DISEÑOS DE PROTECCIÓN CONTRA INCENDIOS PARA EL PROYECTO BANCOLOMBIA VILLAVICENCIO</t>
        </is>
      </c>
      <c r="D256" s="312" t="n"/>
      <c r="E256" s="312" t="n"/>
      <c r="F256" s="312" t="n"/>
      <c r="G256" s="312" t="n"/>
      <c r="H256" s="312" t="n"/>
      <c r="I256" s="313" t="n"/>
      <c r="J256" s="199" t="inlineStr">
        <is>
          <t>TRAZADOS ARQUITECTURA</t>
        </is>
      </c>
      <c r="K256" s="314" t="n">
        <v>7250000</v>
      </c>
      <c r="L256" s="2" t="n">
        <v>45091</v>
      </c>
      <c r="M256" s="170" t="n"/>
      <c r="N256" s="170" t="n">
        <v>3167417025</v>
      </c>
      <c r="O256" s="170" t="inlineStr">
        <is>
          <t>Esteban Perez Betancur</t>
        </is>
      </c>
      <c r="P256" s="52" t="inlineStr">
        <is>
          <t>esteban.perez@tzd.com.co</t>
        </is>
      </c>
    </row>
    <row r="257">
      <c r="B257" s="170" t="n">
        <v>245</v>
      </c>
      <c r="C257" s="199" t="inlineStr">
        <is>
          <t>COTIZACION DE LOS DISEÑOS DE PROTECCIÓN CONTRA INCENDIOS - ASFALTADORA MEDELLÍN</t>
        </is>
      </c>
      <c r="D257" s="312" t="n"/>
      <c r="E257" s="312" t="n"/>
      <c r="F257" s="312" t="n"/>
      <c r="G257" s="312" t="n"/>
      <c r="H257" s="312" t="n"/>
      <c r="I257" s="313" t="n"/>
      <c r="J257" s="199" t="inlineStr">
        <is>
          <t>INGESED</t>
        </is>
      </c>
      <c r="K257" s="314" t="n">
        <v>13800000</v>
      </c>
      <c r="L257" s="2" t="n">
        <v>45091</v>
      </c>
      <c r="M257" s="2" t="n"/>
      <c r="N257" s="170" t="n">
        <v>3014201614</v>
      </c>
      <c r="O257" s="170" t="inlineStr">
        <is>
          <t>Jhon Anderson Rodriguez Nieto</t>
        </is>
      </c>
      <c r="P257" s="52" t="inlineStr">
        <is>
          <t>jrodriguez@ingesed.com</t>
        </is>
      </c>
    </row>
    <row r="258">
      <c r="B258" s="170" t="n">
        <v>246</v>
      </c>
      <c r="C258" s="199" t="inlineStr">
        <is>
          <t>COTIZACION DE LOS DISEÑOS DE DETECCIÓN DE INCENDIOS Y SEGURIDAD HUMANA PARA EL PROYECTO EDIFICIO BOLIVARIANA</t>
        </is>
      </c>
      <c r="D258" s="312" t="n"/>
      <c r="E258" s="312" t="n"/>
      <c r="F258" s="312" t="n"/>
      <c r="G258" s="312" t="n"/>
      <c r="H258" s="312" t="n"/>
      <c r="I258" s="313" t="n"/>
      <c r="J258" s="199" t="inlineStr">
        <is>
          <t>GINO MONTOYA</t>
        </is>
      </c>
      <c r="K258" s="314" t="n">
        <v>5560000</v>
      </c>
      <c r="L258" s="2" t="n">
        <v>45091</v>
      </c>
      <c r="M258" s="170" t="n"/>
      <c r="N258" s="170" t="n">
        <v>3044003430</v>
      </c>
      <c r="O258" s="172" t="inlineStr">
        <is>
          <t>Gino Montoya</t>
        </is>
      </c>
      <c r="P258" s="52" t="inlineStr">
        <is>
          <t>gino1037@hotmail.com</t>
        </is>
      </c>
    </row>
    <row r="259">
      <c r="B259" s="170" t="n">
        <v>247</v>
      </c>
      <c r="C259" s="199" t="inlineStr">
        <is>
          <t>COTIZACION DEL LEVANTAMIENTO Y PLANOS DE SEÑALIZACIÓN DE EMERGENCIA HUMANA PARA EL PROYECTO ARABELLA</t>
        </is>
      </c>
      <c r="D259" s="312" t="n"/>
      <c r="E259" s="312" t="n"/>
      <c r="F259" s="312" t="n"/>
      <c r="G259" s="312" t="n"/>
      <c r="H259" s="312" t="n"/>
      <c r="I259" s="313" t="n"/>
      <c r="J259" s="199" t="inlineStr">
        <is>
          <t>I+CONSTRUCTORA</t>
        </is>
      </c>
      <c r="K259" s="314" t="n">
        <v>1880000</v>
      </c>
      <c r="L259" s="2" t="n">
        <v>45092</v>
      </c>
      <c r="M259" s="170" t="n"/>
      <c r="N259" s="170" t="n">
        <v>3004405962</v>
      </c>
      <c r="O259" s="170" t="inlineStr">
        <is>
          <t xml:space="preserve"> Lina Maria Montoya Gonzalez</t>
        </is>
      </c>
      <c r="P259" s="52" t="inlineStr">
        <is>
          <t>lmontoya@iconstructora.com.co</t>
        </is>
      </c>
    </row>
    <row r="260">
      <c r="B260" s="170" t="n">
        <v>248</v>
      </c>
      <c r="C260" s="199" t="inlineStr">
        <is>
          <t>COTIZACION DE LOS DISEÑOS DE PROTECCIÓN CONTRA INCENDIOS PARA EL PROYECTO PLANTA EMPACADORA DE AGUACATE</t>
        </is>
      </c>
      <c r="D260" s="312" t="n"/>
      <c r="E260" s="312" t="n"/>
      <c r="F260" s="312" t="n"/>
      <c r="G260" s="312" t="n"/>
      <c r="H260" s="312" t="n"/>
      <c r="I260" s="313" t="n"/>
      <c r="J260" s="199" t="inlineStr">
        <is>
          <t>GREENLAND</t>
        </is>
      </c>
      <c r="K260" s="314" t="n">
        <v>39950000</v>
      </c>
      <c r="L260" s="2" t="n">
        <v>45092</v>
      </c>
      <c r="M260" s="170" t="n"/>
      <c r="N260" s="170" t="inlineStr">
        <is>
          <t>310 5768238</t>
        </is>
      </c>
      <c r="O260" s="170" t="inlineStr">
        <is>
          <t>Oscar Rivas</t>
        </is>
      </c>
      <c r="P260" s="52" t="inlineStr">
        <is>
          <t>oscar.rivas@greenland.co</t>
        </is>
      </c>
    </row>
    <row r="261">
      <c r="B261" s="170" t="n">
        <v>249</v>
      </c>
      <c r="C261" s="246" t="inlineStr">
        <is>
          <t>COTIZACION DEL DISEÑO DE EXTINCIÓN DE INCENDIOS PARA EL PROYECTO CONTECAR</t>
        </is>
      </c>
      <c r="D261" s="312" t="n"/>
      <c r="E261" s="312" t="n"/>
      <c r="F261" s="312" t="n"/>
      <c r="G261" s="312" t="n"/>
      <c r="H261" s="312" t="n"/>
      <c r="I261" s="313" t="n"/>
      <c r="J261" s="199" t="inlineStr">
        <is>
          <t>SPCI</t>
        </is>
      </c>
      <c r="K261" s="314" t="n">
        <v>6950000</v>
      </c>
      <c r="L261" s="2" t="n">
        <v>45092</v>
      </c>
      <c r="M261" s="170" t="n"/>
      <c r="N261" s="170" t="inlineStr">
        <is>
          <t xml:space="preserve"> 310 420 3649</t>
        </is>
      </c>
      <c r="O261" s="170" t="inlineStr">
        <is>
          <t>Mauricio Guzmán Urrea</t>
        </is>
      </c>
      <c r="P261" s="52" t="inlineStr">
        <is>
          <t>mauricio.guzman@spci.com.co</t>
        </is>
      </c>
    </row>
    <row r="262">
      <c r="B262" s="170" t="n">
        <v>250</v>
      </c>
      <c r="C262" s="199" t="inlineStr">
        <is>
          <t>COTIZACION DE LOS DISEÑOS DE PROTECCIÓN CONTRA INCENDIOS PARA EL PROYECTO SENA SEDE MINORISTA</t>
        </is>
      </c>
      <c r="D262" s="312" t="n"/>
      <c r="E262" s="312" t="n"/>
      <c r="F262" s="312" t="n"/>
      <c r="G262" s="312" t="n"/>
      <c r="H262" s="312" t="n"/>
      <c r="I262" s="313" t="n"/>
      <c r="J262" s="199" t="inlineStr">
        <is>
          <t>Olga Lucía Gallego Loaiza</t>
        </is>
      </c>
      <c r="K262" s="314" t="n">
        <v>46350000</v>
      </c>
      <c r="L262" s="2" t="n">
        <v>45092</v>
      </c>
      <c r="M262" s="170" t="n"/>
      <c r="N262" s="170" t="inlineStr">
        <is>
          <t xml:space="preserve"> 313 7187302</t>
        </is>
      </c>
      <c r="O262" s="172" t="inlineStr">
        <is>
          <t>Olga Lucía Gallego Loaiza</t>
        </is>
      </c>
      <c r="P262" s="52" t="inlineStr">
        <is>
          <t>olgallego@sena.edu.co</t>
        </is>
      </c>
    </row>
    <row r="263">
      <c r="B263" s="170" t="n">
        <v>251</v>
      </c>
      <c r="C263" s="199" t="inlineStr">
        <is>
          <t>COTIZACION DE LOS DISEÑOS DE PROTECCIÓN CONTRA INCENDIOS Y SEGURIDAD HUMANA PARA EL PROYECTO EDIFICIO BOLIVARIANA</t>
        </is>
      </c>
      <c r="D263" s="312" t="n"/>
      <c r="E263" s="312" t="n"/>
      <c r="F263" s="312" t="n"/>
      <c r="G263" s="312" t="n"/>
      <c r="H263" s="312" t="n"/>
      <c r="I263" s="313" t="n"/>
      <c r="J263" s="170" t="inlineStr">
        <is>
          <t>Cristian Gañan</t>
        </is>
      </c>
      <c r="K263" s="314" t="n"/>
      <c r="L263" s="2" t="n">
        <v>45093</v>
      </c>
      <c r="M263" s="170" t="n"/>
      <c r="N263" s="170" t="inlineStr">
        <is>
          <t>310 5104288</t>
        </is>
      </c>
      <c r="O263" s="170" t="inlineStr">
        <is>
          <t>Cristian Gañan</t>
        </is>
      </c>
      <c r="P263" s="52" t="n"/>
    </row>
    <row r="264">
      <c r="B264" s="170" t="n">
        <v>252</v>
      </c>
      <c r="C264" s="233" t="inlineStr">
        <is>
          <t>COTIZACION DE LOS DISEÑOS DE PROTECCIÓN CONTRA INCENDIOS Y SEGURIDAD HUMANA PARA EL PROYECTO CALMO</t>
        </is>
      </c>
      <c r="D264" s="312" t="n"/>
      <c r="E264" s="312" t="n"/>
      <c r="F264" s="312" t="n"/>
      <c r="G264" s="312" t="n"/>
      <c r="H264" s="312" t="n"/>
      <c r="I264" s="313" t="n"/>
      <c r="J264" s="199" t="n"/>
      <c r="K264" s="314" t="n">
        <v>14950000</v>
      </c>
      <c r="L264" s="2" t="n">
        <v>45097</v>
      </c>
      <c r="M264" s="170" t="n"/>
      <c r="N264" s="170" t="n"/>
      <c r="O264" s="170" t="n"/>
      <c r="P264" s="52" t="inlineStr">
        <is>
          <t>igiraldo@proyectosurbanos.com.co</t>
        </is>
      </c>
    </row>
    <row r="265">
      <c r="B265" s="170" t="n">
        <v>253</v>
      </c>
      <c r="C265" s="199" t="inlineStr">
        <is>
          <t>COTIZACION DE LOS DISEÑOS DE PROTECCIÓN CONTRA INCENDIOS Y SEGURIDAD HUMANA PARA EL PROYECTO BODEGAS SABANETA</t>
        </is>
      </c>
      <c r="D265" s="312" t="n"/>
      <c r="E265" s="312" t="n"/>
      <c r="F265" s="312" t="n"/>
      <c r="G265" s="312" t="n"/>
      <c r="H265" s="312" t="n"/>
      <c r="I265" s="313" t="n"/>
      <c r="J265" s="199" t="inlineStr">
        <is>
          <t>JOMARK SEGURIDAD</t>
        </is>
      </c>
      <c r="K265" s="314" t="n">
        <v>14950000</v>
      </c>
      <c r="L265" s="2" t="n">
        <v>45098</v>
      </c>
      <c r="M265" s="170" t="n"/>
      <c r="N265" s="170" t="n"/>
      <c r="O265" s="170" t="inlineStr">
        <is>
          <t>Laura Duque Betancur</t>
        </is>
      </c>
      <c r="P265" s="52" t="inlineStr">
        <is>
          <t>proyectos2@jomarkseguridad.com</t>
        </is>
      </c>
    </row>
    <row r="266" ht="15" customHeight="1">
      <c r="B266" s="170" t="n">
        <v>254</v>
      </c>
      <c r="C266" s="199" t="inlineStr">
        <is>
          <t>COTIZACION DEL ANÁLISIS DE SEGURIDAD HUMANA PARA EL PROYECTO ASTORGA PATIO BONITO</t>
        </is>
      </c>
      <c r="D266" s="312" t="n"/>
      <c r="E266" s="312" t="n"/>
      <c r="F266" s="312" t="n"/>
      <c r="G266" s="312" t="n"/>
      <c r="H266" s="312" t="n"/>
      <c r="I266" s="313" t="n"/>
      <c r="J266" s="199" t="inlineStr">
        <is>
          <t>RPMEDICAS</t>
        </is>
      </c>
      <c r="K266" s="314" t="n">
        <v>7550000</v>
      </c>
      <c r="L266" s="2" t="n">
        <v>45098</v>
      </c>
      <c r="M266" s="170" t="n"/>
      <c r="N266" s="170" t="n">
        <v>3146158422</v>
      </c>
      <c r="O266" s="170" t="inlineStr">
        <is>
          <t xml:space="preserve">Carlos A Gómez </t>
        </is>
      </c>
      <c r="P266" s="52" t="inlineStr">
        <is>
          <t>gerenciaproyectos@rpmedicas.co</t>
        </is>
      </c>
    </row>
    <row r="267">
      <c r="B267" s="170" t="n">
        <v>255</v>
      </c>
      <c r="C267" s="199" t="inlineStr">
        <is>
          <t>COTIZACION DE LOS DISEÑOS DE PROTECCIÓN CONTRA INCENDIOS Y SEGURIDAD HUMANA PARA EL PROYECTO COSTADO SUR VEGAS SUR</t>
        </is>
      </c>
      <c r="D267" s="312" t="n"/>
      <c r="E267" s="312" t="n"/>
      <c r="F267" s="312" t="n"/>
      <c r="G267" s="312" t="n"/>
      <c r="H267" s="312" t="n"/>
      <c r="I267" s="313" t="n"/>
      <c r="J267" s="199" t="inlineStr">
        <is>
          <t>CONINSA</t>
        </is>
      </c>
      <c r="K267" s="314" t="n">
        <v>39710000</v>
      </c>
      <c r="L267" s="2" t="n">
        <v>45099</v>
      </c>
      <c r="M267" s="170" t="n"/>
      <c r="N267" s="170" t="inlineStr">
        <is>
          <t>300 754 96 49</t>
        </is>
      </c>
      <c r="O267" s="170" t="inlineStr">
        <is>
          <t>Zully Milena López Molina</t>
        </is>
      </c>
      <c r="P267" s="52" t="inlineStr">
        <is>
          <t>zmlopez@coninsa.co</t>
        </is>
      </c>
    </row>
    <row r="268">
      <c r="B268" s="170" t="n">
        <v>256</v>
      </c>
      <c r="C268" s="269" t="inlineStr">
        <is>
          <t>COTIZACION DE LAS MODIFICACIONES A LOS DISEÑOS DE PROTECCIÓN CONTRA INCENDIOS - PTAR TRANVÍA</t>
        </is>
      </c>
      <c r="D268" s="312" t="n"/>
      <c r="E268" s="312" t="n"/>
      <c r="F268" s="312" t="n"/>
      <c r="G268" s="312" t="n"/>
      <c r="H268" s="312" t="n"/>
      <c r="I268" s="313" t="n"/>
      <c r="J268" s="231" t="inlineStr">
        <is>
          <t>SPCI</t>
        </is>
      </c>
      <c r="K268" s="314" t="n">
        <v>9970000</v>
      </c>
      <c r="L268" s="2" t="n">
        <v>45099</v>
      </c>
      <c r="M268" s="2" t="n"/>
      <c r="N268" s="170" t="inlineStr">
        <is>
          <t xml:space="preserve"> 310 468 0508</t>
        </is>
      </c>
      <c r="O268" s="170" t="inlineStr">
        <is>
          <t>Juan Pablo Grajales Gómez</t>
        </is>
      </c>
      <c r="P268" s="52" t="inlineStr">
        <is>
          <t>juan.grajales@spci.com.co</t>
        </is>
      </c>
    </row>
    <row r="269">
      <c r="B269" s="170" t="n">
        <v>257</v>
      </c>
      <c r="C269" s="252" t="inlineStr">
        <is>
          <t>COTIZACION DE LOS DISEÑOS DE PROTECCIÓN CONTRA INCENDIOS Y SEGURIDAD HUMANA PARA EL PROYECTO COLONIA ETAPA 1</t>
        </is>
      </c>
      <c r="D269" s="312" t="n"/>
      <c r="E269" s="312" t="n"/>
      <c r="F269" s="312" t="n"/>
      <c r="G269" s="312" t="n"/>
      <c r="H269" s="312" t="n"/>
      <c r="I269" s="313" t="n"/>
      <c r="J269" s="231" t="inlineStr">
        <is>
          <t>Soluciones Civiles</t>
        </is>
      </c>
      <c r="K269" s="314" t="n">
        <v>16970000</v>
      </c>
      <c r="L269" s="2" t="n">
        <v>45100</v>
      </c>
      <c r="M269" s="170" t="n"/>
      <c r="N269" s="170" t="inlineStr">
        <is>
          <t>310 5304562</t>
        </is>
      </c>
      <c r="O269" s="172" t="inlineStr">
        <is>
          <t>Vanessa Zapata</t>
        </is>
      </c>
      <c r="P269" s="52" t="inlineStr">
        <is>
          <t>Vanessazapata.fcr@gmail.com</t>
        </is>
      </c>
    </row>
    <row r="270">
      <c r="B270" s="170" t="n">
        <v>258</v>
      </c>
      <c r="C270" s="199" t="inlineStr">
        <is>
          <t>COTIZACION DE LOS DISEÑOS DE PROTECCIÓN CONTRA INCENDIOS Y SEGURIDAD HUMANA PARA EL PROYECTO COSTADO SUR VEGAS SUR MULTIFAMILIAR</t>
        </is>
      </c>
      <c r="D270" s="312" t="n"/>
      <c r="E270" s="312" t="n"/>
      <c r="F270" s="312" t="n"/>
      <c r="G270" s="312" t="n"/>
      <c r="H270" s="312" t="n"/>
      <c r="I270" s="313" t="n"/>
      <c r="J270" s="199" t="inlineStr">
        <is>
          <t>CONINSA</t>
        </is>
      </c>
      <c r="K270" s="314" t="n">
        <v>29630000</v>
      </c>
      <c r="L270" s="2" t="n">
        <v>45101</v>
      </c>
      <c r="M270" s="170" t="n"/>
      <c r="N270" s="170" t="inlineStr">
        <is>
          <t>300 754 96 49</t>
        </is>
      </c>
      <c r="O270" s="170" t="inlineStr">
        <is>
          <t>Zully Milena López Molina</t>
        </is>
      </c>
      <c r="P270" s="52" t="inlineStr">
        <is>
          <t>zmlopez@coninsa.co</t>
        </is>
      </c>
    </row>
    <row r="271">
      <c r="B271" s="170" t="n">
        <v>259</v>
      </c>
      <c r="C271" s="199" t="inlineStr">
        <is>
          <t>COTIZACION DE LOS DISEÑOS DE PROTECCIÓN CONTRA INCENDIOS Y SEGURIDAD HUMANA PARA EL PROYECTO COSTADO SUR VEGAS SUR HOTEL Y OFICINAS</t>
        </is>
      </c>
      <c r="D271" s="312" t="n"/>
      <c r="E271" s="312" t="n"/>
      <c r="F271" s="312" t="n"/>
      <c r="G271" s="312" t="n"/>
      <c r="H271" s="312" t="n"/>
      <c r="I271" s="313" t="n"/>
      <c r="J271" s="199" t="inlineStr">
        <is>
          <t>CONINSA</t>
        </is>
      </c>
      <c r="K271" s="314" t="n">
        <v>27940000</v>
      </c>
      <c r="L271" s="2" t="n">
        <v>45101</v>
      </c>
      <c r="M271" s="170" t="n"/>
      <c r="N271" s="170" t="inlineStr">
        <is>
          <t>300 754 96 49</t>
        </is>
      </c>
      <c r="O271" s="170" t="inlineStr">
        <is>
          <t>Zully Milena López Molina</t>
        </is>
      </c>
      <c r="P271" s="52" t="inlineStr">
        <is>
          <t>zmlopez@coninsa.co</t>
        </is>
      </c>
    </row>
    <row r="272">
      <c r="B272" s="170" t="n">
        <v>260</v>
      </c>
      <c r="C272" s="199" t="inlineStr">
        <is>
          <t>COTIZACION DE LOS DISEÑOS DE PROTECCIÓN CONTRA INCENDIOS Y SEGURIDAD HUMANA PARA EL PROYECTO COSTADO SUR VEGAS SUR COMERCIO Y PLAZOLETA</t>
        </is>
      </c>
      <c r="D272" s="312" t="n"/>
      <c r="E272" s="312" t="n"/>
      <c r="F272" s="312" t="n"/>
      <c r="G272" s="312" t="n"/>
      <c r="H272" s="312" t="n"/>
      <c r="I272" s="313" t="n"/>
      <c r="J272" s="199" t="inlineStr">
        <is>
          <t>CONINSA</t>
        </is>
      </c>
      <c r="K272" s="314" t="n">
        <v>23540000</v>
      </c>
      <c r="L272" s="2" t="n">
        <v>45101</v>
      </c>
      <c r="M272" s="170" t="n"/>
      <c r="N272" s="170" t="inlineStr">
        <is>
          <t>300 754 96 49</t>
        </is>
      </c>
      <c r="O272" s="170" t="inlineStr">
        <is>
          <t>Zully Milena López Molina</t>
        </is>
      </c>
      <c r="P272" s="52" t="inlineStr">
        <is>
          <t>zmlopez@coninsa.co</t>
        </is>
      </c>
    </row>
    <row r="273">
      <c r="B273" s="170" t="n">
        <v>261</v>
      </c>
      <c r="C273" s="199" t="inlineStr">
        <is>
          <t>COTIZACION DE LOS DISEÑOS DE PROTECCIÓN CONTRA INCENDIOS - PROYECTO ASTORGA PATIO BONITO</t>
        </is>
      </c>
      <c r="D273" s="312" t="n"/>
      <c r="E273" s="312" t="n"/>
      <c r="F273" s="312" t="n"/>
      <c r="G273" s="312" t="n"/>
      <c r="H273" s="312" t="n"/>
      <c r="I273" s="313" t="n"/>
      <c r="J273" s="199" t="inlineStr">
        <is>
          <t>RPMEDICAS</t>
        </is>
      </c>
      <c r="K273" s="314" t="n">
        <v>29800000</v>
      </c>
      <c r="L273" s="2" t="n">
        <v>45098</v>
      </c>
      <c r="M273" s="170" t="n"/>
      <c r="N273" s="170" t="n">
        <v>3146158422</v>
      </c>
      <c r="O273" s="170" t="inlineStr">
        <is>
          <t xml:space="preserve">Carlos A Gómez </t>
        </is>
      </c>
      <c r="P273" s="52" t="inlineStr">
        <is>
          <t>gerenciaproyectos@rpmedicas.co</t>
        </is>
      </c>
    </row>
    <row r="274">
      <c r="B274" s="170" t="n">
        <v>262</v>
      </c>
      <c r="C274" s="199" t="inlineStr">
        <is>
          <t>COTIZACION DEL REDISEÑO DE LA RED GENERAL DE EXTINCIÓN DE INCENDIOS PARA EL PROYECTO CCOA</t>
        </is>
      </c>
      <c r="D274" s="312" t="n"/>
      <c r="E274" s="312" t="n"/>
      <c r="F274" s="312" t="n"/>
      <c r="G274" s="312" t="n"/>
      <c r="H274" s="312" t="n"/>
      <c r="I274" s="313" t="n"/>
      <c r="J274" s="199" t="inlineStr">
        <is>
          <t>SPCI</t>
        </is>
      </c>
      <c r="K274" s="314" t="n">
        <v>1300000</v>
      </c>
      <c r="L274" s="2" t="n">
        <v>45103</v>
      </c>
      <c r="M274" s="170" t="n"/>
      <c r="N274" s="170" t="inlineStr">
        <is>
          <t>310 4165783</t>
        </is>
      </c>
      <c r="O274" s="170" t="inlineStr">
        <is>
          <t>Cristiam Gustavo Mondragon Cortes</t>
        </is>
      </c>
      <c r="P274" s="52" t="inlineStr">
        <is>
          <t>cristiam.mondragon@spci.com.co</t>
        </is>
      </c>
    </row>
    <row r="275">
      <c r="B275" s="170" t="n">
        <v>263</v>
      </c>
      <c r="C275" s="199" t="inlineStr">
        <is>
          <t>COTIZACION DE LOS DISEÑOS DE PROTECCIÓN CONTRA INCENDIOS PARA EL PROYECTO LOCAL 302 VIVA BARRANQUILLA</t>
        </is>
      </c>
      <c r="D275" s="312" t="n"/>
      <c r="E275" s="312" t="n"/>
      <c r="F275" s="312" t="n"/>
      <c r="G275" s="312" t="n"/>
      <c r="H275" s="312" t="n"/>
      <c r="I275" s="313" t="n"/>
      <c r="J275" s="199" t="inlineStr">
        <is>
          <t>SPCI</t>
        </is>
      </c>
      <c r="K275" s="314" t="n">
        <v>1800000</v>
      </c>
      <c r="L275" s="2" t="n">
        <v>45103</v>
      </c>
      <c r="M275" s="170" t="n"/>
      <c r="N275" s="170" t="n">
        <v>3137546144</v>
      </c>
      <c r="O275" s="170" t="inlineStr">
        <is>
          <t xml:space="preserve"> Juan Camilo Quintero Bedoya</t>
        </is>
      </c>
      <c r="P275" s="52" t="inlineStr">
        <is>
          <t>camilo.quintero@spci.com.co</t>
        </is>
      </c>
    </row>
    <row r="276">
      <c r="B276" s="170" t="n">
        <v>264</v>
      </c>
      <c r="C276" s="199" t="inlineStr">
        <is>
          <t>COTIZACION DEL ANÁLISIS DE SEGURIDAD HUMANA PARA EL PROYECTO CASA LAURELES</t>
        </is>
      </c>
      <c r="D276" s="312" t="n"/>
      <c r="E276" s="312" t="n"/>
      <c r="F276" s="312" t="n"/>
      <c r="G276" s="312" t="n"/>
      <c r="H276" s="312" t="n"/>
      <c r="I276" s="313" t="n"/>
      <c r="J276" s="199" t="inlineStr">
        <is>
          <t xml:space="preserve"> Casas Bee</t>
        </is>
      </c>
      <c r="K276" s="314" t="n">
        <v>750000</v>
      </c>
      <c r="L276" s="2" t="n">
        <v>45103</v>
      </c>
      <c r="M276" s="170" t="n"/>
      <c r="N276" s="170" t="n"/>
      <c r="O276" s="170" t="inlineStr">
        <is>
          <t>John Anderson Zapata</t>
        </is>
      </c>
      <c r="P276" s="52" t="n"/>
    </row>
    <row r="277">
      <c r="B277" s="170" t="n">
        <v>265</v>
      </c>
      <c r="C277" s="199" t="inlineStr">
        <is>
          <t>COTIZACION DE LA REVISÓN DE LOS DISEÑOS DE EXTINCIÓN DE INCENDIOS PARA EL PROYECTO DISLICORES</t>
        </is>
      </c>
      <c r="D277" s="312" t="n"/>
      <c r="E277" s="312" t="n"/>
      <c r="F277" s="312" t="n"/>
      <c r="G277" s="312" t="n"/>
      <c r="H277" s="312" t="n"/>
      <c r="I277" s="313" t="n"/>
      <c r="J277" s="199" t="inlineStr">
        <is>
          <t>SPCI</t>
        </is>
      </c>
      <c r="K277" s="314" t="n">
        <v>1600000</v>
      </c>
      <c r="L277" s="2" t="n">
        <v>45103</v>
      </c>
      <c r="M277" s="170" t="n"/>
      <c r="N277" s="170" t="inlineStr">
        <is>
          <t>310 4165783</t>
        </is>
      </c>
      <c r="O277" s="170" t="inlineStr">
        <is>
          <t>Cristiam Gustavo Mondragon Cortes</t>
        </is>
      </c>
      <c r="P277" s="52" t="inlineStr">
        <is>
          <t>cristiam.mondragon@spci.com.co</t>
        </is>
      </c>
    </row>
    <row r="278">
      <c r="B278" s="170" t="n">
        <v>266</v>
      </c>
      <c r="C278" s="199" t="inlineStr">
        <is>
          <t>COTIZACION DE LOS PLANOS RECORD DEL SISTEMA DE EXTINCIÓN DE INCENDIOS PARA EL PROYECTO CONTECAR</t>
        </is>
      </c>
      <c r="D278" s="312" t="n"/>
      <c r="E278" s="312" t="n"/>
      <c r="F278" s="312" t="n"/>
      <c r="G278" s="312" t="n"/>
      <c r="H278" s="312" t="n"/>
      <c r="I278" s="313" t="n"/>
      <c r="J278" s="199" t="inlineStr">
        <is>
          <t>SPCI</t>
        </is>
      </c>
      <c r="K278" s="314" t="n">
        <v>1200000</v>
      </c>
      <c r="L278" s="2" t="n">
        <v>45104</v>
      </c>
      <c r="M278" s="170" t="n"/>
      <c r="N278" s="170" t="inlineStr">
        <is>
          <t xml:space="preserve"> 310 420 3649</t>
        </is>
      </c>
      <c r="O278" s="170" t="inlineStr">
        <is>
          <t>Mauricio Guzmán Urrea</t>
        </is>
      </c>
      <c r="P278" s="52" t="inlineStr">
        <is>
          <t>mauricio.guzman@spci.com.co</t>
        </is>
      </c>
    </row>
    <row r="279">
      <c r="B279" s="170" t="n">
        <v>267</v>
      </c>
      <c r="C279" s="233" t="inlineStr">
        <is>
          <t>COTIZACION DEL DISEÑO DE EXTINCIÓN DE INCENDIOS PARA EL PROYECTO ARANDANOS DE FONTIBON</t>
        </is>
      </c>
      <c r="D279" s="312" t="n"/>
      <c r="E279" s="312" t="n"/>
      <c r="F279" s="312" t="n"/>
      <c r="G279" s="312" t="n"/>
      <c r="H279" s="312" t="n"/>
      <c r="I279" s="313" t="n"/>
      <c r="J279" s="199" t="inlineStr">
        <is>
          <t>CONTEX</t>
        </is>
      </c>
      <c r="K279" s="314" t="n">
        <v>2950000</v>
      </c>
      <c r="L279" s="2" t="n">
        <v>45105</v>
      </c>
      <c r="M279" s="170" t="n"/>
      <c r="N279" s="170" t="n">
        <v>3187073851</v>
      </c>
      <c r="O279" s="172" t="inlineStr">
        <is>
          <t xml:space="preserve"> David Gonzalo Velez</t>
        </is>
      </c>
      <c r="P279" s="52" t="inlineStr">
        <is>
          <t>dvelez@contex.com.co</t>
        </is>
      </c>
    </row>
    <row r="280">
      <c r="B280" s="170" t="n">
        <v>268</v>
      </c>
      <c r="C280" s="233" t="inlineStr">
        <is>
          <t>COTIZACION DEL DISEÑO DE EXTINCIÓN DE INCENDIOS PARA EL PROYECTO CONSULTORIO 1052 TORRE MÉDICA EL TESORO</t>
        </is>
      </c>
      <c r="D280" s="312" t="n"/>
      <c r="E280" s="312" t="n"/>
      <c r="F280" s="312" t="n"/>
      <c r="G280" s="312" t="n"/>
      <c r="H280" s="312" t="n"/>
      <c r="I280" s="313" t="n"/>
      <c r="J280" s="199" t="inlineStr">
        <is>
          <t>SPCI</t>
        </is>
      </c>
      <c r="K280" s="314" t="n">
        <v>1950000</v>
      </c>
      <c r="L280" s="2" t="n">
        <v>45105</v>
      </c>
      <c r="M280" s="170" t="n"/>
      <c r="N280" s="170" t="inlineStr">
        <is>
          <t>310 420 3649</t>
        </is>
      </c>
      <c r="O280" s="170" t="inlineStr">
        <is>
          <t>Mauricio Guzmán Urrea</t>
        </is>
      </c>
      <c r="P280" s="52" t="inlineStr">
        <is>
          <t>mauricio.guzman@spci.com.co</t>
        </is>
      </c>
    </row>
    <row r="281">
      <c r="B281" s="170" t="n">
        <v>269</v>
      </c>
      <c r="C281" s="199" t="inlineStr">
        <is>
          <t>COTIZACION DE LOS DISEÑOS DE PROTECCIÓN CONTRA INCENDIOS PARA EL PROYECTO BODEGAS ABRACOL COPACABANA</t>
        </is>
      </c>
      <c r="D281" s="312" t="n"/>
      <c r="E281" s="312" t="n"/>
      <c r="F281" s="312" t="n"/>
      <c r="G281" s="312" t="n"/>
      <c r="H281" s="312" t="n"/>
      <c r="I281" s="313" t="n"/>
      <c r="J281" s="199" t="inlineStr">
        <is>
          <t>COINSI</t>
        </is>
      </c>
      <c r="K281" s="314" t="n">
        <v>29845000</v>
      </c>
      <c r="L281" s="2" t="n">
        <v>45105</v>
      </c>
      <c r="M281" s="170" t="n"/>
      <c r="N281" s="170" t="n">
        <v>3117208541</v>
      </c>
      <c r="O281" s="172" t="inlineStr">
        <is>
          <t>Sergio Rodriguez</t>
        </is>
      </c>
      <c r="P281" s="52" t="inlineStr">
        <is>
          <t>diseno4@gyd.com.co</t>
        </is>
      </c>
    </row>
    <row r="282">
      <c r="B282" s="170" t="n">
        <v>270</v>
      </c>
      <c r="C282" s="199" t="inlineStr">
        <is>
          <t>COTIZACION DE LOS DISEÑOS DE PROTECCIÓN CONTRA INCENDIOS PARA EL PROYECTO LOCAL NOTARIA TERCERA</t>
        </is>
      </c>
      <c r="D282" s="312" t="n"/>
      <c r="E282" s="312" t="n"/>
      <c r="F282" s="312" t="n"/>
      <c r="G282" s="312" t="n"/>
      <c r="H282" s="312" t="n"/>
      <c r="I282" s="313" t="n"/>
      <c r="J282" s="199" t="inlineStr">
        <is>
          <t>SPCI</t>
        </is>
      </c>
      <c r="K282" s="314" t="n">
        <v>2950000</v>
      </c>
      <c r="L282" s="2" t="n">
        <v>45106</v>
      </c>
      <c r="M282" s="170" t="n"/>
      <c r="N282" s="170" t="inlineStr">
        <is>
          <t>321 482 61 68</t>
        </is>
      </c>
      <c r="O282" s="170" t="inlineStr">
        <is>
          <t>Ana Maria Restrepo Mayo.</t>
        </is>
      </c>
      <c r="P282" s="52" t="inlineStr">
        <is>
          <t>ana.restrepo@spci.com.co</t>
        </is>
      </c>
    </row>
    <row r="283">
      <c r="B283" s="170" t="n">
        <v>271</v>
      </c>
      <c r="C283" s="199" t="inlineStr">
        <is>
          <t>COTIZACIÓN CAPACITACIÓN Y FORMATO DE SOPORTERÍA RCI SEGÚN NFPA 13 Y NSR-10</t>
        </is>
      </c>
      <c r="D283" s="312" t="n"/>
      <c r="E283" s="312" t="n"/>
      <c r="F283" s="312" t="n"/>
      <c r="G283" s="312" t="n"/>
      <c r="H283" s="312" t="n"/>
      <c r="I283" s="313" t="n"/>
      <c r="J283" s="199" t="inlineStr">
        <is>
          <t>SECURETEC</t>
        </is>
      </c>
      <c r="K283" s="314" t="n">
        <v>3950000</v>
      </c>
      <c r="L283" s="2" t="n">
        <v>45106</v>
      </c>
      <c r="M283" s="170" t="n"/>
      <c r="N283" s="170" t="n">
        <v>3206678830</v>
      </c>
      <c r="O283" s="170" t="inlineStr">
        <is>
          <t>Jhonny Castro</t>
        </is>
      </c>
      <c r="P283" s="52" t="inlineStr">
        <is>
          <t>dirproyectos@securetec.com.co</t>
        </is>
      </c>
    </row>
    <row r="284">
      <c r="B284" s="170" t="n">
        <v>272</v>
      </c>
      <c r="C284" s="199" t="inlineStr">
        <is>
          <t>COTIZACION DE LOS DISEÑOS DE PROTECCIÓN CONTRA INCENDIOS Y SEGURIDAD HUMANA PARA EL PROYECTO TERRAH T1 Y T2</t>
        </is>
      </c>
      <c r="D284" s="312" t="n"/>
      <c r="E284" s="312" t="n"/>
      <c r="F284" s="312" t="n"/>
      <c r="G284" s="312" t="n"/>
      <c r="H284" s="312" t="n"/>
      <c r="I284" s="313" t="n"/>
      <c r="J284" s="199" t="inlineStr">
        <is>
          <t>BIENES Y BIENES</t>
        </is>
      </c>
      <c r="K284" s="314" t="n">
        <v>22450000</v>
      </c>
      <c r="L284" s="2" t="n">
        <v>45107</v>
      </c>
      <c r="M284" s="170" t="n"/>
      <c r="N284" s="170" t="inlineStr">
        <is>
          <t>(604) 311 - 8500</t>
        </is>
      </c>
      <c r="O284" s="172" t="inlineStr">
        <is>
          <t>Johanna Rojas Vera</t>
        </is>
      </c>
      <c r="P284" s="52" t="inlineStr">
        <is>
          <t>johana.rojas@bienesybienes.com.co</t>
        </is>
      </c>
    </row>
    <row r="285" ht="15" customHeight="1">
      <c r="B285" s="170" t="n">
        <v>273</v>
      </c>
      <c r="C285" s="199" t="inlineStr">
        <is>
          <t>COTIZACION DE LOS DISEÑOS DE DETECCIÓN DE INCENDIOS Y SEGURIDAD HUMANA PARA EL PROYECTO SECURETEC</t>
        </is>
      </c>
      <c r="D285" s="312" t="n"/>
      <c r="E285" s="312" t="n"/>
      <c r="F285" s="312" t="n"/>
      <c r="G285" s="312" t="n"/>
      <c r="H285" s="312" t="n"/>
      <c r="I285" s="313" t="n"/>
      <c r="J285" s="199" t="inlineStr">
        <is>
          <t>SECURETEC</t>
        </is>
      </c>
      <c r="K285" s="314" t="n">
        <v>8950000</v>
      </c>
      <c r="L285" s="2" t="n">
        <v>45107</v>
      </c>
      <c r="M285" s="170" t="n"/>
      <c r="N285" s="170" t="n">
        <v>3206678830</v>
      </c>
      <c r="O285" s="172" t="inlineStr">
        <is>
          <t>Jhonny Castro</t>
        </is>
      </c>
      <c r="P285" s="52" t="inlineStr">
        <is>
          <t>dirproyectos@securetec.com.co</t>
        </is>
      </c>
    </row>
    <row r="286" ht="15" customHeight="1">
      <c r="B286" s="170" t="n">
        <v>274</v>
      </c>
      <c r="C286" s="199" t="inlineStr">
        <is>
          <t>COTIZACION DEL DISEÑO DE EXTINCIÓN DE INCENDIOS PARA EL PROYECTO BODEGA CELTA 68</t>
        </is>
      </c>
      <c r="D286" s="312" t="n"/>
      <c r="E286" s="312" t="n"/>
      <c r="F286" s="312" t="n"/>
      <c r="G286" s="312" t="n"/>
      <c r="H286" s="312" t="n"/>
      <c r="I286" s="313" t="n"/>
      <c r="J286" s="199" t="inlineStr">
        <is>
          <t>FIRE SUPPLY</t>
        </is>
      </c>
      <c r="K286" s="314" t="n">
        <v>3750000</v>
      </c>
      <c r="L286" s="2" t="n">
        <v>45111</v>
      </c>
      <c r="M286" s="170" t="n"/>
      <c r="N286" s="170" t="n">
        <v>3155713320</v>
      </c>
      <c r="O286" s="172" t="inlineStr">
        <is>
          <t>JHON JAIRO GOMEZ BARAHONA</t>
        </is>
      </c>
      <c r="P286" s="52" t="inlineStr">
        <is>
          <t>comercial@firesupply.com.co</t>
        </is>
      </c>
    </row>
    <row r="287" ht="15" customHeight="1">
      <c r="B287" s="170" t="n">
        <v>275</v>
      </c>
      <c r="C287" s="199" t="inlineStr">
        <is>
          <t>COTIZACION DEL DISEÑO DE EXTINCIÓN DE INCENDIOS PARA EL PROYECTO BODEGAS INTERLLANTAS</t>
        </is>
      </c>
      <c r="D287" s="312" t="n"/>
      <c r="E287" s="312" t="n"/>
      <c r="F287" s="312" t="n"/>
      <c r="G287" s="312" t="n"/>
      <c r="H287" s="312" t="n"/>
      <c r="I287" s="313" t="n"/>
      <c r="J287" s="199" t="inlineStr">
        <is>
          <t>SPCI</t>
        </is>
      </c>
      <c r="K287" s="314" t="n">
        <v>9910000</v>
      </c>
      <c r="L287" s="2" t="n">
        <v>45112</v>
      </c>
      <c r="M287" s="170" t="n"/>
      <c r="N287" s="170" t="inlineStr">
        <is>
          <t>310 389 80 43</t>
        </is>
      </c>
      <c r="O287" s="172" t="inlineStr">
        <is>
          <t xml:space="preserve">Mauricio Gutierrez Bohorquez </t>
        </is>
      </c>
      <c r="P287" s="91" t="inlineStr">
        <is>
          <t>mauricio.gutierrez@spci.com.co</t>
        </is>
      </c>
    </row>
    <row r="288" ht="15" customHeight="1">
      <c r="B288" s="170" t="n">
        <v>276</v>
      </c>
      <c r="C288" s="199" t="inlineStr">
        <is>
          <t>COTIZACION DEL DISEÑO DE EXTINCIÓN DE INCENDIOS PARA EL PROYECTO BODEGA GRANIPACK</t>
        </is>
      </c>
      <c r="D288" s="312" t="n"/>
      <c r="E288" s="312" t="n"/>
      <c r="F288" s="312" t="n"/>
      <c r="G288" s="312" t="n"/>
      <c r="H288" s="312" t="n"/>
      <c r="I288" s="313" t="n"/>
      <c r="J288" s="199" t="inlineStr">
        <is>
          <t>SPCI</t>
        </is>
      </c>
      <c r="K288" s="314" t="n">
        <v>11290000</v>
      </c>
      <c r="L288" s="2" t="n">
        <v>45112</v>
      </c>
      <c r="M288" s="170" t="n"/>
      <c r="N288" s="170" t="inlineStr">
        <is>
          <t>310 389 80 43</t>
        </is>
      </c>
      <c r="O288" s="172" t="inlineStr">
        <is>
          <t xml:space="preserve">Mauricio Gutierrez Bohorquez </t>
        </is>
      </c>
      <c r="P288" s="91" t="inlineStr">
        <is>
          <t>mauricio.gutierrez@spci.com.co</t>
        </is>
      </c>
    </row>
    <row r="289">
      <c r="B289" s="170" t="n">
        <v>277</v>
      </c>
      <c r="C289" s="199" t="inlineStr">
        <is>
          <t>COTIZACION DEL DISEÑO DE EXTINCIÓN DE INCENDIOS - OFICINA ALBERTO YEPES</t>
        </is>
      </c>
      <c r="D289" s="312" t="n"/>
      <c r="E289" s="312" t="n"/>
      <c r="F289" s="312" t="n"/>
      <c r="G289" s="312" t="n"/>
      <c r="H289" s="312" t="n"/>
      <c r="I289" s="313" t="n"/>
      <c r="J289" s="199" t="inlineStr">
        <is>
          <t>SPCI</t>
        </is>
      </c>
      <c r="K289" s="314" t="n">
        <v>2000000</v>
      </c>
      <c r="L289" s="2" t="n">
        <v>45112</v>
      </c>
      <c r="M289" s="170" t="n"/>
      <c r="N289" s="170" t="n">
        <v>3137546144</v>
      </c>
      <c r="O289" s="170" t="inlineStr">
        <is>
          <t xml:space="preserve"> Juan Camilo Quintero Bedoya</t>
        </is>
      </c>
      <c r="P289" s="52" t="inlineStr">
        <is>
          <t>camilo.quintero@spci.com.co</t>
        </is>
      </c>
    </row>
    <row r="290">
      <c r="B290" s="170" t="n">
        <v>278</v>
      </c>
      <c r="C290" s="199" t="inlineStr">
        <is>
          <t>COTIZACION DE LA REVISÓN DE LOS DISEÑOS DE EXTINCIÓN DE INCENDIOS PARA EL PROYECTO CCOA</t>
        </is>
      </c>
      <c r="D290" s="312" t="n"/>
      <c r="E290" s="312" t="n"/>
      <c r="F290" s="312" t="n"/>
      <c r="G290" s="312" t="n"/>
      <c r="H290" s="312" t="n"/>
      <c r="I290" s="313" t="n"/>
      <c r="J290" s="199" t="inlineStr">
        <is>
          <t>SPCI</t>
        </is>
      </c>
      <c r="K290" s="314" t="n">
        <v>2900000</v>
      </c>
      <c r="L290" s="2" t="n">
        <v>45112</v>
      </c>
      <c r="M290" s="170" t="n"/>
      <c r="N290" s="170" t="inlineStr">
        <is>
          <t>310 4165783</t>
        </is>
      </c>
      <c r="O290" s="170" t="inlineStr">
        <is>
          <t>Cristiam Gustavo Mondragon Cortes</t>
        </is>
      </c>
      <c r="P290" s="52" t="inlineStr">
        <is>
          <t>cristiam.mondragon@spci.com.co</t>
        </is>
      </c>
    </row>
    <row r="291">
      <c r="B291" s="170" t="n">
        <v>279</v>
      </c>
      <c r="C291" s="233" t="inlineStr">
        <is>
          <t>COTIZACION DE LOS DISEÑOS DE PROTECCIÓN CONTRA INCENDIOS Y SEGURIDAD HUMANA PARA EL PROYECTO CIELOMAR CARTAGENA</t>
        </is>
      </c>
      <c r="D291" s="312" t="n"/>
      <c r="E291" s="312" t="n"/>
      <c r="F291" s="312" t="n"/>
      <c r="G291" s="312" t="n"/>
      <c r="H291" s="312" t="n"/>
      <c r="I291" s="313" t="n"/>
      <c r="J291" s="199" t="inlineStr">
        <is>
          <t>AIA</t>
        </is>
      </c>
      <c r="K291" s="314" t="n">
        <v>25930000</v>
      </c>
      <c r="L291" s="2" t="n">
        <v>45113</v>
      </c>
      <c r="M291" s="2" t="n"/>
      <c r="N291" s="170" t="n">
        <v>3006019910</v>
      </c>
      <c r="O291" s="170" t="inlineStr">
        <is>
          <t>Andres Gomez Blanco</t>
        </is>
      </c>
      <c r="P291" s="52" t="inlineStr">
        <is>
          <t>andres.gomez@aia.com.co</t>
        </is>
      </c>
    </row>
    <row r="292">
      <c r="B292" s="170" t="n">
        <v>280</v>
      </c>
      <c r="C292" s="199" t="inlineStr">
        <is>
          <t>COTIZACION DE LOS DISEÑOS DE PROTECCIÓN CONTRA INCENDIOS Y SEGURIDAD HUMANA PARA EL PROYECTO PARADISE BARRANQUILLA</t>
        </is>
      </c>
      <c r="D292" s="312" t="n"/>
      <c r="E292" s="312" t="n"/>
      <c r="F292" s="312" t="n"/>
      <c r="G292" s="312" t="n"/>
      <c r="H292" s="312" t="n"/>
      <c r="I292" s="313" t="n"/>
      <c r="J292" s="199" t="inlineStr">
        <is>
          <t>AIA</t>
        </is>
      </c>
      <c r="K292" s="314" t="n">
        <v>20540000</v>
      </c>
      <c r="L292" s="2" t="n">
        <v>45113</v>
      </c>
      <c r="M292" s="2" t="n"/>
      <c r="N292" s="170" t="n">
        <v>3006019910</v>
      </c>
      <c r="O292" s="170" t="inlineStr">
        <is>
          <t>Andres Gomez Blanco</t>
        </is>
      </c>
      <c r="P292" s="52" t="inlineStr">
        <is>
          <t>andres.gomez@aia.com.co</t>
        </is>
      </c>
    </row>
    <row r="293">
      <c r="B293" s="170" t="n">
        <v>281</v>
      </c>
      <c r="C293" s="199" t="inlineStr">
        <is>
          <t>COTIZACION DE LOS DISEÑOS DE PROTECCIÓN CONTRA INCENDIOS Y SEGURIDAD HUMANA PARA EL PROYECTO ROKKA</t>
        </is>
      </c>
      <c r="D293" s="312" t="n"/>
      <c r="E293" s="312" t="n"/>
      <c r="F293" s="312" t="n"/>
      <c r="G293" s="312" t="n"/>
      <c r="H293" s="312" t="n"/>
      <c r="I293" s="313" t="n"/>
      <c r="J293" s="199" t="inlineStr">
        <is>
          <t>SPCI</t>
        </is>
      </c>
      <c r="K293" s="314" t="n">
        <v>9910000</v>
      </c>
      <c r="L293" s="2" t="n">
        <v>45119</v>
      </c>
      <c r="M293" s="170" t="n"/>
      <c r="N293" s="170" t="inlineStr">
        <is>
          <t>310 4165783</t>
        </is>
      </c>
      <c r="O293" s="170" t="inlineStr">
        <is>
          <t>Cristiam Gustavo Mondragon Cortes</t>
        </is>
      </c>
      <c r="P293" s="52" t="inlineStr">
        <is>
          <t>cristiam.mondragon@spci.com.co</t>
        </is>
      </c>
    </row>
    <row r="294">
      <c r="B294" s="170" t="n">
        <v>282</v>
      </c>
      <c r="C294" s="199" t="inlineStr">
        <is>
          <t>HALL DE CAJEROS CARACOLÍ</t>
        </is>
      </c>
      <c r="D294" s="312" t="n"/>
      <c r="E294" s="312" t="n"/>
      <c r="F294" s="312" t="n"/>
      <c r="G294" s="312" t="n"/>
      <c r="H294" s="312" t="n"/>
      <c r="I294" s="313" t="n"/>
      <c r="J294" s="199" t="inlineStr">
        <is>
          <t>STUDIO SUR</t>
        </is>
      </c>
      <c r="K294" s="314" t="n"/>
      <c r="L294" s="2" t="n"/>
      <c r="M294" s="170" t="n"/>
      <c r="N294" s="170" t="n"/>
      <c r="O294" s="170" t="inlineStr">
        <is>
          <t>Liliana Gutierrez</t>
        </is>
      </c>
      <c r="P294" s="52" t="inlineStr">
        <is>
          <t>liliana.gutierrez@studiosur.net</t>
        </is>
      </c>
    </row>
    <row r="295">
      <c r="B295" s="170" t="n">
        <v>283</v>
      </c>
      <c r="C295" s="199" t="inlineStr">
        <is>
          <t>COTIZACION DEL DISEÑO DE EXTINCIÓN DE INCENDIOS PARA EL PROYECTO EDIFICIO LA CULTURA SEDE CENTRO</t>
        </is>
      </c>
      <c r="D295" s="312" t="n"/>
      <c r="E295" s="312" t="n"/>
      <c r="F295" s="312" t="n"/>
      <c r="G295" s="312" t="n"/>
      <c r="H295" s="312" t="n"/>
      <c r="I295" s="313" t="n"/>
      <c r="J295" s="199" t="inlineStr">
        <is>
          <t>CAMARA DE COMERCIO</t>
        </is>
      </c>
      <c r="K295" s="314" t="n">
        <v>28510000</v>
      </c>
      <c r="L295" s="2" t="n">
        <v>45119</v>
      </c>
      <c r="M295" s="170" t="n"/>
      <c r="N295" s="170" t="n">
        <v>5766290</v>
      </c>
      <c r="O295" s="172" t="inlineStr">
        <is>
          <t>Daniel Fernando Vasquez Robles</t>
        </is>
      </c>
      <c r="P295" s="52" t="inlineStr">
        <is>
          <t>Daniel.Vasquez@camaramedellin.com.co</t>
        </is>
      </c>
    </row>
    <row r="296">
      <c r="B296" s="170" t="n">
        <v>284</v>
      </c>
      <c r="C296" s="199" t="inlineStr">
        <is>
          <t>COTIZACION DE LOS DISEÑOS DE PROTECCIÓN CONTRA INCENDIOS PARA EL PROYECTO VEOLIA CC VIVA SINCELEJO</t>
        </is>
      </c>
      <c r="D296" s="312" t="n"/>
      <c r="E296" s="312" t="n"/>
      <c r="F296" s="312" t="n"/>
      <c r="G296" s="312" t="n"/>
      <c r="H296" s="312" t="n"/>
      <c r="I296" s="313" t="n"/>
      <c r="J296" s="199" t="inlineStr">
        <is>
          <t>SPCI</t>
        </is>
      </c>
      <c r="K296" s="314" t="n">
        <v>2950000</v>
      </c>
      <c r="L296" s="2" t="n">
        <v>45119</v>
      </c>
      <c r="M296" s="170" t="n"/>
      <c r="N296" s="170" t="n">
        <v>3137546144</v>
      </c>
      <c r="O296" s="170" t="inlineStr">
        <is>
          <t xml:space="preserve"> Juan Camilo Quintero Bedoya</t>
        </is>
      </c>
      <c r="P296" s="52" t="inlineStr">
        <is>
          <t>camilo.quintero@spci.com.co</t>
        </is>
      </c>
    </row>
    <row r="297">
      <c r="B297" s="170" t="n">
        <v>285</v>
      </c>
      <c r="C297" s="199" t="inlineStr">
        <is>
          <t>COTIZACION DEL ANÁLISIS DE SEGURIDAD HUMANA PARA EL PROYECTO NODO SEVILLA DE LA UNIVERSIDAD DEL VALLE</t>
        </is>
      </c>
      <c r="D297" s="312" t="n"/>
      <c r="E297" s="312" t="n"/>
      <c r="F297" s="312" t="n"/>
      <c r="G297" s="312" t="n"/>
      <c r="H297" s="312" t="n"/>
      <c r="I297" s="313" t="n"/>
      <c r="J297" s="199" t="inlineStr">
        <is>
          <t>INGENIO BIM</t>
        </is>
      </c>
      <c r="K297" s="314" t="n">
        <v>3130000</v>
      </c>
      <c r="L297" s="2" t="n">
        <v>45119</v>
      </c>
      <c r="M297" s="170" t="n"/>
      <c r="N297" s="170" t="n">
        <v>3107358330</v>
      </c>
      <c r="O297" s="170" t="inlineStr">
        <is>
          <t>Daniel Guzmán Duque</t>
        </is>
      </c>
      <c r="P297" s="52" t="inlineStr">
        <is>
          <t>daniel.guzman@ingeniobim.co</t>
        </is>
      </c>
    </row>
    <row r="298">
      <c r="B298" s="170" t="n">
        <v>286</v>
      </c>
      <c r="C298" s="199" t="inlineStr">
        <is>
          <t>COTIZACION DE LOS DISEÑOS DE PROTECCIÓN CONTRA INCENDIOS PARA EL PROYECTO BANCO CAJA SOCIAL MEDELLIN</t>
        </is>
      </c>
      <c r="D298" s="312" t="n"/>
      <c r="E298" s="312" t="n"/>
      <c r="F298" s="312" t="n"/>
      <c r="G298" s="312" t="n"/>
      <c r="H298" s="312" t="n"/>
      <c r="I298" s="313" t="n"/>
      <c r="J298" s="199" t="inlineStr">
        <is>
          <t>SECURETEC</t>
        </is>
      </c>
      <c r="K298" s="314" t="n">
        <v>5650000</v>
      </c>
      <c r="L298" s="2" t="n">
        <v>45118</v>
      </c>
      <c r="M298" s="170" t="n"/>
      <c r="N298" s="170" t="n">
        <v>3014111727</v>
      </c>
      <c r="O298" s="170" t="inlineStr">
        <is>
          <t>Julian David Camacho</t>
        </is>
      </c>
      <c r="P298" s="52" t="inlineStr">
        <is>
          <t>ascomercial2@securetec.com.co</t>
        </is>
      </c>
    </row>
    <row r="299">
      <c r="B299" s="170" t="n">
        <v>287</v>
      </c>
      <c r="C299" s="199" t="inlineStr">
        <is>
          <t>COTIZACION DEL DISEÑO DE DETECCIÓN DE INCENDIOS PARA EL PROYECTO CEDI REGIONAL MEDELLIN NUTRESA</t>
        </is>
      </c>
      <c r="D299" s="312" t="n"/>
      <c r="E299" s="312" t="n"/>
      <c r="F299" s="312" t="n"/>
      <c r="G299" s="312" t="n"/>
      <c r="H299" s="312" t="n"/>
      <c r="I299" s="313" t="n"/>
      <c r="J299" s="199" t="inlineStr">
        <is>
          <t>PROSOMA</t>
        </is>
      </c>
      <c r="K299" s="314" t="n">
        <v>7500000</v>
      </c>
      <c r="L299" s="2" t="n">
        <v>45119</v>
      </c>
      <c r="M299" s="170" t="n"/>
      <c r="N299" s="170" t="n">
        <v>3147537411</v>
      </c>
      <c r="O299" s="172" t="inlineStr">
        <is>
          <t>Adolfo Florez Cossio</t>
        </is>
      </c>
      <c r="P299" s="52" t="inlineStr">
        <is>
          <t>proyectos@prosoma.com.co</t>
        </is>
      </c>
    </row>
    <row r="300">
      <c r="B300" s="170" t="n">
        <v>288</v>
      </c>
      <c r="C300" s="246" t="inlineStr">
        <is>
          <t>COTIZACION DEL DISEÑO DE EXTINCIÓN DE INCENDIOS PARA EL PROYECTO IN-RACK AUTECO CEDI</t>
        </is>
      </c>
      <c r="D300" s="312" t="n"/>
      <c r="E300" s="312" t="n"/>
      <c r="F300" s="312" t="n"/>
      <c r="G300" s="312" t="n"/>
      <c r="H300" s="312" t="n"/>
      <c r="I300" s="313" t="n"/>
      <c r="J300" s="199" t="inlineStr">
        <is>
          <t>PROSOMA</t>
        </is>
      </c>
      <c r="K300" s="314" t="n">
        <v>4950000</v>
      </c>
      <c r="L300" s="2" t="n">
        <v>45119</v>
      </c>
      <c r="M300" s="2" t="n"/>
      <c r="N300" s="170" t="n">
        <v>3147537411</v>
      </c>
      <c r="O300" s="172" t="inlineStr">
        <is>
          <t>Adolfo Florez Cossio</t>
        </is>
      </c>
      <c r="P300" s="52" t="inlineStr">
        <is>
          <t>proyectos@prosoma.com.co</t>
        </is>
      </c>
    </row>
    <row r="301">
      <c r="B301" s="170" t="n">
        <v>289</v>
      </c>
      <c r="C301" s="199" t="inlineStr">
        <is>
          <t>COTIZACION DEL DISEÑO DE OPORTES SISMORRESISTENTE - SEDE REGIONAL MEDELLÍN NUTRESA</t>
        </is>
      </c>
      <c r="D301" s="312" t="n"/>
      <c r="E301" s="312" t="n"/>
      <c r="F301" s="312" t="n"/>
      <c r="G301" s="312" t="n"/>
      <c r="H301" s="312" t="n"/>
      <c r="I301" s="313" t="n"/>
      <c r="J301" s="199" t="inlineStr">
        <is>
          <t>PROSOMA</t>
        </is>
      </c>
      <c r="K301" s="314" t="n">
        <v>2300000</v>
      </c>
      <c r="L301" s="2" t="n">
        <v>45119</v>
      </c>
      <c r="M301" s="170" t="n"/>
      <c r="N301" s="170" t="n">
        <v>3147537411</v>
      </c>
      <c r="O301" s="172" t="inlineStr">
        <is>
          <t>Adolfo Florez Cossio</t>
        </is>
      </c>
      <c r="P301" s="52" t="inlineStr">
        <is>
          <t>proyectos@prosoma.com.co</t>
        </is>
      </c>
    </row>
    <row r="302">
      <c r="B302" s="170" t="n">
        <v>290</v>
      </c>
      <c r="C302" s="246" t="inlineStr">
        <is>
          <t xml:space="preserve">COTIZACION DEL DISEÑO DE EXTINCIÓN DE INCENDIOS PARA EL PROYECTO ESPUMA GRANADA
</t>
        </is>
      </c>
      <c r="D302" s="312" t="n"/>
      <c r="E302" s="312" t="n"/>
      <c r="F302" s="312" t="n"/>
      <c r="G302" s="312" t="n"/>
      <c r="H302" s="312" t="n"/>
      <c r="I302" s="313" t="n"/>
      <c r="J302" s="199" t="inlineStr">
        <is>
          <t>Fire Protection Solutions Group</t>
        </is>
      </c>
      <c r="K302" s="314" t="n">
        <v>5550</v>
      </c>
      <c r="L302" s="2" t="n">
        <v>45119</v>
      </c>
      <c r="M302" s="2" t="n"/>
      <c r="N302" s="170" t="n">
        <v>3103860407</v>
      </c>
      <c r="O302" s="170" t="inlineStr">
        <is>
          <t>Miguel Robayo</t>
        </is>
      </c>
      <c r="P302" s="52" t="inlineStr">
        <is>
          <t>miguelrobayo@sfiregroup.com</t>
        </is>
      </c>
    </row>
    <row r="303">
      <c r="B303" s="170" t="n">
        <v>291</v>
      </c>
      <c r="C303" s="199" t="inlineStr">
        <is>
          <t>COTIZACION DEL ANÁLISIS DE SEGURIDAD HUMANA PARA EL PROYECTO TORRE 4 AMONTE</t>
        </is>
      </c>
      <c r="D303" s="312" t="n"/>
      <c r="E303" s="312" t="n"/>
      <c r="F303" s="312" t="n"/>
      <c r="G303" s="312" t="n"/>
      <c r="H303" s="312" t="n"/>
      <c r="I303" s="313" t="n"/>
      <c r="J303" s="199" t="inlineStr">
        <is>
          <t>I+CONSTRUCTORA</t>
        </is>
      </c>
      <c r="K303" s="314" t="n">
        <v>2950000</v>
      </c>
      <c r="L303" s="2" t="n">
        <v>45119</v>
      </c>
      <c r="M303" s="170" t="n"/>
      <c r="N303" s="170" t="n">
        <v>4443091</v>
      </c>
      <c r="O303" s="172" t="inlineStr">
        <is>
          <t>Lina Maria Montoya Gonzalez</t>
        </is>
      </c>
      <c r="P303" s="52" t="inlineStr">
        <is>
          <t>lmontoya@iconstructora.com.co</t>
        </is>
      </c>
    </row>
    <row r="304">
      <c r="B304" s="170" t="n">
        <v>292</v>
      </c>
      <c r="C304" s="199" t="inlineStr">
        <is>
          <t>COTIZACION DEL DISEÑO DE DETECCIÓN DE INCENDIOS PARA EL PROYECTO SERIES SEATING</t>
        </is>
      </c>
      <c r="D304" s="312" t="n"/>
      <c r="E304" s="312" t="n"/>
      <c r="F304" s="312" t="n"/>
      <c r="G304" s="312" t="n"/>
      <c r="H304" s="312" t="n"/>
      <c r="I304" s="313" t="n"/>
      <c r="J304" s="199" t="inlineStr">
        <is>
          <t>SPCI</t>
        </is>
      </c>
      <c r="K304" s="314" t="n">
        <v>9950000</v>
      </c>
      <c r="L304" s="2" t="n">
        <v>45119</v>
      </c>
      <c r="M304" s="170" t="n"/>
      <c r="N304" s="170" t="n"/>
      <c r="O304" s="170" t="inlineStr">
        <is>
          <t>Hernán Ortiz Grajales</t>
        </is>
      </c>
      <c r="P304" s="52" t="inlineStr">
        <is>
          <t>hernan.ortiz@spci.com.co</t>
        </is>
      </c>
    </row>
    <row r="305">
      <c r="B305" s="170" t="n">
        <v>293</v>
      </c>
      <c r="C305" s="199" t="inlineStr">
        <is>
          <t>COTIZACION DE LOS DISEÑOS DE SEGURIDAD HUMANA Y EXTINCIÓN DE INCENDIOS - LOS PARRA</t>
        </is>
      </c>
      <c r="D305" s="312" t="n"/>
      <c r="E305" s="312" t="n"/>
      <c r="F305" s="312" t="n"/>
      <c r="G305" s="312" t="n"/>
      <c r="H305" s="312" t="n"/>
      <c r="I305" s="313" t="n"/>
      <c r="J305" s="199" t="inlineStr">
        <is>
          <t>IA&amp;C</t>
        </is>
      </c>
      <c r="K305" s="314" t="n">
        <v>29950000</v>
      </c>
      <c r="L305" s="2" t="n">
        <v>45120</v>
      </c>
      <c r="M305" s="170" t="n"/>
      <c r="N305" s="52" t="inlineStr">
        <is>
          <t>312 653 62 46</t>
        </is>
      </c>
      <c r="O305" s="172" t="inlineStr">
        <is>
          <t>JORGE ANDRES ROJAS C.</t>
        </is>
      </c>
      <c r="P305" s="52" t="inlineStr">
        <is>
          <t>jorgerojas@iayc.co</t>
        </is>
      </c>
    </row>
    <row r="306">
      <c r="B306" s="170" t="n">
        <v>294</v>
      </c>
      <c r="C306" s="199" t="inlineStr">
        <is>
          <t>COTIZACION DISEÑO EXTINCIÓ CUARTO DE BOMBAS ROBLEDO TDEA</t>
        </is>
      </c>
      <c r="D306" s="312" t="n"/>
      <c r="E306" s="312" t="n"/>
      <c r="F306" s="312" t="n"/>
      <c r="G306" s="312" t="n"/>
      <c r="H306" s="312" t="n"/>
      <c r="I306" s="313" t="n"/>
      <c r="J306" s="199" t="inlineStr">
        <is>
          <t>SECURETEC</t>
        </is>
      </c>
      <c r="K306" s="314" t="n">
        <v>2500000</v>
      </c>
      <c r="L306" s="2" t="n">
        <v>45121</v>
      </c>
      <c r="M306" s="170" t="n"/>
      <c r="N306" s="170" t="n">
        <v>3206678830</v>
      </c>
      <c r="O306" s="172" t="inlineStr">
        <is>
          <t>Jhonny Castro</t>
        </is>
      </c>
      <c r="P306" s="52" t="inlineStr">
        <is>
          <t>dirproyectos@securetec.com.co</t>
        </is>
      </c>
    </row>
    <row r="307">
      <c r="B307" s="170" t="n">
        <v>295</v>
      </c>
      <c r="C307" s="199" t="inlineStr">
        <is>
          <t>COTIZACION DE LOS DISEÑOS DE PROTECCIÓN CONTRA INCENDIOS - PROYECTO LOCAL BOGOTÁ</t>
        </is>
      </c>
      <c r="D307" s="312" t="n"/>
      <c r="E307" s="312" t="n"/>
      <c r="F307" s="312" t="n"/>
      <c r="G307" s="312" t="n"/>
      <c r="H307" s="312" t="n"/>
      <c r="I307" s="313" t="n"/>
      <c r="J307" s="199" t="inlineStr">
        <is>
          <t>SPCI</t>
        </is>
      </c>
      <c r="K307" s="314" t="n">
        <v>2000000</v>
      </c>
      <c r="L307" s="2" t="n">
        <v>45121</v>
      </c>
      <c r="M307" s="170" t="n"/>
      <c r="N307" s="170" t="inlineStr">
        <is>
          <t>310 4165783</t>
        </is>
      </c>
      <c r="O307" s="170" t="inlineStr">
        <is>
          <t>Cristiam Gustavo Mondragon Cortes</t>
        </is>
      </c>
      <c r="P307" s="52" t="inlineStr">
        <is>
          <t>cristiam.mondragon@spci.com.co</t>
        </is>
      </c>
    </row>
    <row r="308">
      <c r="B308" s="170" t="n">
        <v>296</v>
      </c>
      <c r="C308" s="199" t="inlineStr">
        <is>
          <t>COTIZACION DEL DISEÑO DE DETECCIÓN DE INCENDIOS PARA EL PROYECTO GENIUS SPORTS</t>
        </is>
      </c>
      <c r="D308" s="312" t="n"/>
      <c r="E308" s="312" t="n"/>
      <c r="F308" s="312" t="n"/>
      <c r="G308" s="312" t="n"/>
      <c r="H308" s="312" t="n"/>
      <c r="I308" s="313" t="n"/>
      <c r="J308" s="199" t="inlineStr">
        <is>
          <t>SFIRE GROUP</t>
        </is>
      </c>
      <c r="K308" s="314" t="n">
        <v>4950000</v>
      </c>
      <c r="L308" s="2" t="n">
        <v>45124</v>
      </c>
      <c r="M308" s="170" t="n"/>
      <c r="N308" s="170" t="n">
        <v>3108227462</v>
      </c>
      <c r="O308" s="172" t="inlineStr">
        <is>
          <t>Alvaro Monasalva</t>
        </is>
      </c>
      <c r="P308" s="52" t="inlineStr">
        <is>
          <t>alvaromanosalva@sfiregroup.com</t>
        </is>
      </c>
    </row>
    <row r="309">
      <c r="B309" s="170" t="n">
        <v>297</v>
      </c>
      <c r="C309" s="199" t="inlineStr">
        <is>
          <t>COTIZACION REDISEÑOS DE SEGURIDAD HUMANA Y EXTINCIÓN DE INCENDIOS -MENTE PLENA ZUÑIGA</t>
        </is>
      </c>
      <c r="D309" s="312" t="n"/>
      <c r="E309" s="312" t="n"/>
      <c r="F309" s="312" t="n"/>
      <c r="G309" s="312" t="n"/>
      <c r="H309" s="312" t="n"/>
      <c r="I309" s="313" t="n"/>
      <c r="J309" s="199" t="inlineStr">
        <is>
          <t>MENTE PLENA ZUÑIGA</t>
        </is>
      </c>
      <c r="K309" s="314" t="n">
        <v>3500000</v>
      </c>
      <c r="L309" s="2" t="n">
        <v>45125</v>
      </c>
      <c r="M309" s="170" t="n"/>
      <c r="N309" s="170" t="inlineStr">
        <is>
          <t>311 3515933</t>
        </is>
      </c>
      <c r="O309" s="170" t="inlineStr">
        <is>
          <t>Jorge Arango</t>
        </is>
      </c>
      <c r="P309" s="52" t="inlineStr">
        <is>
          <t>interventoria.menteplena@gmail.com</t>
        </is>
      </c>
    </row>
    <row r="310">
      <c r="B310" s="170" t="n">
        <v>298</v>
      </c>
      <c r="C310" s="199" t="inlineStr">
        <is>
          <t>COTIZACION DE LOS DISEÑOS DE PROTECCIÓN CONTRA INCENDIOS - OFICINA</t>
        </is>
      </c>
      <c r="D310" s="312" t="n"/>
      <c r="E310" s="312" t="n"/>
      <c r="F310" s="312" t="n"/>
      <c r="G310" s="312" t="n"/>
      <c r="H310" s="312" t="n"/>
      <c r="I310" s="313" t="n"/>
      <c r="J310" s="199" t="inlineStr">
        <is>
          <t>Comex Internacional</t>
        </is>
      </c>
      <c r="K310" s="314" t="n">
        <v>2300000</v>
      </c>
      <c r="L310" s="2" t="n">
        <v>45126</v>
      </c>
      <c r="M310" s="170" t="n"/>
      <c r="N310" s="170" t="inlineStr">
        <is>
          <t>311 3227629</t>
        </is>
      </c>
      <c r="O310" s="170" t="inlineStr">
        <is>
          <t>Juan Hernando Pérez</t>
        </is>
      </c>
      <c r="P310" s="52" t="n"/>
    </row>
    <row r="311">
      <c r="B311" s="170" t="n">
        <v>299</v>
      </c>
      <c r="C311" s="200" t="inlineStr">
        <is>
          <t>COTIZACION DE LOS DISEÑOS DE PROTECCIÓN CONTRA INCENDIOS Y SEGURIDAD HUMANA - NODO SEVILLA UNIVALLE</t>
        </is>
      </c>
      <c r="D311" s="312" t="n"/>
      <c r="E311" s="312" t="n"/>
      <c r="F311" s="312" t="n"/>
      <c r="G311" s="312" t="n"/>
      <c r="H311" s="312" t="n"/>
      <c r="I311" s="312" t="n"/>
      <c r="J311" s="199" t="inlineStr">
        <is>
          <t>INGENIO BIM</t>
        </is>
      </c>
      <c r="K311" s="314" t="n">
        <v>9450000</v>
      </c>
      <c r="L311" s="3" t="n">
        <v>45131</v>
      </c>
      <c r="M311" s="6" t="n"/>
      <c r="N311" s="170" t="n">
        <v>3107358330</v>
      </c>
      <c r="O311" s="170" t="inlineStr">
        <is>
          <t>Daniel Guzmán Duque</t>
        </is>
      </c>
      <c r="P311" s="52" t="inlineStr">
        <is>
          <t>daniel.guzman@ingeniobim.co</t>
        </is>
      </c>
    </row>
    <row r="312" ht="15" customHeight="1">
      <c r="B312" s="170" t="n">
        <v>300</v>
      </c>
      <c r="C312" s="199" t="inlineStr">
        <is>
          <t>COTIZACION DE LOS DISEÑOS DE SEGURIDAD HUMANA Y PROTECCIÓN CONTRA INCENDIOS - ZINNIA</t>
        </is>
      </c>
      <c r="D312" s="312" t="n"/>
      <c r="E312" s="312" t="n"/>
      <c r="F312" s="312" t="n"/>
      <c r="G312" s="312" t="n"/>
      <c r="H312" s="312" t="n"/>
      <c r="I312" s="313" t="n"/>
      <c r="J312" s="199" t="inlineStr">
        <is>
          <t>ARQUITECTURA Y CONCRETO</t>
        </is>
      </c>
      <c r="K312" s="314" t="n">
        <v>29950000</v>
      </c>
      <c r="L312" s="2" t="n">
        <v>45129</v>
      </c>
      <c r="M312" s="170" t="n"/>
      <c r="N312" s="170" t="inlineStr">
        <is>
          <t>312 7218621</t>
        </is>
      </c>
      <c r="O312" s="172" t="inlineStr">
        <is>
          <t>Robinson Marulanda</t>
        </is>
      </c>
      <c r="P312" s="52" t="inlineStr">
        <is>
          <t>obinsonmarulanda@arquitecturayconcreto.com</t>
        </is>
      </c>
    </row>
    <row r="313">
      <c r="B313" s="170" t="n">
        <v>301</v>
      </c>
      <c r="C313" s="233" t="inlineStr">
        <is>
          <t>COTIZACION DE LOS DISEÑOS DE PROTECCIÓN CONTRA INCENDIOS - ABASTECIMIENTO AGUA POTABLE UNIVALLE</t>
        </is>
      </c>
      <c r="D313" s="312" t="n"/>
      <c r="E313" s="312" t="n"/>
      <c r="F313" s="312" t="n"/>
      <c r="G313" s="312" t="n"/>
      <c r="H313" s="312" t="n"/>
      <c r="I313" s="313" t="n"/>
      <c r="J313" s="199" t="inlineStr">
        <is>
          <t>INGENIO BIM</t>
        </is>
      </c>
      <c r="K313" s="314" t="n">
        <v>3760000</v>
      </c>
      <c r="L313" s="2" t="n">
        <v>45132</v>
      </c>
      <c r="M313" s="170" t="n"/>
      <c r="N313" s="170" t="n">
        <v>3107358330</v>
      </c>
      <c r="O313" s="170" t="inlineStr">
        <is>
          <t>Daniel Guzmán Duque</t>
        </is>
      </c>
      <c r="P313" s="52" t="inlineStr">
        <is>
          <t>daniel.guzman@ingeniobim.co</t>
        </is>
      </c>
    </row>
    <row r="314">
      <c r="B314" s="170" t="n">
        <v>302</v>
      </c>
      <c r="C314" s="199" t="inlineStr">
        <is>
          <t>COTIZACION DE LOS DISEÑOS DE SEGURIDAD HUMANA Y PROTECCIÓN CONTRA INCENDIOS - MINERATTO</t>
        </is>
      </c>
      <c r="D314" s="312" t="n"/>
      <c r="E314" s="312" t="n"/>
      <c r="F314" s="312" t="n"/>
      <c r="G314" s="312" t="n"/>
      <c r="H314" s="312" t="n"/>
      <c r="I314" s="313" t="n"/>
      <c r="J314" s="235" t="inlineStr">
        <is>
          <t>INGESED</t>
        </is>
      </c>
      <c r="K314" s="314" t="n">
        <v>52980000</v>
      </c>
      <c r="L314" s="2" t="n">
        <v>45132</v>
      </c>
      <c r="M314" s="170" t="n"/>
      <c r="N314" s="170" t="inlineStr">
        <is>
          <t>313 5401714</t>
        </is>
      </c>
      <c r="O314" s="172" t="inlineStr">
        <is>
          <t>Eliana Isabel Cardona Ríos</t>
        </is>
      </c>
      <c r="P314" s="52" t="inlineStr">
        <is>
          <t>comercial@ingesed.com</t>
        </is>
      </c>
    </row>
    <row r="315">
      <c r="B315" s="170" t="n">
        <v>303</v>
      </c>
      <c r="C315" s="199" t="inlineStr">
        <is>
          <t>COTIZACION DEL DISEÑO DE EXTINCIÓN DE INCENDIOS - PROAL 090 JARDÍN PLAZA</t>
        </is>
      </c>
      <c r="D315" s="312" t="n"/>
      <c r="E315" s="312" t="n"/>
      <c r="F315" s="312" t="n"/>
      <c r="G315" s="312" t="n"/>
      <c r="H315" s="312" t="n"/>
      <c r="I315" s="313" t="n"/>
      <c r="J315" s="199" t="inlineStr">
        <is>
          <t>SPCI</t>
        </is>
      </c>
      <c r="K315" s="314" t="n">
        <v>1200000</v>
      </c>
      <c r="L315" s="2" t="n">
        <v>45132</v>
      </c>
      <c r="M315" s="170" t="n"/>
      <c r="N315" s="170" t="inlineStr">
        <is>
          <t>310 4165783</t>
        </is>
      </c>
      <c r="O315" s="170" t="inlineStr">
        <is>
          <t>Cristiam Gustavo Mondragon Cortes</t>
        </is>
      </c>
      <c r="P315" s="52" t="inlineStr">
        <is>
          <t>cristiam.mondragon@spci.com.co</t>
        </is>
      </c>
    </row>
    <row r="316">
      <c r="B316" s="170" t="n">
        <v>304</v>
      </c>
      <c r="C316" s="246" t="inlineStr">
        <is>
          <t>COTIZACION DEL DISEÑO DE EXTINCIÓN DE INCENDIOS - SURDOZ</t>
        </is>
      </c>
      <c r="D316" s="312" t="n"/>
      <c r="E316" s="312" t="n"/>
      <c r="F316" s="312" t="n"/>
      <c r="G316" s="312" t="n"/>
      <c r="H316" s="312" t="n"/>
      <c r="I316" s="313" t="n"/>
      <c r="J316" s="199" t="inlineStr">
        <is>
          <t>SECURETEC</t>
        </is>
      </c>
      <c r="K316" s="314" t="n">
        <v>1650000</v>
      </c>
      <c r="L316" s="2" t="n">
        <v>45133</v>
      </c>
      <c r="M316" s="170" t="n"/>
      <c r="N316" s="170" t="n">
        <v>3014111727</v>
      </c>
      <c r="O316" s="170" t="inlineStr">
        <is>
          <t>Julian David Camacho</t>
        </is>
      </c>
      <c r="P316" s="52" t="inlineStr">
        <is>
          <t>ascomercial2@securetec.com.co</t>
        </is>
      </c>
    </row>
    <row r="317">
      <c r="B317" s="170" t="n">
        <v>305</v>
      </c>
      <c r="C317" s="246" t="inlineStr">
        <is>
          <t>COTIZACION DEL DISEÑO DE EXTINCIÓN DE INCENDIOS - STAFF MUSICAL</t>
        </is>
      </c>
      <c r="D317" s="312" t="n"/>
      <c r="E317" s="312" t="n"/>
      <c r="F317" s="312" t="n"/>
      <c r="G317" s="312" t="n"/>
      <c r="H317" s="312" t="n"/>
      <c r="I317" s="313" t="n"/>
      <c r="J317" s="199" t="inlineStr">
        <is>
          <t>SECURETEC</t>
        </is>
      </c>
      <c r="K317" s="314" t="n">
        <v>1650000</v>
      </c>
      <c r="L317" s="2" t="n">
        <v>45133</v>
      </c>
      <c r="M317" s="170" t="n"/>
      <c r="N317" s="170" t="n">
        <v>3014111728</v>
      </c>
      <c r="O317" s="170" t="inlineStr">
        <is>
          <t>Julian David Camacho</t>
        </is>
      </c>
      <c r="P317" s="52" t="inlineStr">
        <is>
          <t>ascomercial2@securetec.com.co</t>
        </is>
      </c>
    </row>
    <row r="318">
      <c r="B318" s="170" t="n">
        <v>306</v>
      </c>
      <c r="C318" s="199" t="inlineStr">
        <is>
          <t>COTIZACION EVALUACIÓN SISTEMA DE BOMBEO DE EXTINCIÓN DE INCENIDOS Y DISEÑO DE HIDRANTES - VIVA FONTIBÓN</t>
        </is>
      </c>
      <c r="D318" s="312" t="n"/>
      <c r="E318" s="312" t="n"/>
      <c r="F318" s="312" t="n"/>
      <c r="G318" s="312" t="n"/>
      <c r="H318" s="312" t="n"/>
      <c r="I318" s="313" t="n"/>
      <c r="J318" s="199" t="inlineStr">
        <is>
          <t>SPCI</t>
        </is>
      </c>
      <c r="K318" s="314" t="n">
        <v>6770000</v>
      </c>
      <c r="L318" s="2" t="n">
        <v>45134</v>
      </c>
      <c r="M318" s="170" t="n"/>
      <c r="N318" s="170" t="n">
        <v>3137546144</v>
      </c>
      <c r="O318" s="170" t="inlineStr">
        <is>
          <t xml:space="preserve"> Juan Camilo Quintero Bedoya</t>
        </is>
      </c>
      <c r="P318" s="52" t="inlineStr">
        <is>
          <t>camilo.quintero@spci.com.co</t>
        </is>
      </c>
    </row>
    <row r="319">
      <c r="B319" s="170" t="n">
        <v>307</v>
      </c>
      <c r="C319" s="233" t="inlineStr">
        <is>
          <t>COTIZACION DEL ANÁLISIS DE SEGURIDAD HUMANA - CLÍNICA CALLE 45B VIVA 1A IPS</t>
        </is>
      </c>
      <c r="D319" s="312" t="n"/>
      <c r="E319" s="312" t="n"/>
      <c r="F319" s="312" t="n"/>
      <c r="G319" s="312" t="n"/>
      <c r="H319" s="312" t="n"/>
      <c r="I319" s="313" t="n"/>
      <c r="J319" s="199" t="inlineStr">
        <is>
          <t>VIVA 1A IPS</t>
        </is>
      </c>
      <c r="K319" s="314" t="n">
        <v>3140000</v>
      </c>
      <c r="L319" s="2" t="n">
        <v>45134</v>
      </c>
      <c r="M319" s="2" t="n"/>
      <c r="N319" s="170" t="n">
        <v>3163995153</v>
      </c>
      <c r="O319" s="172" t="inlineStr">
        <is>
          <t>Fabio Gomez Cantino</t>
        </is>
      </c>
      <c r="P319" s="52" t="inlineStr">
        <is>
          <t>fgomez@viva1a.com.co</t>
        </is>
      </c>
    </row>
    <row r="320">
      <c r="B320" s="170" t="n">
        <v>308</v>
      </c>
      <c r="C320" s="199" t="inlineStr">
        <is>
          <t>COTIZACION DE LOS PLANOS RECORD DE EXTINCIÓN DE INCENDIOS PARA 2 TORRE DE 26 PISOS</t>
        </is>
      </c>
      <c r="D320" s="312" t="n"/>
      <c r="E320" s="312" t="n"/>
      <c r="F320" s="312" t="n"/>
      <c r="G320" s="312" t="n"/>
      <c r="H320" s="312" t="n"/>
      <c r="I320" s="313" t="n"/>
      <c r="J320" s="199" t="inlineStr">
        <is>
          <t>SPCI</t>
        </is>
      </c>
      <c r="K320" s="314" t="n">
        <v>1500000</v>
      </c>
      <c r="L320" s="2" t="n">
        <v>45134</v>
      </c>
      <c r="M320" s="170" t="n"/>
      <c r="N320" s="170" t="n">
        <v>3214826168</v>
      </c>
      <c r="O320" s="172" t="inlineStr">
        <is>
          <t>Ana Maria Restrepo Mayo</t>
        </is>
      </c>
      <c r="P320" s="52" t="inlineStr">
        <is>
          <t>licitaciones@spci.com.co</t>
        </is>
      </c>
    </row>
    <row r="321">
      <c r="B321" s="170" t="n">
        <v>309</v>
      </c>
      <c r="C321" s="246" t="inlineStr">
        <is>
          <t>COTIZACION DEL DISEÑO DE EXTINCIÓN DE INCENDIOS - 1010</t>
        </is>
      </c>
      <c r="D321" s="312" t="n"/>
      <c r="E321" s="312" t="n"/>
      <c r="F321" s="312" t="n"/>
      <c r="G321" s="312" t="n"/>
      <c r="H321" s="312" t="n"/>
      <c r="I321" s="313" t="n"/>
      <c r="J321" s="199" t="n"/>
      <c r="K321" s="314" t="n">
        <v>12950000</v>
      </c>
      <c r="L321" s="2" t="n">
        <v>45135</v>
      </c>
      <c r="M321" s="170" t="n"/>
      <c r="N321" s="170" t="n">
        <v>3004496232</v>
      </c>
      <c r="O321" s="172" t="inlineStr">
        <is>
          <t>Sandra Gómez</t>
        </is>
      </c>
      <c r="P321" s="52" t="inlineStr">
        <is>
          <t>sandra@urbica.co</t>
        </is>
      </c>
    </row>
    <row r="322">
      <c r="B322" s="170" t="n">
        <v>310</v>
      </c>
      <c r="C322" s="199" t="inlineStr">
        <is>
          <t>COTIZACION DE LOS DISEÑOS DE SEGURIDAD HUMANA Y PROTECCIÓN CONTRA INCENDIOS - EDIFICIO BUCARAMANGA</t>
        </is>
      </c>
      <c r="D322" s="312" t="n"/>
      <c r="E322" s="312" t="n"/>
      <c r="F322" s="312" t="n"/>
      <c r="G322" s="312" t="n"/>
      <c r="H322" s="312" t="n"/>
      <c r="I322" s="313" t="n"/>
      <c r="J322" s="199" t="inlineStr">
        <is>
          <t>INGESED</t>
        </is>
      </c>
      <c r="K322" s="314" t="n">
        <v>9970000</v>
      </c>
      <c r="L322" s="2" t="n">
        <v>45138</v>
      </c>
      <c r="M322" s="170" t="n"/>
      <c r="N322" s="170" t="inlineStr">
        <is>
          <t>313 5401714</t>
        </is>
      </c>
      <c r="O322" s="172" t="inlineStr">
        <is>
          <t>Eliana Isabel Cardona Ríos</t>
        </is>
      </c>
      <c r="P322" s="52" t="inlineStr">
        <is>
          <t>comercial@ingesed.com</t>
        </is>
      </c>
    </row>
    <row r="323">
      <c r="B323" s="170" t="n">
        <v>311</v>
      </c>
      <c r="C323" s="199" t="inlineStr">
        <is>
          <t>COTIZACION DE LOS DISEÑOS DE SEGURIDAD HUMANA Y PROTECCIÓN CONTRA INCENDIOS - ENTREVILLAS ETAPA 6</t>
        </is>
      </c>
      <c r="D323" s="312" t="n"/>
      <c r="E323" s="312" t="n"/>
      <c r="F323" s="312" t="n"/>
      <c r="G323" s="312" t="n"/>
      <c r="H323" s="312" t="n"/>
      <c r="I323" s="313" t="n"/>
      <c r="J323" s="199" t="inlineStr">
        <is>
          <t>Soluciones Civiles</t>
        </is>
      </c>
      <c r="K323" s="314" t="n">
        <v>16940000</v>
      </c>
      <c r="L323" s="2" t="n">
        <v>45138</v>
      </c>
      <c r="M323" s="170" t="n"/>
      <c r="N323" s="170" t="n">
        <v>3176377118</v>
      </c>
      <c r="O323" s="170" t="inlineStr">
        <is>
          <t>Anabel Ortiz Campo</t>
        </is>
      </c>
      <c r="P323" s="52" t="inlineStr">
        <is>
          <t>villaterrat2@gmail.com</t>
        </is>
      </c>
    </row>
    <row r="324">
      <c r="B324" s="170" t="n">
        <v>312</v>
      </c>
      <c r="C324" s="199" t="inlineStr">
        <is>
          <t>COTIZACION DE LOS DISEÑOS DE SEGURIDAD HUMANA Y PROTECCIÓN CONTRA INCENDIOS - PLANTA DE VALORACIÓN Y TRATAMIENTO DE RESUDUOS</t>
        </is>
      </c>
      <c r="D324" s="312" t="n"/>
      <c r="E324" s="312" t="n"/>
      <c r="F324" s="312" t="n"/>
      <c r="G324" s="312" t="n"/>
      <c r="H324" s="312" t="n"/>
      <c r="I324" s="313" t="n"/>
      <c r="J324" s="199" t="inlineStr">
        <is>
          <t>SPCI</t>
        </is>
      </c>
      <c r="K324" s="314" t="n">
        <v>19940000</v>
      </c>
      <c r="L324" s="2" t="n">
        <v>45138</v>
      </c>
      <c r="M324" s="170" t="n"/>
      <c r="N324" s="170" t="inlineStr">
        <is>
          <t>310 4165783</t>
        </is>
      </c>
      <c r="O324" s="170" t="inlineStr">
        <is>
          <t>Cristiam Gustavo Mondragon Cortes</t>
        </is>
      </c>
      <c r="P324" s="52" t="inlineStr">
        <is>
          <t>cristiam.mondragon@spci.com.co</t>
        </is>
      </c>
    </row>
    <row r="325">
      <c r="B325" s="170" t="n">
        <v>313</v>
      </c>
      <c r="C325" s="199" t="inlineStr">
        <is>
          <t>COTIZACION DEL DISEÑO DE DETECCIÓN DE INCENDIOS - PPROYECTO ISABELITA</t>
        </is>
      </c>
      <c r="D325" s="312" t="n"/>
      <c r="E325" s="312" t="n"/>
      <c r="F325" s="312" t="n"/>
      <c r="G325" s="312" t="n"/>
      <c r="H325" s="312" t="n"/>
      <c r="I325" s="313" t="n"/>
      <c r="J325" s="199" t="inlineStr">
        <is>
          <t>SOCOMES</t>
        </is>
      </c>
      <c r="K325" s="314" t="n">
        <v>6960000</v>
      </c>
      <c r="L325" s="2" t="n">
        <v>45139</v>
      </c>
      <c r="M325" s="170" t="n"/>
      <c r="N325" s="170" t="n">
        <v>3137851941</v>
      </c>
      <c r="O325" s="172" t="inlineStr">
        <is>
          <t>David Lopera Medina</t>
        </is>
      </c>
      <c r="P325" s="52" t="inlineStr">
        <is>
          <t>david.lopera@socomes.com</t>
        </is>
      </c>
    </row>
    <row r="326">
      <c r="B326" s="170" t="n">
        <v>314</v>
      </c>
      <c r="C326" s="199" t="inlineStr">
        <is>
          <t>COTIZACION DE LOS DISEÑOS DE SEGURIDAD HUMANA Y PROTECCIÓN CONTRA INCENDIOS - LOOP AVITUALLA</t>
        </is>
      </c>
      <c r="D326" s="312" t="n"/>
      <c r="E326" s="312" t="n"/>
      <c r="F326" s="312" t="n"/>
      <c r="G326" s="312" t="n"/>
      <c r="H326" s="312" t="n"/>
      <c r="I326" s="313" t="n"/>
      <c r="J326" s="199" t="inlineStr">
        <is>
          <t>VIVELOOP</t>
        </is>
      </c>
      <c r="K326" s="314" t="n">
        <v>9950000</v>
      </c>
      <c r="L326" s="2" t="n">
        <v>45139</v>
      </c>
      <c r="M326" s="2" t="n"/>
      <c r="N326" s="170" t="n">
        <v>3104297183</v>
      </c>
      <c r="O326" s="172" t="inlineStr">
        <is>
          <t>Valentina Alzate</t>
        </is>
      </c>
      <c r="P326" s="99" t="inlineStr">
        <is>
          <t>d.tecnica@viveloop.com</t>
        </is>
      </c>
    </row>
    <row r="327">
      <c r="B327" s="170" t="n">
        <v>315</v>
      </c>
      <c r="C327" s="199" t="inlineStr">
        <is>
          <t>COTIZACION DEL DISEÑO DE EXTINCIÓN DE INCENDIOS - CUARTOS TÉCNICOS Y CUARTO DE MONTACARGAS LEBRIJA</t>
        </is>
      </c>
      <c r="D327" s="312" t="n"/>
      <c r="E327" s="312" t="n"/>
      <c r="F327" s="312" t="n"/>
      <c r="G327" s="312" t="n"/>
      <c r="H327" s="312" t="n"/>
      <c r="I327" s="313" t="n"/>
      <c r="J327" s="199" t="inlineStr">
        <is>
          <t>SPCI</t>
        </is>
      </c>
      <c r="K327" s="314" t="n">
        <v>2300000</v>
      </c>
      <c r="L327" s="2" t="n">
        <v>45140</v>
      </c>
      <c r="M327" s="170" t="n"/>
      <c r="N327" s="170" t="inlineStr">
        <is>
          <t>310 2677466</t>
        </is>
      </c>
      <c r="O327" s="172" t="inlineStr">
        <is>
          <t>Juan David Vanegas</t>
        </is>
      </c>
      <c r="P327" s="82" t="inlineStr">
        <is>
          <t>juan.vanegas@spci.com.co</t>
        </is>
      </c>
    </row>
    <row r="328">
      <c r="B328" s="170" t="n">
        <v>316</v>
      </c>
      <c r="C328" s="199" t="inlineStr">
        <is>
          <t>COTIZACION DE LOS DISEÑOS DE PROTECCIÓN CONTRA INCENDIOS - SALA DE DESCANSO CLÍNICA DEL COUNTRY</t>
        </is>
      </c>
      <c r="D328" s="312" t="n"/>
      <c r="E328" s="312" t="n"/>
      <c r="F328" s="312" t="n"/>
      <c r="G328" s="312" t="n"/>
      <c r="H328" s="312" t="n"/>
      <c r="I328" s="313" t="n"/>
      <c r="J328" s="199" t="inlineStr">
        <is>
          <t>CONDISEÑO</t>
        </is>
      </c>
      <c r="K328" s="314" t="n">
        <v>4200000</v>
      </c>
      <c r="L328" s="2" t="n">
        <v>45141</v>
      </c>
      <c r="M328" s="170" t="n"/>
      <c r="N328" s="170" t="n">
        <v>3175594091</v>
      </c>
      <c r="O328" s="170" t="inlineStr">
        <is>
          <t>Nakary García Romero</t>
        </is>
      </c>
      <c r="P328" s="52" t="inlineStr">
        <is>
          <t>n.garcia@condiseno.co</t>
        </is>
      </c>
    </row>
    <row r="329">
      <c r="B329" s="170" t="n">
        <v>317</v>
      </c>
      <c r="C329" s="199" t="inlineStr">
        <is>
          <t>COTIZACION DEL DISEÑO DE EXTINCIÓN DE INCENDIOS - ED NIRVANA SANTA MARTA</t>
        </is>
      </c>
      <c r="D329" s="312" t="n"/>
      <c r="E329" s="312" t="n"/>
      <c r="F329" s="312" t="n"/>
      <c r="G329" s="312" t="n"/>
      <c r="H329" s="312" t="n"/>
      <c r="I329" s="313" t="n"/>
      <c r="J329" s="199" t="inlineStr">
        <is>
          <t>CELESTE Y PIEDRA</t>
        </is>
      </c>
      <c r="K329" s="314" t="n">
        <v>14950000</v>
      </c>
      <c r="L329" s="2" t="n">
        <v>45142</v>
      </c>
      <c r="M329" s="2" t="n"/>
      <c r="N329" s="170" t="n">
        <v>3014378233</v>
      </c>
      <c r="O329" s="172" t="inlineStr">
        <is>
          <t>Jonnatan Alvarez Rueda</t>
        </is>
      </c>
      <c r="P329" s="52" t="inlineStr">
        <is>
          <t>j.alvarez@celesteypiedra.com</t>
        </is>
      </c>
    </row>
    <row r="330">
      <c r="B330" s="170" t="n">
        <v>318</v>
      </c>
      <c r="C330" s="199" t="inlineStr">
        <is>
          <t>COTIZACION DE LOS DISEÑOS DE SEGURIDAD HUMANA Y PROTECCIÓN CONTRA INCENDIOS - MUSEO MAJA</t>
        </is>
      </c>
      <c r="D330" s="312" t="n"/>
      <c r="E330" s="312" t="n"/>
      <c r="F330" s="312" t="n"/>
      <c r="G330" s="312" t="n"/>
      <c r="H330" s="312" t="n"/>
      <c r="I330" s="313" t="n"/>
      <c r="J330" s="199" t="inlineStr">
        <is>
          <t>ODA ARQUITECTURA</t>
        </is>
      </c>
      <c r="K330" s="314" t="n">
        <v>9950000</v>
      </c>
      <c r="L330" s="2" t="n">
        <v>45142</v>
      </c>
      <c r="M330" s="170" t="n"/>
      <c r="N330" s="170" t="inlineStr">
        <is>
          <t>310 5232629</t>
        </is>
      </c>
      <c r="O330" s="172" t="inlineStr">
        <is>
          <t>Pablo Mateo</t>
        </is>
      </c>
      <c r="P330" s="52" t="inlineStr">
        <is>
          <t>plablomateo@yahoo.com</t>
        </is>
      </c>
    </row>
    <row r="331">
      <c r="B331" s="170" t="n">
        <v>319</v>
      </c>
      <c r="C331" s="199" t="inlineStr">
        <is>
          <t>COTIZACION DE LOS DISEÑOS DE SEGURIDAD HUMANA Y PROTECCIÓN CONTRA INCENDIOS - TEATRO APARTADÓ</t>
        </is>
      </c>
      <c r="D331" s="312" t="n"/>
      <c r="E331" s="312" t="n"/>
      <c r="F331" s="312" t="n"/>
      <c r="G331" s="312" t="n"/>
      <c r="H331" s="312" t="n"/>
      <c r="I331" s="313" t="n"/>
      <c r="J331" s="199" t="inlineStr">
        <is>
          <t>ODA ARQUITECTURA</t>
        </is>
      </c>
      <c r="K331" s="314" t="n">
        <v>7950000</v>
      </c>
      <c r="L331" s="2" t="n">
        <v>45142</v>
      </c>
      <c r="M331" s="170" t="n"/>
      <c r="N331" s="170" t="inlineStr">
        <is>
          <t>310 5232629</t>
        </is>
      </c>
      <c r="O331" s="172" t="inlineStr">
        <is>
          <t>Pablo Mateo</t>
        </is>
      </c>
      <c r="P331" s="52" t="inlineStr">
        <is>
          <t>plablomateo@yahoo.com</t>
        </is>
      </c>
    </row>
    <row r="332">
      <c r="B332" s="170" t="n">
        <v>320</v>
      </c>
      <c r="C332" s="199" t="inlineStr">
        <is>
          <t>COTIZACION DE LOS DISEÑOS DE SEGURIDAD HUMANA Y PROTECCIÓN CONTRA INCENDIOS - WEG</t>
        </is>
      </c>
      <c r="D332" s="312" t="n"/>
      <c r="E332" s="312" t="n"/>
      <c r="F332" s="312" t="n"/>
      <c r="G332" s="312" t="n"/>
      <c r="H332" s="312" t="n"/>
      <c r="I332" s="313" t="n"/>
      <c r="J332" s="199" t="inlineStr">
        <is>
          <t>ARQUITECTURA Y CONCRETO</t>
        </is>
      </c>
      <c r="K332" s="314" t="n">
        <v>49950000</v>
      </c>
      <c r="L332" s="2" t="n">
        <v>45146</v>
      </c>
      <c r="M332" s="170" t="n"/>
      <c r="N332" s="170" t="inlineStr">
        <is>
          <t>312 7218621</t>
        </is>
      </c>
      <c r="O332" s="172" t="inlineStr">
        <is>
          <t>Robinson Marulanda</t>
        </is>
      </c>
      <c r="P332" s="52" t="inlineStr">
        <is>
          <t>obinsonmarulanda@arquitecturayconcreto.com</t>
        </is>
      </c>
    </row>
    <row r="333">
      <c r="B333" s="170" t="n">
        <v>321</v>
      </c>
      <c r="C333" s="233" t="inlineStr">
        <is>
          <t>COTIZACION DEL DISEÑO DE EXTINCIÓN DE INCENDIOS - HANGARES EN CARTAGENA</t>
        </is>
      </c>
      <c r="D333" s="312" t="n"/>
      <c r="E333" s="312" t="n"/>
      <c r="F333" s="312" t="n"/>
      <c r="G333" s="312" t="n"/>
      <c r="H333" s="312" t="n"/>
      <c r="I333" s="313" t="n"/>
      <c r="J333" s="199" t="inlineStr">
        <is>
          <t>SERIINCO</t>
        </is>
      </c>
      <c r="K333" s="314" t="n">
        <v>43900000</v>
      </c>
      <c r="L333" s="2" t="n">
        <v>45147</v>
      </c>
      <c r="M333" s="170" t="n"/>
      <c r="N333" s="170" t="inlineStr">
        <is>
          <t>311 3391008</t>
        </is>
      </c>
      <c r="O333" s="170" t="inlineStr">
        <is>
          <t>Carlos Henao</t>
        </is>
      </c>
      <c r="P333" s="52" t="inlineStr">
        <is>
          <t>carlos.henao@seriinco.com</t>
        </is>
      </c>
    </row>
    <row r="334">
      <c r="B334" s="170" t="n">
        <v>322</v>
      </c>
      <c r="C334" s="199" t="inlineStr">
        <is>
          <t>COTIZACION DE LOS DISEÑOS DE PROTECCIÓN CONTRA INCENDIOS - MANANTIALES DE SAN JOSÉ</t>
        </is>
      </c>
      <c r="D334" s="312" t="n"/>
      <c r="E334" s="312" t="n"/>
      <c r="F334" s="312" t="n"/>
      <c r="G334" s="312" t="n"/>
      <c r="H334" s="312" t="n"/>
      <c r="I334" s="313" t="n"/>
      <c r="J334" s="199" t="inlineStr">
        <is>
          <t>MANANTIALES DE SAN JOSÉ</t>
        </is>
      </c>
      <c r="K334" s="314" t="n">
        <v>15990000</v>
      </c>
      <c r="L334" s="2" t="n">
        <v>45147</v>
      </c>
      <c r="M334" s="170" t="n"/>
      <c r="N334" s="170" t="n">
        <v>3044779635</v>
      </c>
      <c r="O334" s="172" t="inlineStr">
        <is>
          <t>Yean Naranjo</t>
        </is>
      </c>
      <c r="P334" s="52" t="n"/>
    </row>
    <row r="335">
      <c r="B335" s="170" t="n">
        <v>323</v>
      </c>
      <c r="C335" s="199" t="inlineStr">
        <is>
          <t>COTIZACION DE LOS DISEÑOS DE SEGURIDAD HUMANA Y PROTECCIÓN CONTRA INCENDIOS - FABRICA CABO</t>
        </is>
      </c>
      <c r="D335" s="312" t="n"/>
      <c r="E335" s="312" t="n"/>
      <c r="F335" s="312" t="n"/>
      <c r="G335" s="312" t="n"/>
      <c r="H335" s="312" t="n"/>
      <c r="I335" s="313" t="n"/>
      <c r="J335" s="199" t="inlineStr">
        <is>
          <t>APLO</t>
        </is>
      </c>
      <c r="K335" s="314" t="n">
        <v>119500000</v>
      </c>
      <c r="L335" s="2" t="n">
        <v>45148</v>
      </c>
      <c r="M335" s="170" t="n"/>
      <c r="N335" s="170" t="n">
        <v>3194427924</v>
      </c>
      <c r="O335" s="172" t="inlineStr">
        <is>
          <t>Ana María Díaz</t>
        </is>
      </c>
      <c r="P335" s="52" t="inlineStr">
        <is>
          <t>aplostudio.info@gmail.com</t>
        </is>
      </c>
    </row>
    <row r="336">
      <c r="B336" s="170" t="n">
        <v>324</v>
      </c>
      <c r="C336" s="199" t="inlineStr">
        <is>
          <t>COTIZACION DE LOS DISEÑOS DE SEGURIDAD HUMANA Y PROTECCIÓN CONTRA INCENDIOS - MINERATTO</t>
        </is>
      </c>
      <c r="D336" s="312" t="n"/>
      <c r="E336" s="312" t="n"/>
      <c r="F336" s="312" t="n"/>
      <c r="G336" s="312" t="n"/>
      <c r="H336" s="312" t="n"/>
      <c r="I336" s="313" t="n"/>
      <c r="J336" s="235" t="inlineStr">
        <is>
          <t>MOLINO VIEJO</t>
        </is>
      </c>
      <c r="K336" s="314" t="n">
        <v>43840000</v>
      </c>
      <c r="L336" s="2" t="n">
        <v>45149</v>
      </c>
      <c r="M336" s="170" t="n"/>
      <c r="N336" s="170" t="n"/>
      <c r="O336" s="170" t="inlineStr">
        <is>
          <t>Roman Eduardo Pineda Ruiz</t>
        </is>
      </c>
      <c r="P336" s="52" t="inlineStr">
        <is>
          <t>arquitectura4@molinoviejo.co</t>
        </is>
      </c>
    </row>
    <row r="337">
      <c r="B337" s="170" t="n">
        <v>325</v>
      </c>
      <c r="C337" s="246" t="inlineStr">
        <is>
          <t>COTIZACION DE LOS REDISEÑOS DE SEGURIDAD HUMANA Y PROTECCIÓN CONTRA INCENDIOS - BORAL</t>
        </is>
      </c>
      <c r="D337" s="312" t="n"/>
      <c r="E337" s="312" t="n"/>
      <c r="F337" s="312" t="n"/>
      <c r="G337" s="312" t="n"/>
      <c r="H337" s="312" t="n"/>
      <c r="I337" s="313" t="n"/>
      <c r="J337" s="199" t="inlineStr">
        <is>
          <t>FCR</t>
        </is>
      </c>
      <c r="K337" s="314" t="n">
        <v>1050000</v>
      </c>
      <c r="L337" s="2" t="n">
        <v>45152</v>
      </c>
      <c r="M337" s="170" t="n"/>
      <c r="N337" s="172" t="n"/>
      <c r="O337" s="170" t="inlineStr">
        <is>
          <t>Carlos Lizarazo</t>
        </is>
      </c>
      <c r="P337" s="52" t="inlineStr">
        <is>
          <t>obra.lacalleja.fcr@gmail.com</t>
        </is>
      </c>
    </row>
    <row r="338">
      <c r="B338" s="170" t="n">
        <v>326</v>
      </c>
      <c r="C338" s="246" t="inlineStr">
        <is>
          <t>COTIZACION DEL DISEÑO DE DETECCIÓN DE INCENDIOS PARA EL PROYECTO BODEGAS INDUSTRIALES ZONA FRANCA DEL PACIFICO</t>
        </is>
      </c>
      <c r="D338" s="312" t="n"/>
      <c r="E338" s="312" t="n"/>
      <c r="F338" s="312" t="n"/>
      <c r="G338" s="312" t="n"/>
      <c r="H338" s="312" t="n"/>
      <c r="I338" s="313" t="n"/>
      <c r="J338" s="23" t="inlineStr">
        <is>
          <t>SOCOMES</t>
        </is>
      </c>
      <c r="K338" s="314" t="n">
        <v>3950000</v>
      </c>
      <c r="L338" s="2" t="n">
        <v>45153</v>
      </c>
      <c r="M338" s="170" t="n"/>
      <c r="N338" s="170" t="n">
        <v>3137851941</v>
      </c>
      <c r="O338" s="172" t="inlineStr">
        <is>
          <t>David Lopera Medina</t>
        </is>
      </c>
      <c r="P338" s="52" t="inlineStr">
        <is>
          <t>david.lopera@socomes.com</t>
        </is>
      </c>
    </row>
    <row r="339">
      <c r="B339" s="170" t="n">
        <v>327</v>
      </c>
      <c r="C339" s="199" t="inlineStr">
        <is>
          <t>COTIZACION DEL PLAN MAESTRO DE PROTECCIÓN CONTRA INCENDIOS - UNIQUIMICA</t>
        </is>
      </c>
      <c r="D339" s="312" t="n"/>
      <c r="E339" s="312" t="n"/>
      <c r="F339" s="312" t="n"/>
      <c r="G339" s="312" t="n"/>
      <c r="H339" s="312" t="n"/>
      <c r="I339" s="313" t="n"/>
      <c r="J339" s="199" t="inlineStr">
        <is>
          <t>SERIINCO</t>
        </is>
      </c>
      <c r="K339" s="314" t="n">
        <v>9950000</v>
      </c>
      <c r="L339" s="2" t="n">
        <v>45153</v>
      </c>
      <c r="M339" s="170" t="n"/>
      <c r="N339" s="170" t="inlineStr">
        <is>
          <t>311 3391008</t>
        </is>
      </c>
      <c r="O339" s="170" t="inlineStr">
        <is>
          <t>Carlos Henao</t>
        </is>
      </c>
      <c r="P339" s="52" t="inlineStr">
        <is>
          <t>carlos.henao@seriinco.com</t>
        </is>
      </c>
    </row>
    <row r="340">
      <c r="B340" s="170" t="n">
        <v>328</v>
      </c>
      <c r="C340" s="248" t="inlineStr">
        <is>
          <t>COTIZACION DE LOS DISEÑOS DE SEGURIDAD HUMANA Y PROTECCIÓN CONTRA INCENDIOS - CLINICA DEL CAMPESTRE</t>
        </is>
      </c>
      <c r="D340" s="312" t="n"/>
      <c r="E340" s="312" t="n"/>
      <c r="F340" s="312" t="n"/>
      <c r="G340" s="312" t="n"/>
      <c r="H340" s="312" t="n"/>
      <c r="I340" s="313" t="n"/>
      <c r="J340" s="199" t="inlineStr">
        <is>
          <t>ARQUITECTURA Y CONCRETO</t>
        </is>
      </c>
      <c r="K340" s="314" t="n">
        <v>39950000</v>
      </c>
      <c r="L340" s="2" t="n">
        <v>45154</v>
      </c>
      <c r="M340" s="170" t="n"/>
      <c r="N340" s="170" t="inlineStr">
        <is>
          <t>312 7218621</t>
        </is>
      </c>
      <c r="O340" s="172" t="inlineStr">
        <is>
          <t>Robinson Marulanda</t>
        </is>
      </c>
      <c r="P340" s="52" t="inlineStr">
        <is>
          <t>obinsonmarulanda@arquitecturayconcreto.com</t>
        </is>
      </c>
    </row>
    <row r="341">
      <c r="B341" s="170" t="n">
        <v>329</v>
      </c>
      <c r="C341" s="199" t="inlineStr">
        <is>
          <t>COTIZACION DEL DISEÑO DE EXTINCIÓN DE INCENDIOS PARA EL PROYECTO EDIFICIO ATTIC 33</t>
        </is>
      </c>
      <c r="D341" s="312" t="n"/>
      <c r="E341" s="312" t="n"/>
      <c r="F341" s="312" t="n"/>
      <c r="G341" s="312" t="n"/>
      <c r="H341" s="312" t="n"/>
      <c r="I341" s="313" t="n"/>
      <c r="J341" s="199" t="inlineStr">
        <is>
          <t>SPCI</t>
        </is>
      </c>
      <c r="K341" s="314" t="n">
        <v>6270000</v>
      </c>
      <c r="L341" s="2" t="n">
        <v>45156</v>
      </c>
      <c r="M341" s="170" t="n"/>
      <c r="N341" s="170" t="n">
        <v>3104165783</v>
      </c>
      <c r="O341" s="172" t="inlineStr">
        <is>
          <t xml:space="preserve">Cristiam Gustavo Mondragon Cortes </t>
        </is>
      </c>
      <c r="P341" s="52" t="inlineStr">
        <is>
          <t>cristiam.mondragon@spci.com.co</t>
        </is>
      </c>
    </row>
    <row r="342" ht="15" customHeight="1">
      <c r="B342" s="170" t="n">
        <v>330</v>
      </c>
      <c r="C342" s="199" t="inlineStr">
        <is>
          <t>COTIZACION DE LOS DISEÑOS DE PROTECCIÓN CONTRA INCENDIOS PARA EL PROYECTO CLINICA BOLIVARIANA TORRE A,B Y BLOQUE CONSULTA EXTERNA</t>
        </is>
      </c>
      <c r="D342" s="312" t="n"/>
      <c r="E342" s="312" t="n"/>
      <c r="F342" s="312" t="n"/>
      <c r="G342" s="312" t="n"/>
      <c r="H342" s="312" t="n"/>
      <c r="I342" s="313" t="n"/>
      <c r="J342" s="199" t="inlineStr">
        <is>
          <t>SPCI</t>
        </is>
      </c>
      <c r="K342" s="314" t="n">
        <v>26350000</v>
      </c>
      <c r="L342" s="2" t="n">
        <v>45156</v>
      </c>
      <c r="M342" s="170" t="n"/>
      <c r="N342" s="170" t="n">
        <v>3104165783</v>
      </c>
      <c r="O342" s="172" t="inlineStr">
        <is>
          <t xml:space="preserve">Cristiam Gustavo Mondragon Cortes </t>
        </is>
      </c>
      <c r="P342" s="52" t="inlineStr">
        <is>
          <t>cristiam.mondragon@spci.com.co</t>
        </is>
      </c>
    </row>
    <row r="343">
      <c r="B343" s="170" t="n">
        <v>331</v>
      </c>
      <c r="C343" s="199" t="inlineStr">
        <is>
          <t>COTIZACION DE LOS DISEÑOS DE PROTECCIÓN CONTRA INCENDIOS PARA EL PROYECTO LOCALES MAZANTI</t>
        </is>
      </c>
      <c r="D343" s="312" t="n"/>
      <c r="E343" s="312" t="n"/>
      <c r="F343" s="312" t="n"/>
      <c r="G343" s="312" t="n"/>
      <c r="H343" s="312" t="n"/>
      <c r="I343" s="313" t="n"/>
      <c r="J343" s="199" t="inlineStr">
        <is>
          <t>CONSTRUIR SAS</t>
        </is>
      </c>
      <c r="K343" s="314" t="n">
        <v>2950000</v>
      </c>
      <c r="L343" s="2" t="n">
        <v>45156</v>
      </c>
      <c r="M343" s="170" t="n"/>
      <c r="N343" s="170" t="inlineStr">
        <is>
          <t>313 565 8207</t>
        </is>
      </c>
      <c r="O343" s="172" t="inlineStr">
        <is>
          <t xml:space="preserve"> Juan Guillermo Usme </t>
        </is>
      </c>
      <c r="P343" s="52" t="inlineStr">
        <is>
          <t xml:space="preserve"> acabadosmazanti@gmail.com</t>
        </is>
      </c>
    </row>
    <row r="344">
      <c r="B344" s="170" t="n">
        <v>332</v>
      </c>
      <c r="C344" s="199" t="inlineStr">
        <is>
          <t>COTIZACION DEL REDISEÑO DE EXTINCIÓN DE INCENDIOS PARA LAS ÁREAS CON ESPUMA DEL PROYECTO ECOFLORA</t>
        </is>
      </c>
      <c r="D344" s="312" t="n"/>
      <c r="E344" s="312" t="n"/>
      <c r="F344" s="312" t="n"/>
      <c r="G344" s="312" t="n"/>
      <c r="H344" s="312" t="n"/>
      <c r="I344" s="313" t="n"/>
      <c r="J344" s="199" t="inlineStr">
        <is>
          <t>SPCI</t>
        </is>
      </c>
      <c r="K344" s="314" t="n">
        <v>7530000</v>
      </c>
      <c r="L344" s="2" t="n">
        <v>45155</v>
      </c>
      <c r="M344" s="170" t="n"/>
      <c r="N344" s="170" t="inlineStr">
        <is>
          <t xml:space="preserve"> 310 468 0508</t>
        </is>
      </c>
      <c r="O344" s="170" t="inlineStr">
        <is>
          <t>Juan Pablo Grajales Gómez</t>
        </is>
      </c>
      <c r="P344" s="52" t="inlineStr">
        <is>
          <t>juan.grajales@spci.com.co</t>
        </is>
      </c>
    </row>
    <row r="345">
      <c r="B345" s="170" t="n">
        <v>333</v>
      </c>
      <c r="C345" s="199" t="inlineStr">
        <is>
          <t>COTIZACION DEL DISEÑO DE DETECCIÓN DE INCENDIOS PARA EL PROYECTO BODEGA NUEVA PLASTICOS TRUHER</t>
        </is>
      </c>
      <c r="D345" s="312" t="n"/>
      <c r="E345" s="312" t="n"/>
      <c r="F345" s="312" t="n"/>
      <c r="G345" s="312" t="n"/>
      <c r="H345" s="312" t="n"/>
      <c r="I345" s="313" t="n"/>
      <c r="J345" s="199" t="inlineStr">
        <is>
          <t>SOCOMES</t>
        </is>
      </c>
      <c r="K345" s="314" t="n">
        <v>3760000</v>
      </c>
      <c r="L345" s="2" t="n">
        <v>45160</v>
      </c>
      <c r="M345" s="170" t="n"/>
      <c r="N345" s="170" t="n">
        <v>3137851941</v>
      </c>
      <c r="O345" s="170" t="inlineStr">
        <is>
          <t>David Lopera Medina</t>
        </is>
      </c>
      <c r="P345" s="52" t="inlineStr">
        <is>
          <t>david.lopera@socomes.com</t>
        </is>
      </c>
    </row>
    <row r="346">
      <c r="B346" s="170" t="n">
        <v>334</v>
      </c>
      <c r="C346" s="199" t="inlineStr">
        <is>
          <t>COTIZACION DE LOS DISEÑOS DE PROTECCIÓN CONTRA INCENDIOS Y SEGURIDAD HUMANA PARA EL PROYECTO BODEGA 2 PARQUE INDUSTRIAL INTERCITY</t>
        </is>
      </c>
      <c r="D346" s="312" t="n"/>
      <c r="E346" s="312" t="n"/>
      <c r="F346" s="312" t="n"/>
      <c r="G346" s="312" t="n"/>
      <c r="H346" s="312" t="n"/>
      <c r="I346" s="313" t="n"/>
      <c r="J346" s="199" t="inlineStr">
        <is>
          <t>SOCOMES</t>
        </is>
      </c>
      <c r="K346" s="314" t="n">
        <v>18810000</v>
      </c>
      <c r="L346" s="2" t="n">
        <v>45164</v>
      </c>
      <c r="M346" s="170" t="n"/>
      <c r="N346" s="170" t="n">
        <v>3137851941</v>
      </c>
      <c r="O346" s="170" t="inlineStr">
        <is>
          <t>David Lopera Medina</t>
        </is>
      </c>
      <c r="P346" s="52" t="inlineStr">
        <is>
          <t>david.lopera@socomes.com</t>
        </is>
      </c>
    </row>
    <row r="347">
      <c r="B347" s="170" t="n">
        <v>335</v>
      </c>
      <c r="C347" s="199" t="inlineStr">
        <is>
          <t>COTIZACION DE LOS DISEÑOS DE PROTECCIÓN CONTRA INCENDIOS Y SEGURIDAD HUMANA PARA EL PROYECTO LYNZ</t>
        </is>
      </c>
      <c r="D347" s="312" t="n"/>
      <c r="E347" s="312" t="n"/>
      <c r="F347" s="312" t="n"/>
      <c r="G347" s="312" t="n"/>
      <c r="H347" s="312" t="n"/>
      <c r="I347" s="313" t="n"/>
      <c r="J347" s="199" t="inlineStr">
        <is>
          <t>ARQUITECTURA Y CONCRETO</t>
        </is>
      </c>
      <c r="K347" s="314" t="n">
        <v>26950000</v>
      </c>
      <c r="L347" s="2" t="n">
        <v>45161</v>
      </c>
      <c r="M347" s="170" t="n"/>
      <c r="N347" s="170" t="inlineStr">
        <is>
          <t>312 7218621</t>
        </is>
      </c>
      <c r="O347" s="172" t="inlineStr">
        <is>
          <t>Robinson Marulanda</t>
        </is>
      </c>
      <c r="P347" s="52" t="inlineStr">
        <is>
          <t>obinsonmarulanda@arquitecturayconcreto.com</t>
        </is>
      </c>
    </row>
    <row r="348">
      <c r="B348" s="170" t="n">
        <v>336</v>
      </c>
      <c r="C348" s="199" t="inlineStr">
        <is>
          <t>COTIZACION DEL ANÁLISIS DE SEGURIDAD HUMANA PARA EL PROYECTO PUERTO AZUL</t>
        </is>
      </c>
      <c r="D348" s="312" t="n"/>
      <c r="E348" s="312" t="n"/>
      <c r="F348" s="312" t="n"/>
      <c r="G348" s="312" t="n"/>
      <c r="H348" s="312" t="n"/>
      <c r="I348" s="313" t="n"/>
      <c r="J348" s="199" t="inlineStr">
        <is>
          <t>CONCONCRETO</t>
        </is>
      </c>
      <c r="K348" s="314" t="n"/>
      <c r="L348" s="2" t="n">
        <v>45161</v>
      </c>
      <c r="M348" s="170" t="n"/>
      <c r="N348" s="170" t="n">
        <v>3003404902</v>
      </c>
      <c r="O348" s="172" t="inlineStr">
        <is>
          <t>Pilar Arango Restrepo</t>
        </is>
      </c>
      <c r="P348" s="52" t="inlineStr">
        <is>
          <t>parangor@conconcreto.com</t>
        </is>
      </c>
    </row>
    <row r="349" ht="15" customHeight="1">
      <c r="B349" s="170" t="n">
        <v>337</v>
      </c>
      <c r="C349" s="199" t="inlineStr">
        <is>
          <t>COTIZACION DE LOS DISEÑOS DE PROTECCIÓN CONTRA INCENDIOS PARA EL PROYECTO BANCOLOMBIA MALL PLAZA CALI</t>
        </is>
      </c>
      <c r="D349" s="312" t="n"/>
      <c r="E349" s="312" t="n"/>
      <c r="F349" s="312" t="n"/>
      <c r="G349" s="312" t="n"/>
      <c r="H349" s="312" t="n"/>
      <c r="I349" s="313" t="n"/>
      <c r="J349" s="199" t="inlineStr">
        <is>
          <t>TRAZADOS ARQUITECTURA</t>
        </is>
      </c>
      <c r="K349" s="314" t="n"/>
      <c r="L349" s="2" t="n">
        <v>45161</v>
      </c>
      <c r="M349" s="170" t="n"/>
      <c r="N349" s="170" t="inlineStr">
        <is>
          <t>316 7417025</t>
        </is>
      </c>
      <c r="O349" s="172" t="inlineStr">
        <is>
          <t>Esteban Pérez Betancur</t>
        </is>
      </c>
      <c r="P349" s="52" t="inlineStr">
        <is>
          <t>escapeto28@gmail.com</t>
        </is>
      </c>
    </row>
    <row r="350" ht="15" customHeight="1">
      <c r="B350" s="170" t="n">
        <v>338</v>
      </c>
      <c r="C350" s="199" t="inlineStr">
        <is>
          <t xml:space="preserve">COTIZACION DEL DISEÑO DE EXTINCIÓN DE INCENDIOS PARA EL PROYECTO COMERCIAL
</t>
        </is>
      </c>
      <c r="D350" s="312" t="n"/>
      <c r="E350" s="312" t="n"/>
      <c r="F350" s="312" t="n"/>
      <c r="G350" s="312" t="n"/>
      <c r="H350" s="312" t="n"/>
      <c r="I350" s="313" t="n"/>
      <c r="J350" s="199" t="inlineStr">
        <is>
          <t>Constructora Ingrosso SAS</t>
        </is>
      </c>
      <c r="K350" s="314" t="n"/>
      <c r="L350" s="2" t="n">
        <v>45163</v>
      </c>
      <c r="M350" s="170" t="n"/>
      <c r="N350" s="170" t="inlineStr">
        <is>
          <t>318-6909055</t>
        </is>
      </c>
      <c r="O350" s="172" t="inlineStr">
        <is>
          <t>John Edison Monsalve Velásquez</t>
        </is>
      </c>
      <c r="P350" s="52" t="inlineStr">
        <is>
          <t>ingrossosas@gmail.com</t>
        </is>
      </c>
    </row>
    <row r="351">
      <c r="B351" s="170" t="n">
        <v>339</v>
      </c>
      <c r="C351" s="246" t="inlineStr">
        <is>
          <t>COTIZACION DEL DISEÑO DE DETECCIÓN DE INCENDIOS - PROYECTO SABANETA ONCE22</t>
        </is>
      </c>
      <c r="D351" s="312" t="n"/>
      <c r="E351" s="312" t="n"/>
      <c r="F351" s="312" t="n"/>
      <c r="G351" s="312" t="n"/>
      <c r="H351" s="312" t="n"/>
      <c r="I351" s="313" t="n"/>
      <c r="J351" s="199" t="inlineStr">
        <is>
          <t>SOCOMES</t>
        </is>
      </c>
      <c r="K351" s="314" t="n">
        <v>3950000</v>
      </c>
      <c r="L351" s="2" t="n">
        <v>45164</v>
      </c>
      <c r="M351" s="170" t="n"/>
      <c r="N351" s="170" t="n">
        <v>3137851941</v>
      </c>
      <c r="O351" s="170" t="inlineStr">
        <is>
          <t>David Lopera Medina</t>
        </is>
      </c>
      <c r="P351" s="52" t="inlineStr">
        <is>
          <t>david.lopera@socomes.com</t>
        </is>
      </c>
    </row>
    <row r="352">
      <c r="B352" s="170" t="n">
        <v>340</v>
      </c>
      <c r="C352" s="233" t="inlineStr">
        <is>
          <t>COTIZACION MODELACIÓN HIDRÁULICA Y SELECCIÓN DE BOMBA CONTRA INCENDIOS - CICLOTRON</t>
        </is>
      </c>
      <c r="D352" s="312" t="n"/>
      <c r="E352" s="312" t="n"/>
      <c r="F352" s="312" t="n"/>
      <c r="G352" s="312" t="n"/>
      <c r="H352" s="312" t="n"/>
      <c r="I352" s="313" t="n"/>
      <c r="J352" s="199" t="inlineStr">
        <is>
          <t>SPCI</t>
        </is>
      </c>
      <c r="K352" s="314" t="n">
        <v>600000</v>
      </c>
      <c r="L352" s="2" t="n">
        <v>45164</v>
      </c>
      <c r="M352" s="170" t="n"/>
      <c r="N352" s="170" t="inlineStr">
        <is>
          <t>310 2677466</t>
        </is>
      </c>
      <c r="O352" s="172" t="inlineStr">
        <is>
          <t>Juan David Vanegas</t>
        </is>
      </c>
      <c r="P352" s="82" t="inlineStr">
        <is>
          <t>juan.vanegas@spci.com.co</t>
        </is>
      </c>
    </row>
    <row r="353">
      <c r="B353" s="170" t="n">
        <v>341</v>
      </c>
      <c r="C353" s="199" t="inlineStr">
        <is>
          <t>COTIZACION DEL DISEÑO DE EXTINCIÓN DE INCENDIOS - PROYECTO SABANETA ONCE22</t>
        </is>
      </c>
      <c r="D353" s="312" t="n"/>
      <c r="E353" s="312" t="n"/>
      <c r="F353" s="312" t="n"/>
      <c r="G353" s="312" t="n"/>
      <c r="H353" s="312" t="n"/>
      <c r="I353" s="313" t="n"/>
      <c r="J353" s="199" t="inlineStr">
        <is>
          <t>SOCOMES</t>
        </is>
      </c>
      <c r="K353" s="314" t="n">
        <v>3130000</v>
      </c>
      <c r="L353" s="2" t="n">
        <v>45164</v>
      </c>
      <c r="M353" s="170" t="n"/>
      <c r="N353" s="170" t="n">
        <v>3137851941</v>
      </c>
      <c r="O353" s="170" t="inlineStr">
        <is>
          <t>David Lopera Medina</t>
        </is>
      </c>
      <c r="P353" s="52" t="inlineStr">
        <is>
          <t>david.lopera@socomes.com</t>
        </is>
      </c>
    </row>
    <row r="354">
      <c r="B354" s="170" t="n">
        <v>342</v>
      </c>
      <c r="C354" s="233" t="inlineStr">
        <is>
          <t>COTIZACION DEL DISEÑO DE DETECCIÓN DE INCENDIOS PARA EL PROYECTO RIO GRANDE TORRE 1</t>
        </is>
      </c>
      <c r="D354" s="312" t="n"/>
      <c r="E354" s="312" t="n"/>
      <c r="F354" s="312" t="n"/>
      <c r="G354" s="312" t="n"/>
      <c r="H354" s="312" t="n"/>
      <c r="I354" s="313" t="n"/>
      <c r="J354" s="199" t="inlineStr">
        <is>
          <t>SERIINCO</t>
        </is>
      </c>
      <c r="K354" s="314" t="n">
        <v>4000000</v>
      </c>
      <c r="L354" s="2" t="n">
        <v>45167</v>
      </c>
      <c r="M354" s="170" t="n"/>
      <c r="N354" s="172" t="n">
        <v>3116460496</v>
      </c>
      <c r="O354" s="170" t="inlineStr">
        <is>
          <t>Francisco Jose Unda Arango</t>
        </is>
      </c>
      <c r="P354" s="52" t="inlineStr">
        <is>
          <t>francisco.unda@seriinco.com</t>
        </is>
      </c>
    </row>
    <row r="355">
      <c r="B355" s="170" t="n">
        <v>343</v>
      </c>
      <c r="C355" s="199" t="inlineStr">
        <is>
          <t>COTIZACION DE LOS DISEÑOS DE PROTECCIÓN CONTRA INCENDIOS PARA EL PROYECTO UNION VITAL -ALKARAWI</t>
        </is>
      </c>
      <c r="D355" s="312" t="n"/>
      <c r="E355" s="312" t="n"/>
      <c r="F355" s="312" t="n"/>
      <c r="G355" s="312" t="n"/>
      <c r="H355" s="312" t="n"/>
      <c r="I355" s="313" t="n"/>
      <c r="J355" s="199" t="inlineStr">
        <is>
          <t>SERVICIOS IPM</t>
        </is>
      </c>
      <c r="K355" s="314" t="n"/>
      <c r="L355" s="2" t="n">
        <v>45167</v>
      </c>
      <c r="M355" s="170" t="n"/>
      <c r="N355" s="170" t="inlineStr">
        <is>
          <t>301 542 1412</t>
        </is>
      </c>
      <c r="O355" s="172" t="inlineStr">
        <is>
          <t xml:space="preserve"> Juan Santiago Londoño Quiceno</t>
        </is>
      </c>
      <c r="P355" s="52" t="inlineStr">
        <is>
          <t>juan.londono@serviciosipm.com</t>
        </is>
      </c>
    </row>
    <row r="356">
      <c r="B356" s="170" t="n">
        <v>344</v>
      </c>
      <c r="C356" s="246" t="inlineStr">
        <is>
          <t>COTIZACION REVISIÓN SISTEMAS CONTRA INCENDIO Y LA SEGURIDAD HUMANA PARA EL PROYECTO AIANA VERDE</t>
        </is>
      </c>
      <c r="D356" s="312" t="n"/>
      <c r="E356" s="312" t="n"/>
      <c r="F356" s="312" t="n"/>
      <c r="G356" s="312" t="n"/>
      <c r="H356" s="312" t="n"/>
      <c r="I356" s="313" t="n"/>
      <c r="J356" s="199" t="inlineStr">
        <is>
          <t>SUMARIO ARQUITECTURA</t>
        </is>
      </c>
      <c r="K356" s="314" t="n">
        <v>5650000</v>
      </c>
      <c r="L356" s="2" t="n">
        <v>45167</v>
      </c>
      <c r="M356" s="2" t="n"/>
      <c r="N356" s="170" t="inlineStr">
        <is>
          <t>317 2207906</t>
        </is>
      </c>
      <c r="O356" s="170" t="inlineStr">
        <is>
          <t>Cristina Tamayo</t>
        </is>
      </c>
      <c r="P356" s="52" t="inlineStr">
        <is>
          <t>cristina@sumario.co</t>
        </is>
      </c>
    </row>
    <row r="357" ht="15" customHeight="1">
      <c r="B357" s="170" t="n">
        <v>345</v>
      </c>
      <c r="C357" s="246" t="inlineStr">
        <is>
          <t>COTIZACION DE LOS DISEÑOS DE PROTECCIÓN CONTRA INCENDIOS PARA EL PROYECTO MAZZÚ</t>
        </is>
      </c>
      <c r="D357" s="312" t="n"/>
      <c r="E357" s="312" t="n"/>
      <c r="F357" s="312" t="n"/>
      <c r="G357" s="312" t="n"/>
      <c r="H357" s="312" t="n"/>
      <c r="I357" s="313" t="n"/>
      <c r="J357" s="199" t="inlineStr">
        <is>
          <t>CONTEX</t>
        </is>
      </c>
      <c r="K357" s="314" t="n">
        <v>28750000</v>
      </c>
      <c r="L357" s="2" t="n">
        <v>45169</v>
      </c>
      <c r="M357" s="170" t="n"/>
      <c r="N357" s="170" t="n">
        <v>3104145629</v>
      </c>
      <c r="O357" s="170" t="inlineStr">
        <is>
          <t xml:space="preserve">Maria Camila Velásquez </t>
        </is>
      </c>
      <c r="P357" s="52" t="inlineStr">
        <is>
          <t>mcvelasquez@contex.com.co</t>
        </is>
      </c>
    </row>
    <row r="358" ht="15" customHeight="1">
      <c r="B358" s="170" t="n">
        <v>346</v>
      </c>
      <c r="C358" s="246" t="inlineStr">
        <is>
          <t>COTIZACION DE LOS DISEÑOS DE PROTECCIÓN CONTRA INCENDIOS Y SEGURIDAD HUMANA PARA EL PROYECTO EDIFICIO SHOJI - CURADURÍA</t>
        </is>
      </c>
      <c r="D358" s="312" t="n"/>
      <c r="E358" s="312" t="n"/>
      <c r="F358" s="312" t="n"/>
      <c r="G358" s="312" t="n"/>
      <c r="H358" s="312" t="n"/>
      <c r="I358" s="313" t="n"/>
      <c r="J358" s="199" t="inlineStr">
        <is>
          <t>IPC</t>
        </is>
      </c>
      <c r="K358" s="314" t="n">
        <v>8960000</v>
      </c>
      <c r="L358" s="2" t="n">
        <v>45169</v>
      </c>
      <c r="M358" s="170" t="n"/>
      <c r="N358" s="172" t="n">
        <v>3004040045</v>
      </c>
      <c r="O358" s="170" t="inlineStr">
        <is>
          <t>Bayron Tamayo</t>
        </is>
      </c>
      <c r="P358" s="52" t="inlineStr">
        <is>
          <t>btamayo@ipcproyectos.co</t>
        </is>
      </c>
    </row>
    <row r="359">
      <c r="B359" s="170" t="n">
        <v>347</v>
      </c>
      <c r="C359" s="246" t="inlineStr">
        <is>
          <t>COTIZACION DE LOS DISEÑOS DE PROTECCIÓN CONTRA INCENDIOS Y SEGURIDAD HUMANA PARA EL PROYECTO EDIFICIO SHOJI - CONSTRUCCIÓN</t>
        </is>
      </c>
      <c r="D359" s="312" t="n"/>
      <c r="E359" s="312" t="n"/>
      <c r="F359" s="312" t="n"/>
      <c r="G359" s="312" t="n"/>
      <c r="H359" s="312" t="n"/>
      <c r="I359" s="313" t="n"/>
      <c r="J359" s="199" t="inlineStr">
        <is>
          <t>IPC</t>
        </is>
      </c>
      <c r="K359" s="314" t="n">
        <v>12920000</v>
      </c>
      <c r="L359" s="2" t="n">
        <v>45169</v>
      </c>
      <c r="M359" s="170" t="n"/>
      <c r="N359" s="172" t="n">
        <v>3004040045</v>
      </c>
      <c r="O359" s="170" t="inlineStr">
        <is>
          <t>Bayron Tamayo</t>
        </is>
      </c>
      <c r="P359" s="52" t="inlineStr">
        <is>
          <t>btamayo@ipcproyectos.co</t>
        </is>
      </c>
    </row>
    <row r="360" ht="15" customHeight="1">
      <c r="B360" s="170" t="n">
        <v>348</v>
      </c>
      <c r="C360" s="246" t="inlineStr">
        <is>
          <t xml:space="preserve">COTIZACION DE LOS DISEÑOS DE PROTECCIÓN CONTRA INCENDIOS Y SEGURIDAD HUMANA PARA EL PROYECTO VALLE VERDE TORRE 3
</t>
        </is>
      </c>
      <c r="D360" s="312" t="n"/>
      <c r="E360" s="312" t="n"/>
      <c r="F360" s="312" t="n"/>
      <c r="G360" s="312" t="n"/>
      <c r="H360" s="312" t="n"/>
      <c r="I360" s="313" t="n"/>
      <c r="J360" s="199" t="inlineStr">
        <is>
          <t>MENSULA</t>
        </is>
      </c>
      <c r="K360" s="314" t="n"/>
      <c r="L360" s="2" t="n">
        <v>45169</v>
      </c>
      <c r="M360" s="170" t="n"/>
      <c r="N360" s="170" t="inlineStr">
        <is>
          <t>311 6751810</t>
        </is>
      </c>
      <c r="O360" s="172" t="inlineStr">
        <is>
          <t>Valentina Ortega Morales</t>
        </is>
      </c>
      <c r="P360" s="52" t="inlineStr">
        <is>
          <t>valentinaortega@mensulaingenieros.com</t>
        </is>
      </c>
    </row>
    <row r="361">
      <c r="B361" s="170" t="n">
        <v>349</v>
      </c>
      <c r="C361" s="246" t="inlineStr">
        <is>
          <t xml:space="preserve">COTIZACION DE LOS DISEÑOS DE PROTECCIÓN CONTRA INCENDIOS PARA EL PROYECTO LOCAL 138 A VIVA WAJIRA
</t>
        </is>
      </c>
      <c r="D361" s="312" t="n"/>
      <c r="E361" s="312" t="n"/>
      <c r="F361" s="312" t="n"/>
      <c r="G361" s="312" t="n"/>
      <c r="H361" s="312" t="n"/>
      <c r="I361" s="313" t="n"/>
      <c r="J361" s="199" t="inlineStr">
        <is>
          <t>SPCI</t>
        </is>
      </c>
      <c r="K361" s="314" t="n">
        <v>2520000</v>
      </c>
      <c r="L361" s="2" t="n">
        <v>45170</v>
      </c>
      <c r="M361" s="170" t="n"/>
      <c r="N361" s="170" t="n">
        <v>3137546144</v>
      </c>
      <c r="O361" s="170" t="inlineStr">
        <is>
          <t xml:space="preserve"> Juan Camilo Quintero Bedoya</t>
        </is>
      </c>
      <c r="P361" s="52" t="inlineStr">
        <is>
          <t>camilo.quintero@spci.com.co</t>
        </is>
      </c>
    </row>
    <row r="362">
      <c r="B362" s="170" t="n">
        <v>350</v>
      </c>
      <c r="C362" s="233" t="inlineStr">
        <is>
          <t>COTIZACION DEL DISEÑO DE DETECCIÓN DE INCENDIOS PARA EL PROYECTO BODEGA TOMA DE MUESTRAS SURA MALL DEL ESTE</t>
        </is>
      </c>
      <c r="D362" s="312" t="n"/>
      <c r="E362" s="312" t="n"/>
      <c r="F362" s="312" t="n"/>
      <c r="G362" s="312" t="n"/>
      <c r="H362" s="312" t="n"/>
      <c r="I362" s="313" t="n"/>
      <c r="J362" s="199" t="inlineStr">
        <is>
          <t>Seriinco</t>
        </is>
      </c>
      <c r="K362" s="314" t="n">
        <v>2000000</v>
      </c>
      <c r="L362" s="2" t="n">
        <v>45170</v>
      </c>
      <c r="M362" s="170" t="n"/>
      <c r="N362" s="170" t="n">
        <v>4442074</v>
      </c>
      <c r="O362" s="172" t="inlineStr">
        <is>
          <t>Francisco Unda</t>
        </is>
      </c>
      <c r="P362" s="52" t="inlineStr">
        <is>
          <t>francisco.unda@seriinco.com</t>
        </is>
      </c>
    </row>
    <row r="363">
      <c r="B363" s="170" t="n">
        <v>351</v>
      </c>
      <c r="C363" s="246" t="inlineStr">
        <is>
          <t xml:space="preserve">COTIZACION DEL ANÁLISIS DE SEGURIDAD HUMANA PARA EL PROYECTO BODEGA MILAGROS
</t>
        </is>
      </c>
      <c r="D363" s="312" t="n"/>
      <c r="E363" s="312" t="n"/>
      <c r="F363" s="312" t="n"/>
      <c r="G363" s="312" t="n"/>
      <c r="H363" s="312" t="n"/>
      <c r="I363" s="313" t="n"/>
      <c r="J363" s="199" t="inlineStr">
        <is>
          <t xml:space="preserve">Milagros Enterprise Group S.A.S </t>
        </is>
      </c>
      <c r="K363" s="314" t="n"/>
      <c r="L363" s="2" t="n">
        <v>45173</v>
      </c>
      <c r="M363" s="170" t="n"/>
      <c r="N363" s="170" t="n"/>
      <c r="O363" s="172" t="inlineStr">
        <is>
          <t>Maria Jose Gomez</t>
        </is>
      </c>
      <c r="P363" s="52" t="inlineStr">
        <is>
          <t>aprendizsst@grupomilagros.com</t>
        </is>
      </c>
    </row>
    <row r="364">
      <c r="B364" s="170" t="n">
        <v>352</v>
      </c>
      <c r="C364" s="246" t="inlineStr">
        <is>
          <t xml:space="preserve">COTIZACION DEL DISEÑO DE DETECCIÓN DE INCENDIOS PARA EL PROYECTO PISO 13 VENAVER
</t>
        </is>
      </c>
      <c r="D364" s="312" t="n"/>
      <c r="E364" s="312" t="n"/>
      <c r="F364" s="312" t="n"/>
      <c r="G364" s="312" t="n"/>
      <c r="H364" s="312" t="n"/>
      <c r="I364" s="313" t="n"/>
      <c r="J364" s="199" t="inlineStr">
        <is>
          <t>VENAVER</t>
        </is>
      </c>
      <c r="K364" s="314" t="n"/>
      <c r="L364" s="2" t="n">
        <v>45173</v>
      </c>
      <c r="M364" s="170" t="n"/>
      <c r="N364" s="170" t="n">
        <v>3146188195</v>
      </c>
      <c r="O364" s="172" t="n"/>
      <c r="P364" s="52" t="inlineStr">
        <is>
          <t>venaver@une.net.co</t>
        </is>
      </c>
    </row>
    <row r="365">
      <c r="B365" s="170" t="n">
        <v>353</v>
      </c>
      <c r="C365" s="199" t="inlineStr">
        <is>
          <t>COTIZACION DEL DISEÑO DE DETECCIÓN DE INCENDIOS PARA EL PROYECTO SAN PASCUAL</t>
        </is>
      </c>
      <c r="D365" s="312" t="n"/>
      <c r="E365" s="312" t="n"/>
      <c r="F365" s="312" t="n"/>
      <c r="G365" s="312" t="n"/>
      <c r="H365" s="312" t="n"/>
      <c r="I365" s="313" t="n"/>
      <c r="J365" s="199" t="inlineStr">
        <is>
          <t>AIA</t>
        </is>
      </c>
      <c r="K365" s="314" t="n">
        <v>7620000</v>
      </c>
      <c r="L365" s="2" t="n">
        <v>45174</v>
      </c>
      <c r="M365" s="170" t="n"/>
      <c r="N365" s="170" t="n">
        <v>6044037700</v>
      </c>
      <c r="O365" s="172" t="inlineStr">
        <is>
          <t>Daniela Betancur Rivera</t>
        </is>
      </c>
      <c r="P365" s="52" t="inlineStr">
        <is>
          <t>dbetancur@aia.com.co</t>
        </is>
      </c>
    </row>
    <row r="366">
      <c r="B366" s="170" t="n">
        <v>354</v>
      </c>
      <c r="C366" s="199" t="inlineStr">
        <is>
          <t>COTIZACION DE LOS DISEÑOS DE DETECCIÓN DE INCENDIOS Y SEGURIDAD HUMANA PARA EL PROYECTO BANCOLOMBIA SUCURSAL SAN GIL</t>
        </is>
      </c>
      <c r="D366" s="312" t="n"/>
      <c r="E366" s="312" t="n"/>
      <c r="F366" s="312" t="n"/>
      <c r="G366" s="312" t="n"/>
      <c r="H366" s="312" t="n"/>
      <c r="I366" s="313" t="n"/>
      <c r="J366" s="199" t="inlineStr">
        <is>
          <t>Santiago Rojas</t>
        </is>
      </c>
      <c r="K366" s="314" t="n">
        <v>6400000</v>
      </c>
      <c r="L366" s="2" t="n">
        <v>45173</v>
      </c>
      <c r="M366" s="170" t="n"/>
      <c r="N366" s="170" t="n">
        <v>3008594811</v>
      </c>
      <c r="O366" s="172" t="inlineStr">
        <is>
          <t>Valeria Montoya</t>
        </is>
      </c>
      <c r="P366" s="52" t="inlineStr">
        <is>
          <t>sraic.diseno@gmail.com</t>
        </is>
      </c>
    </row>
    <row r="367">
      <c r="B367" s="170" t="n">
        <v>355</v>
      </c>
      <c r="C367" s="246" t="inlineStr">
        <is>
          <t>COTIZACION DEL DISEÑO DE DETECCIÓN DE INCENDIOS PARA EL PROYECTO SUCURSAL CAÑAVERAL</t>
        </is>
      </c>
      <c r="D367" s="312" t="n"/>
      <c r="E367" s="312" t="n"/>
      <c r="F367" s="312" t="n"/>
      <c r="G367" s="312" t="n"/>
      <c r="H367" s="312" t="n"/>
      <c r="I367" s="313" t="n"/>
      <c r="J367" s="199" t="inlineStr">
        <is>
          <t>TOROPOSADA ARQUITECTOS</t>
        </is>
      </c>
      <c r="K367" s="314" t="n"/>
      <c r="L367" s="2" t="n">
        <v>45173</v>
      </c>
      <c r="M367" s="170" t="n"/>
      <c r="N367" s="170" t="n">
        <v>3012427405</v>
      </c>
      <c r="O367" s="172" t="inlineStr">
        <is>
          <t>Alvaro Lopez Gomez</t>
        </is>
      </c>
      <c r="P367" s="52" t="inlineStr">
        <is>
          <t>alvarol@toroposada.com</t>
        </is>
      </c>
    </row>
    <row r="368">
      <c r="B368" s="170" t="n">
        <v>356</v>
      </c>
      <c r="C368" s="199" t="inlineStr">
        <is>
          <t>COTIZACION DE LOS DISEÑOS DE DETECCIÓN DE INCENDIOS Y SEGURIDAD HUMANA PARA EL PROYECTO EDIFICIO DE LABORATORIOS DE LA ESCUELA DE INGENIERIA CIVIL Y GEOMATICA DE LA UNIVALLE</t>
        </is>
      </c>
      <c r="D368" s="312" t="n"/>
      <c r="E368" s="312" t="n"/>
      <c r="F368" s="312" t="n"/>
      <c r="G368" s="312" t="n"/>
      <c r="H368" s="312" t="n"/>
      <c r="I368" s="313" t="n"/>
      <c r="J368" s="199" t="inlineStr">
        <is>
          <t>INGENIO BIM</t>
        </is>
      </c>
      <c r="K368" s="314" t="n">
        <v>25600000</v>
      </c>
      <c r="L368" s="2" t="n">
        <v>45173</v>
      </c>
      <c r="M368" s="170" t="n"/>
      <c r="N368" s="170" t="inlineStr">
        <is>
          <t>301 4331389</t>
        </is>
      </c>
      <c r="O368" s="172" t="inlineStr">
        <is>
          <t>Juan Camilo Builes</t>
        </is>
      </c>
      <c r="P368" s="52" t="inlineStr">
        <is>
          <t>jcamilo.builes@ingeniobim.co</t>
        </is>
      </c>
    </row>
    <row r="369">
      <c r="B369" s="170" t="n">
        <v>357</v>
      </c>
      <c r="C369" s="199" t="inlineStr">
        <is>
          <t>COTIZACION DE LOS DISEÑOS DE DETECCIÓN DE INCENDIOS Y SEGURIDAD HUMANA PARA EL PROYECTO NODO SEVILLA UNIVALLE</t>
        </is>
      </c>
      <c r="D369" s="312" t="n"/>
      <c r="E369" s="312" t="n"/>
      <c r="F369" s="312" t="n"/>
      <c r="G369" s="312" t="n"/>
      <c r="H369" s="312" t="n"/>
      <c r="I369" s="313" t="n"/>
      <c r="J369" s="199" t="inlineStr">
        <is>
          <t>INGENIO BIM</t>
        </is>
      </c>
      <c r="K369" s="314" t="n">
        <v>13130000</v>
      </c>
      <c r="L369" s="2" t="n">
        <v>45173</v>
      </c>
      <c r="M369" s="170" t="n"/>
      <c r="N369" s="170" t="inlineStr">
        <is>
          <t>301 4331389</t>
        </is>
      </c>
      <c r="O369" s="172" t="inlineStr">
        <is>
          <t>Juan Camilo Builes</t>
        </is>
      </c>
      <c r="P369" s="52" t="inlineStr">
        <is>
          <t>jcamilo.builes@ingeniobim.co</t>
        </is>
      </c>
    </row>
    <row r="370">
      <c r="B370" s="170" t="n">
        <v>358</v>
      </c>
      <c r="C370" s="199" t="inlineStr">
        <is>
          <t>COTIZACION DEL ANÁLISIS DE SEGURIDAD HUMANA PARA EL PROYECTO CCOA</t>
        </is>
      </c>
      <c r="D370" s="312" t="n"/>
      <c r="E370" s="312" t="n"/>
      <c r="F370" s="312" t="n"/>
      <c r="G370" s="312" t="n"/>
      <c r="H370" s="312" t="n"/>
      <c r="I370" s="313" t="n"/>
      <c r="J370" s="199" t="inlineStr">
        <is>
          <t>SPCI</t>
        </is>
      </c>
      <c r="K370" s="314" t="n">
        <v>5820000</v>
      </c>
      <c r="L370" s="2" t="n">
        <v>45174</v>
      </c>
      <c r="M370" s="2" t="n"/>
      <c r="N370" s="170" t="n">
        <v>3104165783</v>
      </c>
      <c r="O370" s="172" t="inlineStr">
        <is>
          <t xml:space="preserve">Cristiam Gustavo Mondragon Cortes </t>
        </is>
      </c>
      <c r="P370" s="52" t="inlineStr">
        <is>
          <t>cristiam.mondragon@spci.com.co</t>
        </is>
      </c>
    </row>
    <row r="371">
      <c r="B371" s="170" t="n">
        <v>359</v>
      </c>
      <c r="C371" s="199" t="inlineStr">
        <is>
          <t>COTIZACION DEL DISEÑO DEL CUARTO DE BOMBAS CONTRA INCENDIOS PARA EL PROYECTO CCOA</t>
        </is>
      </c>
      <c r="D371" s="312" t="n"/>
      <c r="E371" s="312" t="n"/>
      <c r="F371" s="312" t="n"/>
      <c r="G371" s="312" t="n"/>
      <c r="H371" s="312" t="n"/>
      <c r="I371" s="313" t="n"/>
      <c r="J371" s="199" t="inlineStr">
        <is>
          <t>SPCI</t>
        </is>
      </c>
      <c r="K371" s="314" t="n">
        <v>1250000</v>
      </c>
      <c r="L371" s="2" t="n">
        <v>45174</v>
      </c>
      <c r="M371" s="170" t="n"/>
      <c r="N371" s="170" t="n">
        <v>3104165783</v>
      </c>
      <c r="O371" s="172" t="inlineStr">
        <is>
          <t xml:space="preserve">Cristiam Gustavo Mondragon Cortes </t>
        </is>
      </c>
      <c r="P371" s="52" t="inlineStr">
        <is>
          <t>cristiam.mondragon@spci.com.co</t>
        </is>
      </c>
    </row>
    <row r="372">
      <c r="B372" s="170" t="n">
        <v>360</v>
      </c>
      <c r="C372" s="199" t="inlineStr">
        <is>
          <t>COTIZACION MODELACIÓN HIDRÁULICA PARA VERIFICACIÓN DE TUBERÍA Y BOMBA CONTRA INCENDIOS - DISLICORES</t>
        </is>
      </c>
      <c r="D372" s="312" t="n"/>
      <c r="E372" s="312" t="n"/>
      <c r="F372" s="312" t="n"/>
      <c r="G372" s="312" t="n"/>
      <c r="H372" s="312" t="n"/>
      <c r="I372" s="313" t="n"/>
      <c r="J372" s="199" t="inlineStr">
        <is>
          <t>SPCI</t>
        </is>
      </c>
      <c r="K372" s="314" t="n">
        <v>1950000</v>
      </c>
      <c r="L372" s="2" t="n">
        <v>45174</v>
      </c>
      <c r="M372" s="170" t="n"/>
      <c r="N372" s="170" t="inlineStr">
        <is>
          <t>310 3939739</t>
        </is>
      </c>
      <c r="O372" s="172" t="inlineStr">
        <is>
          <t>Victor Saldarriaga</t>
        </is>
      </c>
      <c r="P372" s="52" t="inlineStr">
        <is>
          <t xml:space="preserve">victor.saldarriaga@spci.com.co </t>
        </is>
      </c>
    </row>
    <row r="373">
      <c r="B373" s="170" t="n">
        <v>361</v>
      </c>
      <c r="C373" s="199" t="inlineStr">
        <is>
          <t>COTIZACIÓN DE LA REVISIÓN DE LOS DISEÑOS DE EXTINCIÓN DE INCENDIOS PARA DISLICORES</t>
        </is>
      </c>
      <c r="D373" s="312" t="n"/>
      <c r="E373" s="312" t="n"/>
      <c r="F373" s="312" t="n"/>
      <c r="G373" s="312" t="n"/>
      <c r="H373" s="312" t="n"/>
      <c r="I373" s="313" t="n"/>
      <c r="J373" s="199" t="inlineStr">
        <is>
          <t>SPCI</t>
        </is>
      </c>
      <c r="K373" s="314" t="n">
        <v>2500000</v>
      </c>
      <c r="L373" s="2" t="n">
        <v>45174</v>
      </c>
      <c r="M373" s="170" t="n"/>
      <c r="N373" s="170" t="inlineStr">
        <is>
          <t>310 3939739</t>
        </is>
      </c>
      <c r="O373" s="172" t="inlineStr">
        <is>
          <t>Victor Saldarriaga</t>
        </is>
      </c>
      <c r="P373" s="52" t="inlineStr">
        <is>
          <t xml:space="preserve">victor.saldarriaga@spci.com.co </t>
        </is>
      </c>
    </row>
    <row r="374">
      <c r="B374" s="170" t="n">
        <v>362</v>
      </c>
      <c r="C374" s="246" t="inlineStr">
        <is>
          <t>COTIZACION DEL DISEÑO DE DETECCIÓN DE INCENDIOS PARA EL PROYECTO TURBACO</t>
        </is>
      </c>
      <c r="D374" s="312" t="n"/>
      <c r="E374" s="312" t="n"/>
      <c r="F374" s="312" t="n"/>
      <c r="G374" s="312" t="n"/>
      <c r="H374" s="312" t="n"/>
      <c r="I374" s="313" t="n"/>
      <c r="J374" s="199" t="inlineStr">
        <is>
          <t>TOROPOSADA ARQUITECTOS</t>
        </is>
      </c>
      <c r="K374" s="314" t="n"/>
      <c r="L374" s="2" t="n">
        <v>45175</v>
      </c>
      <c r="M374" s="170" t="n"/>
      <c r="N374" s="172" t="n">
        <v>3116728287</v>
      </c>
      <c r="O374" s="170" t="inlineStr">
        <is>
          <t>Rafael Botero Villa</t>
        </is>
      </c>
      <c r="P374" s="52" t="inlineStr">
        <is>
          <t>rafaelb@toroposada.com</t>
        </is>
      </c>
    </row>
    <row r="375">
      <c r="B375" s="170" t="n">
        <v>363</v>
      </c>
      <c r="C375" s="246" t="inlineStr">
        <is>
          <t>COTIZACION DE LOS DISEÑOS DE PROTECCIÓN CONTRA INCENDIOS PARA EL PROYECTO BELIVE</t>
        </is>
      </c>
      <c r="D375" s="312" t="n"/>
      <c r="E375" s="312" t="n"/>
      <c r="F375" s="312" t="n"/>
      <c r="G375" s="312" t="n"/>
      <c r="H375" s="312" t="n"/>
      <c r="I375" s="313" t="n"/>
      <c r="J375" s="199" t="inlineStr">
        <is>
          <t>GINO MONTOYA</t>
        </is>
      </c>
      <c r="K375" s="314" t="n">
        <v>13000000</v>
      </c>
      <c r="L375" s="2" t="n">
        <v>45176</v>
      </c>
      <c r="M375" s="170" t="n"/>
      <c r="N375" s="170" t="n">
        <v>3044003430</v>
      </c>
      <c r="O375" s="172" t="inlineStr">
        <is>
          <t>Gino Montoya</t>
        </is>
      </c>
      <c r="P375" s="52" t="inlineStr">
        <is>
          <t>gino1037@hotmail.com</t>
        </is>
      </c>
    </row>
    <row r="376">
      <c r="B376" s="170" t="n">
        <v>364</v>
      </c>
      <c r="C376" s="199" t="inlineStr">
        <is>
          <t>COTIZACION DEL DISEÑO DE EXTINCIÓN DE INCENDIOS PARA EL PROYECTO HIDRANTES MONITORES TERRAZA VIVA SINCELEJO</t>
        </is>
      </c>
      <c r="D376" s="312" t="n"/>
      <c r="E376" s="312" t="n"/>
      <c r="F376" s="312" t="n"/>
      <c r="G376" s="312" t="n"/>
      <c r="H376" s="312" t="n"/>
      <c r="I376" s="313" t="n"/>
      <c r="J376" s="199" t="inlineStr">
        <is>
          <t>SPCI</t>
        </is>
      </c>
      <c r="K376" s="314" t="n">
        <v>4500000</v>
      </c>
      <c r="L376" s="2" t="n">
        <v>45176</v>
      </c>
      <c r="M376" s="170" t="n"/>
      <c r="N376" s="170" t="n">
        <v>3137546144</v>
      </c>
      <c r="O376" s="172" t="inlineStr">
        <is>
          <t>Juan Camilo Quintero Bedoya</t>
        </is>
      </c>
      <c r="P376" s="52" t="inlineStr">
        <is>
          <t>camilo.quintero@spci.com.co</t>
        </is>
      </c>
    </row>
    <row r="377">
      <c r="B377" s="170" t="n">
        <v>365</v>
      </c>
      <c r="C377" s="199" t="inlineStr">
        <is>
          <t>COTIZACION DEL DISEÑO DE EXTINCIÓN DE INCENDIOS PARA EL PROYECTO HIDRANTES MONITORES TERRAZA VIVA TUNJA</t>
        </is>
      </c>
      <c r="D377" s="312" t="n"/>
      <c r="E377" s="312" t="n"/>
      <c r="F377" s="312" t="n"/>
      <c r="G377" s="312" t="n"/>
      <c r="H377" s="312" t="n"/>
      <c r="I377" s="313" t="n"/>
      <c r="J377" s="199" t="inlineStr">
        <is>
          <t>SPCI</t>
        </is>
      </c>
      <c r="K377" s="314" t="n">
        <v>4500000</v>
      </c>
      <c r="L377" s="2" t="n">
        <v>45176</v>
      </c>
      <c r="M377" s="170" t="n"/>
      <c r="N377" s="170" t="n">
        <v>3137546144</v>
      </c>
      <c r="O377" s="172" t="inlineStr">
        <is>
          <t>Juan Camilo Quintero Bedoya</t>
        </is>
      </c>
      <c r="P377" s="52" t="inlineStr">
        <is>
          <t>camilo.quintero@spci.com.co</t>
        </is>
      </c>
    </row>
    <row r="378">
      <c r="B378" s="170" t="n">
        <v>366</v>
      </c>
      <c r="C378" s="246" t="inlineStr">
        <is>
          <t>COTIZACION DE LOS DISEÑOS DE PROTECCIÓN CONTRA INCENDIOS PARA EL PROYECTO OFICINAS ADMINISTRATIVAS COLEGIO MARYMOUNT</t>
        </is>
      </c>
      <c r="D378" s="312" t="n"/>
      <c r="E378" s="312" t="n"/>
      <c r="F378" s="312" t="n"/>
      <c r="G378" s="312" t="n"/>
      <c r="H378" s="312" t="n"/>
      <c r="I378" s="313" t="n"/>
      <c r="J378" s="199" t="inlineStr">
        <is>
          <t>SPCI</t>
        </is>
      </c>
      <c r="K378" s="314" t="n">
        <v>7530000</v>
      </c>
      <c r="L378" s="2" t="n">
        <v>45180</v>
      </c>
      <c r="M378" s="170" t="n"/>
      <c r="N378" s="170" t="n">
        <v>3104165783</v>
      </c>
      <c r="O378" s="172" t="inlineStr">
        <is>
          <t xml:space="preserve">Cristiam Gustavo Mondragon Cortes </t>
        </is>
      </c>
      <c r="P378" s="52" t="inlineStr">
        <is>
          <t>cristiam.mondragon@spci.com.co</t>
        </is>
      </c>
    </row>
    <row r="379">
      <c r="B379" s="170" t="n">
        <v>367</v>
      </c>
      <c r="C379" s="246" t="inlineStr">
        <is>
          <t xml:space="preserve">COTIZACION DEL DISEÑO DE EXTINCIÓN DE INCENDIOS PARA EL PROYECTO PLANTA BACKUS ATE
</t>
        </is>
      </c>
      <c r="D379" s="312" t="n"/>
      <c r="E379" s="312" t="n"/>
      <c r="F379" s="312" t="n"/>
      <c r="G379" s="312" t="n"/>
      <c r="H379" s="312" t="n"/>
      <c r="I379" s="313" t="n"/>
      <c r="J379" s="199" t="inlineStr">
        <is>
          <t>SFIRE GROUP</t>
        </is>
      </c>
      <c r="K379" s="314" t="n"/>
      <c r="L379" s="2" t="n">
        <v>45180</v>
      </c>
      <c r="M379" s="170" t="n"/>
      <c r="N379" s="170" t="inlineStr">
        <is>
          <t>310 8227462</t>
        </is>
      </c>
      <c r="O379" s="172" t="inlineStr">
        <is>
          <t>Alvaro Manosalva</t>
        </is>
      </c>
      <c r="P379" s="52" t="inlineStr">
        <is>
          <t>alvaromanosalva@sfiregroup.com</t>
        </is>
      </c>
    </row>
    <row r="380">
      <c r="B380" s="170" t="n">
        <v>368</v>
      </c>
      <c r="C380" s="199" t="inlineStr">
        <is>
          <t>COTIZACION DEL DISEÑO DE EXTINCIÓN DE INCENDIOS - PREACCIÓN CUARTOS COG Y PAH GRAN MANZANA</t>
        </is>
      </c>
      <c r="D380" s="312" t="n"/>
      <c r="E380" s="312" t="n"/>
      <c r="F380" s="312" t="n"/>
      <c r="G380" s="312" t="n"/>
      <c r="H380" s="312" t="n"/>
      <c r="I380" s="313" t="n"/>
      <c r="J380" s="199" t="inlineStr">
        <is>
          <t>SPCI</t>
        </is>
      </c>
      <c r="K380" s="314" t="n">
        <v>4950000</v>
      </c>
      <c r="L380" s="2" t="n">
        <v>45180</v>
      </c>
      <c r="M380" s="170" t="n"/>
      <c r="N380" s="170" t="n">
        <v>3104165783</v>
      </c>
      <c r="O380" s="172" t="inlineStr">
        <is>
          <t xml:space="preserve">Cristiam Gustavo Mondragon Cortes </t>
        </is>
      </c>
      <c r="P380" s="52" t="inlineStr">
        <is>
          <t>cristiam.mondragon@spci.com.co</t>
        </is>
      </c>
    </row>
    <row r="381">
      <c r="B381" s="170" t="n">
        <v>369</v>
      </c>
      <c r="C381" s="199" t="inlineStr">
        <is>
          <t>COTIZACION DE LOS DISEÑOS DE PROTECCIÓN CONTRA INCENDIOS Y SEGURIDAD HUMANA PARA EL PROYECTO CLINICA MINSALUD</t>
        </is>
      </c>
      <c r="D381" s="312" t="n"/>
      <c r="E381" s="312" t="n"/>
      <c r="F381" s="312" t="n"/>
      <c r="G381" s="312" t="n"/>
      <c r="H381" s="312" t="n"/>
      <c r="I381" s="313" t="n"/>
      <c r="J381" s="199" t="inlineStr">
        <is>
          <t>Cristian Gañan</t>
        </is>
      </c>
      <c r="K381" s="314" t="n">
        <v>13780000</v>
      </c>
      <c r="L381" s="2" t="n">
        <v>45181</v>
      </c>
      <c r="M381" s="170" t="n"/>
      <c r="N381" s="170" t="inlineStr">
        <is>
          <t>310 5104288</t>
        </is>
      </c>
      <c r="O381" s="170" t="inlineStr">
        <is>
          <t>Cristian Gañan</t>
        </is>
      </c>
      <c r="P381" s="52" t="n"/>
    </row>
    <row r="382">
      <c r="B382" s="170" t="n">
        <v>370</v>
      </c>
      <c r="C382" s="199" t="inlineStr">
        <is>
          <t>COTIZACION DEL ANÁLISIS DE SEGURIDAD HUMANA PARA EL PROYECTO CENTRO COMERCIAL AZUL DE ARENAS</t>
        </is>
      </c>
      <c r="D382" s="312" t="n"/>
      <c r="E382" s="312" t="n"/>
      <c r="F382" s="312" t="n"/>
      <c r="G382" s="312" t="n"/>
      <c r="H382" s="312" t="n"/>
      <c r="I382" s="313" t="n"/>
      <c r="J382" s="199" t="inlineStr">
        <is>
          <t>GRUPO ÉXITO</t>
        </is>
      </c>
      <c r="K382" s="314" t="n"/>
      <c r="L382" s="2" t="n">
        <v>45181</v>
      </c>
      <c r="M382" s="170" t="n"/>
      <c r="N382" s="170" t="n">
        <v>3015639803</v>
      </c>
      <c r="O382" s="172" t="inlineStr">
        <is>
          <t xml:space="preserve">Cristian Rendon Osorio      </t>
        </is>
      </c>
      <c r="P382" s="52" t="inlineStr">
        <is>
          <t>crendono@grupo-exito.com</t>
        </is>
      </c>
    </row>
    <row r="383">
      <c r="B383" s="170" t="n">
        <v>371</v>
      </c>
      <c r="C383" s="199" t="inlineStr">
        <is>
          <t>COTIZACION DE REVISIÓN DE LOS SISTEMAS DE PROTECCIÓN CONTRA INCENDIO PARA EL PROYECTO AMSTERDAM</t>
        </is>
      </c>
      <c r="D383" s="312" t="n"/>
      <c r="E383" s="312" t="n"/>
      <c r="F383" s="312" t="n"/>
      <c r="G383" s="312" t="n"/>
      <c r="H383" s="312" t="n"/>
      <c r="I383" s="313" t="n"/>
      <c r="J383" s="199" t="inlineStr">
        <is>
          <t>SPCI</t>
        </is>
      </c>
      <c r="K383" s="314" t="n">
        <v>5150000</v>
      </c>
      <c r="L383" s="2" t="n">
        <v>45181</v>
      </c>
      <c r="M383" s="170" t="n"/>
      <c r="N383" s="170" t="n">
        <v>3137546144</v>
      </c>
      <c r="O383" s="172" t="inlineStr">
        <is>
          <t>Juan Camilo Quintero Bedoya</t>
        </is>
      </c>
      <c r="P383" s="52" t="inlineStr">
        <is>
          <t>camilo.quintero@spci.com.co</t>
        </is>
      </c>
    </row>
    <row r="384">
      <c r="B384" s="170" t="n">
        <v>372</v>
      </c>
      <c r="C384" s="199" t="inlineStr">
        <is>
          <t>COTIZACION DE LOS DISEÑOS DE PROTECCIÓN CONTRA INCENDIOS Y SEGURIDAD HUMANA PARA EL PROYECTO COLEGIO MONTESSORI</t>
        </is>
      </c>
      <c r="D384" s="312" t="n"/>
      <c r="E384" s="312" t="n"/>
      <c r="F384" s="312" t="n"/>
      <c r="G384" s="312" t="n"/>
      <c r="H384" s="312" t="n"/>
      <c r="I384" s="313" t="n"/>
      <c r="J384" s="199" t="inlineStr">
        <is>
          <t>Estudio Transversal</t>
        </is>
      </c>
      <c r="K384" s="314" t="n"/>
      <c r="L384" s="2" t="n">
        <v>45183</v>
      </c>
      <c r="M384" s="170" t="n"/>
      <c r="N384" s="170" t="n">
        <v>3206788228</v>
      </c>
      <c r="O384" s="172" t="inlineStr">
        <is>
          <t>Ricardo Vasquez Ochoa</t>
        </is>
      </c>
      <c r="P384" s="52" t="inlineStr">
        <is>
          <t>rvasquez@estudiotransversal.com.co</t>
        </is>
      </c>
    </row>
    <row r="385">
      <c r="B385" s="170" t="n">
        <v>373</v>
      </c>
      <c r="C385" s="199" t="inlineStr">
        <is>
          <t>COTIZACION DEL DISEÑO DE EXTINCIÓN DE INCENDIOS PARA EL PROYECTO ARENA PRIMAVERA</t>
        </is>
      </c>
      <c r="D385" s="312" t="n"/>
      <c r="E385" s="312" t="n"/>
      <c r="F385" s="312" t="n"/>
      <c r="G385" s="312" t="n"/>
      <c r="H385" s="312" t="n"/>
      <c r="I385" s="313" t="n"/>
      <c r="J385" s="199" t="inlineStr">
        <is>
          <t>Conconcreto</t>
        </is>
      </c>
      <c r="K385" s="314" t="n"/>
      <c r="L385" s="2" t="n">
        <v>45183</v>
      </c>
      <c r="M385" s="170" t="n"/>
      <c r="N385" s="172" t="n">
        <v>3187725939</v>
      </c>
      <c r="O385" s="170" t="inlineStr">
        <is>
          <t>Luis Miguel Domínguez Tobón</t>
        </is>
      </c>
      <c r="P385" s="52" t="inlineStr">
        <is>
          <t>ldominguezt@conconcreto.com</t>
        </is>
      </c>
    </row>
    <row r="386">
      <c r="B386" s="170" t="n">
        <v>374</v>
      </c>
      <c r="C386" s="199" t="inlineStr">
        <is>
          <t>COTIZACIÓN CANTIDADES DE EXTINCIÓN Y DETECCIÓN DE INCENDIOS PARA COLSÁNITAS IBAGUÉ Y BARRANCA</t>
        </is>
      </c>
      <c r="D386" s="312" t="n"/>
      <c r="E386" s="312" t="n"/>
      <c r="F386" s="312" t="n"/>
      <c r="G386" s="312" t="n"/>
      <c r="H386" s="312" t="n"/>
      <c r="I386" s="313" t="n"/>
      <c r="J386" s="199" t="inlineStr">
        <is>
          <t>Condiseño</t>
        </is>
      </c>
      <c r="K386" s="314" t="n">
        <v>1500000</v>
      </c>
      <c r="L386" s="2" t="n">
        <v>45184</v>
      </c>
      <c r="M386" s="170" t="n"/>
      <c r="N386" s="170" t="n">
        <v>3175594091</v>
      </c>
      <c r="O386" s="170" t="inlineStr">
        <is>
          <t>Nakary García Romero</t>
        </is>
      </c>
      <c r="P386" s="52" t="inlineStr">
        <is>
          <t>n.garcia@condiseno.co</t>
        </is>
      </c>
    </row>
    <row r="387">
      <c r="B387" s="170" t="n">
        <v>375</v>
      </c>
      <c r="C387" s="246" t="inlineStr">
        <is>
          <t xml:space="preserve">COTIZACION DE LOS DISEÑOS DE PROTECCIÓN CONTRA INCENDIOS Y SEGURIDAD HUMANA PARA EL PROYECTO MADERO DEL LAGO VIS
</t>
        </is>
      </c>
      <c r="D387" s="312" t="n"/>
      <c r="E387" s="312" t="n"/>
      <c r="F387" s="312" t="n"/>
      <c r="G387" s="312" t="n"/>
      <c r="H387" s="312" t="n"/>
      <c r="I387" s="313" t="n"/>
      <c r="J387" s="199" t="inlineStr">
        <is>
          <t>Mensula</t>
        </is>
      </c>
      <c r="K387" s="314" t="n">
        <v>19950000</v>
      </c>
      <c r="L387" s="2" t="n">
        <v>45184</v>
      </c>
      <c r="M387" s="170" t="n"/>
      <c r="N387" s="170" t="n">
        <v>3105253917</v>
      </c>
      <c r="O387" s="172" t="inlineStr">
        <is>
          <t>Gerson Andres Marulanda Cardona</t>
        </is>
      </c>
      <c r="P387" s="52" t="inlineStr">
        <is>
          <t>gersonmarulanda@mensulaingenieros.com</t>
        </is>
      </c>
    </row>
    <row r="388">
      <c r="B388" s="170" t="n">
        <v>376</v>
      </c>
      <c r="C388" s="233" t="inlineStr">
        <is>
          <t>COTIZACION DE LOS DISEÑOS DE PROTECCIÓN CONTRA INCENDIOS Y SEGURIDAD HUMANA PARA EL PROYECTO OFICINA DE ARQUITECTURA FARMATODO</t>
        </is>
      </c>
      <c r="D388" s="312" t="n"/>
      <c r="E388" s="312" t="n"/>
      <c r="F388" s="312" t="n"/>
      <c r="G388" s="312" t="n"/>
      <c r="H388" s="312" t="n"/>
      <c r="I388" s="313" t="n"/>
      <c r="J388" s="199" t="inlineStr">
        <is>
          <t>STUDIO SUR</t>
        </is>
      </c>
      <c r="K388" s="314" t="n"/>
      <c r="L388" s="2" t="n">
        <v>45187</v>
      </c>
      <c r="M388" s="170" t="n"/>
      <c r="N388" s="170" t="n"/>
      <c r="O388" s="172" t="inlineStr">
        <is>
          <t>Andrea Sanchez</t>
        </is>
      </c>
      <c r="P388" s="52" t="n"/>
    </row>
    <row r="389">
      <c r="B389" s="170" t="n">
        <v>377</v>
      </c>
      <c r="C389" s="247" t="inlineStr">
        <is>
          <t>COTIZACION DEL DISEÑO DE EXTINCIÓN DE INCENDIOS PARA EL PROYECTO LOCAL ACADEMIA DE INGLES GRAN VIA</t>
        </is>
      </c>
      <c r="D389" s="312" t="n"/>
      <c r="E389" s="312" t="n"/>
      <c r="F389" s="312" t="n"/>
      <c r="G389" s="312" t="n"/>
      <c r="H389" s="312" t="n"/>
      <c r="I389" s="313" t="n"/>
      <c r="J389" s="199" t="inlineStr">
        <is>
          <t>Londoño Gomez</t>
        </is>
      </c>
      <c r="K389" s="314" t="n">
        <v>950000</v>
      </c>
      <c r="L389" s="2" t="n">
        <v>45187</v>
      </c>
      <c r="M389" s="2" t="n"/>
      <c r="N389" s="170" t="inlineStr">
        <is>
          <t>3111770 ext 455</t>
        </is>
      </c>
      <c r="O389" s="170" t="inlineStr">
        <is>
          <t>Lina M Saldarriaga</t>
        </is>
      </c>
      <c r="P389" s="52" t="inlineStr">
        <is>
          <t>lsaldarriaga@interlg.com</t>
        </is>
      </c>
    </row>
    <row r="390">
      <c r="B390" s="170" t="n">
        <v>378</v>
      </c>
      <c r="C390" s="199" t="inlineStr">
        <is>
          <t>COTIZACION DE LOS DISEÑOS DE PROTECCIÓN CONTRA INCENDIOS Y SEGURIDAD HUMANA PARA EL PROYECTO BODEGA N 94</t>
        </is>
      </c>
      <c r="D390" s="312" t="n"/>
      <c r="E390" s="312" t="n"/>
      <c r="F390" s="312" t="n"/>
      <c r="G390" s="312" t="n"/>
      <c r="H390" s="312" t="n"/>
      <c r="I390" s="313" t="n"/>
      <c r="J390" s="199" t="inlineStr">
        <is>
          <t>Santiago Moreno</t>
        </is>
      </c>
      <c r="K390" s="314" t="n">
        <v>13950000</v>
      </c>
      <c r="L390" s="2" t="n">
        <v>45187</v>
      </c>
      <c r="M390" s="2" t="n"/>
      <c r="N390" s="170" t="n">
        <v>3044003430</v>
      </c>
      <c r="O390" s="172" t="inlineStr">
        <is>
          <t>Gino Montoya</t>
        </is>
      </c>
      <c r="P390" s="52" t="inlineStr">
        <is>
          <t>gino1037@hotmail.com</t>
        </is>
      </c>
    </row>
    <row r="391">
      <c r="B391" s="170" t="n">
        <v>379</v>
      </c>
      <c r="C391" s="246" t="inlineStr">
        <is>
          <t xml:space="preserve">COTIZACION DEL DISEÑO DE EXTINCIÓN DE INCENDIOS PARA EL PROYECTO BODEGA 39 INTEXZONA
</t>
        </is>
      </c>
      <c r="D391" s="312" t="n"/>
      <c r="E391" s="312" t="n"/>
      <c r="F391" s="312" t="n"/>
      <c r="G391" s="312" t="n"/>
      <c r="H391" s="312" t="n"/>
      <c r="I391" s="313" t="n"/>
      <c r="J391" s="199" t="inlineStr">
        <is>
          <t>SPCI</t>
        </is>
      </c>
      <c r="K391" s="314" t="n">
        <v>24990000</v>
      </c>
      <c r="L391" s="2" t="n">
        <v>45188</v>
      </c>
      <c r="M391" s="170" t="n"/>
      <c r="N391" s="170" t="n">
        <v>310468058</v>
      </c>
      <c r="O391" s="172" t="inlineStr">
        <is>
          <t>Juan Pablo Grajales Gómez</t>
        </is>
      </c>
      <c r="P391" s="52" t="inlineStr">
        <is>
          <t>juan.grajales@spci.com.co</t>
        </is>
      </c>
    </row>
    <row r="392">
      <c r="B392" s="170" t="n">
        <v>380</v>
      </c>
      <c r="C392" s="199" t="inlineStr">
        <is>
          <t>COTIZACION DE LOS DISEÑOS DE PROTECCIÓN CONTRA INCENDIOS Y SEGURIDAD HUMANA PARA EL PROYECTO SEDE POBLEADO MEDELLIN</t>
        </is>
      </c>
      <c r="D392" s="312" t="n"/>
      <c r="E392" s="312" t="n"/>
      <c r="F392" s="312" t="n"/>
      <c r="G392" s="312" t="n"/>
      <c r="H392" s="312" t="n"/>
      <c r="I392" s="313" t="n"/>
      <c r="J392" s="199" t="inlineStr">
        <is>
          <t>VIVA 1A IPS</t>
        </is>
      </c>
      <c r="K392" s="314" t="n">
        <v>9410000</v>
      </c>
      <c r="L392" s="2" t="n">
        <v>45188</v>
      </c>
      <c r="M392" s="170" t="n"/>
      <c r="N392" s="170" t="n">
        <v>3163671735</v>
      </c>
      <c r="O392" s="172" t="inlineStr">
        <is>
          <t>Walter Ledesma</t>
        </is>
      </c>
      <c r="P392" s="52" t="inlineStr">
        <is>
          <t>wledesma@viva1a.com.co</t>
        </is>
      </c>
    </row>
    <row r="393">
      <c r="B393" s="170" t="n">
        <v>381</v>
      </c>
      <c r="C393" s="233" t="inlineStr">
        <is>
          <t xml:space="preserve">COTIZACION DE LOS DISEÑOS DE PROTECCIÓN CONTRA INCENDIOS Y SEGURIDAD HUMANA PARA EL PROYECTO EDIFICIO CORPORATIVO-TODO DROGAS
</t>
        </is>
      </c>
      <c r="D393" s="312" t="n"/>
      <c r="E393" s="312" t="n"/>
      <c r="F393" s="312" t="n"/>
      <c r="G393" s="312" t="n"/>
      <c r="H393" s="312" t="n"/>
      <c r="I393" s="313" t="n"/>
      <c r="J393" s="199" t="inlineStr">
        <is>
          <t xml:space="preserve">ESPIRAL </t>
        </is>
      </c>
      <c r="K393" s="314" t="n">
        <v>13920000</v>
      </c>
      <c r="L393" s="2" t="n">
        <v>45188</v>
      </c>
      <c r="M393" s="170" t="n"/>
      <c r="N393" s="170" t="n">
        <v>3176461961</v>
      </c>
      <c r="O393" s="172" t="inlineStr">
        <is>
          <t>Jorge Escobar</t>
        </is>
      </c>
      <c r="P393" s="52" t="inlineStr">
        <is>
          <t>jorge.escobar@espiral.com.co</t>
        </is>
      </c>
    </row>
    <row r="394">
      <c r="B394" s="170" t="n">
        <v>382</v>
      </c>
      <c r="C394" s="199" t="inlineStr">
        <is>
          <t>COTIZACION DE LOS DISEÑOS DE PROTECCIÓN CONTRA INCENDIOS PARA EL PROYECTO PLANTA EXPORTADORA</t>
        </is>
      </c>
      <c r="D394" s="312" t="n"/>
      <c r="E394" s="312" t="n"/>
      <c r="F394" s="312" t="n"/>
      <c r="G394" s="312" t="n"/>
      <c r="H394" s="312" t="n"/>
      <c r="I394" s="313" t="n"/>
      <c r="J394" s="199" t="inlineStr">
        <is>
          <t>SPCI</t>
        </is>
      </c>
      <c r="K394" s="314" t="n"/>
      <c r="L394" s="2" t="n">
        <v>45195</v>
      </c>
      <c r="M394" s="170" t="n"/>
      <c r="N394" s="170" t="n">
        <v>3104680508</v>
      </c>
      <c r="O394" s="172" t="inlineStr">
        <is>
          <t>Juan Pablo Grajales Gomez</t>
        </is>
      </c>
      <c r="P394" s="52" t="inlineStr">
        <is>
          <t>juan.grajales@spci.com.co</t>
        </is>
      </c>
    </row>
    <row r="395">
      <c r="B395" s="170" t="n">
        <v>383</v>
      </c>
      <c r="C395" s="199" t="inlineStr">
        <is>
          <t>COTIZACION DE LOS DISEÑOS DE PROTECCIÓN CONTRA INCENDIOS Y SEGURIDAD HUMANA PARA EL PROYECTO BLOQUE M16 UNIVERSIDAD NACIONAL DE COLOMBIA</t>
        </is>
      </c>
      <c r="D395" s="312" t="n"/>
      <c r="E395" s="312" t="n"/>
      <c r="F395" s="312" t="n"/>
      <c r="G395" s="312" t="n"/>
      <c r="H395" s="312" t="n"/>
      <c r="I395" s="313" t="n"/>
      <c r="J395" s="199" t="inlineStr">
        <is>
          <t>UNIVERSIDAD NACIONAL</t>
        </is>
      </c>
      <c r="K395" s="314" t="n">
        <v>4650000</v>
      </c>
      <c r="L395" s="2" t="n">
        <v>45191</v>
      </c>
      <c r="M395" s="170" t="n"/>
      <c r="N395" s="170" t="n">
        <v>3104739081</v>
      </c>
      <c r="O395" s="172" t="inlineStr">
        <is>
          <t>JOHAN FERNEY TAMAYO LOPEZ</t>
        </is>
      </c>
      <c r="P395" s="52" t="inlineStr">
        <is>
          <t>jtamayol@unal.edu.co</t>
        </is>
      </c>
    </row>
    <row r="396" ht="15" customHeight="1">
      <c r="B396" s="170" t="n">
        <v>384</v>
      </c>
      <c r="C396" s="246" t="inlineStr">
        <is>
          <t xml:space="preserve">COTIZACION DE LOS DISEÑOS DE PROTECCIÓN CONTRA INCENDIOS PARA EL PROYECTO HALL CAJEROS MONTERIA
</t>
        </is>
      </c>
      <c r="D396" s="312" t="n"/>
      <c r="E396" s="312" t="n"/>
      <c r="F396" s="312" t="n"/>
      <c r="G396" s="312" t="n"/>
      <c r="H396" s="312" t="n"/>
      <c r="I396" s="313" t="n"/>
      <c r="J396" s="199" t="inlineStr">
        <is>
          <t>Esteban Pérez Betancur</t>
        </is>
      </c>
      <c r="K396" s="314" t="n">
        <v>1250000</v>
      </c>
      <c r="L396" s="2" t="n">
        <v>45191</v>
      </c>
      <c r="M396" s="170" t="n"/>
      <c r="N396" s="170" t="inlineStr">
        <is>
          <t>316 7417025</t>
        </is>
      </c>
      <c r="O396" s="172" t="inlineStr">
        <is>
          <t>Esteban Pérez Betancur</t>
        </is>
      </c>
      <c r="P396" s="52" t="inlineStr">
        <is>
          <t>escapeto28@gmail.com</t>
        </is>
      </c>
    </row>
    <row r="397">
      <c r="B397" s="170" t="n">
        <v>385</v>
      </c>
      <c r="C397" s="247" t="inlineStr">
        <is>
          <t>COTIZACION DE LOS DISEÑOS DE PROTECCIÓN CONTRA INCENDIOS Y SEGURIDAD HUMANA PARA EL PROYECTO PLATAFORMA DE PARQUEADEROS BOULEVAR VERDE</t>
        </is>
      </c>
      <c r="D397" s="312" t="n"/>
      <c r="E397" s="312" t="n"/>
      <c r="F397" s="312" t="n"/>
      <c r="G397" s="312" t="n"/>
      <c r="H397" s="312" t="n"/>
      <c r="I397" s="313" t="n"/>
      <c r="J397" s="199" t="inlineStr">
        <is>
          <t>I+CONSTRUCTORA</t>
        </is>
      </c>
      <c r="K397" s="314" t="n">
        <v>6150000</v>
      </c>
      <c r="L397" s="2" t="n">
        <v>45191</v>
      </c>
      <c r="M397" s="170" t="n"/>
      <c r="N397" s="170" t="inlineStr">
        <is>
          <t>(604) 4443091</t>
        </is>
      </c>
      <c r="O397" s="172" t="inlineStr">
        <is>
          <t xml:space="preserve"> LINA MARIA MONTOYA</t>
        </is>
      </c>
      <c r="P397" s="52" t="n"/>
    </row>
    <row r="398">
      <c r="B398" s="170" t="n">
        <v>386</v>
      </c>
      <c r="C398" s="199" t="inlineStr">
        <is>
          <t>COTIZACION DEL DISEÑO DE EXTINCIÓN DE INCENDIOS PARA EL PROYECTO CUARTO DE BOMBAS Y TANQUES GOOD GROUP</t>
        </is>
      </c>
      <c r="D398" s="312" t="n"/>
      <c r="E398" s="312" t="n"/>
      <c r="F398" s="312" t="n"/>
      <c r="G398" s="312" t="n"/>
      <c r="H398" s="312" t="n"/>
      <c r="I398" s="313" t="n"/>
      <c r="J398" s="199" t="inlineStr">
        <is>
          <t>Good Group SAS</t>
        </is>
      </c>
      <c r="K398" s="314" t="n"/>
      <c r="L398" s="2" t="n">
        <v>45191</v>
      </c>
      <c r="M398" s="170" t="n"/>
      <c r="N398" s="170" t="n"/>
      <c r="O398" s="170" t="inlineStr">
        <is>
          <t>Juan José</t>
        </is>
      </c>
      <c r="P398" s="52" t="n"/>
    </row>
    <row r="399">
      <c r="B399" s="170" t="n">
        <v>387</v>
      </c>
      <c r="C399" s="199" t="inlineStr">
        <is>
          <t>COTIZACION DE REVISIÓN DE LOS DISEÑOS DE PROTECCIÓN CONTRA INCENDIO Y SEGURIDAD HUMANA - REDEPESCA</t>
        </is>
      </c>
      <c r="D399" s="312" t="n"/>
      <c r="E399" s="312" t="n"/>
      <c r="F399" s="312" t="n"/>
      <c r="G399" s="312" t="n"/>
      <c r="H399" s="312" t="n"/>
      <c r="I399" s="313" t="n"/>
      <c r="J399" s="199" t="inlineStr">
        <is>
          <t>FIREMARSHAL</t>
        </is>
      </c>
      <c r="K399" s="314" t="n">
        <v>3150000</v>
      </c>
      <c r="L399" s="2" t="n">
        <v>45191</v>
      </c>
      <c r="M399" s="170" t="n"/>
      <c r="N399" s="170" t="inlineStr">
        <is>
          <t xml:space="preserve"> 315 5852559</t>
        </is>
      </c>
      <c r="O399" s="172" t="inlineStr">
        <is>
          <t>José Manuel Maya</t>
        </is>
      </c>
      <c r="P399" s="52" t="inlineStr">
        <is>
          <t>josemaya@firemarshal.com.co</t>
        </is>
      </c>
    </row>
    <row r="400">
      <c r="B400" s="170" t="n">
        <v>388</v>
      </c>
      <c r="C400" s="246" t="inlineStr">
        <is>
          <t xml:space="preserve">COTIZACION DEL ANÁLISIS DE SEGURIDAD HUMANA PARA EL PROYECTO EL PEÑOL
</t>
        </is>
      </c>
      <c r="D400" s="312" t="n"/>
      <c r="E400" s="312" t="n"/>
      <c r="F400" s="312" t="n"/>
      <c r="G400" s="312" t="n"/>
      <c r="H400" s="312" t="n"/>
      <c r="I400" s="313" t="n"/>
      <c r="J400" s="199" t="inlineStr">
        <is>
          <t>CASASBEE</t>
        </is>
      </c>
      <c r="K400" s="314" t="n">
        <v>3950000</v>
      </c>
      <c r="L400" s="2" t="n">
        <v>45191</v>
      </c>
      <c r="M400" s="170" t="n"/>
      <c r="N400" s="170" t="n">
        <v>3103995828</v>
      </c>
      <c r="O400" s="172" t="inlineStr">
        <is>
          <t>Jacobo Gallego</t>
        </is>
      </c>
      <c r="P400" s="52" t="inlineStr">
        <is>
          <t>dirarquitectura@casasbee.com</t>
        </is>
      </c>
    </row>
    <row r="401">
      <c r="B401" s="170" t="n">
        <v>389</v>
      </c>
      <c r="C401" s="199" t="inlineStr">
        <is>
          <t>COTIZACION DEL REDISEÑO DE EXTINCIÓN DE INCENDIOS - MEZANINE BODEGA 2 Y SIAMESA DISLICORES - REV B</t>
        </is>
      </c>
      <c r="D401" s="312" t="n"/>
      <c r="E401" s="312" t="n"/>
      <c r="F401" s="312" t="n"/>
      <c r="G401" s="312" t="n"/>
      <c r="H401" s="312" t="n"/>
      <c r="I401" s="313" t="n"/>
      <c r="J401" s="199" t="inlineStr">
        <is>
          <t>SPCI</t>
        </is>
      </c>
      <c r="K401" s="314" t="n">
        <v>5400000</v>
      </c>
      <c r="L401" s="2" t="n">
        <v>45197</v>
      </c>
      <c r="M401" s="170" t="n"/>
      <c r="N401" s="170" t="inlineStr">
        <is>
          <t>310 393 97 39</t>
        </is>
      </c>
      <c r="O401" s="172" t="inlineStr">
        <is>
          <t xml:space="preserve"> Victor Hugo Saldarriaga Botero</t>
        </is>
      </c>
      <c r="P401" s="52" t="inlineStr">
        <is>
          <t>victor.saldarriaga@spci.com.co</t>
        </is>
      </c>
    </row>
    <row r="402">
      <c r="B402" s="170" t="n">
        <v>390</v>
      </c>
      <c r="C402" s="199" t="inlineStr">
        <is>
          <t>COTIZACION DE LOS DISEÑOS DE PROTECCIÓN CONTRA INCENDIOS Y SEGURIDAD HUMANA PARA EL PROYECTO HOTEL IROTAMA BAHIA</t>
        </is>
      </c>
      <c r="D402" s="312" t="n"/>
      <c r="E402" s="312" t="n"/>
      <c r="F402" s="312" t="n"/>
      <c r="G402" s="312" t="n"/>
      <c r="H402" s="312" t="n"/>
      <c r="I402" s="313" t="n"/>
      <c r="J402" s="199" t="inlineStr">
        <is>
          <t>A&amp;C</t>
        </is>
      </c>
      <c r="K402" s="314" t="n">
        <v>100000000</v>
      </c>
      <c r="L402" s="2" t="n">
        <v>45194</v>
      </c>
      <c r="M402" s="170" t="n"/>
      <c r="N402" s="172" t="inlineStr">
        <is>
          <t>312 36 18 Ext. 2177</t>
        </is>
      </c>
      <c r="O402" s="170" t="inlineStr">
        <is>
          <t>Robinson Marulanda Guarin</t>
        </is>
      </c>
      <c r="P402" s="52" t="n"/>
    </row>
    <row r="403">
      <c r="B403" s="170" t="n">
        <v>391</v>
      </c>
      <c r="C403" s="199" t="inlineStr">
        <is>
          <t>COTIZACION DEL ANÁLISIS DE SEGURIDAD HUMANA PARA EL PROYECTO CAPGEMINI</t>
        </is>
      </c>
      <c r="D403" s="312" t="n"/>
      <c r="E403" s="312" t="n"/>
      <c r="F403" s="312" t="n"/>
      <c r="G403" s="312" t="n"/>
      <c r="H403" s="312" t="n"/>
      <c r="I403" s="313" t="n"/>
      <c r="J403" s="199" t="inlineStr">
        <is>
          <t>STUDIO SUR</t>
        </is>
      </c>
      <c r="K403" s="314" t="n">
        <v>5100000</v>
      </c>
      <c r="L403" s="2" t="n">
        <v>45194</v>
      </c>
      <c r="M403" s="170" t="n"/>
      <c r="N403" s="172" t="n"/>
      <c r="O403" s="170" t="inlineStr">
        <is>
          <t>Liliana Gutierrez</t>
        </is>
      </c>
      <c r="P403" s="52" t="inlineStr">
        <is>
          <t>liliana.gutierrez@studiosur.net</t>
        </is>
      </c>
    </row>
    <row r="404">
      <c r="B404" s="170" t="n">
        <v>392</v>
      </c>
      <c r="C404" s="199" t="inlineStr">
        <is>
          <t>COTIZACION DE LOS DISEÑOS DE PROTECCIÓN CONTRA INCENDIOS Y SEGURIDAD HUMANA PARA EL PROYECTO BODEGA MONTACARGAS</t>
        </is>
      </c>
      <c r="D404" s="312" t="n"/>
      <c r="E404" s="312" t="n"/>
      <c r="F404" s="312" t="n"/>
      <c r="G404" s="312" t="n"/>
      <c r="H404" s="312" t="n"/>
      <c r="I404" s="313" t="n"/>
      <c r="J404" s="199" t="inlineStr">
        <is>
          <t>GINO MONTOYA</t>
        </is>
      </c>
      <c r="K404" s="314" t="inlineStr">
        <is>
          <t>misma que 378</t>
        </is>
      </c>
      <c r="L404" s="2" t="n">
        <v>45194</v>
      </c>
      <c r="M404" s="170" t="n"/>
      <c r="N404" s="170" t="n">
        <v>3044003430</v>
      </c>
      <c r="O404" s="172" t="inlineStr">
        <is>
          <t>Gino Montoya</t>
        </is>
      </c>
      <c r="P404" s="52" t="inlineStr">
        <is>
          <t>gino1037@hotmail.com</t>
        </is>
      </c>
    </row>
    <row r="405">
      <c r="B405" s="170" t="n">
        <v>393</v>
      </c>
      <c r="C405" s="233" t="inlineStr">
        <is>
          <t xml:space="preserve">COTIZACION DE LOS DISEÑOS DE PROTECCIÓN CONTRA INCENDIOS Y SEGURIDAD HUMANA PARA EL PROYECTO FARMACEUTICA WEST LA ESTRELLA
</t>
        </is>
      </c>
      <c r="D405" s="312" t="n"/>
      <c r="E405" s="312" t="n"/>
      <c r="F405" s="312" t="n"/>
      <c r="G405" s="312" t="n"/>
      <c r="H405" s="312" t="n"/>
      <c r="I405" s="313" t="n"/>
      <c r="J405" s="199" t="inlineStr">
        <is>
          <t>GINO MONTOYA</t>
        </is>
      </c>
      <c r="K405" s="314" t="n">
        <v>19950000</v>
      </c>
      <c r="L405" s="2" t="n">
        <v>45194</v>
      </c>
      <c r="M405" s="170" t="n"/>
      <c r="N405" s="170" t="n">
        <v>3044003430</v>
      </c>
      <c r="O405" s="172" t="inlineStr">
        <is>
          <t>Gino Montoya</t>
        </is>
      </c>
      <c r="P405" s="52" t="inlineStr">
        <is>
          <t>gino1037@hotmail.com</t>
        </is>
      </c>
    </row>
    <row r="406">
      <c r="B406" s="170" t="n">
        <v>394</v>
      </c>
      <c r="C406" s="199" t="inlineStr">
        <is>
          <t>COTIZACION DE LOS DISEÑOS DE PROTECCIÓN CONTRA INCENDIOS Y SEGURIDAD HUMANA PARA EL PROYECTO FARMACEUTICA RIONEGRO DE 6.000 M2</t>
        </is>
      </c>
      <c r="D406" s="312" t="n"/>
      <c r="E406" s="312" t="n"/>
      <c r="F406" s="312" t="n"/>
      <c r="G406" s="312" t="n"/>
      <c r="H406" s="312" t="n"/>
      <c r="I406" s="313" t="n"/>
      <c r="J406" s="71" t="inlineStr">
        <is>
          <t>GINO MONTOYA</t>
        </is>
      </c>
      <c r="K406" s="328" t="n">
        <v>29980000</v>
      </c>
      <c r="L406" s="2" t="n">
        <v>45194</v>
      </c>
      <c r="M406" s="170" t="n"/>
      <c r="N406" s="170" t="n">
        <v>3044003430</v>
      </c>
      <c r="O406" s="172" t="inlineStr">
        <is>
          <t>Gino Montoya</t>
        </is>
      </c>
      <c r="P406" s="52" t="inlineStr">
        <is>
          <t>gino1037@hotmail.com</t>
        </is>
      </c>
    </row>
    <row r="407" ht="15" customHeight="1">
      <c r="B407" s="170" t="n">
        <v>395</v>
      </c>
      <c r="C407" s="199" t="inlineStr">
        <is>
          <t>COTIZACION DEL REDISEÑO DE EXTINCIÓN DE INCENDIOS PARA LA RED GENERAL DEL PROYECTO ALLEGRO</t>
        </is>
      </c>
      <c r="D407" s="312" t="n"/>
      <c r="E407" s="312" t="n"/>
      <c r="F407" s="312" t="n"/>
      <c r="G407" s="312" t="n"/>
      <c r="H407" s="312" t="n"/>
      <c r="I407" s="313" t="n"/>
      <c r="J407" s="199" t="inlineStr">
        <is>
          <t>CENTRO SUR</t>
        </is>
      </c>
      <c r="K407" s="314" t="n">
        <v>2000000</v>
      </c>
      <c r="L407" s="2" t="n">
        <v>45195</v>
      </c>
      <c r="M407" s="170" t="n"/>
      <c r="N407" s="170" t="inlineStr">
        <is>
          <t>314 8881098</t>
        </is>
      </c>
      <c r="O407" s="172" t="inlineStr">
        <is>
          <t>Jorge Maya</t>
        </is>
      </c>
      <c r="P407" s="52" t="inlineStr">
        <is>
          <t xml:space="preserve">jorgemaya@centrosur.co </t>
        </is>
      </c>
    </row>
    <row r="408">
      <c r="B408" s="170" t="n">
        <v>396</v>
      </c>
      <c r="C408" s="199" t="inlineStr">
        <is>
          <t>COTIZACION DE LOS DISEÑOS DE PROTECCIÓN CONTRA INCENDIOS Y SEGURIDAD HUMANA PARA EL PROYECTO VILLA GABRIELA II</t>
        </is>
      </c>
      <c r="D408" s="312" t="n"/>
      <c r="E408" s="312" t="n"/>
      <c r="F408" s="312" t="n"/>
      <c r="G408" s="312" t="n"/>
      <c r="H408" s="312" t="n"/>
      <c r="I408" s="313" t="n"/>
      <c r="J408" s="199" t="inlineStr">
        <is>
          <t>AIA</t>
        </is>
      </c>
      <c r="K408" s="314" t="n">
        <v>8950000</v>
      </c>
      <c r="L408" s="2" t="n">
        <v>45195</v>
      </c>
      <c r="M408" s="170" t="n"/>
      <c r="N408" s="170" t="n"/>
      <c r="O408" s="172" t="inlineStr">
        <is>
          <t>Juan Fernando Franco Correa</t>
        </is>
      </c>
      <c r="P408" s="52" t="inlineStr">
        <is>
          <t>juanfranco@mt.com.co</t>
        </is>
      </c>
    </row>
    <row r="409">
      <c r="B409" s="170" t="n">
        <v>397</v>
      </c>
      <c r="C409" s="246" t="inlineStr">
        <is>
          <t xml:space="preserve">COTIZACION DE LOS DISEÑOS DE PROTECCIÓN CONTRA INCENDIOS Y SEGURIDAD HUMANA PARA EL PROYECTO HOTEL VERTICALL
</t>
        </is>
      </c>
      <c r="D409" s="312" t="n"/>
      <c r="E409" s="312" t="n"/>
      <c r="F409" s="312" t="n"/>
      <c r="G409" s="312" t="n"/>
      <c r="H409" s="312" t="n"/>
      <c r="I409" s="313" t="n"/>
      <c r="J409" s="199" t="inlineStr">
        <is>
          <t>Grupo Verticall</t>
        </is>
      </c>
      <c r="K409" s="314" t="n">
        <v>24170000</v>
      </c>
      <c r="L409" s="2" t="n">
        <v>45196</v>
      </c>
      <c r="M409" s="170" t="n"/>
      <c r="N409" s="170" t="n"/>
      <c r="O409" s="172" t="inlineStr">
        <is>
          <t>Angie Martinez</t>
        </is>
      </c>
      <c r="P409" s="52" t="inlineStr">
        <is>
          <t>asistenteadmonverticall@gmail.com</t>
        </is>
      </c>
    </row>
    <row r="410">
      <c r="B410" s="170" t="n">
        <v>398</v>
      </c>
      <c r="C410" s="199" t="inlineStr">
        <is>
          <t>COTIZACION DEL ANÁLISIS DE SEGURIDAD HUMANA PARA EL PROYECTO SAN PASCUAL</t>
        </is>
      </c>
      <c r="D410" s="312" t="n"/>
      <c r="E410" s="312" t="n"/>
      <c r="F410" s="312" t="n"/>
      <c r="G410" s="312" t="n"/>
      <c r="H410" s="312" t="n"/>
      <c r="I410" s="313" t="n"/>
      <c r="J410" s="199" t="inlineStr">
        <is>
          <t>AIA</t>
        </is>
      </c>
      <c r="K410" s="314" t="inlineStr">
        <is>
          <t>Variable</t>
        </is>
      </c>
      <c r="L410" s="2" t="n">
        <v>45197</v>
      </c>
      <c r="M410" s="170" t="n"/>
      <c r="N410" s="170" t="n">
        <v>6044037700</v>
      </c>
      <c r="O410" s="172" t="inlineStr">
        <is>
          <t>Daniela Betancur Rivera</t>
        </is>
      </c>
      <c r="P410" s="52" t="inlineStr">
        <is>
          <t>dbetancur@aia.com.co</t>
        </is>
      </c>
    </row>
    <row r="411" ht="15" customHeight="1">
      <c r="B411" s="170" t="n">
        <v>399</v>
      </c>
      <c r="C411" s="199" t="inlineStr">
        <is>
          <t xml:space="preserve">COTIZACION DE LOS DISEÑOS DE PROTECCIÓN CONTRA INCENDIOS Y SEGURIDAD HUMANA PARA EL PROYECTO ISA
</t>
        </is>
      </c>
      <c r="D411" s="312" t="n"/>
      <c r="E411" s="312" t="n"/>
      <c r="F411" s="312" t="n"/>
      <c r="G411" s="312" t="n"/>
      <c r="H411" s="312" t="n"/>
      <c r="I411" s="313" t="n"/>
      <c r="J411" s="199" t="inlineStr">
        <is>
          <t>PAORQ</t>
        </is>
      </c>
      <c r="K411" s="314" t="n">
        <v>22550000</v>
      </c>
      <c r="L411" s="2" t="n">
        <v>45197</v>
      </c>
      <c r="M411" s="170" t="n"/>
      <c r="N411" s="170" t="n">
        <v>3117477239</v>
      </c>
      <c r="O411" s="172" t="inlineStr">
        <is>
          <t>Paola Andrea López Cadavid</t>
        </is>
      </c>
      <c r="P411" s="52" t="inlineStr">
        <is>
          <t>paolopez@paoarq.com</t>
        </is>
      </c>
    </row>
    <row r="412">
      <c r="B412" s="170" t="n">
        <v>400</v>
      </c>
      <c r="C412" s="233" t="inlineStr">
        <is>
          <t xml:space="preserve">COTIZACION DE LOS DISEÑOS DE PROTECCIÓN CONTRA INCENDIOS Y SEGURIDAD HUMANA PARA EL PROYECTO HOTEL CONQUISTADORES VERTICALL
</t>
        </is>
      </c>
      <c r="D412" s="312" t="n"/>
      <c r="E412" s="312" t="n"/>
      <c r="F412" s="312" t="n"/>
      <c r="G412" s="312" t="n"/>
      <c r="H412" s="312" t="n"/>
      <c r="I412" s="313" t="n"/>
      <c r="J412" s="199" t="inlineStr">
        <is>
          <t>Cristian Gañan</t>
        </is>
      </c>
      <c r="K412" s="314" t="inlineStr">
        <is>
          <t>22.290.000</t>
        </is>
      </c>
      <c r="L412" s="2" t="n">
        <v>45197</v>
      </c>
      <c r="M412" s="170" t="n"/>
      <c r="N412" s="170" t="inlineStr">
        <is>
          <t>310 5104288</t>
        </is>
      </c>
      <c r="O412" s="170" t="inlineStr">
        <is>
          <t>Cristian Gañan</t>
        </is>
      </c>
      <c r="P412" s="52" t="n"/>
    </row>
    <row r="413">
      <c r="B413" s="170" t="n">
        <v>401</v>
      </c>
      <c r="C413" s="199" t="inlineStr">
        <is>
          <t>COTIZACION DE LOS DISEÑOS DE SEGURIDAD HUMANA Y PROTECCIÓN CONTRA INCENDIOS - CLÍNICA DE GRANDES</t>
        </is>
      </c>
      <c r="D413" s="312" t="n"/>
      <c r="E413" s="312" t="n"/>
      <c r="F413" s="312" t="n"/>
      <c r="G413" s="312" t="n"/>
      <c r="H413" s="312" t="n"/>
      <c r="I413" s="313" t="n"/>
      <c r="J413" s="235" t="inlineStr">
        <is>
          <t>INGESED</t>
        </is>
      </c>
      <c r="K413" s="314" t="inlineStr">
        <is>
          <t>Variable</t>
        </is>
      </c>
      <c r="L413" s="2" t="n">
        <v>45198</v>
      </c>
      <c r="M413" s="170" t="n"/>
      <c r="N413" s="170" t="inlineStr">
        <is>
          <t>313 5401714</t>
        </is>
      </c>
      <c r="O413" s="172" t="inlineStr">
        <is>
          <t>Eliana Isabel Cardona Ríos</t>
        </is>
      </c>
      <c r="P413" s="52" t="inlineStr">
        <is>
          <t>comercial@ingesed.com</t>
        </is>
      </c>
    </row>
    <row r="414">
      <c r="B414" s="170" t="n">
        <v>402</v>
      </c>
      <c r="C414" s="247" t="inlineStr">
        <is>
          <t>COTIZACION DE LOS DISEÑOS DE PROTECCIÓN CONTRA INCENDIOS Y SEGURIDAD HUMANA PARA EL PROYECTO CALL CENTER MEDELLIN</t>
        </is>
      </c>
      <c r="D414" s="312" t="n"/>
      <c r="E414" s="312" t="n"/>
      <c r="F414" s="312" t="n"/>
      <c r="G414" s="312" t="n"/>
      <c r="H414" s="312" t="n"/>
      <c r="I414" s="313" t="n"/>
      <c r="J414" s="199" t="inlineStr">
        <is>
          <t>STUDIO SUR</t>
        </is>
      </c>
      <c r="K414" s="314" t="n">
        <v>12150000</v>
      </c>
      <c r="L414" s="2" t="n">
        <v>45201</v>
      </c>
      <c r="M414" s="170" t="n"/>
      <c r="N414" s="170" t="inlineStr">
        <is>
          <t>312 776 4680</t>
        </is>
      </c>
      <c r="O414" s="172" t="inlineStr">
        <is>
          <t>Susana Velásquez</t>
        </is>
      </c>
      <c r="P414" s="52" t="inlineStr">
        <is>
          <t>admin@studiosur.net</t>
        </is>
      </c>
    </row>
    <row r="415">
      <c r="B415" s="170" t="n">
        <v>403</v>
      </c>
      <c r="C415" s="246" t="inlineStr">
        <is>
          <t>COTIZACION DE LOS DISEÑOS DE PROTECCIÓN CONTRA INCENDIOS Y SEGURIDAD HUMANA PARA EL PROYECTO CALL CENTER BOGOTA</t>
        </is>
      </c>
      <c r="D415" s="312" t="n"/>
      <c r="E415" s="312" t="n"/>
      <c r="F415" s="312" t="n"/>
      <c r="G415" s="312" t="n"/>
      <c r="H415" s="312" t="n"/>
      <c r="I415" s="313" t="n"/>
      <c r="J415" s="199" t="inlineStr">
        <is>
          <t>STUDIO SUR</t>
        </is>
      </c>
      <c r="K415" s="314" t="n">
        <v>9550000</v>
      </c>
      <c r="L415" s="2" t="n">
        <v>45201</v>
      </c>
      <c r="M415" s="170" t="n"/>
      <c r="N415" s="170" t="inlineStr">
        <is>
          <t>312 776 4680</t>
        </is>
      </c>
      <c r="O415" s="172" t="inlineStr">
        <is>
          <t>Susana Velásquez</t>
        </is>
      </c>
      <c r="P415" s="52" t="inlineStr">
        <is>
          <t>admin@studiosur.net</t>
        </is>
      </c>
    </row>
    <row r="416">
      <c r="B416" s="170" t="n">
        <v>404</v>
      </c>
      <c r="C416" s="246" t="inlineStr">
        <is>
          <t xml:space="preserve">COTIZACION DEL DISEÑO DE EXTINCIÓN DE INCENDIOS PARA EL PROYECTO AFRICA MALL PLAZA CALI
</t>
        </is>
      </c>
      <c r="D416" s="312" t="n"/>
      <c r="E416" s="312" t="n"/>
      <c r="F416" s="312" t="n"/>
      <c r="G416" s="312" t="n"/>
      <c r="H416" s="312" t="n"/>
      <c r="I416" s="313" t="n"/>
      <c r="J416" s="199" t="inlineStr">
        <is>
          <t>SPCI</t>
        </is>
      </c>
      <c r="K416" s="314" t="n">
        <v>4390000</v>
      </c>
      <c r="L416" s="2" t="n">
        <v>45201</v>
      </c>
      <c r="M416" s="170" t="n"/>
      <c r="N416" s="170" t="inlineStr">
        <is>
          <t>310 389 80 43</t>
        </is>
      </c>
      <c r="O416" s="172" t="inlineStr">
        <is>
          <t>Mauricio Gutierrez Bohorquez</t>
        </is>
      </c>
      <c r="P416" s="52" t="inlineStr">
        <is>
          <t>mauricio.gutierrez@spci.com.co</t>
        </is>
      </c>
    </row>
    <row r="417">
      <c r="B417" s="170" t="n">
        <v>405</v>
      </c>
      <c r="C417" s="199" t="inlineStr">
        <is>
          <t>COTIZACION DE LOS DISEÑOS DE PROTECCIÓN CONTRA INCENDIOS Y SEGURIDAD HUMANA PARA EL PROYECTO CLINICA 49B BARRANQUILLA VIVA 1A</t>
        </is>
      </c>
      <c r="D417" s="312" t="n"/>
      <c r="E417" s="312" t="n"/>
      <c r="F417" s="312" t="n"/>
      <c r="G417" s="312" t="n"/>
      <c r="H417" s="312" t="n"/>
      <c r="I417" s="313" t="n"/>
      <c r="J417" s="199" t="inlineStr">
        <is>
          <t>VIVA 1A IPS</t>
        </is>
      </c>
      <c r="K417" s="314" t="n">
        <v>49920000</v>
      </c>
      <c r="L417" s="2" t="n">
        <v>45202</v>
      </c>
      <c r="M417" s="170" t="n"/>
      <c r="N417" s="170" t="n">
        <v>3143162811</v>
      </c>
      <c r="O417" s="172" t="inlineStr">
        <is>
          <t xml:space="preserve"> Miguel Angel Lugo Cubillos </t>
        </is>
      </c>
      <c r="P417" s="52" t="inlineStr">
        <is>
          <t>mlugo@viva1a.com.co</t>
        </is>
      </c>
    </row>
    <row r="418">
      <c r="B418" s="170" t="n">
        <v>406</v>
      </c>
      <c r="C418" s="199" t="inlineStr">
        <is>
          <t>COTIZACION DE LOS DISEÑOS DE PROTECCIÓN CONTRA INCENDIOS Y SEGURIDAD HUMANA PARA EL PROYECTO EDIFICIO DE OFICINAS BANCOLOMBIA DE 5.500 M2</t>
        </is>
      </c>
      <c r="D418" s="312" t="n"/>
      <c r="E418" s="312" t="n"/>
      <c r="F418" s="312" t="n"/>
      <c r="G418" s="312" t="n"/>
      <c r="H418" s="312" t="n"/>
      <c r="I418" s="313" t="n"/>
      <c r="J418" s="199" t="inlineStr">
        <is>
          <t>SANTIAGO ROJAS</t>
        </is>
      </c>
      <c r="K418" s="314" t="n">
        <v>26340000</v>
      </c>
      <c r="L418" s="2" t="n">
        <v>45202</v>
      </c>
      <c r="M418" s="170" t="n"/>
      <c r="N418" s="170" t="inlineStr">
        <is>
          <t>324 5671666</t>
        </is>
      </c>
      <c r="O418" s="172" t="inlineStr">
        <is>
          <t>Sindy Arenas</t>
        </is>
      </c>
      <c r="P418" s="52" t="inlineStr">
        <is>
          <t>sraic.asistente@gmail.com</t>
        </is>
      </c>
    </row>
    <row r="419">
      <c r="B419" s="170" t="n">
        <v>407</v>
      </c>
      <c r="C419" s="199" t="inlineStr">
        <is>
          <t>COTIZACION DE REVISIÓN DEL SISTEMAS DE EXTINCIÓN DE INCENDIOS PARA EL PROYECTO AMSTERDAM</t>
        </is>
      </c>
      <c r="D419" s="312" t="n"/>
      <c r="E419" s="312" t="n"/>
      <c r="F419" s="312" t="n"/>
      <c r="G419" s="312" t="n"/>
      <c r="H419" s="312" t="n"/>
      <c r="I419" s="313" t="n"/>
      <c r="J419" s="199" t="inlineStr">
        <is>
          <t>SPCI</t>
        </is>
      </c>
      <c r="K419" s="314" t="n">
        <v>3350000</v>
      </c>
      <c r="L419" s="2" t="n">
        <v>45202</v>
      </c>
      <c r="M419" s="170" t="n"/>
      <c r="N419" s="170" t="n">
        <v>3137546144</v>
      </c>
      <c r="O419" s="172" t="inlineStr">
        <is>
          <t>Juan Camilo Quintero Bedoya</t>
        </is>
      </c>
      <c r="P419" s="52" t="inlineStr">
        <is>
          <t>camilo.quintero@spci.com.co</t>
        </is>
      </c>
    </row>
    <row r="420">
      <c r="B420" s="170" t="n">
        <v>408</v>
      </c>
      <c r="C420" s="246" t="inlineStr">
        <is>
          <t xml:space="preserve">COTIZACION DE LOS DISEÑOS DE PROTECCIÓN CONTRA INCENDIOS Y SEGURIDAD HUMANA PARA EL PROYECTO ODINSA 017
</t>
        </is>
      </c>
      <c r="D420" s="312" t="n"/>
      <c r="E420" s="312" t="n"/>
      <c r="F420" s="312" t="n"/>
      <c r="G420" s="312" t="n"/>
      <c r="H420" s="312" t="n"/>
      <c r="I420" s="313" t="n"/>
      <c r="J420" s="199" t="inlineStr">
        <is>
          <t>CONINSA</t>
        </is>
      </c>
      <c r="K420" s="314" t="n">
        <v>23830000</v>
      </c>
      <c r="L420" s="2" t="n">
        <v>45202</v>
      </c>
      <c r="M420" s="170" t="n"/>
      <c r="N420" s="170" t="n">
        <v>3174405049</v>
      </c>
      <c r="O420" s="172" t="inlineStr">
        <is>
          <t xml:space="preserve"> Mario Leon Hincapie Quiceno</t>
        </is>
      </c>
      <c r="P420" s="52" t="inlineStr">
        <is>
          <t>mhincapie@coninsa.co</t>
        </is>
      </c>
    </row>
    <row r="421">
      <c r="B421" s="170" t="n">
        <v>409</v>
      </c>
      <c r="C421" s="247" t="inlineStr">
        <is>
          <t>COTIZACION DEL DISEÑO DE EXTINCIÓN DE INCENDIOS - CLINICA 49B BARRANQUILLA VIVA 1A IPS</t>
        </is>
      </c>
      <c r="D421" s="312" t="n"/>
      <c r="E421" s="312" t="n"/>
      <c r="F421" s="312" t="n"/>
      <c r="G421" s="312" t="n"/>
      <c r="H421" s="312" t="n"/>
      <c r="I421" s="313" t="n"/>
      <c r="J421" s="199" t="inlineStr">
        <is>
          <t>HIDRO F</t>
        </is>
      </c>
      <c r="K421" s="314" t="n">
        <v>29650000</v>
      </c>
      <c r="L421" s="2" t="n">
        <v>45203</v>
      </c>
      <c r="M421" s="170" t="n"/>
      <c r="N421" s="172" t="n">
        <v>3104139821</v>
      </c>
      <c r="O421" s="170" t="inlineStr">
        <is>
          <t>Carolina Volkmar</t>
        </is>
      </c>
      <c r="P421" s="52" t="inlineStr">
        <is>
          <t>carolina@hidrofsalinas.com</t>
        </is>
      </c>
    </row>
    <row r="422">
      <c r="B422" s="170" t="n">
        <v>410</v>
      </c>
      <c r="C422" s="199" t="inlineStr">
        <is>
          <t>COTIZACION DEL DISEÑO DE DETECCIÓN DE INCENDIOS PARA EL PROYECTO PLANTA DE PRODUCCION CATALÁN</t>
        </is>
      </c>
      <c r="D422" s="312" t="n"/>
      <c r="E422" s="312" t="n"/>
      <c r="F422" s="312" t="n"/>
      <c r="G422" s="312" t="n"/>
      <c r="H422" s="312" t="n"/>
      <c r="I422" s="313" t="n"/>
      <c r="J422" s="199" t="inlineStr">
        <is>
          <t>SPCI</t>
        </is>
      </c>
      <c r="K422" s="314" t="n">
        <v>3140000</v>
      </c>
      <c r="L422" s="2" t="n">
        <v>45202</v>
      </c>
      <c r="M422" s="170" t="n"/>
      <c r="N422" s="172" t="n">
        <v>3137546144</v>
      </c>
      <c r="O422" s="172" t="inlineStr">
        <is>
          <t>Juan Camilo Quintero Bedoya</t>
        </is>
      </c>
      <c r="P422" s="52" t="inlineStr">
        <is>
          <t>camilo.quintero@spci.com.co</t>
        </is>
      </c>
    </row>
    <row r="423">
      <c r="B423" s="170" t="n">
        <v>411</v>
      </c>
      <c r="C423" s="199" t="inlineStr">
        <is>
          <t>COTIZACION DE LOS DISEÑOS DE PROTECCIÓN CONTRA INCENDIOS Y SEGURIDAD HUMANA PARA EL PROYECTO JAYA</t>
        </is>
      </c>
      <c r="D423" s="312" t="n"/>
      <c r="E423" s="312" t="n"/>
      <c r="F423" s="312" t="n"/>
      <c r="G423" s="312" t="n"/>
      <c r="H423" s="312" t="n"/>
      <c r="I423" s="313" t="n"/>
      <c r="J423" s="199" t="n"/>
      <c r="K423" s="314" t="n">
        <v>18850000</v>
      </c>
      <c r="L423" s="2" t="n">
        <v>45202</v>
      </c>
      <c r="M423" s="170" t="n"/>
      <c r="N423" s="170" t="n"/>
      <c r="O423" s="172" t="inlineStr">
        <is>
          <t>Ruben Dario Villada Florez</t>
        </is>
      </c>
      <c r="P423" s="52" t="inlineStr">
        <is>
          <t>interventoriamontry@gmail.com</t>
        </is>
      </c>
    </row>
    <row r="424">
      <c r="B424" s="170" t="n">
        <v>412</v>
      </c>
      <c r="C424" s="246" t="inlineStr">
        <is>
          <t xml:space="preserve">COTIZACION DEL DISEÑO DE EXTINCIÓN DE INCENDIOS PARA EL PROYECTO OFICINA 353 LEMONT
</t>
        </is>
      </c>
      <c r="D424" s="312" t="n"/>
      <c r="E424" s="312" t="n"/>
      <c r="F424" s="312" t="n"/>
      <c r="G424" s="312" t="n"/>
      <c r="H424" s="312" t="n"/>
      <c r="I424" s="313" t="n"/>
      <c r="J424" s="199" t="inlineStr">
        <is>
          <t>SPCI</t>
        </is>
      </c>
      <c r="K424" s="314" t="n">
        <v>1300000</v>
      </c>
      <c r="L424" s="2" t="n">
        <v>45202</v>
      </c>
      <c r="M424" s="170" t="n"/>
      <c r="N424" s="172" t="n">
        <v>3137546144</v>
      </c>
      <c r="O424" s="172" t="inlineStr">
        <is>
          <t>Juan Camilo Quintero Bedoya</t>
        </is>
      </c>
      <c r="P424" s="52" t="inlineStr">
        <is>
          <t>camilo.quintero@spci.com.co</t>
        </is>
      </c>
    </row>
    <row r="425">
      <c r="B425" s="170" t="n">
        <v>413</v>
      </c>
      <c r="C425" s="199" t="inlineStr">
        <is>
          <t>COTIZACION DE LOS DISEÑOS DE PROTECCIÓN CONTRA INCENDIOS PARA EL PROYECTO OFICINA 353 LEMONT</t>
        </is>
      </c>
      <c r="D425" s="312" t="n"/>
      <c r="E425" s="312" t="n"/>
      <c r="F425" s="312" t="n"/>
      <c r="G425" s="312" t="n"/>
      <c r="H425" s="312" t="n"/>
      <c r="I425" s="313" t="n"/>
      <c r="J425" s="199" t="inlineStr">
        <is>
          <t>SPCI</t>
        </is>
      </c>
      <c r="K425" s="314" t="n">
        <v>2000000</v>
      </c>
      <c r="L425" s="2" t="n">
        <v>45202</v>
      </c>
      <c r="M425" s="170" t="n"/>
      <c r="N425" s="172" t="n">
        <v>3137546144</v>
      </c>
      <c r="O425" s="172" t="inlineStr">
        <is>
          <t>Juan Camilo Quintero Bedoya</t>
        </is>
      </c>
      <c r="P425" s="52" t="inlineStr">
        <is>
          <t>camilo.quintero@spci.com.co</t>
        </is>
      </c>
    </row>
    <row r="426">
      <c r="B426" s="170" t="n">
        <v>414</v>
      </c>
      <c r="C426" s="199" t="inlineStr">
        <is>
          <t>COTIZACION INTERVENTORIA INSTALACIÓN PROTECCIÓN CONTRA INCENDIOS Y SEGURIDAD HUMANA - CLINICA 49B BARRANQUILLA VIVA 1A IPS</t>
        </is>
      </c>
      <c r="D426" s="312" t="n"/>
      <c r="E426" s="312" t="n"/>
      <c r="F426" s="312" t="n"/>
      <c r="G426" s="312" t="n"/>
      <c r="H426" s="312" t="n"/>
      <c r="I426" s="313" t="n"/>
      <c r="J426" s="199" t="inlineStr">
        <is>
          <t>VIVA 1A IPS</t>
        </is>
      </c>
      <c r="K426" s="314" t="n">
        <v>12100000</v>
      </c>
      <c r="L426" s="2" t="n">
        <v>45203</v>
      </c>
      <c r="M426" s="170" t="n"/>
      <c r="N426" s="170" t="n">
        <v>3143162811</v>
      </c>
      <c r="O426" s="172" t="inlineStr">
        <is>
          <t xml:space="preserve"> Miguel Angel Lugo Cubillos </t>
        </is>
      </c>
      <c r="P426" s="52" t="inlineStr">
        <is>
          <t>mlugo@viva1a.com.co</t>
        </is>
      </c>
    </row>
    <row r="427">
      <c r="B427" s="170" t="n">
        <v>415</v>
      </c>
      <c r="C427" s="199" t="inlineStr">
        <is>
          <t>COTIZACION INTERVENTORIA INSTALACIÓN EXTINCIÓN DE INCENDIOS - CLINICA 49B BARRANQUILLA VIVA 1A IPS</t>
        </is>
      </c>
      <c r="D427" s="312" t="n"/>
      <c r="E427" s="312" t="n"/>
      <c r="F427" s="312" t="n"/>
      <c r="G427" s="312" t="n"/>
      <c r="H427" s="312" t="n"/>
      <c r="I427" s="313" t="n"/>
      <c r="J427" s="199" t="inlineStr">
        <is>
          <t>HIDRO F</t>
        </is>
      </c>
      <c r="K427" s="314" t="n">
        <v>9100000</v>
      </c>
      <c r="L427" s="2" t="n">
        <v>45203</v>
      </c>
      <c r="M427" s="170" t="n"/>
      <c r="N427" s="172" t="n">
        <v>3104139821</v>
      </c>
      <c r="O427" s="170" t="inlineStr">
        <is>
          <t>Carolina Volkmar</t>
        </is>
      </c>
      <c r="P427" s="52" t="inlineStr">
        <is>
          <t>carolina@hidrofsalinas.com</t>
        </is>
      </c>
    </row>
    <row r="428">
      <c r="B428" s="170" t="n">
        <v>416</v>
      </c>
      <c r="C428" s="199" t="inlineStr">
        <is>
          <t>COTIZACION DE LOS DISEÑOS DE SEGURIDAD HUMANA Y PROTECCIÓN CONTRA INCENDIOS - EDIFICIO 15 X</t>
        </is>
      </c>
      <c r="D428" s="312" t="n"/>
      <c r="E428" s="312" t="n"/>
      <c r="F428" s="312" t="n"/>
      <c r="G428" s="312" t="n"/>
      <c r="H428" s="312" t="n"/>
      <c r="I428" s="313" t="n"/>
      <c r="J428" s="199" t="inlineStr">
        <is>
          <t>Gallardo Arquitectos</t>
        </is>
      </c>
      <c r="K428" s="314" t="n">
        <v>14950000</v>
      </c>
      <c r="L428" s="2" t="n">
        <v>45203</v>
      </c>
      <c r="M428" s="170" t="n"/>
      <c r="N428" s="172" t="inlineStr">
        <is>
          <t>302 2535464</t>
        </is>
      </c>
      <c r="O428" s="170" t="inlineStr">
        <is>
          <t>Felipe Gallego</t>
        </is>
      </c>
      <c r="P428" s="52" t="n"/>
    </row>
    <row r="429">
      <c r="B429" s="170" t="n">
        <v>417</v>
      </c>
      <c r="C429" s="199" t="inlineStr">
        <is>
          <t>COTIZACION DEL DISEÑO DE EXTINCIÓN DE INCENDIOS PARA EL PROYECTO ARENA PRIMAVERA</t>
        </is>
      </c>
      <c r="D429" s="312" t="n"/>
      <c r="E429" s="312" t="n"/>
      <c r="F429" s="312" t="n"/>
      <c r="G429" s="312" t="n"/>
      <c r="H429" s="312" t="n"/>
      <c r="I429" s="313" t="n"/>
      <c r="J429" s="199" t="inlineStr">
        <is>
          <t>SPCI</t>
        </is>
      </c>
      <c r="K429" s="314" t="n">
        <v>64850000</v>
      </c>
      <c r="L429" s="2" t="n">
        <v>45204</v>
      </c>
      <c r="M429" s="170" t="n"/>
      <c r="N429" s="170" t="n">
        <v>310468058</v>
      </c>
      <c r="O429" s="172" t="inlineStr">
        <is>
          <t>Juan Pablo Grajales Gómez</t>
        </is>
      </c>
      <c r="P429" s="52" t="inlineStr">
        <is>
          <t>juan.grajales@spci.com.co</t>
        </is>
      </c>
    </row>
    <row r="430">
      <c r="B430" s="170" t="n">
        <v>418</v>
      </c>
      <c r="C430" s="199" t="inlineStr">
        <is>
          <t>COTIZACION DEL ANÁLISIS DE SEGURIDAD HUMANA - PROYECTO CCOA</t>
        </is>
      </c>
      <c r="D430" s="312" t="n"/>
      <c r="E430" s="312" t="n"/>
      <c r="F430" s="312" t="n"/>
      <c r="G430" s="312" t="n"/>
      <c r="H430" s="312" t="n"/>
      <c r="I430" s="313" t="n"/>
      <c r="J430" s="199" t="inlineStr">
        <is>
          <t>INTEVE</t>
        </is>
      </c>
      <c r="K430" s="314" t="n">
        <v>5950000</v>
      </c>
      <c r="L430" s="2" t="n">
        <v>45205</v>
      </c>
      <c r="M430" s="170" t="n"/>
      <c r="N430" s="170" t="n">
        <v>3006080561</v>
      </c>
      <c r="O430" s="172" t="inlineStr">
        <is>
          <t>Juan Esteban Bernal</t>
        </is>
      </c>
      <c r="P430" s="52" t="inlineStr">
        <is>
          <t>jbernal@interve.co</t>
        </is>
      </c>
    </row>
    <row r="431">
      <c r="B431" s="170" t="n">
        <v>419</v>
      </c>
      <c r="C431" s="233" t="inlineStr">
        <is>
          <t>COTIZACION DE LOS DISEÑOS DE PROTECCIÓN CONTRA INCENDIOS Y SEGURIDAD HUMANA PARA EL PROYECTO PARIS CITÉ</t>
        </is>
      </c>
      <c r="D431" s="312" t="n"/>
      <c r="E431" s="312" t="n"/>
      <c r="F431" s="312" t="n"/>
      <c r="G431" s="312" t="n"/>
      <c r="H431" s="312" t="n"/>
      <c r="I431" s="313" t="n"/>
      <c r="J431" s="199" t="inlineStr">
        <is>
          <t>MUROS Y TECHOS</t>
        </is>
      </c>
      <c r="K431" s="314" t="n">
        <v>36000000</v>
      </c>
      <c r="L431" s="2" t="n">
        <v>45205</v>
      </c>
      <c r="M431" s="170" t="n"/>
      <c r="N431" s="170" t="inlineStr">
        <is>
          <t>604 444 4337</t>
        </is>
      </c>
      <c r="O431" s="172" t="inlineStr">
        <is>
          <t>Andrés White Narváez</t>
        </is>
      </c>
      <c r="P431" s="52" t="n"/>
    </row>
    <row r="432" ht="15" customHeight="1">
      <c r="B432" s="170" t="n">
        <v>420</v>
      </c>
      <c r="C432" s="246" t="inlineStr">
        <is>
          <t xml:space="preserve">COTIZACION DEL DISEÑO DE DETECCIÓN DE INCENDIOS PARA EL PROYECTO SERVICENTRO EL CAMPESTRE
</t>
        </is>
      </c>
      <c r="D432" s="312" t="n"/>
      <c r="E432" s="312" t="n"/>
      <c r="F432" s="312" t="n"/>
      <c r="G432" s="312" t="n"/>
      <c r="H432" s="312" t="n"/>
      <c r="I432" s="313" t="n"/>
      <c r="J432" s="199" t="inlineStr">
        <is>
          <t>K&amp;J INGENIEROS S.A.S</t>
        </is>
      </c>
      <c r="K432" s="314" t="n">
        <v>2450000</v>
      </c>
      <c r="L432" s="2" t="n">
        <v>45208</v>
      </c>
      <c r="M432" s="170" t="n"/>
      <c r="N432" s="170" t="n"/>
      <c r="O432" s="172" t="inlineStr">
        <is>
          <t>Karla Rendón</t>
        </is>
      </c>
      <c r="P432" s="52" t="inlineStr">
        <is>
          <t>krendon@kyjingenieros.co</t>
        </is>
      </c>
    </row>
    <row r="433" ht="15" customHeight="1">
      <c r="B433" s="170" t="n">
        <v>421</v>
      </c>
      <c r="C433" s="246" t="inlineStr">
        <is>
          <t>COTIZACION DE LOS DISEÑOS DE PROTECCIÓN CONTRA INCENDIOS PARA EL PROYECTO ISHOP OVIEDO</t>
        </is>
      </c>
      <c r="D433" s="312" t="n"/>
      <c r="E433" s="312" t="n"/>
      <c r="F433" s="312" t="n"/>
      <c r="G433" s="312" t="n"/>
      <c r="H433" s="312" t="n"/>
      <c r="I433" s="313" t="n"/>
      <c r="J433" s="199" t="inlineStr">
        <is>
          <t>SPCI</t>
        </is>
      </c>
      <c r="K433" s="314" t="n">
        <v>3000000</v>
      </c>
      <c r="L433" s="2" t="n">
        <v>45209</v>
      </c>
      <c r="M433" s="170" t="n"/>
      <c r="N433" s="170" t="n">
        <v>3137546144</v>
      </c>
      <c r="O433" s="172" t="inlineStr">
        <is>
          <t>Juan Camilo Quintero Bedoya</t>
        </is>
      </c>
      <c r="P433" s="52" t="inlineStr">
        <is>
          <t>camilo.quintero@spci.com.co</t>
        </is>
      </c>
    </row>
    <row r="434">
      <c r="B434" s="170" t="n">
        <v>422</v>
      </c>
      <c r="C434" s="199" t="inlineStr">
        <is>
          <t>COTIZACION DE LOS DISEÑOS DE PROTECCIÓN CONTRA INCENDIOS Y SEGURIDAD HUMANA PARA EL PROYECTO MALL SALAMANCA EL RETIRO</t>
        </is>
      </c>
      <c r="D434" s="312" t="n"/>
      <c r="E434" s="312" t="n"/>
      <c r="F434" s="312" t="n"/>
      <c r="G434" s="312" t="n"/>
      <c r="H434" s="312" t="n"/>
      <c r="I434" s="313" t="n"/>
      <c r="J434" s="199" t="inlineStr">
        <is>
          <t>CONSTRUSERVICIOS DEL LLANO SAS.</t>
        </is>
      </c>
      <c r="K434" s="314" t="n">
        <v>18850000</v>
      </c>
      <c r="L434" s="2" t="n">
        <v>45209</v>
      </c>
      <c r="M434" s="170" t="n"/>
      <c r="N434" s="172" t="n">
        <v>3117445529</v>
      </c>
      <c r="O434" s="170" t="inlineStr">
        <is>
          <t>Sindy Gomez</t>
        </is>
      </c>
      <c r="P434" s="52" t="inlineStr">
        <is>
          <t>construdelllano23@gmail.com</t>
        </is>
      </c>
    </row>
    <row r="435">
      <c r="B435" s="170" t="n">
        <v>423</v>
      </c>
      <c r="C435" s="199" t="inlineStr">
        <is>
          <t>COTIZACION DE LOS DISEÑOS DE PROTECCIÓN CONTRA INCENDIOS Y SEGURIDAD HUMANA PARA EL PROYECTO BODEGA FRIMAC</t>
        </is>
      </c>
      <c r="D435" s="312" t="n"/>
      <c r="E435" s="312" t="n"/>
      <c r="F435" s="312" t="n"/>
      <c r="G435" s="312" t="n"/>
      <c r="H435" s="312" t="n"/>
      <c r="I435" s="313" t="n"/>
      <c r="J435" s="199" t="inlineStr">
        <is>
          <t>CONVEL</t>
        </is>
      </c>
      <c r="K435" s="314" t="n">
        <v>19950000</v>
      </c>
      <c r="L435" s="2" t="n">
        <v>45209</v>
      </c>
      <c r="M435" s="170" t="n"/>
      <c r="N435" s="170" t="n">
        <v>3137337587</v>
      </c>
      <c r="O435" s="172" t="inlineStr">
        <is>
          <t>Juan Carlos Naranjo</t>
        </is>
      </c>
      <c r="P435" s="52" t="inlineStr">
        <is>
          <t>juannaranjo@convel.co</t>
        </is>
      </c>
    </row>
    <row r="436">
      <c r="B436" s="170" t="n">
        <v>424</v>
      </c>
      <c r="C436" s="233" t="inlineStr">
        <is>
          <t xml:space="preserve">COTIZACIÓN DE LOS DISEÑOS DE EXTINCIÓN DE INCENDIOS PARA LAS ÁREAS </t>
        </is>
      </c>
      <c r="D436" s="312" t="n"/>
      <c r="E436" s="312" t="n"/>
      <c r="F436" s="312" t="n"/>
      <c r="G436" s="312" t="n"/>
      <c r="H436" s="312" t="n"/>
      <c r="I436" s="313" t="n"/>
      <c r="J436" s="199" t="inlineStr">
        <is>
          <t>H.B. Fuller</t>
        </is>
      </c>
      <c r="K436" s="314" t="n">
        <v>14950000</v>
      </c>
      <c r="L436" s="2" t="n">
        <v>45209</v>
      </c>
      <c r="M436" s="170" t="n"/>
      <c r="N436" s="170" t="n">
        <v>3103789715</v>
      </c>
      <c r="O436" s="170" t="inlineStr">
        <is>
          <t>Braian López</t>
        </is>
      </c>
      <c r="P436" s="52" t="inlineStr">
        <is>
          <t xml:space="preserve">Braian.Lopez@hbfuller.com </t>
        </is>
      </c>
    </row>
    <row r="437">
      <c r="B437" s="170" t="n">
        <v>425</v>
      </c>
      <c r="C437" s="233" t="inlineStr">
        <is>
          <t>COTIZACION DEL DISEÑO DE EXTINCIÓN DE INCENDIOS PARA EL PROYECTO AUDIFARMA CAF SANDIEGO</t>
        </is>
      </c>
      <c r="D437" s="312" t="n"/>
      <c r="E437" s="312" t="n"/>
      <c r="F437" s="312" t="n"/>
      <c r="G437" s="312" t="n"/>
      <c r="H437" s="312" t="n"/>
      <c r="I437" s="313" t="n"/>
      <c r="J437" s="199" t="inlineStr">
        <is>
          <t>Marsoluc Construcciones</t>
        </is>
      </c>
      <c r="K437" s="314" t="n">
        <v>1900000</v>
      </c>
      <c r="L437" s="2" t="n">
        <v>45209</v>
      </c>
      <c r="M437" s="170" t="n"/>
      <c r="N437" s="176" t="inlineStr">
        <is>
          <t xml:space="preserve"> 320 6130130</t>
        </is>
      </c>
      <c r="O437" s="172" t="inlineStr">
        <is>
          <t>Hector Lopez</t>
        </is>
      </c>
      <c r="P437" s="98" t="inlineStr">
        <is>
          <t>marsoluc.construcciones@gmail.com</t>
        </is>
      </c>
    </row>
    <row r="438">
      <c r="B438" s="170" t="n">
        <v>426</v>
      </c>
      <c r="C438" s="246" t="inlineStr">
        <is>
          <t>COTIZACION DE LOS DISEÑOS DE PROTECCIÓN CONTRA INCENDIOS - MEZANINE SPORTAGE VIVA ENVIGADO</t>
        </is>
      </c>
      <c r="D438" s="312" t="n"/>
      <c r="E438" s="312" t="n"/>
      <c r="F438" s="312" t="n"/>
      <c r="G438" s="312" t="n"/>
      <c r="H438" s="312" t="n"/>
      <c r="I438" s="313" t="n"/>
      <c r="J438" s="199" t="inlineStr">
        <is>
          <t>INFINITUM</t>
        </is>
      </c>
      <c r="K438" s="314" t="n">
        <v>2070000</v>
      </c>
      <c r="L438" s="2" t="n">
        <v>45210</v>
      </c>
      <c r="M438" s="170" t="n"/>
      <c r="N438" s="170" t="inlineStr">
        <is>
          <t>316 8704919</t>
        </is>
      </c>
      <c r="O438" s="172" t="inlineStr">
        <is>
          <t>Manuela Arboleda</t>
        </is>
      </c>
      <c r="P438" s="52" t="inlineStr">
        <is>
          <t>arquitectura2@mg.com.co</t>
        </is>
      </c>
    </row>
    <row r="439">
      <c r="B439" s="170" t="n">
        <v>427</v>
      </c>
      <c r="C439" s="199" t="inlineStr">
        <is>
          <t>COTIZACION DE LOS DISEÑOS DE PROTECCIÓN CONTRA INCENDIOS PARA EL PROYECTO LOCAL 122B REEBOK VIVA ENVIGADO</t>
        </is>
      </c>
      <c r="D439" s="312" t="n"/>
      <c r="E439" s="312" t="n"/>
      <c r="F439" s="312" t="n"/>
      <c r="G439" s="312" t="n"/>
      <c r="H439" s="312" t="n"/>
      <c r="I439" s="313" t="n"/>
      <c r="J439" s="199" t="inlineStr">
        <is>
          <t>SPCI</t>
        </is>
      </c>
      <c r="K439" s="314" t="n">
        <v>3800000</v>
      </c>
      <c r="L439" s="2" t="n">
        <v>45210</v>
      </c>
      <c r="M439" s="170" t="n"/>
      <c r="N439" s="172" t="n">
        <v>3137546144</v>
      </c>
      <c r="O439" s="172" t="inlineStr">
        <is>
          <t>Juan Camilo Quintero Bedoya</t>
        </is>
      </c>
      <c r="P439" s="52" t="inlineStr">
        <is>
          <t>camilo.quintero@spci.com.co</t>
        </is>
      </c>
    </row>
    <row r="440">
      <c r="B440" s="170" t="n">
        <v>428</v>
      </c>
      <c r="C440" s="246" t="inlineStr">
        <is>
          <t xml:space="preserve">COTIZACION DE LOS DISEÑOS DE PROTECCIÓN CONTRA INCENDIOS PARA EL PROYECTO LOCAL 176 TORRE SUR VIVA ENVIGADO
</t>
        </is>
      </c>
      <c r="D440" s="312" t="n"/>
      <c r="E440" s="312" t="n"/>
      <c r="F440" s="312" t="n"/>
      <c r="G440" s="312" t="n"/>
      <c r="H440" s="312" t="n"/>
      <c r="I440" s="313" t="n"/>
      <c r="J440" s="199" t="inlineStr">
        <is>
          <t>SPCI</t>
        </is>
      </c>
      <c r="K440" s="314" t="n">
        <v>1800000</v>
      </c>
      <c r="L440" s="2" t="n">
        <v>45212</v>
      </c>
      <c r="M440" s="170" t="n"/>
      <c r="N440" s="172" t="n">
        <v>3137546144</v>
      </c>
      <c r="O440" s="172" t="inlineStr">
        <is>
          <t>Juan Camilo Quintero Bedoya</t>
        </is>
      </c>
      <c r="P440" s="52" t="inlineStr">
        <is>
          <t>camilo.quintero@spci.com.co</t>
        </is>
      </c>
    </row>
    <row r="441">
      <c r="B441" s="170" t="n">
        <v>429</v>
      </c>
      <c r="C441" s="233" t="inlineStr">
        <is>
          <t>COTIZACION DE LOS DISEÑOS DE PROTECCIÓN CONTRA INCENDIOS PARA EL PROYECTO LOCAL 191AB VIVA ENVIGADO</t>
        </is>
      </c>
      <c r="D441" s="312" t="n"/>
      <c r="E441" s="312" t="n"/>
      <c r="F441" s="312" t="n"/>
      <c r="G441" s="312" t="n"/>
      <c r="H441" s="312" t="n"/>
      <c r="I441" s="313" t="n"/>
      <c r="J441" s="199" t="inlineStr">
        <is>
          <t>SPCI</t>
        </is>
      </c>
      <c r="K441" s="314" t="n">
        <v>2000000</v>
      </c>
      <c r="L441" s="2" t="n">
        <v>45212</v>
      </c>
      <c r="M441" s="170" t="n"/>
      <c r="N441" s="172" t="n">
        <v>3137546144</v>
      </c>
      <c r="O441" s="172" t="inlineStr">
        <is>
          <t>Juan Camilo Quintero Bedoya</t>
        </is>
      </c>
      <c r="P441" s="52" t="inlineStr">
        <is>
          <t>camilo.quintero@spci.com.co</t>
        </is>
      </c>
    </row>
    <row r="442">
      <c r="B442" s="170" t="n">
        <v>430</v>
      </c>
      <c r="C442" s="199" t="inlineStr">
        <is>
          <t>COTIZACION DE LOS DISEÑOS DE PROTECCIÓN CONTRA INCENDIOS PARA EL PROYECTO LOCAL CC VIVA TUNJA ESPRIT</t>
        </is>
      </c>
      <c r="D442" s="312" t="n"/>
      <c r="E442" s="312" t="n"/>
      <c r="F442" s="312" t="n"/>
      <c r="G442" s="312" t="n"/>
      <c r="H442" s="312" t="n"/>
      <c r="I442" s="313" t="n"/>
      <c r="J442" s="199" t="inlineStr">
        <is>
          <t>SPCI</t>
        </is>
      </c>
      <c r="K442" s="314" t="n">
        <v>2000000</v>
      </c>
      <c r="L442" s="2" t="n">
        <v>45212</v>
      </c>
      <c r="M442" s="170" t="n"/>
      <c r="N442" s="170" t="n">
        <v>3104165783</v>
      </c>
      <c r="O442" s="172" t="inlineStr">
        <is>
          <t>Cristiam Gustavo Mondragon</t>
        </is>
      </c>
      <c r="P442" s="52" t="inlineStr">
        <is>
          <t>dir.tecnico@spci.com.co</t>
        </is>
      </c>
    </row>
    <row r="443">
      <c r="B443" s="170" t="n">
        <v>431</v>
      </c>
      <c r="C443" s="199" t="inlineStr">
        <is>
          <t>COTIZACION DEL ANÁLISIS DE SEGURIDAD HUMANA - CLINICA 49B BARRANQUILLA VIVA_1A</t>
        </is>
      </c>
      <c r="D443" s="312" t="n"/>
      <c r="E443" s="312" t="n"/>
      <c r="F443" s="312" t="n"/>
      <c r="G443" s="312" t="n"/>
      <c r="H443" s="312" t="n"/>
      <c r="I443" s="313" t="n"/>
      <c r="J443" s="199" t="inlineStr">
        <is>
          <t>VIVA 1A IPS</t>
        </is>
      </c>
      <c r="K443" s="314" t="n">
        <v>15800000</v>
      </c>
      <c r="L443" s="2" t="n">
        <v>45212</v>
      </c>
      <c r="M443" s="170" t="n"/>
      <c r="N443" s="170" t="n">
        <v>3143162811</v>
      </c>
      <c r="O443" s="172" t="inlineStr">
        <is>
          <t xml:space="preserve"> Miguel Angel Lugo Cubillos </t>
        </is>
      </c>
      <c r="P443" s="52" t="inlineStr">
        <is>
          <t>mlugo@viva1a.com.co</t>
        </is>
      </c>
    </row>
    <row r="444">
      <c r="B444" s="170" t="n">
        <v>432</v>
      </c>
      <c r="C444" s="199" t="inlineStr">
        <is>
          <t>COTIZACION DEL DISEÑO DE EXTINCIÓN DE INCENDIOS - CLINICA 49B BARRANQUILLA VIVA 1A IPS</t>
        </is>
      </c>
      <c r="D444" s="312" t="n"/>
      <c r="E444" s="312" t="n"/>
      <c r="F444" s="312" t="n"/>
      <c r="G444" s="312" t="n"/>
      <c r="H444" s="312" t="n"/>
      <c r="I444" s="313" t="n"/>
      <c r="J444" s="199" t="inlineStr">
        <is>
          <t>VIVA 1A IPS</t>
        </is>
      </c>
      <c r="K444" s="314" t="n">
        <v>34500000</v>
      </c>
      <c r="L444" s="2" t="n">
        <v>45216</v>
      </c>
      <c r="M444" s="170" t="n"/>
      <c r="N444" s="170" t="inlineStr">
        <is>
          <t>320 2161792</t>
        </is>
      </c>
      <c r="O444" s="172" t="inlineStr">
        <is>
          <t>Carlos Andrés López</t>
        </is>
      </c>
      <c r="P444" s="52" t="inlineStr">
        <is>
          <t>clopez@viva1a.com.co</t>
        </is>
      </c>
    </row>
    <row r="445">
      <c r="B445" s="170" t="n">
        <v>433</v>
      </c>
      <c r="C445" s="199" t="inlineStr">
        <is>
          <t>COTIZACION DEL DISEÑO DE DETECCIÓN DE INCENDIOS - CLINICA 49B BARRANQUILLA VIVA 1A IPS</t>
        </is>
      </c>
      <c r="D445" s="312" t="n"/>
      <c r="E445" s="312" t="n"/>
      <c r="F445" s="312" t="n"/>
      <c r="G445" s="312" t="n"/>
      <c r="H445" s="312" t="n"/>
      <c r="I445" s="313" t="n"/>
      <c r="J445" s="199" t="inlineStr">
        <is>
          <t>VIVA 1A IPS</t>
        </is>
      </c>
      <c r="K445" s="314" t="n">
        <v>16900000</v>
      </c>
      <c r="L445" s="2" t="n">
        <v>45216</v>
      </c>
      <c r="M445" s="170" t="n"/>
      <c r="N445" s="170" t="inlineStr">
        <is>
          <t>320 2161792</t>
        </is>
      </c>
      <c r="O445" s="172" t="inlineStr">
        <is>
          <t>Carlos Andrés López</t>
        </is>
      </c>
      <c r="P445" s="52" t="inlineStr">
        <is>
          <t>clopez@viva1a.com.co</t>
        </is>
      </c>
    </row>
    <row r="446">
      <c r="B446" s="170" t="n">
        <v>434</v>
      </c>
      <c r="C446" s="246" t="inlineStr">
        <is>
          <t>COTIZACION DE LOS DISEÑOS DE PROTECCIÓN CONTRA INCENDIOS PARA EL PROYECTO OBRA BUENA VISTA</t>
        </is>
      </c>
      <c r="D446" s="312" t="n"/>
      <c r="E446" s="312" t="n"/>
      <c r="F446" s="312" t="n"/>
      <c r="G446" s="312" t="n"/>
      <c r="H446" s="312" t="n"/>
      <c r="I446" s="313" t="n"/>
      <c r="J446" s="199" t="inlineStr">
        <is>
          <t>CONSTRUGEN</t>
        </is>
      </c>
      <c r="K446" s="314" t="n">
        <v>4990000</v>
      </c>
      <c r="L446" s="2" t="n">
        <v>45217</v>
      </c>
      <c r="M446" s="170" t="n"/>
      <c r="N446" s="170" t="n">
        <v>3128070690</v>
      </c>
      <c r="O446" s="172" t="inlineStr">
        <is>
          <t>Alexander Moreno Borja</t>
        </is>
      </c>
      <c r="P446" s="52" t="inlineStr">
        <is>
          <t>alexander.moreno@construgen.com</t>
        </is>
      </c>
    </row>
    <row r="447">
      <c r="B447" s="170" t="n">
        <v>435</v>
      </c>
      <c r="C447" s="246" t="inlineStr">
        <is>
          <t>COTIZACION DEL ANÁLISIS DE SEGURIDAD HUMANA PARA EL PROYECTO SILVESTRA</t>
        </is>
      </c>
      <c r="D447" s="312" t="n"/>
      <c r="E447" s="312" t="n"/>
      <c r="F447" s="312" t="n"/>
      <c r="G447" s="312" t="n"/>
      <c r="H447" s="312" t="n"/>
      <c r="I447" s="313" t="n"/>
      <c r="J447" s="199" t="inlineStr">
        <is>
          <t>B&amp;B</t>
        </is>
      </c>
      <c r="K447" s="314" t="n">
        <v>3950000</v>
      </c>
      <c r="L447" s="2" t="n">
        <v>45218</v>
      </c>
      <c r="M447" s="170" t="n"/>
      <c r="N447" s="170" t="n">
        <v>3207709978</v>
      </c>
      <c r="O447" s="172" t="inlineStr">
        <is>
          <t>Johner Alejandro Payares Arango</t>
        </is>
      </c>
      <c r="P447" s="52" t="inlineStr">
        <is>
          <t>johner.payares@bienesybienes.com.co</t>
        </is>
      </c>
    </row>
    <row r="448">
      <c r="B448" s="170" t="n">
        <v>436</v>
      </c>
      <c r="C448" s="246" t="inlineStr">
        <is>
          <t>COTIZACION DEL REDISEÑO DE SEGURIDAD HUMANA PARA EL PROYECTO CONTREE TORRE 2</t>
        </is>
      </c>
      <c r="D448" s="312" t="n"/>
      <c r="E448" s="312" t="n"/>
      <c r="F448" s="312" t="n"/>
      <c r="G448" s="312" t="n"/>
      <c r="H448" s="312" t="n"/>
      <c r="I448" s="313" t="n"/>
      <c r="J448" s="199" t="inlineStr">
        <is>
          <t>Conconcreto</t>
        </is>
      </c>
      <c r="K448" s="314" t="n">
        <v>1200000</v>
      </c>
      <c r="L448" s="2" t="n">
        <v>45223</v>
      </c>
      <c r="M448" s="170" t="n"/>
      <c r="N448" s="170" t="n">
        <v>3148721400</v>
      </c>
      <c r="O448" s="172" t="inlineStr">
        <is>
          <t>Adriana Agudelo López</t>
        </is>
      </c>
      <c r="P448" s="52" t="inlineStr">
        <is>
          <t>aagudelol@conconcreto.com</t>
        </is>
      </c>
    </row>
    <row r="449">
      <c r="B449" s="170" t="n">
        <v>437</v>
      </c>
      <c r="C449" s="199" t="inlineStr">
        <is>
          <t>COTIZACION DE LOS DISEÑOS DE PROTECCIÓN CONTRA INCENDIOS PARA EL PROYECTO LOCAL AVENTURA</t>
        </is>
      </c>
      <c r="D449" s="312" t="n"/>
      <c r="E449" s="312" t="n"/>
      <c r="F449" s="312" t="n"/>
      <c r="G449" s="312" t="n"/>
      <c r="H449" s="312" t="n"/>
      <c r="I449" s="313" t="n"/>
      <c r="J449" s="199" t="inlineStr">
        <is>
          <t>JOMARK</t>
        </is>
      </c>
      <c r="K449" s="314" t="n">
        <v>4950000</v>
      </c>
      <c r="L449" s="2" t="n">
        <v>45218</v>
      </c>
      <c r="M449" s="170" t="n"/>
      <c r="N449" s="170" t="n">
        <v>3194913179</v>
      </c>
      <c r="O449" s="172" t="inlineStr">
        <is>
          <t>Carlos Almanya Patiño</t>
        </is>
      </c>
      <c r="P449" s="52" t="inlineStr">
        <is>
          <t>calmanya@jomarkseguridad.com</t>
        </is>
      </c>
    </row>
    <row r="450">
      <c r="B450" s="170" t="n">
        <v>438</v>
      </c>
      <c r="C450" s="199" t="inlineStr">
        <is>
          <t>COTIZACION DEL DISEÑO DE EXTINCIÓN DE INCENDIOS PARA EL PROYECTO CLINICA VIDA</t>
        </is>
      </c>
      <c r="D450" s="312" t="n"/>
      <c r="E450" s="312" t="n"/>
      <c r="F450" s="312" t="n"/>
      <c r="G450" s="312" t="n"/>
      <c r="H450" s="312" t="n"/>
      <c r="I450" s="313" t="n"/>
      <c r="J450" s="199" t="inlineStr">
        <is>
          <t>Instituto del corazon</t>
        </is>
      </c>
      <c r="K450" s="314" t="n">
        <v>4950000</v>
      </c>
      <c r="L450" s="2" t="n">
        <v>45219</v>
      </c>
      <c r="M450" s="170" t="n"/>
      <c r="N450" s="170" t="n"/>
      <c r="O450" s="172" t="inlineStr">
        <is>
          <t xml:space="preserve">Diana Paola Bravo Galvis </t>
        </is>
      </c>
      <c r="P450" s="52" t="inlineStr">
        <is>
          <t>lidersst@institutodelcorazon.org.co</t>
        </is>
      </c>
    </row>
    <row r="451">
      <c r="B451" s="170" t="n">
        <v>439</v>
      </c>
      <c r="C451" s="246" t="inlineStr">
        <is>
          <t>COTIZACION DEL DISEÑO DE EXTINCIÓN DE INCENDIOS PARA EL PROYECTO HOMS</t>
        </is>
      </c>
      <c r="D451" s="312" t="n"/>
      <c r="E451" s="312" t="n"/>
      <c r="F451" s="312" t="n"/>
      <c r="G451" s="312" t="n"/>
      <c r="H451" s="312" t="n"/>
      <c r="I451" s="313" t="n"/>
      <c r="J451" s="199" t="inlineStr">
        <is>
          <t>Humiclima</t>
        </is>
      </c>
      <c r="K451" s="314" t="n">
        <v>3500</v>
      </c>
      <c r="L451" s="2" t="n">
        <v>45219</v>
      </c>
      <c r="M451" s="170" t="n"/>
      <c r="N451" s="170" t="inlineStr">
        <is>
          <t xml:space="preserve">34 971 431 216 </t>
        </is>
      </c>
      <c r="O451" s="172" t="inlineStr">
        <is>
          <t>Matias Fernandez</t>
        </is>
      </c>
      <c r="P451" s="52" t="inlineStr">
        <is>
          <t>mdfernandez@humiclima.com</t>
        </is>
      </c>
    </row>
    <row r="452">
      <c r="B452" s="170" t="n">
        <v>440</v>
      </c>
      <c r="C452" s="199" t="inlineStr">
        <is>
          <t>COTIZACION DEL DISEÑO DE DETECCIÓN DE INCENDIOS PARA EL PROYECTO MONTANO</t>
        </is>
      </c>
      <c r="D452" s="312" t="n"/>
      <c r="E452" s="312" t="n"/>
      <c r="F452" s="312" t="n"/>
      <c r="G452" s="312" t="n"/>
      <c r="H452" s="312" t="n"/>
      <c r="I452" s="313" t="n"/>
      <c r="J452" s="199" t="inlineStr">
        <is>
          <t>AIA</t>
        </is>
      </c>
      <c r="K452" s="314" t="n">
        <v>4950000</v>
      </c>
      <c r="L452" s="2" t="n">
        <v>45223</v>
      </c>
      <c r="M452" s="170" t="n"/>
      <c r="N452" s="170" t="inlineStr">
        <is>
          <t>604 4037700</t>
        </is>
      </c>
      <c r="O452" s="172" t="inlineStr">
        <is>
          <t xml:space="preserve"> Natalia Gonima</t>
        </is>
      </c>
      <c r="P452" s="52" t="inlineStr">
        <is>
          <t>ngonima@aia.com.co</t>
        </is>
      </c>
    </row>
    <row r="453">
      <c r="B453" s="170" t="n">
        <v>441</v>
      </c>
      <c r="C453" s="199" t="inlineStr">
        <is>
          <t>COTIZACION DE LOS DISEÑOS DE PROTECCIÓN CONTRA INCENDIOS Y SEGURIDAD HUMANA PARA EL PROYECTO HALL HATOGRANDE</t>
        </is>
      </c>
      <c r="D453" s="312" t="n"/>
      <c r="E453" s="312" t="n"/>
      <c r="F453" s="312" t="n"/>
      <c r="G453" s="312" t="n"/>
      <c r="H453" s="312" t="n"/>
      <c r="I453" s="313" t="n"/>
      <c r="J453" s="199" t="inlineStr">
        <is>
          <t>SOCOMES</t>
        </is>
      </c>
      <c r="K453" s="314" t="n">
        <v>14430000</v>
      </c>
      <c r="L453" s="2" t="n">
        <v>45223</v>
      </c>
      <c r="M453" s="170" t="n"/>
      <c r="N453" s="170" t="n">
        <v>3137851941</v>
      </c>
      <c r="O453" s="172" t="inlineStr">
        <is>
          <t>David Lopera Medina</t>
        </is>
      </c>
      <c r="P453" s="52" t="inlineStr">
        <is>
          <t>david.lopera@socomes.com</t>
        </is>
      </c>
    </row>
    <row r="454">
      <c r="B454" s="170" t="n">
        <v>442</v>
      </c>
      <c r="C454" s="199" t="inlineStr">
        <is>
          <t>COTIZACION DE LOS DISEÑOS DE PROTECCIÓN CONTRA INCENDIOS Y SEGURIDAD HUMANA PARA EL PROYECTO BAZAR DE CONSTRUCCION RIONEGRO</t>
        </is>
      </c>
      <c r="D454" s="312" t="n"/>
      <c r="E454" s="312" t="n"/>
      <c r="F454" s="312" t="n"/>
      <c r="G454" s="312" t="n"/>
      <c r="H454" s="312" t="n"/>
      <c r="I454" s="313" t="n"/>
      <c r="J454" s="199" t="inlineStr">
        <is>
          <t>Construcción Bazar TIP Interventoria</t>
        </is>
      </c>
      <c r="K454" s="314" t="n">
        <v>13350000</v>
      </c>
      <c r="L454" s="2" t="n">
        <v>45222</v>
      </c>
      <c r="M454" s="170" t="n"/>
      <c r="N454" s="170" t="n">
        <v>3002840608</v>
      </c>
      <c r="O454" s="172" t="inlineStr">
        <is>
          <t>Eliced Ceballos Rodriguez</t>
        </is>
      </c>
      <c r="P454" s="52" t="inlineStr">
        <is>
          <t>construccionbazar@tipinterventoria.com</t>
        </is>
      </c>
    </row>
    <row r="455">
      <c r="B455" s="170" t="n">
        <v>443</v>
      </c>
      <c r="C455" s="199" t="inlineStr">
        <is>
          <t>COTIZACION DE LOS DISEÑOS DE PROTECCIÓN CONTRA INCENDIOS PARA EL PROYECTO EDIFICIO CENTRAL DE LA GOBERNACION DEL HUILA</t>
        </is>
      </c>
      <c r="D455" s="312" t="n"/>
      <c r="E455" s="312" t="n"/>
      <c r="F455" s="312" t="n"/>
      <c r="G455" s="312" t="n"/>
      <c r="H455" s="312" t="n"/>
      <c r="I455" s="313" t="n"/>
      <c r="J455" s="199" t="inlineStr">
        <is>
          <t>Ingesed</t>
        </is>
      </c>
      <c r="K455" s="314" t="n">
        <v>44950000</v>
      </c>
      <c r="L455" s="2" t="n">
        <v>45223</v>
      </c>
      <c r="M455" s="170" t="n"/>
      <c r="N455" s="170" t="inlineStr">
        <is>
          <t>313 5401714</t>
        </is>
      </c>
      <c r="O455" s="172" t="inlineStr">
        <is>
          <t>Eliana Isabel Cardona Ríos</t>
        </is>
      </c>
      <c r="P455" s="52" t="inlineStr">
        <is>
          <t>comercial@ingesed.com</t>
        </is>
      </c>
    </row>
    <row r="456">
      <c r="B456" s="170" t="n">
        <v>444</v>
      </c>
      <c r="C456" s="199" t="inlineStr">
        <is>
          <t>COTIZACION DE LOS DISEÑOS DE SEGURIDAD HUMANA Y EXTINCIÓN DE INCENDIOS - PINTURAS PRIME</t>
        </is>
      </c>
      <c r="D456" s="312" t="n"/>
      <c r="E456" s="312" t="n"/>
      <c r="F456" s="312" t="n"/>
      <c r="G456" s="312" t="n"/>
      <c r="H456" s="312" t="n"/>
      <c r="I456" s="313" t="n"/>
      <c r="J456" s="199" t="inlineStr">
        <is>
          <t>Andrés Sierra</t>
        </is>
      </c>
      <c r="K456" s="314" t="n">
        <v>19900000</v>
      </c>
      <c r="L456" s="2" t="n">
        <v>45223</v>
      </c>
      <c r="M456" s="170" t="n"/>
      <c r="N456" s="170" t="inlineStr">
        <is>
          <t>57 311 3901187</t>
        </is>
      </c>
      <c r="O456" s="172" t="inlineStr">
        <is>
          <t>Andres Sierra</t>
        </is>
      </c>
      <c r="P456" s="52" t="inlineStr">
        <is>
          <t>asierra@sierrastudio.com.co</t>
        </is>
      </c>
    </row>
    <row r="457">
      <c r="B457" s="170" t="n">
        <v>445</v>
      </c>
      <c r="C457" s="199" t="inlineStr">
        <is>
          <t>COTIZACION DE LOS DISEÑOS DE SEGURIDAD HUMANA Y EXTINCIÓN DE INCENDIOS - SAN CAYETANO TORRE 3</t>
        </is>
      </c>
      <c r="D457" s="312" t="n"/>
      <c r="E457" s="312" t="n"/>
      <c r="F457" s="312" t="n"/>
      <c r="G457" s="312" t="n"/>
      <c r="H457" s="312" t="n"/>
      <c r="I457" s="313" t="n"/>
      <c r="J457" s="199" t="inlineStr">
        <is>
          <t>INSERCO</t>
        </is>
      </c>
      <c r="K457" s="314" t="n">
        <v>9910000</v>
      </c>
      <c r="L457" s="2" t="n">
        <v>45224</v>
      </c>
      <c r="M457" s="170" t="n"/>
      <c r="N457" s="170" t="n">
        <v>3104131109</v>
      </c>
      <c r="O457" s="170" t="inlineStr">
        <is>
          <t>Leandro Herrera Gutierrez</t>
        </is>
      </c>
      <c r="P457" s="52" t="inlineStr">
        <is>
          <t>directorlean@inserco.com.co</t>
        </is>
      </c>
    </row>
    <row r="458">
      <c r="B458" s="170" t="n">
        <v>446</v>
      </c>
      <c r="C458" s="199" t="inlineStr">
        <is>
          <t>COTIZACION DE LOS DISEÑOS DE SEGURIDAD HUMANA Y PROTECCIÓN CONTRA INCENDIOS - SAN CAYETANO TORRE 3</t>
        </is>
      </c>
      <c r="D458" s="312" t="n"/>
      <c r="E458" s="312" t="n"/>
      <c r="F458" s="312" t="n"/>
      <c r="G458" s="312" t="n"/>
      <c r="H458" s="312" t="n"/>
      <c r="I458" s="313" t="n"/>
      <c r="J458" s="199" t="inlineStr">
        <is>
          <t>INSERCO</t>
        </is>
      </c>
      <c r="K458" s="314" t="n">
        <v>17950000</v>
      </c>
      <c r="L458" s="2" t="n">
        <v>45225</v>
      </c>
      <c r="M458" s="170" t="n"/>
      <c r="N458" s="170" t="n">
        <v>3104131109</v>
      </c>
      <c r="O458" s="170" t="inlineStr">
        <is>
          <t>Leandro Herrera Gutierrez</t>
        </is>
      </c>
      <c r="P458" s="52" t="inlineStr">
        <is>
          <t>directorlean@inserco.com.co</t>
        </is>
      </c>
    </row>
    <row r="459">
      <c r="B459" s="170" t="n">
        <v>447</v>
      </c>
      <c r="C459" s="199" t="inlineStr">
        <is>
          <t>COTIZACION DE LA ELABORACIÓN DEL PLAN MAESTRO CONTRA INCENDIOS - BODEGA REDICOL</t>
        </is>
      </c>
      <c r="D459" s="312" t="n"/>
      <c r="E459" s="312" t="n"/>
      <c r="F459" s="312" t="n"/>
      <c r="G459" s="312" t="n"/>
      <c r="H459" s="312" t="n"/>
      <c r="I459" s="313" t="n"/>
      <c r="J459" s="199" t="inlineStr">
        <is>
          <t>REDICOL</t>
        </is>
      </c>
      <c r="K459" s="314" t="n">
        <v>9500000</v>
      </c>
      <c r="L459" s="2" t="n">
        <v>45225</v>
      </c>
      <c r="M459" s="170" t="n"/>
      <c r="N459" s="170" t="inlineStr">
        <is>
          <t>304 611 82 48</t>
        </is>
      </c>
      <c r="O459" s="172" t="inlineStr">
        <is>
          <t>JENIFER FARFÁN CASALLAS</t>
        </is>
      </c>
      <c r="P459" s="91" t="n"/>
    </row>
    <row r="460">
      <c r="B460" s="170" t="n">
        <v>448</v>
      </c>
      <c r="C460" s="233" t="inlineStr">
        <is>
          <t>COTIZACION DE LA REVISIÓN DE LOS DISEÑOS DE EXTINCIÓN DE INCENDIOS - PROYECTO BODEGA BUENCAFE</t>
        </is>
      </c>
      <c r="D460" s="312" t="n"/>
      <c r="E460" s="312" t="n"/>
      <c r="F460" s="312" t="n"/>
      <c r="G460" s="312" t="n"/>
      <c r="H460" s="312" t="n"/>
      <c r="I460" s="313" t="n"/>
      <c r="J460" s="199" t="inlineStr">
        <is>
          <t>SPCI</t>
        </is>
      </c>
      <c r="K460" s="314" t="n">
        <v>9950000</v>
      </c>
      <c r="L460" s="2" t="n">
        <v>45226</v>
      </c>
      <c r="M460" s="170" t="n"/>
      <c r="N460" s="170" t="inlineStr">
        <is>
          <t xml:space="preserve"> 310 468 0508</t>
        </is>
      </c>
      <c r="O460" s="170" t="inlineStr">
        <is>
          <t>Juan Pablo Grajales Gómez</t>
        </is>
      </c>
      <c r="P460" s="52" t="inlineStr">
        <is>
          <t>juan.grajales@spci.com.co</t>
        </is>
      </c>
    </row>
    <row r="461">
      <c r="B461" s="170" t="n">
        <v>449</v>
      </c>
      <c r="C461" s="199" t="inlineStr">
        <is>
          <t>COTIZACION DEL ANÁLISIS DE SEGURIDAD HUMANA PARA EL PROYECTO SMURFIT KAPPA</t>
        </is>
      </c>
      <c r="D461" s="312" t="n"/>
      <c r="E461" s="312" t="n"/>
      <c r="F461" s="312" t="n"/>
      <c r="G461" s="312" t="n"/>
      <c r="H461" s="312" t="n"/>
      <c r="I461" s="313" t="n"/>
      <c r="J461" s="199" t="inlineStr">
        <is>
          <t>Conconcreto</t>
        </is>
      </c>
      <c r="K461" s="314" t="n">
        <v>4350000</v>
      </c>
      <c r="L461" s="2" t="n">
        <v>45226</v>
      </c>
      <c r="M461" s="170" t="n"/>
      <c r="N461" s="170" t="n">
        <v>3146844810</v>
      </c>
      <c r="O461" s="172" t="inlineStr">
        <is>
          <t>Ana María Torres</t>
        </is>
      </c>
      <c r="P461" s="52" t="inlineStr">
        <is>
          <t>amtorres@conconcreto.com</t>
        </is>
      </c>
    </row>
    <row r="462">
      <c r="B462" s="170" t="n">
        <v>450</v>
      </c>
      <c r="C462" s="199" t="inlineStr">
        <is>
          <t>COTIZACION DE LOS PLANOS RECORD DE EXTINCIÓN DE INCENDIOS PARA EL PROYECTO BAHIA</t>
        </is>
      </c>
      <c r="D462" s="312" t="n"/>
      <c r="E462" s="312" t="n"/>
      <c r="F462" s="312" t="n"/>
      <c r="G462" s="312" t="n"/>
      <c r="H462" s="312" t="n"/>
      <c r="I462" s="313" t="n"/>
      <c r="J462" s="199" t="inlineStr">
        <is>
          <t>JOMARK</t>
        </is>
      </c>
      <c r="K462" s="314" t="n">
        <v>3500000</v>
      </c>
      <c r="L462" s="2" t="n">
        <v>45226</v>
      </c>
      <c r="M462" s="170" t="n"/>
      <c r="N462" s="170" t="n">
        <v>3194913179</v>
      </c>
      <c r="O462" s="172" t="inlineStr">
        <is>
          <t>Carlos Almanya Patiño</t>
        </is>
      </c>
      <c r="P462" s="52" t="inlineStr">
        <is>
          <t>calmanya@jomarkseguridad.com</t>
        </is>
      </c>
    </row>
    <row r="463">
      <c r="B463" s="170" t="n">
        <v>451</v>
      </c>
      <c r="C463" s="246" t="inlineStr">
        <is>
          <t>COTIZACION DEL DISEÑO DE EXTINCIÓN DE INCENDIOS PARA EL PROYECTO CITY PARK LOS MOLINOS</t>
        </is>
      </c>
      <c r="D463" s="312" t="n"/>
      <c r="E463" s="312" t="n"/>
      <c r="F463" s="312" t="n"/>
      <c r="G463" s="312" t="n"/>
      <c r="H463" s="312" t="n"/>
      <c r="I463" s="313" t="n"/>
      <c r="J463" s="199" t="inlineStr">
        <is>
          <t>SPCI</t>
        </is>
      </c>
      <c r="K463" s="314" t="n">
        <v>4950000</v>
      </c>
      <c r="L463" s="2" t="n">
        <v>45227</v>
      </c>
      <c r="M463" s="170" t="n"/>
      <c r="N463" s="170" t="inlineStr">
        <is>
          <t xml:space="preserve"> 310 389 80 43</t>
        </is>
      </c>
      <c r="O463" s="172" t="inlineStr">
        <is>
          <t>Mauricio Gutierrez Bohorquez</t>
        </is>
      </c>
      <c r="P463" s="52" t="inlineStr">
        <is>
          <t xml:space="preserve">mauricio.gutierrez@spci.com.co </t>
        </is>
      </c>
    </row>
    <row r="464">
      <c r="B464" s="170" t="n">
        <v>452</v>
      </c>
      <c r="C464" s="246" t="inlineStr">
        <is>
          <t xml:space="preserve">COTIZACION DEL DISEÑO DE EXTINCIÓN DE INCENDIOS PARA EL PROYECTO MIC GUARNE
</t>
        </is>
      </c>
      <c r="D464" s="312" t="n"/>
      <c r="E464" s="312" t="n"/>
      <c r="F464" s="312" t="n"/>
      <c r="G464" s="312" t="n"/>
      <c r="H464" s="312" t="n"/>
      <c r="I464" s="313" t="n"/>
      <c r="J464" s="199" t="inlineStr">
        <is>
          <t>SOHINCO</t>
        </is>
      </c>
      <c r="K464" s="314" t="n">
        <v>18850000</v>
      </c>
      <c r="L464" s="2" t="n">
        <v>45227</v>
      </c>
      <c r="M464" s="170" t="n"/>
      <c r="N464" s="170" t="n">
        <v>3156593197</v>
      </c>
      <c r="O464" s="172" t="inlineStr">
        <is>
          <t>Ariel Gomez</t>
        </is>
      </c>
      <c r="P464" s="52" t="inlineStr">
        <is>
          <t>arielg@sohinco.com</t>
        </is>
      </c>
    </row>
    <row r="465">
      <c r="B465" s="170" t="n">
        <v>453</v>
      </c>
      <c r="C465" s="246" t="inlineStr">
        <is>
          <t>COTIZACION DEL ANÁLISIS DE SEGURIDAD HUMANA PARA EL PROYECTO ENRUTA ETAPA 2</t>
        </is>
      </c>
      <c r="D465" s="312" t="n"/>
      <c r="E465" s="312" t="n"/>
      <c r="F465" s="312" t="n"/>
      <c r="G465" s="312" t="n"/>
      <c r="H465" s="312" t="n"/>
      <c r="I465" s="313" t="n"/>
      <c r="J465" s="199" t="inlineStr">
        <is>
          <t>SOHINCO</t>
        </is>
      </c>
      <c r="K465" s="314" t="n">
        <v>6900000</v>
      </c>
      <c r="L465" s="2" t="n">
        <v>45227</v>
      </c>
      <c r="M465" s="170" t="n"/>
      <c r="N465" s="170" t="n">
        <v>3156593197</v>
      </c>
      <c r="O465" s="172" t="inlineStr">
        <is>
          <t>Ariel Gomez</t>
        </is>
      </c>
      <c r="P465" s="52" t="inlineStr">
        <is>
          <t>arielg@sohinco.com</t>
        </is>
      </c>
    </row>
    <row r="466">
      <c r="B466" s="170" t="n">
        <v>454</v>
      </c>
      <c r="C466" s="199" t="inlineStr">
        <is>
          <t>COTIZACION DE LOS DISEÑOS DE SEGURIDAD HUMANA Y PROTECCIÓN CONTRA INCENDIOS - MISTRAL ETAPA 1</t>
        </is>
      </c>
      <c r="D466" s="312" t="n"/>
      <c r="E466" s="312" t="n"/>
      <c r="F466" s="312" t="n"/>
      <c r="G466" s="312" t="n"/>
      <c r="H466" s="312" t="n"/>
      <c r="I466" s="313" t="n"/>
      <c r="J466" s="199" t="inlineStr">
        <is>
          <t>CONALTURA</t>
        </is>
      </c>
      <c r="K466" s="314" t="n">
        <v>26980000</v>
      </c>
      <c r="L466" s="2" t="n">
        <v>45227</v>
      </c>
      <c r="M466" s="72" t="n"/>
      <c r="N466" s="172" t="n">
        <v>3017500321</v>
      </c>
      <c r="O466" s="170" t="inlineStr">
        <is>
          <t>Leonardo Luis Castillo</t>
        </is>
      </c>
      <c r="P466" s="52" t="inlineStr">
        <is>
          <t>lcastillo@conaltura.com</t>
        </is>
      </c>
    </row>
    <row r="467">
      <c r="B467" s="170" t="n">
        <v>455</v>
      </c>
      <c r="C467" s="199" t="inlineStr">
        <is>
          <t>COTIZACION DE LOS DISEÑOS DE SEGURIDAD HUMANA Y PROTECCIÓN CONTRA INCENDIOS - CATALANA ETAPA 2</t>
        </is>
      </c>
      <c r="D467" s="312" t="n"/>
      <c r="E467" s="312" t="n"/>
      <c r="F467" s="312" t="n"/>
      <c r="G467" s="312" t="n"/>
      <c r="H467" s="312" t="n"/>
      <c r="I467" s="313" t="n"/>
      <c r="J467" s="199" t="inlineStr">
        <is>
          <t>CONALTURA</t>
        </is>
      </c>
      <c r="K467" s="314" t="n">
        <v>14950000</v>
      </c>
      <c r="L467" s="2" t="n">
        <v>45227</v>
      </c>
      <c r="M467" s="2" t="n"/>
      <c r="N467" s="172" t="n">
        <v>3017500321</v>
      </c>
      <c r="O467" s="170" t="inlineStr">
        <is>
          <t>Leonardo Luis Castillo</t>
        </is>
      </c>
      <c r="P467" s="52" t="inlineStr">
        <is>
          <t>lcastillo@conaltura.com</t>
        </is>
      </c>
    </row>
    <row r="468">
      <c r="B468" s="170" t="n">
        <v>456</v>
      </c>
      <c r="C468" s="199" t="inlineStr">
        <is>
          <t>COTIZACION DE LOS DISEÑOS DE SEGURIDAD HUMANA Y PROTECCIÓN CONTRA INCENDIOS - SOLEI ETAPA 2</t>
        </is>
      </c>
      <c r="D468" s="312" t="n"/>
      <c r="E468" s="312" t="n"/>
      <c r="F468" s="312" t="n"/>
      <c r="G468" s="312" t="n"/>
      <c r="H468" s="312" t="n"/>
      <c r="I468" s="313" t="n"/>
      <c r="J468" s="199" t="inlineStr">
        <is>
          <t>CONALTURA</t>
        </is>
      </c>
      <c r="K468" s="314" t="n">
        <v>14950000</v>
      </c>
      <c r="L468" s="2" t="n">
        <v>45227</v>
      </c>
      <c r="M468" s="170" t="n"/>
      <c r="N468" s="172" t="n">
        <v>3017500321</v>
      </c>
      <c r="O468" s="170" t="inlineStr">
        <is>
          <t>Leonardo Luis Castillo</t>
        </is>
      </c>
      <c r="P468" s="52" t="inlineStr">
        <is>
          <t>lcastillo@conaltura.com</t>
        </is>
      </c>
    </row>
    <row r="469">
      <c r="B469" s="170" t="n">
        <v>457</v>
      </c>
      <c r="C469" s="199" t="inlineStr">
        <is>
          <t>COTIZACION DE LOS DISEÑOS DE SEGURIDAD HUMANA Y PROTECCIÓN CONTRA INCENDIOS - BORA ETAPA 3</t>
        </is>
      </c>
      <c r="D469" s="312" t="n"/>
      <c r="E469" s="312" t="n"/>
      <c r="F469" s="312" t="n"/>
      <c r="G469" s="312" t="n"/>
      <c r="H469" s="312" t="n"/>
      <c r="I469" s="313" t="n"/>
      <c r="J469" s="199" t="inlineStr">
        <is>
          <t>CONALTURA</t>
        </is>
      </c>
      <c r="K469" s="314" t="n">
        <v>14950000</v>
      </c>
      <c r="L469" s="2" t="n">
        <v>45227</v>
      </c>
      <c r="M469" s="170" t="n"/>
      <c r="N469" s="172" t="n">
        <v>3017500321</v>
      </c>
      <c r="O469" s="170" t="inlineStr">
        <is>
          <t>Leonardo Luis Castillo</t>
        </is>
      </c>
      <c r="P469" s="52" t="inlineStr">
        <is>
          <t>lcastillo@conaltura.com</t>
        </is>
      </c>
    </row>
    <row r="470">
      <c r="B470" s="170" t="n">
        <v>458</v>
      </c>
      <c r="C470" s="199" t="inlineStr">
        <is>
          <t>COTIZACIÓN DE DISEÑO DE DETECCIÓN DE INCENDIO PARA EL PROYECTO SEDE NEUROMEDICA</t>
        </is>
      </c>
      <c r="D470" s="312" t="n"/>
      <c r="E470" s="312" t="n"/>
      <c r="F470" s="312" t="n"/>
      <c r="G470" s="312" t="n"/>
      <c r="H470" s="312" t="n"/>
      <c r="I470" s="313" t="n"/>
      <c r="J470" s="199" t="inlineStr">
        <is>
          <t>JOMARK</t>
        </is>
      </c>
      <c r="K470" s="314" t="n">
        <v>2050000</v>
      </c>
      <c r="L470" s="2" t="n">
        <v>45229</v>
      </c>
      <c r="M470" s="170" t="n"/>
      <c r="N470" s="170" t="n">
        <v>3194913179</v>
      </c>
      <c r="O470" s="172" t="inlineStr">
        <is>
          <t>Carlos Almanya Patiño</t>
        </is>
      </c>
      <c r="P470" s="52" t="inlineStr">
        <is>
          <t>calmanya@jomarkseguridad.com</t>
        </is>
      </c>
    </row>
    <row r="471">
      <c r="B471" s="170" t="inlineStr">
        <is>
          <t>458 B</t>
        </is>
      </c>
      <c r="C471" s="246" t="inlineStr">
        <is>
          <t>COTIZACION DE LOS REDISEÑOS DE PROTECCIÓN CONTRA INCENDIOS - LAGOS ORIGEN</t>
        </is>
      </c>
      <c r="D471" s="312" t="n"/>
      <c r="E471" s="312" t="n"/>
      <c r="F471" s="312" t="n"/>
      <c r="G471" s="312" t="n"/>
      <c r="H471" s="312" t="n"/>
      <c r="I471" s="313" t="n"/>
      <c r="J471" s="199" t="inlineStr">
        <is>
          <t>MENSULA</t>
        </is>
      </c>
      <c r="K471" s="314" t="n">
        <v>2050000</v>
      </c>
      <c r="L471" s="2" t="n">
        <v>45229</v>
      </c>
      <c r="M471" s="170" t="n"/>
      <c r="N471" s="170" t="n">
        <v>3105253917</v>
      </c>
      <c r="O471" s="172" t="inlineStr">
        <is>
          <t>Gerson Andres Marulanda Cardona</t>
        </is>
      </c>
      <c r="P471" s="52" t="inlineStr">
        <is>
          <t>gersonmarulanda@mensulaingenieros.com</t>
        </is>
      </c>
    </row>
    <row r="472">
      <c r="B472" s="170" t="n">
        <v>459</v>
      </c>
      <c r="C472" s="199" t="inlineStr">
        <is>
          <t>COTIZACION DEL DISEÑO DE EXTINCIÓN DE INCENDIOS - LOCAL COLBELLEZA VIVA</t>
        </is>
      </c>
      <c r="D472" s="312" t="n"/>
      <c r="E472" s="312" t="n"/>
      <c r="F472" s="312" t="n"/>
      <c r="G472" s="312" t="n"/>
      <c r="H472" s="312" t="n"/>
      <c r="I472" s="313" t="n"/>
      <c r="J472" s="199" t="inlineStr">
        <is>
          <t>Colbelleza</t>
        </is>
      </c>
      <c r="K472" s="314" t="n">
        <v>1250000</v>
      </c>
      <c r="L472" s="2" t="n">
        <v>45229</v>
      </c>
      <c r="M472" s="170" t="n"/>
      <c r="N472" s="170" t="inlineStr">
        <is>
          <t>57 320 7133122</t>
        </is>
      </c>
      <c r="O472" s="172" t="inlineStr">
        <is>
          <t>Isabel Arango</t>
        </is>
      </c>
      <c r="P472" s="52" t="n"/>
    </row>
    <row r="473">
      <c r="B473" s="170" t="n">
        <v>460</v>
      </c>
      <c r="C473" s="199" t="inlineStr">
        <is>
          <t>COTIZACIÓN DE LA INGENIERÍA CONCEPTUAL DE EXTINCIÓN DE INCENDIOS PARA LA AMPLIACIÓN DE PLEXAPORT</t>
        </is>
      </c>
      <c r="D473" s="312" t="n"/>
      <c r="E473" s="312" t="n"/>
      <c r="F473" s="312" t="n"/>
      <c r="G473" s="312" t="n"/>
      <c r="H473" s="312" t="n"/>
      <c r="I473" s="313" t="n"/>
      <c r="J473" s="199" t="inlineStr">
        <is>
          <t>SPCI</t>
        </is>
      </c>
      <c r="K473" s="314" t="n">
        <v>8800000</v>
      </c>
      <c r="L473" s="2" t="n">
        <v>45230</v>
      </c>
      <c r="M473" s="170" t="n"/>
      <c r="N473" s="170" t="inlineStr">
        <is>
          <t xml:space="preserve"> 310 468 0508</t>
        </is>
      </c>
      <c r="O473" s="170" t="inlineStr">
        <is>
          <t>Juan Pablo Grajales Gómez</t>
        </is>
      </c>
      <c r="P473" s="52" t="inlineStr">
        <is>
          <t>juan.grajales@spci.com.co</t>
        </is>
      </c>
    </row>
    <row r="474">
      <c r="B474" s="170" t="n">
        <v>461</v>
      </c>
      <c r="C474" s="246" t="inlineStr">
        <is>
          <t>COTIZACION DEL ANÁLISIS DE SEGURIDAD HUMANA PARA EL PROYECTO MONTANO</t>
        </is>
      </c>
      <c r="D474" s="312" t="n"/>
      <c r="E474" s="312" t="n"/>
      <c r="F474" s="312" t="n"/>
      <c r="G474" s="312" t="n"/>
      <c r="H474" s="312" t="n"/>
      <c r="I474" s="313" t="n"/>
      <c r="J474" s="199" t="inlineStr">
        <is>
          <t>AIA</t>
        </is>
      </c>
      <c r="K474" s="314" t="n">
        <v>4140000</v>
      </c>
      <c r="L474" s="2" t="n">
        <v>45231</v>
      </c>
      <c r="M474" s="170" t="n"/>
      <c r="N474" s="170" t="n">
        <v>6044037700</v>
      </c>
      <c r="O474" s="172" t="inlineStr">
        <is>
          <t>Natalia Gonima</t>
        </is>
      </c>
      <c r="P474" s="52" t="inlineStr">
        <is>
          <t>ngonima@aia.com.co</t>
        </is>
      </c>
    </row>
    <row r="475">
      <c r="B475" s="170" t="n">
        <v>462</v>
      </c>
      <c r="C475" s="199" t="inlineStr">
        <is>
          <t>COTIZACION DE LOS DISEÑOS DE PROTECCIÓN CONTRA INCENDIOS PARA EL PROYECTO LOCAL COLBELLEZA</t>
        </is>
      </c>
      <c r="D475" s="312" t="n"/>
      <c r="E475" s="312" t="n"/>
      <c r="F475" s="312" t="n"/>
      <c r="G475" s="312" t="n"/>
      <c r="H475" s="312" t="n"/>
      <c r="I475" s="313" t="n"/>
      <c r="J475" s="199" t="inlineStr">
        <is>
          <t>SPCI</t>
        </is>
      </c>
      <c r="K475" s="314" t="n">
        <v>1850000</v>
      </c>
      <c r="L475" s="2" t="n">
        <v>45232</v>
      </c>
      <c r="M475" s="170" t="n"/>
      <c r="N475" s="170" t="n">
        <v>3104165783</v>
      </c>
      <c r="O475" s="172" t="inlineStr">
        <is>
          <t xml:space="preserve"> Cristiam Gustavo Mondragon </t>
        </is>
      </c>
      <c r="P475" s="52" t="inlineStr">
        <is>
          <t>dir.tecnico@spci.com.co</t>
        </is>
      </c>
    </row>
    <row r="476">
      <c r="B476" s="170" t="n">
        <v>463</v>
      </c>
      <c r="C476" s="199" t="inlineStr">
        <is>
          <t>COTIZACION DE CAPACITACIÓN EN SISTEMAS DE PROTECCIÓN CONTRA INCENDIOS - OBSTRUCCIONES</t>
        </is>
      </c>
      <c r="D476" s="312" t="n"/>
      <c r="E476" s="312" t="n"/>
      <c r="F476" s="312" t="n"/>
      <c r="G476" s="312" t="n"/>
      <c r="H476" s="312" t="n"/>
      <c r="I476" s="313" t="n"/>
      <c r="J476" s="199" t="inlineStr">
        <is>
          <t>Comex Internacional</t>
        </is>
      </c>
      <c r="K476" s="314" t="n">
        <v>1000000</v>
      </c>
      <c r="L476" s="2" t="n">
        <v>45230</v>
      </c>
      <c r="M476" s="170" t="n"/>
      <c r="N476" s="170" t="inlineStr">
        <is>
          <t>316 496 20 26</t>
        </is>
      </c>
      <c r="O476" s="172" t="inlineStr">
        <is>
          <t>Juan David Ossa Salazar</t>
        </is>
      </c>
      <c r="P476" s="52" t="inlineStr">
        <is>
          <t>comercial@comexinternacional.com.co</t>
        </is>
      </c>
    </row>
    <row r="477">
      <c r="B477" s="170" t="n">
        <v>464</v>
      </c>
      <c r="C477" s="199" t="inlineStr">
        <is>
          <t>COTIZACION DEL ANÁLISIS DE SEGURIDAD HUMANA PARA EL PROYECTO CLINICA DEL ROSARIO</t>
        </is>
      </c>
      <c r="D477" s="312" t="n"/>
      <c r="E477" s="312" t="n"/>
      <c r="F477" s="312" t="n"/>
      <c r="G477" s="312" t="n"/>
      <c r="H477" s="312" t="n"/>
      <c r="I477" s="313" t="n"/>
      <c r="J477" s="199" t="inlineStr">
        <is>
          <t>CLINICA EL ROSARIO</t>
        </is>
      </c>
      <c r="K477" s="314" t="n">
        <v>9910000</v>
      </c>
      <c r="L477" s="2" t="n">
        <v>45233</v>
      </c>
      <c r="M477" s="170" t="n"/>
      <c r="N477" s="170" t="n"/>
      <c r="O477" s="172" t="inlineStr">
        <is>
          <t>Juan David Velez Herrera</t>
        </is>
      </c>
      <c r="P477" s="52" t="inlineStr">
        <is>
          <t>proyectos@clinicaelrosario.com</t>
        </is>
      </c>
    </row>
    <row r="478">
      <c r="B478" s="170" t="n">
        <v>465</v>
      </c>
      <c r="C478" s="246" t="inlineStr">
        <is>
          <t xml:space="preserve">COTIZACION DE LOS DISEÑOS DE PROTECCIÓN CONTRA INCENDIOS PARA EL PROYECTO CLINICA DEL ROSARIO
</t>
        </is>
      </c>
      <c r="D478" s="312" t="n"/>
      <c r="E478" s="312" t="n"/>
      <c r="F478" s="312" t="n"/>
      <c r="G478" s="312" t="n"/>
      <c r="H478" s="312" t="n"/>
      <c r="I478" s="313" t="n"/>
      <c r="J478" s="199" t="inlineStr">
        <is>
          <t>CLINICA EL ROSARIO</t>
        </is>
      </c>
      <c r="K478" s="314" t="n">
        <v>41390000</v>
      </c>
      <c r="L478" s="2" t="n">
        <v>45233</v>
      </c>
      <c r="M478" s="170" t="n"/>
      <c r="N478" s="170" t="n"/>
      <c r="O478" s="172" t="inlineStr">
        <is>
          <t>Juan David Vélez Herrera</t>
        </is>
      </c>
      <c r="P478" s="52" t="inlineStr">
        <is>
          <t>proyectos@clinicaelrosario.com</t>
        </is>
      </c>
    </row>
    <row r="479">
      <c r="B479" s="170" t="n">
        <v>466</v>
      </c>
      <c r="C479" s="199" t="inlineStr">
        <is>
          <t>COTIZACION DE LOS DISEÑOS DE PROTECCIÓN CONTRA INCENDIOS PARA EL PROYECTO LOCAL NEW ERA</t>
        </is>
      </c>
      <c r="D479" s="312" t="n"/>
      <c r="E479" s="312" t="n"/>
      <c r="F479" s="312" t="n"/>
      <c r="G479" s="312" t="n"/>
      <c r="H479" s="312" t="n"/>
      <c r="I479" s="313" t="n"/>
      <c r="J479" s="199" t="inlineStr">
        <is>
          <t>JOMARK</t>
        </is>
      </c>
      <c r="K479" s="314" t="n">
        <v>2000000</v>
      </c>
      <c r="L479" s="2" t="n">
        <v>45231</v>
      </c>
      <c r="M479" s="170" t="n"/>
      <c r="N479" s="170" t="n">
        <v>3194913179</v>
      </c>
      <c r="O479" s="172" t="inlineStr">
        <is>
          <t>Carlos Almanya Patiño</t>
        </is>
      </c>
      <c r="P479" s="52" t="inlineStr">
        <is>
          <t>calmanya@jomarkseguridad.com</t>
        </is>
      </c>
    </row>
    <row r="480">
      <c r="B480" s="170" t="n">
        <v>467</v>
      </c>
      <c r="C480" s="199" t="inlineStr">
        <is>
          <t>COTIZACION DE LOS DISEÑOS DE PROTECCIÓN CONTRA INCENDIOS Y SEGURIDAD HUMANA PARA EL PROYECTO RIO MANSO</t>
        </is>
      </c>
      <c r="D480" s="312" t="n"/>
      <c r="E480" s="312" t="n"/>
      <c r="F480" s="312" t="n"/>
      <c r="G480" s="312" t="n"/>
      <c r="H480" s="312" t="n"/>
      <c r="I480" s="313" t="n"/>
      <c r="J480" s="199" t="inlineStr">
        <is>
          <t>CONINTEL SA</t>
        </is>
      </c>
      <c r="K480" s="314" t="n">
        <v>33120000</v>
      </c>
      <c r="L480" s="2" t="n">
        <v>45233</v>
      </c>
      <c r="M480" s="170" t="n"/>
      <c r="N480" s="170" t="inlineStr">
        <is>
          <t>313 7163567</t>
        </is>
      </c>
      <c r="O480" s="172" t="inlineStr">
        <is>
          <t>David Fernando Cardona</t>
        </is>
      </c>
      <c r="P480" s="52" t="inlineStr">
        <is>
          <t>coordinacion@conintel.com.co</t>
        </is>
      </c>
    </row>
    <row r="481">
      <c r="B481" s="170" t="n">
        <v>468</v>
      </c>
      <c r="C481" s="251" t="inlineStr">
        <is>
          <t>COTIZACION DE VISITAS DE REVISIÓN INSTALACIÓN SISTEMAS PROTECCIÓN CONTRA INCENDIOS - LOCALES VIVA LA CEJA</t>
        </is>
      </c>
      <c r="D481" s="312" t="n"/>
      <c r="E481" s="312" t="n"/>
      <c r="F481" s="312" t="n"/>
      <c r="G481" s="312" t="n"/>
      <c r="H481" s="312" t="n"/>
      <c r="I481" s="313" t="n"/>
      <c r="J481" s="199" t="inlineStr">
        <is>
          <t>SPCI</t>
        </is>
      </c>
      <c r="K481" s="314" t="inlineStr">
        <is>
          <t>Variable</t>
        </is>
      </c>
      <c r="L481" s="2" t="n">
        <v>45232</v>
      </c>
      <c r="M481" s="170" t="n"/>
      <c r="N481" s="172" t="n">
        <v>3137546144</v>
      </c>
      <c r="O481" s="172" t="inlineStr">
        <is>
          <t>Juan Camilo Quintero Bedoya</t>
        </is>
      </c>
      <c r="P481" s="52" t="inlineStr">
        <is>
          <t>camilo.quintero@spci.com.co</t>
        </is>
      </c>
    </row>
    <row r="482">
      <c r="B482" s="170" t="n">
        <v>469</v>
      </c>
      <c r="C482" s="199" t="inlineStr">
        <is>
          <t>COTIZACION DEL DISEÑO DE DETECCIÓN DE INCENDIOS PARA EL PROYECTO PLANTA TRUHER SABANETA</t>
        </is>
      </c>
      <c r="D482" s="312" t="n"/>
      <c r="E482" s="312" t="n"/>
      <c r="F482" s="312" t="n"/>
      <c r="G482" s="312" t="n"/>
      <c r="H482" s="312" t="n"/>
      <c r="I482" s="313" t="n"/>
      <c r="J482" s="199" t="inlineStr">
        <is>
          <t>Seriinco</t>
        </is>
      </c>
      <c r="K482" s="314" t="n">
        <v>3760000</v>
      </c>
      <c r="L482" s="2" t="n">
        <v>45233</v>
      </c>
      <c r="M482" s="170" t="n"/>
      <c r="N482" s="172" t="n">
        <v>3113391008</v>
      </c>
      <c r="O482" s="172" t="inlineStr">
        <is>
          <t>Carlos Henao</t>
        </is>
      </c>
      <c r="P482" s="52" t="inlineStr">
        <is>
          <t>carlos.henao@seriinco.com</t>
        </is>
      </c>
    </row>
    <row r="483">
      <c r="B483" s="170" t="n">
        <v>470</v>
      </c>
      <c r="C483" s="246" t="inlineStr">
        <is>
          <t>COTIZACION DEL DISEÑO DE DETECCIÓN DE INCENDIOS PARA EL PROYECTO CEDI VESDA</t>
        </is>
      </c>
      <c r="D483" s="312" t="n"/>
      <c r="E483" s="312" t="n"/>
      <c r="F483" s="312" t="n"/>
      <c r="G483" s="312" t="n"/>
      <c r="H483" s="312" t="n"/>
      <c r="I483" s="313" t="n"/>
      <c r="J483" s="199" t="inlineStr">
        <is>
          <t>Seriinco</t>
        </is>
      </c>
      <c r="K483" s="314" t="n">
        <v>5990000</v>
      </c>
      <c r="L483" s="2" t="n">
        <v>45233</v>
      </c>
      <c r="M483" s="170" t="n"/>
      <c r="N483" s="170" t="n">
        <v>3116460496</v>
      </c>
      <c r="O483" s="172" t="inlineStr">
        <is>
          <t xml:space="preserve">Francisco Unda </t>
        </is>
      </c>
      <c r="P483" s="52" t="inlineStr">
        <is>
          <t>francisco.unda@seriinco.com</t>
        </is>
      </c>
    </row>
    <row r="484">
      <c r="B484" s="170" t="n">
        <v>471</v>
      </c>
      <c r="C484" s="199" t="inlineStr">
        <is>
          <t>COTIZACION DE LOS DISEÑOS DE PROTECCIÓN CONTRA INCENDIOS PARA EL PROYECTO LOCAL MALL ZONA SUR</t>
        </is>
      </c>
      <c r="D484" s="312" t="n"/>
      <c r="E484" s="312" t="n"/>
      <c r="F484" s="312" t="n"/>
      <c r="G484" s="312" t="n"/>
      <c r="H484" s="312" t="n"/>
      <c r="I484" s="313" t="n"/>
      <c r="J484" s="199" t="inlineStr">
        <is>
          <t>Jhon Jairo Arenas</t>
        </is>
      </c>
      <c r="K484" s="314" t="n">
        <v>2630000</v>
      </c>
      <c r="L484" s="2" t="n">
        <v>45233</v>
      </c>
      <c r="M484" s="170" t="n"/>
      <c r="N484" s="170" t="inlineStr">
        <is>
          <t>300 3020889</t>
        </is>
      </c>
      <c r="O484" s="172" t="inlineStr">
        <is>
          <t>Jhon Jairo Arenas</t>
        </is>
      </c>
      <c r="P484" s="52" t="n"/>
    </row>
    <row r="485">
      <c r="B485" s="170" t="n">
        <v>472</v>
      </c>
      <c r="C485" s="199" t="inlineStr">
        <is>
          <t>COTIZACION DEL DISEÑO DE EXTINCIÓN DE INCENDIOS PARA EL PROYECTO BLAZEMASTER BOLIVIA</t>
        </is>
      </c>
      <c r="D485" s="312" t="n"/>
      <c r="E485" s="312" t="n"/>
      <c r="F485" s="312" t="n"/>
      <c r="G485" s="312" t="n"/>
      <c r="H485" s="312" t="n"/>
      <c r="I485" s="313" t="n"/>
      <c r="J485" s="199" t="inlineStr">
        <is>
          <t>Fire Protection Solutions Group</t>
        </is>
      </c>
      <c r="K485" s="314" t="n">
        <v>2500</v>
      </c>
      <c r="L485" s="2" t="n">
        <v>45233</v>
      </c>
      <c r="M485" s="170" t="n"/>
      <c r="N485" s="170" t="n">
        <v>3108227462</v>
      </c>
      <c r="O485" s="172" t="inlineStr">
        <is>
          <t>alvaro manosalva</t>
        </is>
      </c>
      <c r="P485" s="52" t="inlineStr">
        <is>
          <t>alvaromanosalva@sfiregroup.com</t>
        </is>
      </c>
    </row>
    <row r="486">
      <c r="B486" s="170" t="n">
        <v>473</v>
      </c>
      <c r="C486" s="199" t="inlineStr">
        <is>
          <t>COTIZACION DE LOS DISEÑOS DE PROTECCIÓN CONTRA INCENDIOS Y SEGURIDAD HUMANA PARA EL PROYECTO FAUNA SILVESTRE</t>
        </is>
      </c>
      <c r="D486" s="312" t="n"/>
      <c r="E486" s="312" t="n"/>
      <c r="F486" s="312" t="n"/>
      <c r="G486" s="312" t="n"/>
      <c r="H486" s="312" t="n"/>
      <c r="I486" s="313" t="n"/>
      <c r="J486" s="199" t="inlineStr">
        <is>
          <t>JOMARK</t>
        </is>
      </c>
      <c r="K486" s="314" t="n">
        <v>3890000</v>
      </c>
      <c r="L486" s="2" t="n">
        <v>45233</v>
      </c>
      <c r="M486" s="170" t="n"/>
      <c r="N486" s="170" t="n"/>
      <c r="O486" s="172" t="inlineStr">
        <is>
          <t>Laura Duque Betancur</t>
        </is>
      </c>
      <c r="P486" s="52" t="inlineStr">
        <is>
          <t>proyectos2@jomarkseguridad.com</t>
        </is>
      </c>
    </row>
    <row r="487">
      <c r="B487" s="170" t="n">
        <v>474</v>
      </c>
      <c r="C487" s="199" t="inlineStr">
        <is>
          <t>COTIZACION DE LOS DISEÑOS DE SEGURIDAD HUMANA Y PROTECCIÓN CONTRA INCENDIOS - ONDA</t>
        </is>
      </c>
      <c r="D487" s="312" t="n"/>
      <c r="E487" s="312" t="n"/>
      <c r="F487" s="312" t="n"/>
      <c r="G487" s="312" t="n"/>
      <c r="H487" s="312" t="n"/>
      <c r="I487" s="313" t="n"/>
      <c r="J487" s="199" t="inlineStr">
        <is>
          <t>UPB - ETH</t>
        </is>
      </c>
      <c r="K487" s="314" t="n">
        <v>18690000</v>
      </c>
      <c r="L487" s="2" t="n">
        <v>45234</v>
      </c>
      <c r="M487" s="170" t="n"/>
      <c r="N487" s="170" t="n">
        <v>3016042780</v>
      </c>
      <c r="O487" s="172" t="inlineStr">
        <is>
          <t>Sebastián Ramirez A</t>
        </is>
      </c>
      <c r="P487" s="52" t="inlineStr">
        <is>
          <t>sebra.arq@gmail.com</t>
        </is>
      </c>
    </row>
    <row r="488">
      <c r="B488" s="170" t="n">
        <v>475</v>
      </c>
      <c r="C488" s="233" t="inlineStr">
        <is>
          <t>COTIZACION DE LOS DISEÑOS DE PROTECCIÓN CONTRA INCENDIOS Y SEGURIDAD HUMANA PARA EL PROYECTO EDIFICIO PIÑON</t>
        </is>
      </c>
      <c r="D488" s="312" t="n"/>
      <c r="E488" s="312" t="n"/>
      <c r="F488" s="312" t="n"/>
      <c r="G488" s="312" t="n"/>
      <c r="H488" s="312" t="n"/>
      <c r="I488" s="313" t="n"/>
      <c r="J488" s="199" t="inlineStr">
        <is>
          <t>SOCOMES</t>
        </is>
      </c>
      <c r="K488" s="314" t="n">
        <v>6900000</v>
      </c>
      <c r="L488" s="2" t="n">
        <v>45238</v>
      </c>
      <c r="M488" s="170" t="n"/>
      <c r="N488" s="170" t="n">
        <v>3137851941</v>
      </c>
      <c r="O488" s="172" t="inlineStr">
        <is>
          <t>David Lopera Medina</t>
        </is>
      </c>
      <c r="P488" s="52" t="inlineStr">
        <is>
          <t>david.lopera@socomes.com</t>
        </is>
      </c>
    </row>
    <row r="489">
      <c r="B489" s="170" t="n">
        <v>476</v>
      </c>
      <c r="C489" s="233" t="inlineStr">
        <is>
          <t>COTIZACION DE LOS DISEÑOS DE PROTECCIÓN CONTRA INCENDIOS Y SEGURIDAD HUMANA PARA EL PROYECTO EDIFICIO CEIBA</t>
        </is>
      </c>
      <c r="D489" s="312" t="n"/>
      <c r="E489" s="312" t="n"/>
      <c r="F489" s="312" t="n"/>
      <c r="G489" s="312" t="n"/>
      <c r="H489" s="312" t="n"/>
      <c r="I489" s="313" t="n"/>
      <c r="J489" s="199" t="inlineStr">
        <is>
          <t>SOCOMES</t>
        </is>
      </c>
      <c r="K489" s="314" t="n">
        <v>5970000</v>
      </c>
      <c r="L489" s="2" t="n">
        <v>45238</v>
      </c>
      <c r="M489" s="170" t="n"/>
      <c r="N489" s="170" t="n">
        <v>3137851941</v>
      </c>
      <c r="O489" s="172" t="inlineStr">
        <is>
          <t>David Lopera Medina</t>
        </is>
      </c>
      <c r="P489" s="52" t="inlineStr">
        <is>
          <t>david.lopera@socomes.com</t>
        </is>
      </c>
    </row>
    <row r="490">
      <c r="B490" s="170" t="n">
        <v>477</v>
      </c>
      <c r="C490" s="199" t="inlineStr">
        <is>
          <t>COTIZACION DE LOS DISEÑOS DE SEGURIDAD HUMANA Y PROTECCIÓN CONTRA INCENDIOS - ENTRE SOLES</t>
        </is>
      </c>
      <c r="D490" s="312" t="n"/>
      <c r="E490" s="312" t="n"/>
      <c r="F490" s="312" t="n"/>
      <c r="G490" s="312" t="n"/>
      <c r="H490" s="312" t="n"/>
      <c r="I490" s="313" t="n"/>
      <c r="J490" s="199" t="inlineStr">
        <is>
          <t>ARQUITECTURA Y CONCRETO</t>
        </is>
      </c>
      <c r="K490" s="314" t="n">
        <v>12950000</v>
      </c>
      <c r="L490" s="2" t="n">
        <v>45237</v>
      </c>
      <c r="M490" s="170" t="n"/>
      <c r="N490" s="170" t="inlineStr">
        <is>
          <t>312 7218621</t>
        </is>
      </c>
      <c r="O490" s="172" t="inlineStr">
        <is>
          <t>Robinson Marulanda</t>
        </is>
      </c>
      <c r="P490" s="52" t="inlineStr">
        <is>
          <t>obinsonmarulanda@arquitecturayconcreto.com</t>
        </is>
      </c>
    </row>
    <row r="491">
      <c r="B491" s="170" t="n">
        <v>478</v>
      </c>
      <c r="C491" s="199" t="inlineStr">
        <is>
          <t>COTIZACION PARA LA EVALUACIÓN Y CONCEPTO DE LA PROTECCIÓN CONTRA INCENDIOS PARA EL PROYECTO PANELES SOLARES GUACARI</t>
        </is>
      </c>
      <c r="D491" s="312" t="n"/>
      <c r="E491" s="312" t="n"/>
      <c r="F491" s="312" t="n"/>
      <c r="G491" s="312" t="n"/>
      <c r="H491" s="312" t="n"/>
      <c r="I491" s="313" t="n"/>
      <c r="J491" s="199" t="inlineStr">
        <is>
          <t>Londoño Gomez</t>
        </is>
      </c>
      <c r="K491" s="314" t="n">
        <v>1950000</v>
      </c>
      <c r="L491" s="2" t="n">
        <v>45238</v>
      </c>
      <c r="M491" s="170" t="n"/>
      <c r="N491" s="170" t="inlineStr">
        <is>
          <t>3111770 ext 455</t>
        </is>
      </c>
      <c r="O491" s="170" t="inlineStr">
        <is>
          <t>Lina M Saldarriaga</t>
        </is>
      </c>
      <c r="P491" s="52" t="inlineStr">
        <is>
          <t>lsaldarriaga@interlg.com</t>
        </is>
      </c>
    </row>
    <row r="492">
      <c r="B492" s="170" t="n">
        <v>479</v>
      </c>
      <c r="C492" s="246" t="inlineStr">
        <is>
          <t>COTIZACION DE LOS DISEÑOS DE SEGURIDAD HUMANA Y PROTECCIÓN CONTRA INCENDIOS - PLANTA AGUACATE</t>
        </is>
      </c>
      <c r="D492" s="312" t="n"/>
      <c r="E492" s="312" t="n"/>
      <c r="F492" s="312" t="n"/>
      <c r="G492" s="312" t="n"/>
      <c r="H492" s="312" t="n"/>
      <c r="I492" s="313" t="n"/>
      <c r="J492" s="199" t="inlineStr">
        <is>
          <t>Ingesed</t>
        </is>
      </c>
      <c r="K492" s="314" t="n">
        <v>16680000</v>
      </c>
      <c r="L492" s="2" t="n">
        <v>45238</v>
      </c>
      <c r="M492" s="170" t="n"/>
      <c r="N492" s="170" t="inlineStr">
        <is>
          <t>313 5401714</t>
        </is>
      </c>
      <c r="O492" s="172" t="inlineStr">
        <is>
          <t>Eliana Isabel Cardona Ríos</t>
        </is>
      </c>
      <c r="P492" s="52" t="inlineStr">
        <is>
          <t>comercial@ingesed.com</t>
        </is>
      </c>
    </row>
    <row r="493">
      <c r="B493" s="170" t="n">
        <v>480</v>
      </c>
      <c r="C493" s="199" t="inlineStr">
        <is>
          <t>COTIZACION DE LOS DISEÑOS DE SEGURIDAD HUMANA Y PROTECCIÓN CONTRA INCENDIOS - PLANTA GARUPA</t>
        </is>
      </c>
      <c r="D493" s="312" t="n"/>
      <c r="E493" s="312" t="n"/>
      <c r="F493" s="312" t="n"/>
      <c r="G493" s="312" t="n"/>
      <c r="H493" s="312" t="n"/>
      <c r="I493" s="313" t="n"/>
      <c r="J493" s="199" t="inlineStr">
        <is>
          <t>Ingesed</t>
        </is>
      </c>
      <c r="K493" s="314" t="n">
        <v>14910000</v>
      </c>
      <c r="L493" s="2" t="n">
        <v>45238</v>
      </c>
      <c r="M493" s="170" t="n"/>
      <c r="N493" s="170" t="inlineStr">
        <is>
          <t>313 5401714</t>
        </is>
      </c>
      <c r="O493" s="172" t="inlineStr">
        <is>
          <t>Eliana Isabel Cardona Ríos</t>
        </is>
      </c>
      <c r="P493" s="52" t="inlineStr">
        <is>
          <t>comercial@ingesed.com</t>
        </is>
      </c>
    </row>
    <row r="494">
      <c r="B494" s="170" t="n">
        <v>481</v>
      </c>
      <c r="C494" s="199" t="inlineStr">
        <is>
          <t>COTIZACION DE LOS DISEÑOS DE PROTECCIÓN CONTRA INCENDIOS - PROYECTO SABANETA ONCE22</t>
        </is>
      </c>
      <c r="D494" s="312" t="n"/>
      <c r="E494" s="312" t="n"/>
      <c r="F494" s="312" t="n"/>
      <c r="G494" s="312" t="n"/>
      <c r="H494" s="312" t="n"/>
      <c r="I494" s="313" t="n"/>
      <c r="J494" s="199" t="inlineStr">
        <is>
          <t>SOCOMES</t>
        </is>
      </c>
      <c r="K494" s="314" t="n">
        <v>6000000</v>
      </c>
      <c r="L494" s="2" t="n">
        <v>45239</v>
      </c>
      <c r="M494" s="170" t="n"/>
      <c r="N494" s="170" t="n">
        <v>3137851941</v>
      </c>
      <c r="O494" s="172" t="inlineStr">
        <is>
          <t>David Lopera Medina</t>
        </is>
      </c>
      <c r="P494" s="52" t="inlineStr">
        <is>
          <t>david.lopera@socomes.com</t>
        </is>
      </c>
    </row>
    <row r="495">
      <c r="B495" s="170" t="n">
        <v>482</v>
      </c>
      <c r="C495" s="246" t="inlineStr">
        <is>
          <t>COTIZACION DE LOS DISEÑOS DE PROTECCIÓN CONTRA INCENDIOS Y SEGURIDAD HUMANA PARA EL PROYECTO HOTEL ARMONIKO</t>
        </is>
      </c>
      <c r="D495" s="312" t="n"/>
      <c r="E495" s="312" t="n"/>
      <c r="F495" s="312" t="n"/>
      <c r="G495" s="312" t="n"/>
      <c r="H495" s="312" t="n"/>
      <c r="I495" s="313" t="n"/>
      <c r="J495" s="199" t="inlineStr">
        <is>
          <t>Lina Gil</t>
        </is>
      </c>
      <c r="K495" s="314" t="n">
        <v>19750000</v>
      </c>
      <c r="L495" s="2" t="n">
        <v>45239</v>
      </c>
      <c r="M495" s="170" t="n"/>
      <c r="N495" s="170" t="n"/>
      <c r="O495" s="84" t="inlineStr">
        <is>
          <t>Lina Gil</t>
        </is>
      </c>
      <c r="P495" s="82" t="inlineStr">
        <is>
          <t>arqlinagil@gmail.com</t>
        </is>
      </c>
    </row>
    <row r="496">
      <c r="B496" s="170" t="n">
        <v>483</v>
      </c>
      <c r="C496" s="199" t="inlineStr">
        <is>
          <t>COTIZACION DE LOS DISEÑOS DE PROTECCIÓN CONTRA INCENDIOS PARA EL PROYECTO LOCAL NEW ERA</t>
        </is>
      </c>
      <c r="D496" s="312" t="n"/>
      <c r="E496" s="312" t="n"/>
      <c r="F496" s="312" t="n"/>
      <c r="G496" s="312" t="n"/>
      <c r="H496" s="312" t="n"/>
      <c r="I496" s="313" t="n"/>
      <c r="J496" s="199" t="inlineStr">
        <is>
          <t>RCI MONTAJES</t>
        </is>
      </c>
      <c r="K496" s="314" t="n">
        <v>1950000</v>
      </c>
      <c r="L496" s="2" t="n">
        <v>45239</v>
      </c>
      <c r="M496" s="170" t="n"/>
      <c r="N496" s="170" t="n">
        <v>3175179593</v>
      </c>
      <c r="O496" s="170" t="inlineStr">
        <is>
          <t xml:space="preserve"> Diego Alejandro Correa Bedoya</t>
        </is>
      </c>
      <c r="P496" s="82" t="inlineStr">
        <is>
          <t>dacorrea@rcimontajes.co</t>
        </is>
      </c>
    </row>
    <row r="497">
      <c r="B497" s="170" t="n">
        <v>484</v>
      </c>
      <c r="C497" s="233" t="inlineStr">
        <is>
          <t>COTIZACION DEL DISEÑO DE EXTINCIÓN DE INCENDIOS PARA EL PROYECTO PATIO DE MANIOBRAS RANSA PRIMAVERA</t>
        </is>
      </c>
      <c r="D497" s="312" t="n"/>
      <c r="E497" s="312" t="n"/>
      <c r="F497" s="312" t="n"/>
      <c r="G497" s="312" t="n"/>
      <c r="H497" s="312" t="n"/>
      <c r="I497" s="313" t="n"/>
      <c r="J497" s="199" t="inlineStr">
        <is>
          <t>SPCI</t>
        </is>
      </c>
      <c r="K497" s="314" t="n">
        <v>3500000</v>
      </c>
      <c r="L497" s="2" t="n">
        <v>45245</v>
      </c>
      <c r="M497" s="170" t="n"/>
      <c r="N497" s="170" t="n">
        <v>3104680508</v>
      </c>
      <c r="O497" s="172" t="inlineStr">
        <is>
          <t>Juan Pablo Grajales Gomez</t>
        </is>
      </c>
      <c r="P497" s="52" t="inlineStr">
        <is>
          <t>juan.grajales@spci.com.co</t>
        </is>
      </c>
    </row>
    <row r="498">
      <c r="B498" s="170" t="n">
        <v>485</v>
      </c>
      <c r="C498" s="199" t="inlineStr">
        <is>
          <t>COTIZACION DEL ANÁLISIS DE SEGURIDAD HUMANA - MALL KONDINA</t>
        </is>
      </c>
      <c r="D498" s="312" t="n"/>
      <c r="E498" s="312" t="n"/>
      <c r="F498" s="312" t="n"/>
      <c r="G498" s="312" t="n"/>
      <c r="H498" s="312" t="n"/>
      <c r="I498" s="313" t="n"/>
      <c r="J498" s="199" t="inlineStr">
        <is>
          <t>RAIZ</t>
        </is>
      </c>
      <c r="K498" s="314" t="n">
        <v>8750000</v>
      </c>
      <c r="L498" s="2" t="n">
        <v>45240</v>
      </c>
      <c r="M498" s="170" t="n"/>
      <c r="N498" s="170" t="inlineStr">
        <is>
          <t>311 3555383</t>
        </is>
      </c>
      <c r="O498" s="172" t="inlineStr">
        <is>
          <t>Daniel Fernando Hernandez</t>
        </is>
      </c>
      <c r="P498" s="82" t="inlineStr">
        <is>
          <t>coordinadorobra@gruporaiz.com.co</t>
        </is>
      </c>
    </row>
    <row r="499">
      <c r="B499" s="170" t="n">
        <v>486</v>
      </c>
      <c r="C499" s="246" t="inlineStr">
        <is>
          <t xml:space="preserve">COTIZACION DE LOS DISEÑOS DE PROTECCIÓN CONTRA INCENDIOS Y SEGURIDAD HUMANA PARA EL PROYECTO VITTRIO
</t>
        </is>
      </c>
      <c r="D499" s="312" t="n"/>
      <c r="E499" s="312" t="n"/>
      <c r="F499" s="312" t="n"/>
      <c r="G499" s="312" t="n"/>
      <c r="H499" s="312" t="n"/>
      <c r="I499" s="313" t="n"/>
      <c r="J499" s="199" t="inlineStr">
        <is>
          <t>A&amp;C</t>
        </is>
      </c>
      <c r="K499" s="314" t="n">
        <v>31850000</v>
      </c>
      <c r="L499" s="2" t="n">
        <v>45245</v>
      </c>
      <c r="M499" s="170" t="n"/>
      <c r="N499" s="170" t="n">
        <v>3162439535</v>
      </c>
      <c r="O499" s="170" t="inlineStr">
        <is>
          <t>SEBASTIAN OCHOA GOMEZ</t>
        </is>
      </c>
      <c r="P499" s="52" t="inlineStr">
        <is>
          <t>sebastianochoa@arquitecturayconcreto.com</t>
        </is>
      </c>
    </row>
    <row r="500">
      <c r="B500" s="170" t="n">
        <v>487</v>
      </c>
      <c r="C500" s="246" t="inlineStr">
        <is>
          <t>COTIZACION DEL DISEÑO DE DETECCIÓN DE INCENDIOS PARA EL PROYECTO LOCAL CHEVIGNON RIOHACHA</t>
        </is>
      </c>
      <c r="D500" s="312" t="n"/>
      <c r="E500" s="312" t="n"/>
      <c r="F500" s="312" t="n"/>
      <c r="G500" s="312" t="n"/>
      <c r="H500" s="312" t="n"/>
      <c r="I500" s="313" t="n"/>
      <c r="J500" s="199" t="inlineStr">
        <is>
          <t>SPCI</t>
        </is>
      </c>
      <c r="K500" s="314" t="n">
        <v>700000</v>
      </c>
      <c r="L500" s="2" t="n">
        <v>45246</v>
      </c>
      <c r="M500" s="170" t="n"/>
      <c r="N500" s="170" t="inlineStr">
        <is>
          <t>310 4165783</t>
        </is>
      </c>
      <c r="O500" s="170" t="inlineStr">
        <is>
          <t>Cristiam Gustavo Mondragon Cortes</t>
        </is>
      </c>
      <c r="P500" s="52" t="inlineStr">
        <is>
          <t>cristiam.mondragon@spci.com.co</t>
        </is>
      </c>
    </row>
    <row r="501">
      <c r="B501" s="170" t="n">
        <v>488</v>
      </c>
      <c r="C501" s="233" t="inlineStr">
        <is>
          <t>COTIZACION DE LOS DISEÑOS DE PROTECCIÓN CONTRA INCENDIOS PARA EL PROYECTO CLINICA VIDA</t>
        </is>
      </c>
      <c r="D501" s="312" t="n"/>
      <c r="E501" s="312" t="n"/>
      <c r="F501" s="312" t="n"/>
      <c r="G501" s="312" t="n"/>
      <c r="H501" s="312" t="n"/>
      <c r="I501" s="313" t="n"/>
      <c r="J501" s="199" t="inlineStr">
        <is>
          <t>SOCOMES</t>
        </is>
      </c>
      <c r="K501" s="314" t="inlineStr">
        <is>
          <t>variable</t>
        </is>
      </c>
      <c r="L501" s="2" t="n">
        <v>45246</v>
      </c>
      <c r="M501" s="170" t="n"/>
      <c r="N501" s="170" t="n">
        <v>3137851941</v>
      </c>
      <c r="O501" s="172" t="inlineStr">
        <is>
          <t>David Lopera Medina</t>
        </is>
      </c>
      <c r="P501" s="91" t="inlineStr">
        <is>
          <t>david.lopera@socomes.com</t>
        </is>
      </c>
    </row>
    <row r="502">
      <c r="B502" s="170" t="n">
        <v>489</v>
      </c>
      <c r="C502" s="233" t="inlineStr">
        <is>
          <t>COTIZACION DEL DISEÑO DE DETECCIÓN DE INCENDIOS PARA EL PROYECTO SUBESTACION COLANTA</t>
        </is>
      </c>
      <c r="D502" s="312" t="n"/>
      <c r="E502" s="312" t="n"/>
      <c r="F502" s="312" t="n"/>
      <c r="G502" s="312" t="n"/>
      <c r="H502" s="312" t="n"/>
      <c r="I502" s="313" t="n"/>
      <c r="J502" s="199" t="inlineStr">
        <is>
          <t>EKOSINGENIERIA</t>
        </is>
      </c>
      <c r="K502" s="314" t="n">
        <v>1450000</v>
      </c>
      <c r="L502" s="2" t="n">
        <v>45246</v>
      </c>
      <c r="M502" s="170" t="n"/>
      <c r="N502" s="170" t="n">
        <v>3215206624</v>
      </c>
      <c r="O502" s="172" t="inlineStr">
        <is>
          <t xml:space="preserve">Francisco Mejía </t>
        </is>
      </c>
      <c r="P502" s="52" t="inlineStr">
        <is>
          <t xml:space="preserve"> francisco.mejia@ekosingenieria.com </t>
        </is>
      </c>
    </row>
    <row r="503">
      <c r="B503" s="170" t="n">
        <v>490</v>
      </c>
      <c r="C503" s="199" t="inlineStr">
        <is>
          <t>COTIZACION DE LOS DISEÑOS DE PROTECCIÓN CONTRA INCENDIOS PARA EL PROYECTO LOCAL 307 IKEBANNA</t>
        </is>
      </c>
      <c r="D503" s="312" t="n"/>
      <c r="E503" s="312" t="n"/>
      <c r="F503" s="312" t="n"/>
      <c r="G503" s="312" t="n"/>
      <c r="H503" s="312" t="n"/>
      <c r="I503" s="313" t="n"/>
      <c r="J503" s="199" t="inlineStr">
        <is>
          <t>SECURETEC</t>
        </is>
      </c>
      <c r="K503" s="314" t="n">
        <v>950000</v>
      </c>
      <c r="L503" s="2" t="n">
        <v>45247</v>
      </c>
      <c r="M503" s="170" t="n"/>
      <c r="N503" s="170" t="n">
        <v>3014111727</v>
      </c>
      <c r="O503" s="170" t="inlineStr">
        <is>
          <t>Julian David Camacho Galvis</t>
        </is>
      </c>
      <c r="P503" s="52" t="inlineStr">
        <is>
          <t>ascomercial2@securetec.com.co</t>
        </is>
      </c>
    </row>
    <row r="504">
      <c r="B504" s="170" t="n">
        <v>491</v>
      </c>
      <c r="C504" s="199" t="inlineStr">
        <is>
          <t>COTIZACION DE LOS DISEÑOS DE PROTECCIÓN CONTRA INCENDIOS PARA EL PROYECTO LOCAL 320 VANESSA</t>
        </is>
      </c>
      <c r="D504" s="312" t="n"/>
      <c r="E504" s="312" t="n"/>
      <c r="F504" s="312" t="n"/>
      <c r="G504" s="312" t="n"/>
      <c r="H504" s="312" t="n"/>
      <c r="I504" s="313" t="n"/>
      <c r="J504" s="199" t="inlineStr">
        <is>
          <t>SECURETEC</t>
        </is>
      </c>
      <c r="K504" s="314" t="n">
        <v>950000</v>
      </c>
      <c r="L504" s="2" t="n">
        <v>45247</v>
      </c>
      <c r="M504" s="170" t="n"/>
      <c r="N504" s="170" t="n">
        <v>3014111727</v>
      </c>
      <c r="O504" s="170" t="inlineStr">
        <is>
          <t>Julian David Camacho Galvis</t>
        </is>
      </c>
      <c r="P504" s="52" t="inlineStr">
        <is>
          <t>ascomercial2@securetec.com.co</t>
        </is>
      </c>
    </row>
    <row r="505" ht="15" customHeight="1">
      <c r="B505" s="170" t="n">
        <v>492</v>
      </c>
      <c r="C505" s="199" t="inlineStr">
        <is>
          <t xml:space="preserve">
COTIZACION DEL ANÁLISIS DE SEGURIDAD HUMANA PARA EL PROYECTO EDIFICIO HOTEL ECOSYSTEM</t>
        </is>
      </c>
      <c r="D505" s="312" t="n"/>
      <c r="E505" s="312" t="n"/>
      <c r="F505" s="312" t="n"/>
      <c r="G505" s="312" t="n"/>
      <c r="H505" s="312" t="n"/>
      <c r="I505" s="313" t="n"/>
      <c r="J505" s="199" t="inlineStr">
        <is>
          <t>Conconcreto</t>
        </is>
      </c>
      <c r="K505" s="314" t="n"/>
      <c r="L505" s="2" t="n">
        <v>45247</v>
      </c>
      <c r="M505" s="170" t="n"/>
      <c r="N505" s="170" t="inlineStr">
        <is>
          <t>300 3675022</t>
        </is>
      </c>
      <c r="O505" s="170" t="inlineStr">
        <is>
          <t>Andres Restrepo Escobar</t>
        </is>
      </c>
      <c r="P505" s="52" t="inlineStr">
        <is>
          <t>arestrepoe@conconcreto.com</t>
        </is>
      </c>
    </row>
    <row r="506" ht="15" customHeight="1">
      <c r="B506" s="170" t="n">
        <v>493</v>
      </c>
      <c r="C506" s="199" t="inlineStr">
        <is>
          <t xml:space="preserve">
COTIZACION DEL ANÁLISIS DE SEGURIDAD HUMANA PARA EL PROYECTO EDIFICIOS DE ESTACIONAMIENTO AEROPUERTO EL DORADO</t>
        </is>
      </c>
      <c r="D506" s="312" t="n"/>
      <c r="E506" s="312" t="n"/>
      <c r="F506" s="312" t="n"/>
      <c r="G506" s="312" t="n"/>
      <c r="H506" s="312" t="n"/>
      <c r="I506" s="313" t="n"/>
      <c r="J506" s="199" t="inlineStr">
        <is>
          <t>Conconcreto</t>
        </is>
      </c>
      <c r="K506" s="314" t="n"/>
      <c r="L506" s="2" t="n">
        <v>45247</v>
      </c>
      <c r="M506" s="170" t="n"/>
      <c r="N506" s="170" t="n">
        <v>3146844810</v>
      </c>
      <c r="O506" s="172" t="inlineStr">
        <is>
          <t>Ana María Torres Gómez</t>
        </is>
      </c>
      <c r="P506" s="52" t="inlineStr">
        <is>
          <t>amtorres@conconcreto.com</t>
        </is>
      </c>
    </row>
    <row r="507">
      <c r="B507" s="170" t="n">
        <v>494</v>
      </c>
      <c r="C507" s="199" t="inlineStr">
        <is>
          <t>COTIZACION DEL ANÁLISIS DE SEGURIDAD HUMANA PARA EL PROYECTO HIGH PARK 94</t>
        </is>
      </c>
      <c r="D507" s="312" t="n"/>
      <c r="E507" s="312" t="n"/>
      <c r="F507" s="312" t="n"/>
      <c r="G507" s="312" t="n"/>
      <c r="H507" s="312" t="n"/>
      <c r="I507" s="313" t="n"/>
      <c r="J507" s="199" t="inlineStr">
        <is>
          <t>GRADECO</t>
        </is>
      </c>
      <c r="K507" s="314" t="n">
        <v>5950000</v>
      </c>
      <c r="L507" s="2" t="n">
        <v>45247</v>
      </c>
      <c r="M507" s="170" t="n"/>
      <c r="N507" s="170" t="n">
        <v>3143581924</v>
      </c>
      <c r="O507" s="172" t="inlineStr">
        <is>
          <t xml:space="preserve">
Felipe Andres López Moscoso </t>
        </is>
      </c>
      <c r="P507" s="52" t="inlineStr">
        <is>
          <t>arquitectura@gradeco.com.co</t>
        </is>
      </c>
    </row>
    <row r="508" ht="15" customHeight="1">
      <c r="B508" s="170" t="n">
        <v>495</v>
      </c>
      <c r="C508" s="199" t="inlineStr">
        <is>
          <t xml:space="preserve">COTIZACION DE LOS DISEÑOS DE PROTECCIÓN CONTRA INCENDIOS PARA EL PROYECTO PLANTA MANTECA NACIONAL DE CHOCOLATES
</t>
        </is>
      </c>
      <c r="D508" s="312" t="n"/>
      <c r="E508" s="312" t="n"/>
      <c r="F508" s="312" t="n"/>
      <c r="G508" s="312" t="n"/>
      <c r="H508" s="312" t="n"/>
      <c r="I508" s="313" t="n"/>
      <c r="J508" s="199" t="inlineStr">
        <is>
          <t>SECURETEC</t>
        </is>
      </c>
      <c r="K508" s="314" t="n">
        <v>14950000</v>
      </c>
      <c r="L508" s="2" t="n">
        <v>45247</v>
      </c>
      <c r="M508" s="170" t="n"/>
      <c r="N508" s="170" t="n">
        <v>3206678830</v>
      </c>
      <c r="O508" s="172" t="inlineStr">
        <is>
          <t>Jhonny Castro</t>
        </is>
      </c>
      <c r="P508" s="52" t="inlineStr">
        <is>
          <t>dirproyectos@securetec.com.co</t>
        </is>
      </c>
    </row>
    <row r="509">
      <c r="B509" s="170" t="n">
        <v>496</v>
      </c>
      <c r="C509" s="233" t="inlineStr">
        <is>
          <t>COTIZACION DEL DISEÑO DE DETECCIÓN DE INCENDIOS PARA EL PROYECTO HIGH PARK 94</t>
        </is>
      </c>
      <c r="D509" s="312" t="n"/>
      <c r="E509" s="312" t="n"/>
      <c r="F509" s="312" t="n"/>
      <c r="G509" s="312" t="n"/>
      <c r="H509" s="312" t="n"/>
      <c r="I509" s="313" t="n"/>
      <c r="J509" s="199" t="inlineStr">
        <is>
          <t>GRADECO</t>
        </is>
      </c>
      <c r="K509" s="314" t="n">
        <v>5950000</v>
      </c>
      <c r="L509" s="2" t="n">
        <v>45250</v>
      </c>
      <c r="M509" s="170" t="n"/>
      <c r="N509" s="170" t="n">
        <v>3143581924</v>
      </c>
      <c r="O509" s="172" t="inlineStr">
        <is>
          <t xml:space="preserve">
Felipe Andres López Moscoso </t>
        </is>
      </c>
      <c r="P509" s="52" t="inlineStr">
        <is>
          <t>arquitectura@gradeco.com.co</t>
        </is>
      </c>
    </row>
    <row r="510" ht="15" customHeight="1">
      <c r="B510" s="170" t="n">
        <v>497</v>
      </c>
      <c r="C510" s="233" t="inlineStr">
        <is>
          <t>COTIZACION DE LOS DISEÑOS DE PROTECCIÓN CONTRA INCENDIOS Y SEGURIDAD HUMANA PARA EL PROYECTO AZUL</t>
        </is>
      </c>
      <c r="D510" s="312" t="n"/>
      <c r="E510" s="312" t="n"/>
      <c r="F510" s="312" t="n"/>
      <c r="G510" s="312" t="n"/>
      <c r="H510" s="312" t="n"/>
      <c r="I510" s="313" t="n"/>
      <c r="J510" s="199" t="inlineStr">
        <is>
          <t>ESTRUCTURAR</t>
        </is>
      </c>
      <c r="K510" s="314" t="inlineStr">
        <is>
          <t>variable</t>
        </is>
      </c>
      <c r="L510" s="2" t="n">
        <v>45250</v>
      </c>
      <c r="M510" s="170" t="n"/>
      <c r="N510" s="170" t="n">
        <v>3219254732</v>
      </c>
      <c r="O510" s="172" t="inlineStr">
        <is>
          <t>Keyla Lorena Garcia</t>
        </is>
      </c>
      <c r="P510" s="52" t="inlineStr">
        <is>
          <t>keylagarcia@estructurar.co</t>
        </is>
      </c>
    </row>
    <row r="511">
      <c r="B511" s="170" t="n">
        <v>498</v>
      </c>
      <c r="C511" s="199" t="inlineStr">
        <is>
          <t>COTIZACION DE LOS DISEÑOS DE PROTECCIÓN CONTRA INCENDIOS PARA EL PROYECTO FASE 1 TRASLADO PLANTA PERU</t>
        </is>
      </c>
      <c r="D511" s="312" t="n"/>
      <c r="E511" s="312" t="n"/>
      <c r="F511" s="312" t="n"/>
      <c r="G511" s="312" t="n"/>
      <c r="H511" s="312" t="n"/>
      <c r="I511" s="313" t="n"/>
      <c r="J511" s="199" t="inlineStr">
        <is>
          <t>SPCI</t>
        </is>
      </c>
      <c r="K511" s="314" t="n">
        <v>19950000</v>
      </c>
      <c r="L511" s="2" t="n">
        <v>45254</v>
      </c>
      <c r="M511" s="170" t="n"/>
      <c r="N511" s="170" t="n">
        <v>3104165783</v>
      </c>
      <c r="O511" s="172" t="inlineStr">
        <is>
          <t>Cristiam Gustavo Mondragon</t>
        </is>
      </c>
      <c r="P511" s="52" t="inlineStr">
        <is>
          <t>dir.tecnico@spci.com.co</t>
        </is>
      </c>
    </row>
    <row r="512">
      <c r="B512" s="170" t="n">
        <v>499</v>
      </c>
      <c r="C512" s="199" t="inlineStr">
        <is>
          <t>COTIZACION DEL DISEÑO DE DETECCIÓN DE INCENDIOS PARA EL PROYECTO CLINICA DE CIRUGIA ESTETICA</t>
        </is>
      </c>
      <c r="D512" s="312" t="n"/>
      <c r="E512" s="312" t="n"/>
      <c r="F512" s="312" t="n"/>
      <c r="G512" s="312" t="n"/>
      <c r="H512" s="312" t="n"/>
      <c r="I512" s="313" t="n"/>
      <c r="J512" s="199" t="inlineStr">
        <is>
          <t>David Esau Agudelo</t>
        </is>
      </c>
      <c r="K512" s="314" t="n">
        <v>2500000</v>
      </c>
      <c r="L512" s="2" t="n">
        <v>45253</v>
      </c>
      <c r="M512" s="170" t="n"/>
      <c r="N512" s="170" t="inlineStr">
        <is>
          <t>310 4198068</t>
        </is>
      </c>
      <c r="O512" s="172" t="inlineStr">
        <is>
          <t>David Esau Agudelo</t>
        </is>
      </c>
      <c r="P512" s="52" t="n"/>
    </row>
    <row r="513">
      <c r="B513" s="170" t="n">
        <v>500</v>
      </c>
      <c r="C513" s="199" t="inlineStr">
        <is>
          <t>COTIZACION DEL DISEÑO DE DETECCIÓN DE INCENDIOS PARA EL PROYECTO HALL GRAN PLAZA ALCARAVÁN</t>
        </is>
      </c>
      <c r="D513" s="312" t="n"/>
      <c r="E513" s="312" t="n"/>
      <c r="F513" s="312" t="n"/>
      <c r="G513" s="312" t="n"/>
      <c r="H513" s="312" t="n"/>
      <c r="I513" s="313" t="n"/>
      <c r="J513" s="199" t="inlineStr">
        <is>
          <t>TOROPOSADA ARQUITECTOS</t>
        </is>
      </c>
      <c r="K513" s="314" t="n">
        <v>850000</v>
      </c>
      <c r="L513" s="2" t="n">
        <v>45252</v>
      </c>
      <c r="M513" s="170" t="n"/>
      <c r="N513" s="170" t="n">
        <v>3116728287</v>
      </c>
      <c r="O513" s="172" t="inlineStr">
        <is>
          <t>Rafael Botero Villa</t>
        </is>
      </c>
      <c r="P513" s="52" t="inlineStr">
        <is>
          <t>rafaelb@toroposada.com</t>
        </is>
      </c>
    </row>
    <row r="514">
      <c r="B514" s="170" t="n">
        <v>501</v>
      </c>
      <c r="C514" s="199" t="inlineStr">
        <is>
          <t>COTIZACION DEL DISEÑO DE EXTINCIÓN DE INCENDIOS PARA EL PROYECTO BODEGA ROLLOS FAMILIA</t>
        </is>
      </c>
      <c r="D514" s="312" t="n"/>
      <c r="E514" s="312" t="n"/>
      <c r="F514" s="312" t="n"/>
      <c r="G514" s="312" t="n"/>
      <c r="H514" s="312" t="n"/>
      <c r="I514" s="313" t="n"/>
      <c r="J514" s="199" t="inlineStr">
        <is>
          <t>RCI MONTAJES</t>
        </is>
      </c>
      <c r="K514" s="314" t="n">
        <v>8550000</v>
      </c>
      <c r="L514" s="2" t="n">
        <v>45252</v>
      </c>
      <c r="M514" s="170" t="n"/>
      <c r="N514" s="170" t="n">
        <v>3175179593</v>
      </c>
      <c r="O514" s="172" t="inlineStr">
        <is>
          <t>Diego Alejandro Correa Bedoya</t>
        </is>
      </c>
      <c r="P514" s="52" t="inlineStr">
        <is>
          <t>dacorrea@rcimontajes.co</t>
        </is>
      </c>
    </row>
    <row r="515">
      <c r="B515" s="170" t="n">
        <v>502</v>
      </c>
      <c r="C515" s="246" t="inlineStr">
        <is>
          <t>COTIZACION DEL ANÁLISIS DE SEGURIDAD HUMANA - HOTEL Y COMERCIO 7.500 M2</t>
        </is>
      </c>
      <c r="D515" s="312" t="n"/>
      <c r="E515" s="312" t="n"/>
      <c r="F515" s="312" t="n"/>
      <c r="G515" s="312" t="n"/>
      <c r="H515" s="312" t="n"/>
      <c r="I515" s="313" t="n"/>
      <c r="J515" s="199" t="inlineStr">
        <is>
          <t>JULIÁN HENAO</t>
        </is>
      </c>
      <c r="K515" s="314" t="n">
        <v>7500000</v>
      </c>
      <c r="L515" s="2" t="n">
        <v>45253</v>
      </c>
      <c r="M515" s="170" t="n"/>
      <c r="N515" s="170" t="inlineStr">
        <is>
          <t>321 7276818</t>
        </is>
      </c>
      <c r="O515" s="172" t="inlineStr">
        <is>
          <t>Julián Henao</t>
        </is>
      </c>
      <c r="P515" s="52" t="n"/>
    </row>
    <row r="516">
      <c r="B516" s="170" t="n">
        <v>503</v>
      </c>
      <c r="C516" s="246" t="inlineStr">
        <is>
          <t>COTIZACION DEL ANÁLISIS DE SEGURIDAD HUMANA PARA EL PROYECTO TORRES DE LA ALIANZA ANDES CODIGO 183</t>
        </is>
      </c>
      <c r="D516" s="312" t="n"/>
      <c r="E516" s="312" t="n"/>
      <c r="F516" s="312" t="n"/>
      <c r="G516" s="312" t="n"/>
      <c r="H516" s="312" t="n"/>
      <c r="I516" s="313" t="n"/>
      <c r="J516" s="199" t="inlineStr">
        <is>
          <t>SOLUCIONES INMOBILIARIAS</t>
        </is>
      </c>
      <c r="K516" s="314" t="n"/>
      <c r="L516" s="2" t="n">
        <v>45253</v>
      </c>
      <c r="M516" s="170" t="n"/>
      <c r="N516" s="170" t="inlineStr">
        <is>
          <t>304 6529210</t>
        </is>
      </c>
      <c r="O516" s="172" t="inlineStr">
        <is>
          <t>Ana María Duque</t>
        </is>
      </c>
      <c r="P516" s="89" t="inlineStr">
        <is>
          <t>Anaduque@solucionesinmobiliairiassas.com</t>
        </is>
      </c>
    </row>
    <row r="517">
      <c r="B517" s="170" t="n">
        <v>504</v>
      </c>
      <c r="C517" s="199" t="inlineStr">
        <is>
          <t>COTIZACION DE LOS DISEÑOS DE PROTECCIÓN CONTRA INCENDIOS PARA EL PROYECTO EDIFICIO FENIX</t>
        </is>
      </c>
      <c r="D517" s="312" t="n"/>
      <c r="E517" s="312" t="n"/>
      <c r="F517" s="312" t="n"/>
      <c r="G517" s="312" t="n"/>
      <c r="H517" s="312" t="n"/>
      <c r="I517" s="313" t="n"/>
      <c r="J517" s="199" t="inlineStr">
        <is>
          <t>Yamily Quintero</t>
        </is>
      </c>
      <c r="K517" s="314" t="n">
        <v>5600000</v>
      </c>
      <c r="L517" s="2" t="n">
        <v>45253</v>
      </c>
      <c r="M517" s="170" t="n"/>
      <c r="N517" s="170" t="n">
        <v>3176549750</v>
      </c>
      <c r="O517" s="172" t="inlineStr">
        <is>
          <t>Yamily Quintero</t>
        </is>
      </c>
      <c r="P517" s="52" t="inlineStr">
        <is>
          <t>mallkilometrozero@gmail.com</t>
        </is>
      </c>
    </row>
    <row r="518">
      <c r="B518" s="170" t="n">
        <v>505</v>
      </c>
      <c r="C518" s="199" t="inlineStr">
        <is>
          <t>COTIZACION DE LOS DISEÑOS DE PROTECCIÓN CONTRA INCENDIOS PARA EL PROYECTO LOCAL 130 ELEGANZA VIVA VILLAVICENCIO</t>
        </is>
      </c>
      <c r="D518" s="312" t="n"/>
      <c r="E518" s="312" t="n"/>
      <c r="F518" s="312" t="n"/>
      <c r="G518" s="312" t="n"/>
      <c r="H518" s="312" t="n"/>
      <c r="I518" s="313" t="n"/>
      <c r="J518" s="199" t="inlineStr">
        <is>
          <t>SPCI</t>
        </is>
      </c>
      <c r="K518" s="314" t="n">
        <v>2000000</v>
      </c>
      <c r="L518" s="2" t="n">
        <v>45253</v>
      </c>
      <c r="M518" s="170" t="n"/>
      <c r="N518" s="170" t="inlineStr">
        <is>
          <t>310 4165783</t>
        </is>
      </c>
      <c r="O518" s="170" t="inlineStr">
        <is>
          <t>Cristiam Gustavo Mondragon Cortes</t>
        </is>
      </c>
      <c r="P518" s="52" t="inlineStr">
        <is>
          <t>cristiam.mondragon@spci.com.co</t>
        </is>
      </c>
    </row>
    <row r="519" ht="15" customHeight="1">
      <c r="B519" s="170" t="n">
        <v>506</v>
      </c>
      <c r="C519" s="199" t="inlineStr">
        <is>
          <t xml:space="preserve">
COTIZACION DE LOS DISEÑOS DE PROTECCIÓN CONTRA INCENDIOS Y SEGURIDAD HUMANA PARA EL PROYECTO MIC GUARNE</t>
        </is>
      </c>
      <c r="D519" s="312" t="n"/>
      <c r="E519" s="312" t="n"/>
      <c r="F519" s="312" t="n"/>
      <c r="G519" s="312" t="n"/>
      <c r="H519" s="312" t="n"/>
      <c r="I519" s="313" t="n"/>
      <c r="J519" s="199" t="inlineStr">
        <is>
          <t>SOHINCO</t>
        </is>
      </c>
      <c r="K519" s="314" t="n">
        <v>28305000</v>
      </c>
      <c r="L519" s="2" t="n">
        <v>45254</v>
      </c>
      <c r="M519" s="170" t="n"/>
      <c r="N519" s="170" t="n">
        <v>3156593197</v>
      </c>
      <c r="O519" s="172" t="inlineStr">
        <is>
          <t>Ariel Gomez</t>
        </is>
      </c>
      <c r="P519" s="52" t="inlineStr">
        <is>
          <t>arielg@sohinco.com</t>
        </is>
      </c>
    </row>
    <row r="520">
      <c r="B520" s="170" t="n">
        <v>507</v>
      </c>
      <c r="C520" s="199" t="inlineStr">
        <is>
          <t>COTIZACION DE LOS DISEÑOS DE PROTECCIÓN CONTRA INCENDIOS Y SEGURIDAD HUMANA PARA EL PROYECTO BANCOLOMBIA RUTA N</t>
        </is>
      </c>
      <c r="D520" s="312" t="n"/>
      <c r="E520" s="312" t="n"/>
      <c r="F520" s="312" t="n"/>
      <c r="G520" s="312" t="n"/>
      <c r="H520" s="312" t="n"/>
      <c r="I520" s="313" t="n"/>
      <c r="J520" s="199" t="inlineStr">
        <is>
          <t>SANTIAGO ROJAS</t>
        </is>
      </c>
      <c r="K520" s="314" t="n">
        <v>7500000</v>
      </c>
      <c r="L520" s="2" t="n">
        <v>45254</v>
      </c>
      <c r="M520" s="170" t="n"/>
      <c r="N520" s="170" t="inlineStr">
        <is>
          <t>324 5671666</t>
        </is>
      </c>
      <c r="O520" s="172" t="inlineStr">
        <is>
          <t>Sindy Arenas</t>
        </is>
      </c>
      <c r="P520" s="52" t="inlineStr">
        <is>
          <t>sraic.asistente@gmail.com</t>
        </is>
      </c>
    </row>
    <row r="521" ht="15" customHeight="1">
      <c r="B521" s="170" t="n">
        <v>508</v>
      </c>
      <c r="C521" s="246" t="inlineStr">
        <is>
          <t xml:space="preserve">COTIZACION DE LOS DISEÑOS DE PROTECCIÓN CONTRA INCENDIOS PARA EL PROYECTO SISTEMA ABASTECIMIENTO ZONA 02 UNIVALLE
</t>
        </is>
      </c>
      <c r="D521" s="312" t="n"/>
      <c r="E521" s="312" t="n"/>
      <c r="F521" s="312" t="n"/>
      <c r="G521" s="312" t="n"/>
      <c r="H521" s="312" t="n"/>
      <c r="I521" s="313" t="n"/>
      <c r="J521" s="199" t="inlineStr">
        <is>
          <t>INGENIO BIM</t>
        </is>
      </c>
      <c r="K521" s="314" t="n">
        <v>2380000</v>
      </c>
      <c r="L521" s="2" t="n">
        <v>45254</v>
      </c>
      <c r="M521" s="170" t="n"/>
      <c r="N521" s="170" t="n">
        <v>3107358330</v>
      </c>
      <c r="O521" s="172" t="inlineStr">
        <is>
          <t>Daniel Guzmán Duque</t>
        </is>
      </c>
      <c r="P521" s="52" t="inlineStr">
        <is>
          <t xml:space="preserve"> daniel.guzman@ingeniobim.co   </t>
        </is>
      </c>
    </row>
    <row r="522">
      <c r="B522" s="170" t="n">
        <v>509</v>
      </c>
      <c r="C522" s="233" t="inlineStr">
        <is>
          <t>COTIZACION DE LOS DISEÑOS DE PROTECCIÓN CONTRA INCENDIOS PARA EL PROYECTO LOCAL HOUSE C.C VIVA ENVIGADO</t>
        </is>
      </c>
      <c r="D522" s="312" t="n"/>
      <c r="E522" s="312" t="n"/>
      <c r="F522" s="312" t="n"/>
      <c r="G522" s="312" t="n"/>
      <c r="H522" s="312" t="n"/>
      <c r="I522" s="313" t="n"/>
      <c r="J522" s="199" t="inlineStr">
        <is>
          <t>SPCI</t>
        </is>
      </c>
      <c r="K522" s="314" t="n">
        <v>9410000</v>
      </c>
      <c r="L522" s="2" t="n">
        <v>45261</v>
      </c>
      <c r="M522" s="2" t="n"/>
      <c r="N522" s="170" t="inlineStr">
        <is>
          <t>310 4165783</t>
        </is>
      </c>
      <c r="O522" s="170" t="inlineStr">
        <is>
          <t>Cristiam Gustavo Mondragon Cortes</t>
        </is>
      </c>
      <c r="P522" s="52" t="inlineStr">
        <is>
          <t>cristiam.mondragon@spci.com.co</t>
        </is>
      </c>
    </row>
    <row r="523">
      <c r="B523" s="170" t="n">
        <v>510</v>
      </c>
      <c r="C523" s="199" t="inlineStr">
        <is>
          <t>COTIZACION DE LOS DISEÑOS DE PROTECCIÓN CONTRA INCENDIOS Y SEGURIDAD HUMANA PARA EL PROYECTO MIRADOR DEL VALLE</t>
        </is>
      </c>
      <c r="D523" s="312" t="n"/>
      <c r="E523" s="312" t="n"/>
      <c r="F523" s="312" t="n"/>
      <c r="G523" s="312" t="n"/>
      <c r="H523" s="312" t="n"/>
      <c r="I523" s="313" t="n"/>
      <c r="J523" s="199" t="inlineStr">
        <is>
          <t>SOCOMES</t>
        </is>
      </c>
      <c r="K523" s="314" t="n">
        <v>11290000</v>
      </c>
      <c r="L523" s="2" t="n">
        <v>45259</v>
      </c>
      <c r="M523" s="170" t="n"/>
      <c r="N523" s="170" t="n">
        <v>3137851941</v>
      </c>
      <c r="O523" s="172" t="inlineStr">
        <is>
          <t>David Lopera Medina</t>
        </is>
      </c>
      <c r="P523" s="82" t="inlineStr">
        <is>
          <t>david.lopera@socomes.com</t>
        </is>
      </c>
    </row>
    <row r="524" ht="15" customHeight="1">
      <c r="B524" s="170" t="n">
        <v>511</v>
      </c>
      <c r="C524" s="199" t="inlineStr">
        <is>
          <t xml:space="preserve">
COTIZACION DE LOS DISEÑOS DE PROTECCIÓN CONTRA INCENDIOS Y SEGURIDAD HUMANA PARA EL PROYECTO APARTAMENTOS VIS</t>
        </is>
      </c>
      <c r="D524" s="312" t="n"/>
      <c r="E524" s="312" t="n"/>
      <c r="F524" s="312" t="n"/>
      <c r="G524" s="312" t="n"/>
      <c r="H524" s="312" t="n"/>
      <c r="I524" s="313" t="n"/>
      <c r="J524" s="199" t="inlineStr">
        <is>
          <t>FCR</t>
        </is>
      </c>
      <c r="K524" s="314" t="n">
        <v>18750000</v>
      </c>
      <c r="L524" s="2" t="n">
        <v>45260</v>
      </c>
      <c r="M524" s="170" t="n"/>
      <c r="N524" s="170" t="n"/>
      <c r="O524" s="172" t="inlineStr">
        <is>
          <t>Oscar Andres Alvarez</t>
        </is>
      </c>
      <c r="P524" s="52" t="inlineStr">
        <is>
          <t>oscarfcr2@gmail.com</t>
        </is>
      </c>
    </row>
    <row r="525">
      <c r="B525" s="170" t="n">
        <v>512</v>
      </c>
      <c r="C525" s="199" t="inlineStr">
        <is>
          <t>COTIZACION DE LOS DISEÑOS DE PROTECCIÓN CONTRA INCENDIOS Y SEGURIDAD HUMANA PARA EL PROYECTO LICEO COLEGIO FRANCES</t>
        </is>
      </c>
      <c r="D525" s="312" t="n"/>
      <c r="E525" s="312" t="n"/>
      <c r="F525" s="312" t="n"/>
      <c r="G525" s="312" t="n"/>
      <c r="H525" s="312" t="n"/>
      <c r="I525" s="313" t="n"/>
      <c r="J525" s="199" t="inlineStr">
        <is>
          <t>Colegio Liceo Frances</t>
        </is>
      </c>
      <c r="K525" s="314" t="n"/>
      <c r="L525" s="2" t="n">
        <v>45264</v>
      </c>
      <c r="M525" s="170" t="n"/>
      <c r="N525" s="170" t="n"/>
      <c r="O525" s="172" t="inlineStr">
        <is>
          <t>Andrés Ramírez</t>
        </is>
      </c>
      <c r="P525" s="98" t="inlineStr">
        <is>
          <t xml:space="preserve"> </t>
        </is>
      </c>
    </row>
    <row r="526">
      <c r="B526" s="170" t="n">
        <v>513</v>
      </c>
      <c r="C526" s="199" t="inlineStr">
        <is>
          <t>COTIZACION DEL REDISEÑO DE SEGURIDAD HUMANA - DISLICORES</t>
        </is>
      </c>
      <c r="D526" s="312" t="n"/>
      <c r="E526" s="312" t="n"/>
      <c r="F526" s="312" t="n"/>
      <c r="G526" s="312" t="n"/>
      <c r="H526" s="312" t="n"/>
      <c r="I526" s="313" t="n"/>
      <c r="J526" s="199" t="inlineStr">
        <is>
          <t>SPCI</t>
        </is>
      </c>
      <c r="K526" s="314" t="n">
        <v>1270000</v>
      </c>
      <c r="L526" s="2" t="n">
        <v>45261</v>
      </c>
      <c r="M526" s="170" t="n"/>
      <c r="N526" s="170" t="inlineStr">
        <is>
          <t>310 4165783</t>
        </is>
      </c>
      <c r="O526" s="170" t="inlineStr">
        <is>
          <t>Cristiam Gustavo Mondragon Cortes</t>
        </is>
      </c>
      <c r="P526" s="52" t="inlineStr">
        <is>
          <t>cristiam.mondragon@spci.com.co</t>
        </is>
      </c>
    </row>
    <row r="527">
      <c r="B527" s="170" t="n">
        <v>514</v>
      </c>
      <c r="C527" s="246" t="inlineStr">
        <is>
          <t>COTIZACION DE LOS DISEÑOS DE PROTECCIÓN CONTRA INCENDIOS Y SEGURIDAD HUMANA PARA EL PROYECTO AGUA DE URABA</t>
        </is>
      </c>
      <c r="D527" s="312" t="n"/>
      <c r="E527" s="312" t="n"/>
      <c r="F527" s="312" t="n"/>
      <c r="G527" s="312" t="n"/>
      <c r="H527" s="312" t="n"/>
      <c r="I527" s="313" t="n"/>
      <c r="J527" s="199" t="inlineStr">
        <is>
          <t>CONINSA</t>
        </is>
      </c>
      <c r="K527" s="314" t="n"/>
      <c r="L527" s="2" t="n">
        <v>45261</v>
      </c>
      <c r="M527" s="170" t="n"/>
      <c r="N527" s="170" t="inlineStr">
        <is>
          <t>300 6194323</t>
        </is>
      </c>
      <c r="O527" s="170" t="inlineStr">
        <is>
          <t xml:space="preserve"> Clara Ines Mesa Lopez de Mesa</t>
        </is>
      </c>
      <c r="P527" s="52" t="inlineStr">
        <is>
          <t>cmesa@coninsa.co</t>
        </is>
      </c>
    </row>
    <row r="528">
      <c r="B528" s="170" t="n">
        <v>515</v>
      </c>
      <c r="C528" s="233" t="inlineStr">
        <is>
          <t>COTIZACION DE LOS DISEÑOS DE PROTECCIÓN CONTRA INCENDIOS Y SEGURIDAD HUMANA PARA EL PROYECTO WYNWOOD LAURELES</t>
        </is>
      </c>
      <c r="D528" s="312" t="n"/>
      <c r="E528" s="312" t="n"/>
      <c r="F528" s="312" t="n"/>
      <c r="G528" s="312" t="n"/>
      <c r="H528" s="312" t="n"/>
      <c r="I528" s="313" t="n"/>
      <c r="J528" s="199" t="inlineStr">
        <is>
          <t>Construcciones Nivelum</t>
        </is>
      </c>
      <c r="K528" s="314" t="n">
        <v>16930000</v>
      </c>
      <c r="L528" s="2" t="n">
        <v>45267</v>
      </c>
      <c r="M528" s="170" t="n"/>
      <c r="N528" s="170" t="n">
        <v>3122594971</v>
      </c>
      <c r="O528" s="172" t="inlineStr">
        <is>
          <t>Juliana Salazar Quintero</t>
        </is>
      </c>
      <c r="P528" s="52" t="inlineStr">
        <is>
          <t>jsalazar@nivelum.com</t>
        </is>
      </c>
    </row>
    <row r="529">
      <c r="B529" s="170" t="n">
        <v>516</v>
      </c>
      <c r="C529" s="246" t="inlineStr">
        <is>
          <t>COTIZACION DEL DISEÑO DE DETECCIÓN DE INCENDIOS PARA EL PROYECTO CEDI VESDA FAMILIA</t>
        </is>
      </c>
      <c r="D529" s="312" t="n"/>
      <c r="E529" s="312" t="n"/>
      <c r="F529" s="312" t="n"/>
      <c r="G529" s="312" t="n"/>
      <c r="H529" s="312" t="n"/>
      <c r="I529" s="313" t="n"/>
      <c r="J529" s="199" t="inlineStr">
        <is>
          <t>Seriinco</t>
        </is>
      </c>
      <c r="K529" s="314" t="n">
        <v>5990000</v>
      </c>
      <c r="L529" s="2" t="n">
        <v>45265</v>
      </c>
      <c r="M529" s="170" t="n"/>
      <c r="N529" s="170" t="n">
        <v>3116460496</v>
      </c>
      <c r="O529" s="172" t="inlineStr">
        <is>
          <t>Francisco Unda</t>
        </is>
      </c>
      <c r="P529" s="52" t="inlineStr">
        <is>
          <t>francisco.unda@seriinco.com</t>
        </is>
      </c>
    </row>
    <row r="530">
      <c r="B530" s="170" t="n">
        <v>517</v>
      </c>
      <c r="C530" s="199" t="inlineStr">
        <is>
          <t>COTIZACION DE LOS DISEÑOS DE PROTECCIÓN CONTRA INCENDIOS PARA EL PROYECTO COLSANITAS NUEVA CENTRAL DE URGENCIAS VILLAVICENCIO</t>
        </is>
      </c>
      <c r="D530" s="312" t="n"/>
      <c r="E530" s="312" t="n"/>
      <c r="F530" s="312" t="n"/>
      <c r="G530" s="312" t="n"/>
      <c r="H530" s="312" t="n"/>
      <c r="I530" s="313" t="n"/>
      <c r="J530" s="199" t="inlineStr">
        <is>
          <t>Condiseño</t>
        </is>
      </c>
      <c r="K530" s="314" t="n">
        <v>10910000</v>
      </c>
      <c r="L530" s="2" t="n">
        <v>45265</v>
      </c>
      <c r="M530" s="170" t="n"/>
      <c r="N530" s="170" t="n">
        <v>3175594091</v>
      </c>
      <c r="O530" s="172" t="inlineStr">
        <is>
          <t>Nakary Garcia Romero</t>
        </is>
      </c>
      <c r="P530" s="52" t="inlineStr">
        <is>
          <t>n.garcia@condiseno.co</t>
        </is>
      </c>
    </row>
    <row r="531">
      <c r="B531" s="170" t="n">
        <v>518</v>
      </c>
      <c r="C531" s="199" t="inlineStr">
        <is>
          <t>COTIZACION DEL ANÁLISIS DE SEGURIDAD HUMANA PARA EL PROYECTO BLOQUE A CRA 15 CLINICA COUNTRY</t>
        </is>
      </c>
      <c r="D531" s="312" t="n"/>
      <c r="E531" s="312" t="n"/>
      <c r="F531" s="312" t="n"/>
      <c r="G531" s="312" t="n"/>
      <c r="H531" s="312" t="n"/>
      <c r="I531" s="313" t="n"/>
      <c r="J531" s="199" t="inlineStr">
        <is>
          <t>DINPRO</t>
        </is>
      </c>
      <c r="K531" s="314" t="n">
        <v>5420000</v>
      </c>
      <c r="L531" s="2" t="n">
        <v>45265</v>
      </c>
      <c r="M531" s="170" t="n"/>
      <c r="N531" s="170" t="n">
        <v>3104551530</v>
      </c>
      <c r="O531" s="172" t="inlineStr">
        <is>
          <t xml:space="preserve"> Estefania Ospina</t>
        </is>
      </c>
      <c r="P531" s="52" t="inlineStr">
        <is>
          <t>estefania.ospina@dinpro.com.co</t>
        </is>
      </c>
    </row>
    <row r="532">
      <c r="B532" s="170" t="n">
        <v>519</v>
      </c>
      <c r="C532" s="199" t="inlineStr">
        <is>
          <t>COTIZACION DEL ANÁLISIS DE SEGURIDAD HUMANA PARA EL PROYECTO LA COLINA CLINICA COUNTRY BOGOTA</t>
        </is>
      </c>
      <c r="D532" s="312" t="n"/>
      <c r="E532" s="312" t="n"/>
      <c r="F532" s="312" t="n"/>
      <c r="G532" s="312" t="n"/>
      <c r="H532" s="312" t="n"/>
      <c r="I532" s="313" t="n"/>
      <c r="J532" s="199" t="inlineStr">
        <is>
          <t>DINPRO</t>
        </is>
      </c>
      <c r="K532" s="314" t="n">
        <v>9480000</v>
      </c>
      <c r="L532" s="2" t="n">
        <v>45265</v>
      </c>
      <c r="M532" s="170" t="n"/>
      <c r="N532" s="170" t="n">
        <v>3104551530</v>
      </c>
      <c r="O532" s="172" t="inlineStr">
        <is>
          <t xml:space="preserve"> Estefania Ospina</t>
        </is>
      </c>
      <c r="P532" s="52" t="inlineStr">
        <is>
          <t>estefania.ospina@dinpro.com.co</t>
        </is>
      </c>
    </row>
    <row r="533">
      <c r="B533" s="170" t="n">
        <v>520</v>
      </c>
      <c r="C533" s="199" t="inlineStr">
        <is>
          <t>COTIZACION REVISIÓN BOMBA CONTRA INCENDIOS - PROYECTO MIRADOR DE LA AYURA ETAPA II</t>
        </is>
      </c>
      <c r="D533" s="312" t="n"/>
      <c r="E533" s="312" t="n"/>
      <c r="F533" s="312" t="n"/>
      <c r="G533" s="312" t="n"/>
      <c r="H533" s="312" t="n"/>
      <c r="I533" s="313" t="n"/>
      <c r="J533" s="199" t="inlineStr">
        <is>
          <t>JUAN CAMILO CARDONA</t>
        </is>
      </c>
      <c r="K533" s="314" t="n">
        <v>3200000</v>
      </c>
      <c r="L533" s="2" t="n">
        <v>45265</v>
      </c>
      <c r="M533" s="170" t="n"/>
      <c r="N533" s="170" t="inlineStr">
        <is>
          <t>311 3693748</t>
        </is>
      </c>
      <c r="O533" s="170" t="inlineStr">
        <is>
          <t>Juan Camilo Cardona</t>
        </is>
      </c>
      <c r="P533" s="52" t="inlineStr">
        <is>
          <t>jcardonm@gmail.com</t>
        </is>
      </c>
    </row>
    <row r="534">
      <c r="B534" s="170" t="n">
        <v>521</v>
      </c>
      <c r="C534" s="199" t="inlineStr">
        <is>
          <t>COTIZACION DE LOS DISEÑOS DE PROTECCIÓN CONTRA INCENDIOS Y SEGURIDAD HUMANA PARA EL PROYECTO HOSPITAL SAN FRANCISCO</t>
        </is>
      </c>
      <c r="D534" s="312" t="n"/>
      <c r="E534" s="312" t="n"/>
      <c r="F534" s="312" t="n"/>
      <c r="G534" s="312" t="n"/>
      <c r="H534" s="312" t="n"/>
      <c r="I534" s="313" t="n"/>
      <c r="J534" s="170" t="inlineStr">
        <is>
          <t>Cristian Gañan</t>
        </is>
      </c>
      <c r="K534" s="314" t="n"/>
      <c r="L534" s="2" t="n">
        <v>45266</v>
      </c>
      <c r="M534" s="170" t="n"/>
      <c r="N534" s="170" t="inlineStr">
        <is>
          <t>310 5104288</t>
        </is>
      </c>
      <c r="O534" s="170" t="inlineStr">
        <is>
          <t>Cristian Gañan</t>
        </is>
      </c>
      <c r="P534" s="52" t="n"/>
    </row>
    <row r="535">
      <c r="B535" s="170" t="n">
        <v>522</v>
      </c>
      <c r="C535" s="199" t="inlineStr">
        <is>
          <t>COTIZACION DE LOS DISEÑOS DE PROTECCIÓN CONTRA INCENDIOS Y SEGURIDAD HUMANA PARA EL PROYECTO DISTRITO PLAZA T-2</t>
        </is>
      </c>
      <c r="D535" s="312" t="n"/>
      <c r="E535" s="312" t="n"/>
      <c r="F535" s="312" t="n"/>
      <c r="G535" s="312" t="n"/>
      <c r="H535" s="312" t="n"/>
      <c r="I535" s="313" t="n"/>
      <c r="J535" s="199" t="inlineStr">
        <is>
          <t>B&amp;B</t>
        </is>
      </c>
      <c r="K535" s="314" t="n">
        <v>12450000</v>
      </c>
      <c r="L535" s="2" t="n">
        <v>45266</v>
      </c>
      <c r="M535" s="170" t="n"/>
      <c r="N535" s="170" t="inlineStr">
        <is>
          <t>320 770 99 78</t>
        </is>
      </c>
      <c r="O535" s="172" t="inlineStr">
        <is>
          <t>Johner Alejandro Payares Arango</t>
        </is>
      </c>
      <c r="P535" s="52" t="inlineStr">
        <is>
          <t>johner.payares@bienesybienes.com.co</t>
        </is>
      </c>
    </row>
    <row r="536">
      <c r="B536" s="170" t="n">
        <v>523</v>
      </c>
      <c r="C536" s="199" t="inlineStr">
        <is>
          <t>COTIZACION DE LOS DISEÑOS DE PROTECCIÓN CONTRA INCENDIOS Y SEGURIDAD HUMANA PARA EL PROYECTO BOUTIQUE TOWER</t>
        </is>
      </c>
      <c r="D536" s="312" t="n"/>
      <c r="E536" s="312" t="n"/>
      <c r="F536" s="312" t="n"/>
      <c r="G536" s="312" t="n"/>
      <c r="H536" s="312" t="n"/>
      <c r="I536" s="313" t="n"/>
      <c r="J536" s="199" t="inlineStr">
        <is>
          <t>Hans Wagner</t>
        </is>
      </c>
      <c r="K536" s="314" t="n">
        <v>12350000</v>
      </c>
      <c r="L536" s="2" t="n">
        <v>45266</v>
      </c>
      <c r="M536" s="170" t="n"/>
      <c r="N536" s="170" t="n"/>
      <c r="O536" s="172" t="inlineStr">
        <is>
          <t>Hans Wagner</t>
        </is>
      </c>
      <c r="P536" s="52" t="inlineStr">
        <is>
          <t>hwagner519@gmail.com</t>
        </is>
      </c>
    </row>
    <row r="537">
      <c r="B537" s="170" t="n">
        <v>524</v>
      </c>
      <c r="C537" s="199" t="inlineStr">
        <is>
          <t>COTIZACION DEL DISEÑO DE EXTINCIÓN DE INCENDIOS PARA EL PROYECTO PLANTA FRESH COLOMBIA</t>
        </is>
      </c>
      <c r="D537" s="312" t="n"/>
      <c r="E537" s="312" t="n"/>
      <c r="F537" s="312" t="n"/>
      <c r="G537" s="312" t="n"/>
      <c r="H537" s="312" t="n"/>
      <c r="I537" s="313" t="n"/>
      <c r="J537" s="199" t="inlineStr">
        <is>
          <t>Good Group SAS</t>
        </is>
      </c>
      <c r="K537" s="314" t="n">
        <v>16350000</v>
      </c>
      <c r="L537" s="2" t="n">
        <v>45266</v>
      </c>
      <c r="M537" s="170" t="n"/>
      <c r="N537" s="170" t="n"/>
      <c r="O537" s="172" t="inlineStr">
        <is>
          <t>Juan Jose Monsalve</t>
        </is>
      </c>
      <c r="P537" s="52" t="n"/>
    </row>
    <row r="538">
      <c r="B538" s="170" t="n">
        <v>525</v>
      </c>
      <c r="C538" s="199" t="inlineStr">
        <is>
          <t>COTIZACION DE LOS DISEÑOS DE PROTECCIÓN CONTRA INCENDIOS Y SEGURIDAD HUMANA PARA EL PROYECTO APARTAMENTOS FERRINI</t>
        </is>
      </c>
      <c r="D538" s="312" t="n"/>
      <c r="E538" s="312" t="n"/>
      <c r="F538" s="312" t="n"/>
      <c r="G538" s="312" t="n"/>
      <c r="H538" s="312" t="n"/>
      <c r="I538" s="313" t="n"/>
      <c r="J538" s="199" t="inlineStr">
        <is>
          <t>CONVEL</t>
        </is>
      </c>
      <c r="K538" s="314" t="n">
        <v>21850000</v>
      </c>
      <c r="L538" s="2" t="n">
        <v>45272</v>
      </c>
      <c r="M538" s="170" t="n"/>
      <c r="N538" s="170" t="inlineStr">
        <is>
          <t>301 2664511</t>
        </is>
      </c>
      <c r="O538" s="172" t="inlineStr">
        <is>
          <t>Andrés Ramírez A</t>
        </is>
      </c>
      <c r="P538" s="52" t="inlineStr">
        <is>
          <t>andresramirez@convel.co</t>
        </is>
      </c>
    </row>
    <row r="539" ht="15" customHeight="1">
      <c r="B539" s="170" t="n">
        <v>526</v>
      </c>
      <c r="C539" s="199" t="inlineStr">
        <is>
          <t xml:space="preserve">COTIZACION DE LOS DISEÑOS DE PROTECCIÓN CONTRA INCENDIOS PARA EL PROYECTO SURDOZ
</t>
        </is>
      </c>
      <c r="D539" s="312" t="n"/>
      <c r="E539" s="312" t="n"/>
      <c r="F539" s="312" t="n"/>
      <c r="G539" s="312" t="n"/>
      <c r="H539" s="312" t="n"/>
      <c r="I539" s="313" t="n"/>
      <c r="J539" s="199" t="inlineStr">
        <is>
          <t>SECURETEC</t>
        </is>
      </c>
      <c r="K539" s="314" t="n">
        <v>1650000</v>
      </c>
      <c r="L539" s="2" t="n">
        <v>45272</v>
      </c>
      <c r="M539" s="170" t="n"/>
      <c r="N539" s="170" t="n">
        <v>3014111727</v>
      </c>
      <c r="O539" s="170" t="inlineStr">
        <is>
          <t>Julian David Camacho</t>
        </is>
      </c>
      <c r="P539" s="52" t="inlineStr">
        <is>
          <t>ascomercial2@securetec.com.co</t>
        </is>
      </c>
    </row>
    <row r="540">
      <c r="B540" s="170" t="n">
        <v>527</v>
      </c>
      <c r="C540" s="199" t="inlineStr">
        <is>
          <t>COTIZACION DE LOS DISEÑOS DE DETECCIÓN DE INCENDIOS Y SEGURIDAD HUMANA PARA EL PROYECTO ORIÓN</t>
        </is>
      </c>
      <c r="D540" s="312" t="n"/>
      <c r="E540" s="312" t="n"/>
      <c r="F540" s="312" t="n"/>
      <c r="G540" s="312" t="n"/>
      <c r="H540" s="312" t="n"/>
      <c r="I540" s="313" t="n"/>
      <c r="J540" s="199" t="inlineStr">
        <is>
          <t>ISMD</t>
        </is>
      </c>
      <c r="K540" s="314" t="n">
        <v>4400000</v>
      </c>
      <c r="L540" s="2" t="n">
        <v>45273</v>
      </c>
      <c r="M540" s="170" t="n"/>
      <c r="N540" s="170" t="inlineStr">
        <is>
          <t xml:space="preserve"> 313 3773883</t>
        </is>
      </c>
      <c r="O540" s="172" t="inlineStr">
        <is>
          <t>Lina Carvajal</t>
        </is>
      </c>
      <c r="P540" s="52" t="inlineStr">
        <is>
          <t>info@ismd.com.co</t>
        </is>
      </c>
    </row>
    <row r="541">
      <c r="B541" s="170" t="n">
        <v>528</v>
      </c>
      <c r="C541" s="199" t="inlineStr">
        <is>
          <t>COTIZACION DE LOS DISEÑOS DE PROTECCIÓN CONTRA INCENDIOS Y SEGURIDAD HUMANA PARA EL PROYECTO TERMINAL DE TRANSPORTES SUPIA CALDAS</t>
        </is>
      </c>
      <c r="D541" s="312" t="n"/>
      <c r="E541" s="312" t="n"/>
      <c r="F541" s="312" t="n"/>
      <c r="G541" s="312" t="n"/>
      <c r="H541" s="312" t="n"/>
      <c r="I541" s="313" t="n"/>
      <c r="J541" s="199" t="inlineStr">
        <is>
          <t>INGENIO BIM</t>
        </is>
      </c>
      <c r="K541" s="314" t="n">
        <v>8700000</v>
      </c>
      <c r="L541" s="2" t="n">
        <v>45279</v>
      </c>
      <c r="M541" s="170" t="n"/>
      <c r="N541" s="170" t="n">
        <v>3014170260</v>
      </c>
      <c r="O541" s="172" t="inlineStr">
        <is>
          <t>Jenifer Vanessa Orozco Ordoñez</t>
        </is>
      </c>
      <c r="P541" s="52" t="inlineStr">
        <is>
          <t>jenifer.orozco@ingeniobim.co</t>
        </is>
      </c>
    </row>
    <row r="542">
      <c r="B542" s="170" t="n">
        <v>529</v>
      </c>
      <c r="C542" s="199" t="inlineStr">
        <is>
          <t>COTIZACION DE LOS DISEÑOS DE PROTECCIÓN CONTRA INCENDIOS Y SEGURIDAD HUMANA PARA EL PROYECTO ARL SURA VIVA ENVIGADO</t>
        </is>
      </c>
      <c r="D542" s="312" t="n"/>
      <c r="E542" s="312" t="n"/>
      <c r="F542" s="312" t="n"/>
      <c r="G542" s="312" t="n"/>
      <c r="H542" s="312" t="n"/>
      <c r="I542" s="313" t="n"/>
      <c r="J542" s="199" t="inlineStr">
        <is>
          <t>Seriinco</t>
        </is>
      </c>
      <c r="K542" s="314" t="n">
        <v>6900000</v>
      </c>
      <c r="L542" s="2" t="n">
        <v>45279</v>
      </c>
      <c r="M542" s="170" t="n"/>
      <c r="N542" s="170" t="n">
        <v>3113391008</v>
      </c>
      <c r="O542" s="172" t="inlineStr">
        <is>
          <t>Carlos Henao</t>
        </is>
      </c>
      <c r="P542" s="52" t="inlineStr">
        <is>
          <t>carlos.henao@seriinco.com</t>
        </is>
      </c>
    </row>
    <row r="543">
      <c r="B543" s="170" t="n">
        <v>530</v>
      </c>
      <c r="C543" s="199" t="inlineStr">
        <is>
          <t>COTIZACION DE LOS DISEÑOS DE PROTECCIÓN CONTRA INCENDIOS PARA EL PROYECTO EDIFICIO BANCO POPULAR DISLON</t>
        </is>
      </c>
      <c r="D543" s="312" t="n"/>
      <c r="E543" s="312" t="n"/>
      <c r="F543" s="312" t="n"/>
      <c r="G543" s="312" t="n"/>
      <c r="H543" s="312" t="n"/>
      <c r="I543" s="313" t="n"/>
      <c r="J543" s="199" t="inlineStr">
        <is>
          <t>SOCOMES</t>
        </is>
      </c>
      <c r="K543" s="314" t="n">
        <v>3000000</v>
      </c>
      <c r="L543" s="2" t="n">
        <v>45279</v>
      </c>
      <c r="M543" s="170" t="n"/>
      <c r="N543" s="170" t="n">
        <v>3234377957</v>
      </c>
      <c r="O543" s="172" t="inlineStr">
        <is>
          <t>Heiner Quiceno</t>
        </is>
      </c>
      <c r="P543" s="52" t="inlineStr">
        <is>
          <t>auxiliar.socomes@gmail.com</t>
        </is>
      </c>
    </row>
    <row r="544">
      <c r="B544" s="170" t="n">
        <v>531</v>
      </c>
      <c r="C544" s="199" t="inlineStr">
        <is>
          <t>COTIZACION DE LA REVISIÓN DE SEGURIDAD HUMANA Y LOS SISTEMAS DE PROTECCIÓN CONTRA INCENDIOS PARA CLÍNICAS EN COLOMBIA</t>
        </is>
      </c>
      <c r="D544" s="312" t="n"/>
      <c r="E544" s="312" t="n"/>
      <c r="F544" s="312" t="n"/>
      <c r="G544" s="312" t="n"/>
      <c r="H544" s="312" t="n"/>
      <c r="I544" s="313" t="n"/>
      <c r="J544" s="199" t="inlineStr">
        <is>
          <t>Condiseño</t>
        </is>
      </c>
      <c r="K544" s="314" t="n">
        <v>21700000</v>
      </c>
      <c r="L544" s="2" t="n">
        <v>45279</v>
      </c>
      <c r="M544" s="170" t="n"/>
      <c r="N544" s="170" t="n">
        <v>3175594091</v>
      </c>
      <c r="O544" s="170" t="inlineStr">
        <is>
          <t>Nakary García Romero</t>
        </is>
      </c>
      <c r="P544" s="52" t="inlineStr">
        <is>
          <t>n.garcia@condiseno.co</t>
        </is>
      </c>
    </row>
    <row r="545">
      <c r="B545" s="170" t="n">
        <v>532</v>
      </c>
      <c r="C545" s="199" t="inlineStr">
        <is>
          <t>COTIZACION DE LOS DISEÑOS DE PROTECCIÓN CONTRA INCENDIOS PARA EL PROYECTO HOTELERO BAHIA SERENO NUQUI CHOCO</t>
        </is>
      </c>
      <c r="D545" s="312" t="n"/>
      <c r="E545" s="312" t="n"/>
      <c r="F545" s="312" t="n"/>
      <c r="G545" s="312" t="n"/>
      <c r="H545" s="312" t="n"/>
      <c r="I545" s="313" t="n"/>
      <c r="J545" s="199" t="inlineStr">
        <is>
          <t>SPCI</t>
        </is>
      </c>
      <c r="K545" s="314" t="n">
        <v>6270000</v>
      </c>
      <c r="L545" s="2" t="n">
        <v>45279</v>
      </c>
      <c r="M545" s="170" t="n"/>
      <c r="N545" s="170" t="n">
        <v>3104165783</v>
      </c>
      <c r="O545" s="172" t="inlineStr">
        <is>
          <t>Cristiam Gustavo Mondragon</t>
        </is>
      </c>
      <c r="P545" s="52" t="inlineStr">
        <is>
          <t>dir.tecnico@spci.com.co</t>
        </is>
      </c>
    </row>
    <row r="546">
      <c r="B546" s="170" t="n">
        <v>533</v>
      </c>
      <c r="C546" s="199" t="inlineStr">
        <is>
          <t>COTIZACION DEL DISEÑO DE EXTINCIÓN DE INCENDIOS PARA EL PROYECTO LOCAL 99-308 PARQUE FABRICATO</t>
        </is>
      </c>
      <c r="D546" s="312" t="n"/>
      <c r="E546" s="312" t="n"/>
      <c r="F546" s="312" t="n"/>
      <c r="G546" s="312" t="n"/>
      <c r="H546" s="312" t="n"/>
      <c r="I546" s="313" t="n"/>
      <c r="J546" s="199" t="inlineStr">
        <is>
          <t>SPCI</t>
        </is>
      </c>
      <c r="K546" s="314" t="n">
        <v>1700000</v>
      </c>
      <c r="L546" s="2" t="n">
        <v>45281</v>
      </c>
      <c r="M546" s="170" t="n"/>
      <c r="N546" s="170" t="n">
        <v>3104165783</v>
      </c>
      <c r="O546" s="172" t="inlineStr">
        <is>
          <t>Cristiam Gustavo Mondragon</t>
        </is>
      </c>
      <c r="P546" s="52" t="inlineStr">
        <is>
          <t>dir.tecnico@spci.com.co</t>
        </is>
      </c>
    </row>
    <row r="547">
      <c r="B547" s="170" t="n">
        <v>534</v>
      </c>
      <c r="C547" s="246" t="inlineStr">
        <is>
          <t>COTIZACION DEL DISEÑO DE DETECCIÓN DE INCENDIOS PARA EL PROYECTO CASITAS COLEGIO SAN JOSE DE LAS VEGAS</t>
        </is>
      </c>
      <c r="D547" s="312" t="n"/>
      <c r="E547" s="312" t="n"/>
      <c r="F547" s="312" t="n"/>
      <c r="G547" s="312" t="n"/>
      <c r="H547" s="312" t="n"/>
      <c r="I547" s="313" t="n"/>
      <c r="J547" s="199" t="inlineStr">
        <is>
          <t xml:space="preserve">Detectar Systems </t>
        </is>
      </c>
      <c r="K547" s="314" t="n">
        <v>1500000</v>
      </c>
      <c r="L547" s="2" t="n">
        <v>45281</v>
      </c>
      <c r="M547" s="2" t="n"/>
      <c r="N547" s="170" t="n"/>
      <c r="O547" s="172" t="n"/>
      <c r="P547" s="327" t="inlineStr">
        <is>
          <t>detectarsystems@gmail.com</t>
        </is>
      </c>
    </row>
    <row r="548">
      <c r="B548" s="170" t="n">
        <v>535</v>
      </c>
      <c r="C548" s="246" t="inlineStr">
        <is>
          <t xml:space="preserve">COTIZACION DE LOS DISEÑOS DE PROTECCIÓN CONTRA INCENDIOS PARA EL PROYECTO DATACENTERS
</t>
        </is>
      </c>
      <c r="D548" s="312" t="n"/>
      <c r="E548" s="312" t="n"/>
      <c r="F548" s="312" t="n"/>
      <c r="G548" s="312" t="n"/>
      <c r="H548" s="312" t="n"/>
      <c r="I548" s="313" t="n"/>
      <c r="J548" s="199" t="inlineStr">
        <is>
          <t>SFIRE</t>
        </is>
      </c>
      <c r="K548" s="314" t="n">
        <v>31500</v>
      </c>
      <c r="L548" s="2" t="n">
        <v>45281</v>
      </c>
      <c r="M548" s="170" t="n"/>
      <c r="N548" s="170" t="inlineStr">
        <is>
          <t>310 8227462</t>
        </is>
      </c>
      <c r="O548" s="172" t="inlineStr">
        <is>
          <t>Alvaro Manosalva</t>
        </is>
      </c>
      <c r="P548" s="52" t="inlineStr">
        <is>
          <t>alvaromanosalva@sfiregroup.com</t>
        </is>
      </c>
    </row>
    <row r="549">
      <c r="B549" s="170" t="n">
        <v>536</v>
      </c>
      <c r="C549" s="199" t="inlineStr">
        <is>
          <t>COTIZACION DE LOS DISEÑOS DE PROTECCIÓN CONTRA INCENDIOS Y SEGURIDAD HUMANA PARA EL PROYECTO COLEGIO COLEGIATURA</t>
        </is>
      </c>
      <c r="D549" s="312" t="n"/>
      <c r="E549" s="312" t="n"/>
      <c r="F549" s="312" t="n"/>
      <c r="G549" s="312" t="n"/>
      <c r="H549" s="312" t="n"/>
      <c r="I549" s="313" t="n"/>
      <c r="J549" s="199" t="inlineStr">
        <is>
          <t>TIP</t>
        </is>
      </c>
      <c r="K549" s="314" t="n">
        <v>12350000</v>
      </c>
      <c r="L549" s="2" t="n">
        <v>45281</v>
      </c>
      <c r="M549" s="170" t="n"/>
      <c r="N549" s="170" t="n">
        <v>3207256603</v>
      </c>
      <c r="O549" s="172" t="inlineStr">
        <is>
          <t xml:space="preserve">Tatiana de la Rosa Santa </t>
        </is>
      </c>
      <c r="P549" s="52" t="inlineStr">
        <is>
          <t>tatiana@tipinterventoria.com</t>
        </is>
      </c>
    </row>
    <row r="550">
      <c r="B550" s="170" t="n">
        <v>537</v>
      </c>
      <c r="C550" s="199" t="inlineStr">
        <is>
          <t>COTIZACION DEL ANÁLISIS DE SEGURIDAD HUMANA - DISTRITO PLAZA E1</t>
        </is>
      </c>
      <c r="D550" s="312" t="n"/>
      <c r="E550" s="312" t="n"/>
      <c r="F550" s="312" t="n"/>
      <c r="G550" s="312" t="n"/>
      <c r="H550" s="312" t="n"/>
      <c r="I550" s="313" t="n"/>
      <c r="J550" s="199" t="inlineStr">
        <is>
          <t>BIENES Y BIENES</t>
        </is>
      </c>
      <c r="K550" s="314" t="n">
        <v>3950000</v>
      </c>
      <c r="L550" s="2" t="n">
        <v>45281</v>
      </c>
      <c r="M550" s="2" t="n"/>
      <c r="N550" s="170" t="inlineStr">
        <is>
          <t>320 770 99 78</t>
        </is>
      </c>
      <c r="O550" s="172" t="inlineStr">
        <is>
          <t>Johner Alejandro Payares Arango</t>
        </is>
      </c>
      <c r="P550" s="52" t="inlineStr">
        <is>
          <t>johner.payares@bienesybienes.com.co</t>
        </is>
      </c>
    </row>
    <row r="551">
      <c r="B551" s="170" t="n">
        <v>538</v>
      </c>
      <c r="C551" s="246" t="inlineStr">
        <is>
          <t xml:space="preserve">COTIZACION DE LOS DISEÑOS DE PROTECCIÓN CONTRA INCENDIOS Y SEGURIDAD HUMANA PARA EL PROYECTO ENTRE AIRES
</t>
        </is>
      </c>
      <c r="D551" s="312" t="n"/>
      <c r="E551" s="312" t="n"/>
      <c r="F551" s="312" t="n"/>
      <c r="G551" s="312" t="n"/>
      <c r="H551" s="312" t="n"/>
      <c r="I551" s="313" t="n"/>
      <c r="J551" s="199" t="inlineStr">
        <is>
          <t>INSERCO</t>
        </is>
      </c>
      <c r="K551" s="314" t="n"/>
      <c r="L551" s="2" t="n">
        <v>45286</v>
      </c>
      <c r="M551" s="170" t="n"/>
      <c r="N551" s="170" t="n">
        <v>3104131109</v>
      </c>
      <c r="O551" s="172" t="inlineStr">
        <is>
          <t>Leandro Herrera Gutierrez</t>
        </is>
      </c>
      <c r="P551" s="52" t="inlineStr">
        <is>
          <t>directorlean@inserco.com.co</t>
        </is>
      </c>
    </row>
    <row r="552">
      <c r="B552" s="170" t="n">
        <v>539</v>
      </c>
      <c r="C552" s="199" t="inlineStr">
        <is>
          <t>COTIZACION DE LOS DISEÑOS DE PROTECCIÓN CONTRA INCENDIOS - ED BELEN LOS ALPES</t>
        </is>
      </c>
      <c r="D552" s="312" t="n"/>
      <c r="E552" s="312" t="n"/>
      <c r="F552" s="312" t="n"/>
      <c r="G552" s="312" t="n"/>
      <c r="H552" s="312" t="n"/>
      <c r="I552" s="313" t="n"/>
      <c r="J552" s="199" t="inlineStr">
        <is>
          <t>SINERGIA</t>
        </is>
      </c>
      <c r="K552" s="314" t="n">
        <v>5600000</v>
      </c>
      <c r="L552" s="2" t="n">
        <v>45288</v>
      </c>
      <c r="M552" s="170" t="n"/>
      <c r="N552" s="170" t="inlineStr">
        <is>
          <t>311 360 83 00</t>
        </is>
      </c>
      <c r="O552" s="172" t="inlineStr">
        <is>
          <t>Danny Valencia Cardona</t>
        </is>
      </c>
      <c r="P552" s="52" t="inlineStr">
        <is>
          <t>residentebelen.sinergia@gmail.com</t>
        </is>
      </c>
    </row>
    <row r="553">
      <c r="B553" s="170" t="n">
        <v>540</v>
      </c>
      <c r="C553" s="199" t="inlineStr">
        <is>
          <t>COTIZACION DE LOS DISEÑOS DE PROTECCIÓN CONTRA INCENDIOS - HOTEL HAVEN</t>
        </is>
      </c>
      <c r="D553" s="312" t="n"/>
      <c r="E553" s="312" t="n"/>
      <c r="F553" s="312" t="n"/>
      <c r="G553" s="312" t="n"/>
      <c r="H553" s="312" t="n"/>
      <c r="I553" s="313" t="n"/>
      <c r="J553" s="199" t="inlineStr">
        <is>
          <t>MENSULA</t>
        </is>
      </c>
      <c r="K553" s="314" t="n"/>
      <c r="L553" s="2" t="n">
        <v>45289</v>
      </c>
      <c r="M553" s="170" t="n"/>
      <c r="N553" s="170" t="inlineStr">
        <is>
          <t>311 6751810</t>
        </is>
      </c>
      <c r="O553" s="172" t="inlineStr">
        <is>
          <t>Valentina Ortega M.</t>
        </is>
      </c>
      <c r="P553" s="52" t="inlineStr">
        <is>
          <t>valentinaortega@mensulaingenieros.com</t>
        </is>
      </c>
    </row>
    <row r="554">
      <c r="B554" s="170" t="n">
        <v>541</v>
      </c>
      <c r="C554" s="199" t="n"/>
      <c r="D554" s="312" t="n"/>
      <c r="E554" s="312" t="n"/>
      <c r="F554" s="312" t="n"/>
      <c r="G554" s="312" t="n"/>
      <c r="H554" s="312" t="n"/>
      <c r="I554" s="313" t="n"/>
      <c r="J554" s="199" t="n"/>
      <c r="K554" s="314" t="n"/>
      <c r="L554" s="2" t="n"/>
      <c r="M554" s="170" t="n"/>
      <c r="N554" s="170" t="n"/>
      <c r="O554" s="172" t="n"/>
      <c r="P554" s="52" t="n"/>
    </row>
    <row r="555">
      <c r="B555" s="170" t="n">
        <v>542</v>
      </c>
      <c r="C555" s="199" t="n"/>
      <c r="D555" s="312" t="n"/>
      <c r="E555" s="312" t="n"/>
      <c r="F555" s="312" t="n"/>
      <c r="G555" s="312" t="n"/>
      <c r="H555" s="312" t="n"/>
      <c r="I555" s="313" t="n"/>
      <c r="J555" s="199" t="n"/>
      <c r="K555" s="314" t="n"/>
      <c r="L555" s="2" t="n"/>
      <c r="M555" s="170" t="n"/>
      <c r="N555" s="170" t="n"/>
      <c r="O555" s="172" t="n"/>
      <c r="P555" s="52" t="n"/>
    </row>
    <row r="556">
      <c r="B556" s="170" t="n">
        <v>543</v>
      </c>
      <c r="C556" s="199" t="n"/>
      <c r="D556" s="312" t="n"/>
      <c r="E556" s="312" t="n"/>
      <c r="F556" s="312" t="n"/>
      <c r="G556" s="312" t="n"/>
      <c r="H556" s="312" t="n"/>
      <c r="I556" s="313" t="n"/>
      <c r="J556" s="199" t="n"/>
      <c r="K556" s="314" t="n"/>
      <c r="L556" s="2" t="n"/>
      <c r="M556" s="170" t="n"/>
      <c r="N556" s="170" t="n"/>
      <c r="O556" s="172" t="n"/>
      <c r="P556" s="52" t="n"/>
    </row>
    <row r="557">
      <c r="B557" s="170" t="n">
        <v>544</v>
      </c>
      <c r="C557" s="199" t="n"/>
      <c r="D557" s="312" t="n"/>
      <c r="E557" s="312" t="n"/>
      <c r="F557" s="312" t="n"/>
      <c r="G557" s="312" t="n"/>
      <c r="H557" s="312" t="n"/>
      <c r="I557" s="313" t="n"/>
      <c r="J557" s="199" t="n"/>
      <c r="K557" s="314" t="n"/>
      <c r="L557" s="2" t="n"/>
      <c r="M557" s="170" t="n"/>
      <c r="N557" s="170" t="n"/>
      <c r="O557" s="172" t="n"/>
      <c r="P557" s="52" t="n"/>
    </row>
    <row r="558">
      <c r="B558" s="170" t="n">
        <v>545</v>
      </c>
      <c r="C558" s="233" t="n"/>
      <c r="D558" s="312" t="n"/>
      <c r="E558" s="312" t="n"/>
      <c r="F558" s="312" t="n"/>
      <c r="G558" s="312" t="n"/>
      <c r="H558" s="312" t="n"/>
      <c r="I558" s="313" t="n"/>
      <c r="J558" s="199" t="n"/>
      <c r="K558" s="314" t="n"/>
      <c r="L558" s="2" t="n"/>
      <c r="M558" s="170" t="n"/>
      <c r="N558" s="170" t="n"/>
      <c r="O558" s="172" t="n"/>
      <c r="P558" s="52" t="n"/>
    </row>
    <row r="559">
      <c r="B559" s="170" t="n">
        <v>546</v>
      </c>
      <c r="C559" s="199" t="n"/>
      <c r="D559" s="312" t="n"/>
      <c r="E559" s="312" t="n"/>
      <c r="F559" s="312" t="n"/>
      <c r="G559" s="312" t="n"/>
      <c r="H559" s="312" t="n"/>
      <c r="I559" s="313" t="n"/>
      <c r="J559" s="199" t="n"/>
      <c r="K559" s="314" t="n"/>
      <c r="L559" s="2" t="n"/>
      <c r="M559" s="170" t="n"/>
      <c r="N559" s="170" t="n"/>
      <c r="O559" s="172" t="n"/>
      <c r="P559" s="52" t="n"/>
    </row>
    <row r="560">
      <c r="B560" s="170" t="n">
        <v>547</v>
      </c>
      <c r="C560" s="199" t="n"/>
      <c r="D560" s="312" t="n"/>
      <c r="E560" s="312" t="n"/>
      <c r="F560" s="312" t="n"/>
      <c r="G560" s="312" t="n"/>
      <c r="H560" s="312" t="n"/>
      <c r="I560" s="313" t="n"/>
      <c r="J560" s="199" t="n"/>
      <c r="K560" s="314" t="n"/>
      <c r="L560" s="2" t="n"/>
      <c r="M560" s="170" t="n"/>
      <c r="N560" s="170" t="n"/>
      <c r="O560" s="172" t="n"/>
      <c r="P560" s="52" t="n"/>
    </row>
    <row r="561">
      <c r="B561" s="170" t="n">
        <v>548</v>
      </c>
      <c r="C561" s="233" t="n"/>
      <c r="D561" s="312" t="n"/>
      <c r="E561" s="312" t="n"/>
      <c r="F561" s="312" t="n"/>
      <c r="G561" s="312" t="n"/>
      <c r="H561" s="312" t="n"/>
      <c r="I561" s="313" t="n"/>
      <c r="J561" s="199" t="n"/>
      <c r="K561" s="314" t="n"/>
      <c r="L561" s="2" t="n"/>
      <c r="M561" s="170" t="n"/>
      <c r="N561" s="170" t="n"/>
      <c r="O561" s="172" t="n"/>
      <c r="P561" s="52" t="n"/>
    </row>
    <row r="562">
      <c r="B562" s="170" t="n">
        <v>549</v>
      </c>
      <c r="C562" s="199" t="n"/>
      <c r="D562" s="312" t="n"/>
      <c r="E562" s="312" t="n"/>
      <c r="F562" s="312" t="n"/>
      <c r="G562" s="312" t="n"/>
      <c r="H562" s="312" t="n"/>
      <c r="I562" s="313" t="n"/>
      <c r="J562" s="199" t="n"/>
      <c r="K562" s="314" t="n"/>
      <c r="L562" s="2" t="n"/>
      <c r="M562" s="170" t="n"/>
      <c r="N562" s="170" t="n"/>
      <c r="O562" s="172" t="n"/>
      <c r="P562" s="52" t="n"/>
    </row>
    <row r="563">
      <c r="B563" s="170" t="n">
        <v>550</v>
      </c>
      <c r="C563" s="199" t="n"/>
      <c r="D563" s="312" t="n"/>
      <c r="E563" s="312" t="n"/>
      <c r="F563" s="312" t="n"/>
      <c r="G563" s="312" t="n"/>
      <c r="H563" s="312" t="n"/>
      <c r="I563" s="313" t="n"/>
      <c r="J563" s="199" t="n"/>
      <c r="K563" s="314" t="n"/>
      <c r="L563" s="2" t="n"/>
      <c r="M563" s="170" t="n"/>
      <c r="N563" s="170" t="n"/>
      <c r="O563" s="172" t="n"/>
      <c r="P563" s="52" t="n"/>
    </row>
    <row r="564">
      <c r="B564" s="170" t="n">
        <v>551</v>
      </c>
      <c r="C564" s="199" t="n"/>
      <c r="D564" s="312" t="n"/>
      <c r="E564" s="312" t="n"/>
      <c r="F564" s="312" t="n"/>
      <c r="G564" s="312" t="n"/>
      <c r="H564" s="312" t="n"/>
      <c r="I564" s="313" t="n"/>
      <c r="J564" s="199" t="n"/>
      <c r="K564" s="314" t="n"/>
      <c r="L564" s="2" t="n"/>
      <c r="M564" s="170" t="n"/>
      <c r="N564" s="170" t="n"/>
      <c r="O564" s="172" t="n"/>
      <c r="P564" s="52" t="n"/>
    </row>
    <row r="565">
      <c r="B565" s="170" t="n">
        <v>552</v>
      </c>
      <c r="C565" s="199" t="n"/>
      <c r="D565" s="312" t="n"/>
      <c r="E565" s="312" t="n"/>
      <c r="F565" s="312" t="n"/>
      <c r="G565" s="312" t="n"/>
      <c r="H565" s="312" t="n"/>
      <c r="I565" s="313" t="n"/>
      <c r="J565" s="199" t="n"/>
      <c r="K565" s="330" t="n"/>
      <c r="L565" s="2" t="n"/>
      <c r="M565" s="170" t="n"/>
      <c r="N565" s="170" t="n"/>
      <c r="O565" s="172" t="n"/>
      <c r="P565" s="52" t="n"/>
    </row>
    <row r="566">
      <c r="B566" s="170" t="n">
        <v>553</v>
      </c>
      <c r="C566" s="199" t="n"/>
      <c r="D566" s="312" t="n"/>
      <c r="E566" s="312" t="n"/>
      <c r="F566" s="312" t="n"/>
      <c r="G566" s="312" t="n"/>
      <c r="H566" s="312" t="n"/>
      <c r="I566" s="313" t="n"/>
      <c r="J566" s="199" t="n"/>
      <c r="K566" s="314" t="n"/>
      <c r="L566" s="170" t="n"/>
      <c r="M566" s="170" t="n"/>
      <c r="N566" s="170" t="n"/>
      <c r="O566" s="172" t="n"/>
      <c r="P566" s="52" t="n"/>
    </row>
    <row r="567">
      <c r="B567" s="170" t="n">
        <v>554</v>
      </c>
      <c r="C567" s="199" t="n"/>
      <c r="D567" s="312" t="n"/>
      <c r="E567" s="312" t="n"/>
      <c r="F567" s="312" t="n"/>
      <c r="G567" s="312" t="n"/>
      <c r="H567" s="312" t="n"/>
      <c r="I567" s="313" t="n"/>
      <c r="J567" s="199" t="n"/>
      <c r="K567" s="314" t="n"/>
      <c r="L567" s="170" t="n"/>
      <c r="M567" s="170" t="n"/>
      <c r="N567" s="170" t="n"/>
      <c r="O567" s="172" t="n"/>
      <c r="P567" s="172" t="n"/>
    </row>
    <row r="568">
      <c r="B568" s="170" t="n">
        <v>555</v>
      </c>
      <c r="C568" s="199" t="n"/>
      <c r="D568" s="312" t="n"/>
      <c r="E568" s="312" t="n"/>
      <c r="F568" s="312" t="n"/>
      <c r="G568" s="312" t="n"/>
      <c r="H568" s="312" t="n"/>
      <c r="I568" s="313" t="n"/>
      <c r="J568" s="199" t="n"/>
      <c r="K568" s="314" t="n"/>
      <c r="L568" s="170" t="n"/>
      <c r="M568" s="170" t="n"/>
      <c r="N568" s="170" t="n"/>
      <c r="O568" s="172" t="n"/>
      <c r="P568" s="172" t="n"/>
    </row>
    <row r="569">
      <c r="B569" s="170" t="n">
        <v>556</v>
      </c>
      <c r="C569" s="199" t="n"/>
      <c r="D569" s="312" t="n"/>
      <c r="E569" s="312" t="n"/>
      <c r="F569" s="312" t="n"/>
      <c r="G569" s="312" t="n"/>
      <c r="H569" s="312" t="n"/>
      <c r="I569" s="313" t="n"/>
      <c r="J569" s="199" t="n"/>
      <c r="K569" s="314" t="n"/>
      <c r="L569" s="170" t="n"/>
      <c r="M569" s="170" t="n"/>
      <c r="N569" s="170" t="n"/>
      <c r="O569" s="172" t="n"/>
      <c r="P569" s="172" t="n"/>
    </row>
    <row r="570">
      <c r="B570" s="170" t="n">
        <v>557</v>
      </c>
      <c r="C570" s="199" t="n"/>
      <c r="D570" s="312" t="n"/>
      <c r="E570" s="312" t="n"/>
      <c r="F570" s="312" t="n"/>
      <c r="G570" s="312" t="n"/>
      <c r="H570" s="312" t="n"/>
      <c r="I570" s="313" t="n"/>
      <c r="J570" s="199" t="n"/>
      <c r="K570" s="314" t="n"/>
      <c r="L570" s="170" t="n"/>
      <c r="M570" s="170" t="n"/>
      <c r="N570" s="170" t="n"/>
      <c r="O570" s="172" t="n"/>
      <c r="P570" s="172" t="n"/>
    </row>
    <row r="571">
      <c r="B571" s="170" t="n">
        <v>558</v>
      </c>
      <c r="C571" s="199" t="n"/>
      <c r="D571" s="312" t="n"/>
      <c r="E571" s="312" t="n"/>
      <c r="F571" s="312" t="n"/>
      <c r="G571" s="312" t="n"/>
      <c r="H571" s="312" t="n"/>
      <c r="I571" s="313" t="n"/>
      <c r="J571" s="199" t="n"/>
      <c r="K571" s="314" t="n"/>
      <c r="L571" s="170" t="n"/>
      <c r="M571" s="170" t="n"/>
      <c r="N571" s="170" t="n"/>
      <c r="O571" s="172" t="n"/>
      <c r="P571" s="172" t="n"/>
    </row>
    <row r="572">
      <c r="B572" s="170" t="n">
        <v>559</v>
      </c>
      <c r="C572" s="199" t="n"/>
      <c r="D572" s="312" t="n"/>
      <c r="E572" s="312" t="n"/>
      <c r="F572" s="312" t="n"/>
      <c r="G572" s="312" t="n"/>
      <c r="H572" s="312" t="n"/>
      <c r="I572" s="313" t="n"/>
      <c r="J572" s="199" t="n"/>
      <c r="K572" s="314" t="n"/>
      <c r="L572" s="170" t="n"/>
      <c r="M572" s="170" t="n"/>
      <c r="N572" s="170" t="n"/>
      <c r="O572" s="172" t="n"/>
      <c r="P572" s="172" t="n"/>
    </row>
    <row r="573">
      <c r="B573" s="170" t="n">
        <v>560</v>
      </c>
      <c r="C573" s="199" t="n"/>
      <c r="D573" s="312" t="n"/>
      <c r="E573" s="312" t="n"/>
      <c r="F573" s="312" t="n"/>
      <c r="G573" s="312" t="n"/>
      <c r="H573" s="312" t="n"/>
      <c r="I573" s="313" t="n"/>
      <c r="J573" s="199" t="n"/>
      <c r="K573" s="314" t="n"/>
      <c r="L573" s="170" t="n"/>
      <c r="M573" s="170" t="n"/>
      <c r="N573" s="170" t="n"/>
      <c r="O573" s="172" t="n"/>
      <c r="P573" s="172" t="n"/>
    </row>
    <row r="574">
      <c r="B574" s="170" t="n">
        <v>561</v>
      </c>
      <c r="C574" s="199" t="n"/>
      <c r="D574" s="312" t="n"/>
      <c r="E574" s="312" t="n"/>
      <c r="F574" s="312" t="n"/>
      <c r="G574" s="312" t="n"/>
      <c r="H574" s="312" t="n"/>
      <c r="I574" s="313" t="n"/>
      <c r="J574" s="199" t="n"/>
      <c r="K574" s="314" t="n"/>
      <c r="L574" s="170" t="n"/>
      <c r="M574" s="170" t="n"/>
      <c r="N574" s="170" t="n"/>
      <c r="O574" s="172" t="n"/>
      <c r="P574" s="172" t="n"/>
    </row>
    <row r="575">
      <c r="B575" s="170" t="n"/>
      <c r="C575" s="199" t="n"/>
      <c r="D575" s="312" t="n"/>
      <c r="E575" s="312" t="n"/>
      <c r="F575" s="312" t="n"/>
      <c r="G575" s="312" t="n"/>
      <c r="H575" s="312" t="n"/>
      <c r="I575" s="313" t="n"/>
      <c r="J575" s="199" t="n"/>
      <c r="K575" s="314" t="n"/>
      <c r="L575" s="170" t="n"/>
      <c r="M575" s="170" t="n"/>
      <c r="N575" s="170" t="n"/>
      <c r="O575" s="172" t="n"/>
      <c r="P575" s="172" t="n"/>
    </row>
    <row r="576">
      <c r="B576" s="170" t="n"/>
      <c r="C576" s="199" t="n"/>
      <c r="D576" s="312" t="n"/>
      <c r="E576" s="312" t="n"/>
      <c r="F576" s="312" t="n"/>
      <c r="G576" s="312" t="n"/>
      <c r="H576" s="312" t="n"/>
      <c r="I576" s="313" t="n"/>
      <c r="J576" s="199" t="n"/>
      <c r="K576" s="314" t="n"/>
      <c r="L576" s="170" t="n"/>
      <c r="M576" s="170" t="n"/>
      <c r="N576" s="170" t="n"/>
      <c r="O576" s="172" t="n"/>
      <c r="P576" s="172" t="n"/>
    </row>
    <row r="577">
      <c r="B577" s="170" t="n"/>
      <c r="C577" s="199" t="n"/>
      <c r="D577" s="312" t="n"/>
      <c r="E577" s="312" t="n"/>
      <c r="F577" s="312" t="n"/>
      <c r="G577" s="312" t="n"/>
      <c r="H577" s="312" t="n"/>
      <c r="I577" s="313" t="n"/>
      <c r="J577" s="199" t="n"/>
      <c r="K577" s="314" t="n"/>
      <c r="L577" s="170" t="n"/>
      <c r="M577" s="170" t="n"/>
      <c r="N577" s="170" t="n"/>
      <c r="O577" s="172" t="n"/>
      <c r="P577" s="172" t="n"/>
    </row>
    <row r="578">
      <c r="B578" s="170" t="n"/>
      <c r="C578" s="199" t="n"/>
      <c r="D578" s="312" t="n"/>
      <c r="E578" s="312" t="n"/>
      <c r="F578" s="312" t="n"/>
      <c r="G578" s="312" t="n"/>
      <c r="H578" s="312" t="n"/>
      <c r="I578" s="313" t="n"/>
      <c r="J578" s="199" t="n"/>
      <c r="K578" s="314" t="n"/>
      <c r="L578" s="170" t="n"/>
      <c r="M578" s="170" t="n"/>
      <c r="N578" s="170" t="n"/>
      <c r="O578" s="172" t="n"/>
      <c r="P578" s="172" t="n"/>
    </row>
    <row r="579">
      <c r="B579" s="170" t="n"/>
      <c r="C579" s="199" t="n"/>
      <c r="D579" s="312" t="n"/>
      <c r="E579" s="312" t="n"/>
      <c r="F579" s="312" t="n"/>
      <c r="G579" s="312" t="n"/>
      <c r="H579" s="312" t="n"/>
      <c r="I579" s="313" t="n"/>
      <c r="J579" s="199" t="n"/>
      <c r="K579" s="314" t="n"/>
      <c r="L579" s="170" t="n"/>
      <c r="M579" s="170" t="n"/>
      <c r="N579" s="170" t="n"/>
      <c r="O579" s="172" t="n"/>
      <c r="P579" s="172" t="n"/>
    </row>
    <row r="580">
      <c r="B580" s="170" t="n"/>
      <c r="C580" s="199" t="n"/>
      <c r="D580" s="312" t="n"/>
      <c r="E580" s="312" t="n"/>
      <c r="F580" s="312" t="n"/>
      <c r="G580" s="312" t="n"/>
      <c r="H580" s="312" t="n"/>
      <c r="I580" s="313" t="n"/>
      <c r="J580" s="199" t="n"/>
      <c r="K580" s="314" t="n"/>
      <c r="L580" s="170" t="n"/>
      <c r="M580" s="170" t="n"/>
      <c r="N580" s="170" t="n"/>
      <c r="O580" s="172" t="n"/>
      <c r="P580" s="172" t="n"/>
    </row>
    <row r="581">
      <c r="B581" s="170" t="n"/>
      <c r="C581" s="199" t="n"/>
      <c r="D581" s="312" t="n"/>
      <c r="E581" s="312" t="n"/>
      <c r="F581" s="312" t="n"/>
      <c r="G581" s="312" t="n"/>
      <c r="H581" s="312" t="n"/>
      <c r="I581" s="313" t="n"/>
      <c r="J581" s="199" t="n"/>
      <c r="K581" s="314" t="n"/>
      <c r="L581" s="170" t="n"/>
      <c r="M581" s="170" t="n"/>
      <c r="N581" s="170" t="n"/>
      <c r="O581" s="172" t="n"/>
      <c r="P581" s="172" t="n"/>
    </row>
    <row r="582">
      <c r="B582" s="170" t="n"/>
      <c r="C582" s="199" t="n"/>
      <c r="D582" s="312" t="n"/>
      <c r="E582" s="312" t="n"/>
      <c r="F582" s="312" t="n"/>
      <c r="G582" s="312" t="n"/>
      <c r="H582" s="312" t="n"/>
      <c r="I582" s="313" t="n"/>
      <c r="J582" s="199" t="n"/>
      <c r="K582" s="314" t="n"/>
      <c r="L582" s="170" t="n"/>
      <c r="M582" s="170" t="n"/>
      <c r="N582" s="170" t="n"/>
      <c r="O582" s="172" t="n"/>
      <c r="P582" s="172" t="n"/>
    </row>
    <row r="583">
      <c r="B583" s="170" t="n"/>
      <c r="C583" s="199" t="n"/>
      <c r="D583" s="312" t="n"/>
      <c r="E583" s="312" t="n"/>
      <c r="F583" s="312" t="n"/>
      <c r="G583" s="312" t="n"/>
      <c r="H583" s="312" t="n"/>
      <c r="I583" s="313" t="n"/>
      <c r="J583" s="199" t="n"/>
      <c r="K583" s="314" t="n"/>
      <c r="L583" s="170" t="n"/>
      <c r="M583" s="170" t="n"/>
      <c r="N583" s="170" t="n"/>
      <c r="O583" s="172" t="n"/>
      <c r="P583" s="172" t="n"/>
    </row>
    <row r="584">
      <c r="B584" s="170" t="n"/>
      <c r="C584" s="199" t="n"/>
      <c r="D584" s="312" t="n"/>
      <c r="E584" s="312" t="n"/>
      <c r="F584" s="312" t="n"/>
      <c r="G584" s="312" t="n"/>
      <c r="H584" s="312" t="n"/>
      <c r="I584" s="313" t="n"/>
      <c r="J584" s="199" t="n"/>
      <c r="K584" s="314" t="n"/>
      <c r="L584" s="170" t="n"/>
      <c r="M584" s="170" t="n"/>
      <c r="N584" s="170" t="n"/>
      <c r="O584" s="172" t="n"/>
      <c r="P584" s="172" t="n"/>
    </row>
    <row r="585">
      <c r="B585" s="170" t="n"/>
      <c r="C585" s="199" t="n"/>
      <c r="D585" s="312" t="n"/>
      <c r="E585" s="312" t="n"/>
      <c r="F585" s="312" t="n"/>
      <c r="G585" s="312" t="n"/>
      <c r="H585" s="312" t="n"/>
      <c r="I585" s="313" t="n"/>
      <c r="J585" s="199" t="n"/>
      <c r="K585" s="314" t="n"/>
      <c r="L585" s="170" t="n"/>
      <c r="M585" s="170" t="n"/>
      <c r="N585" s="170" t="n"/>
      <c r="O585" s="172" t="n"/>
      <c r="P585" s="172" t="n"/>
    </row>
    <row r="586">
      <c r="B586" s="170" t="n"/>
      <c r="C586" s="199" t="n"/>
      <c r="D586" s="312" t="n"/>
      <c r="E586" s="312" t="n"/>
      <c r="F586" s="312" t="n"/>
      <c r="G586" s="312" t="n"/>
      <c r="H586" s="312" t="n"/>
      <c r="I586" s="313" t="n"/>
      <c r="J586" s="199" t="n"/>
      <c r="K586" s="314" t="n"/>
      <c r="L586" s="170" t="n"/>
      <c r="M586" s="170" t="n"/>
      <c r="N586" s="170" t="n"/>
      <c r="O586" s="172" t="n"/>
      <c r="P586" s="172" t="n"/>
    </row>
    <row r="587">
      <c r="B587" s="170" t="n"/>
      <c r="C587" s="199" t="n"/>
      <c r="D587" s="312" t="n"/>
      <c r="E587" s="312" t="n"/>
      <c r="F587" s="312" t="n"/>
      <c r="G587" s="312" t="n"/>
      <c r="H587" s="312" t="n"/>
      <c r="I587" s="313" t="n"/>
      <c r="J587" s="199" t="n"/>
      <c r="K587" s="314" t="n"/>
      <c r="L587" s="170" t="n"/>
      <c r="M587" s="170" t="n"/>
      <c r="N587" s="170" t="n"/>
      <c r="O587" s="172" t="n"/>
      <c r="P587" s="172" t="n"/>
    </row>
    <row r="588">
      <c r="B588" s="170" t="n"/>
      <c r="C588" s="199" t="n"/>
      <c r="D588" s="312" t="n"/>
      <c r="E588" s="312" t="n"/>
      <c r="F588" s="312" t="n"/>
      <c r="G588" s="312" t="n"/>
      <c r="H588" s="312" t="n"/>
      <c r="I588" s="313" t="n"/>
      <c r="J588" s="199" t="n"/>
      <c r="K588" s="314" t="n"/>
      <c r="L588" s="170" t="n"/>
      <c r="M588" s="170" t="n"/>
      <c r="N588" s="170" t="n"/>
      <c r="O588" s="172" t="n"/>
      <c r="P588" s="172" t="n"/>
    </row>
    <row r="589">
      <c r="B589" s="170" t="n"/>
      <c r="C589" s="199" t="n"/>
      <c r="D589" s="312" t="n"/>
      <c r="E589" s="312" t="n"/>
      <c r="F589" s="312" t="n"/>
      <c r="G589" s="312" t="n"/>
      <c r="H589" s="312" t="n"/>
      <c r="I589" s="313" t="n"/>
      <c r="J589" s="199" t="n"/>
      <c r="K589" s="314" t="n"/>
      <c r="L589" s="170" t="n"/>
      <c r="M589" s="170" t="n"/>
      <c r="N589" s="170" t="n"/>
      <c r="O589" s="172" t="n"/>
      <c r="P589" s="172" t="n"/>
    </row>
    <row r="590">
      <c r="B590" s="170" t="n"/>
      <c r="C590" s="199" t="n"/>
      <c r="D590" s="312" t="n"/>
      <c r="E590" s="312" t="n"/>
      <c r="F590" s="312" t="n"/>
      <c r="G590" s="312" t="n"/>
      <c r="H590" s="312" t="n"/>
      <c r="I590" s="313" t="n"/>
      <c r="J590" s="199" t="n"/>
      <c r="K590" s="314" t="n"/>
      <c r="L590" s="170" t="n"/>
      <c r="M590" s="170" t="n"/>
      <c r="N590" s="170" t="n"/>
      <c r="O590" s="172" t="n"/>
      <c r="P590" s="172" t="n"/>
    </row>
    <row r="591">
      <c r="B591" s="170" t="n"/>
      <c r="C591" s="199" t="n"/>
      <c r="D591" s="312" t="n"/>
      <c r="E591" s="312" t="n"/>
      <c r="F591" s="312" t="n"/>
      <c r="G591" s="312" t="n"/>
      <c r="H591" s="312" t="n"/>
      <c r="I591" s="313" t="n"/>
      <c r="J591" s="199" t="n"/>
      <c r="K591" s="314" t="n"/>
      <c r="L591" s="170" t="n"/>
      <c r="M591" s="170" t="n"/>
      <c r="N591" s="170" t="n"/>
      <c r="O591" s="172" t="n"/>
      <c r="P591" s="172" t="n"/>
    </row>
    <row r="592">
      <c r="B592" s="170" t="n"/>
      <c r="C592" s="199" t="n"/>
      <c r="D592" s="312" t="n"/>
      <c r="E592" s="312" t="n"/>
      <c r="F592" s="312" t="n"/>
      <c r="G592" s="312" t="n"/>
      <c r="H592" s="312" t="n"/>
      <c r="I592" s="313" t="n"/>
      <c r="J592" s="199" t="n"/>
      <c r="K592" s="314" t="n"/>
      <c r="L592" s="170" t="n"/>
      <c r="M592" s="170" t="n"/>
      <c r="N592" s="170" t="n"/>
      <c r="O592" s="172" t="n"/>
      <c r="P592" s="172" t="n"/>
    </row>
    <row r="593">
      <c r="B593" s="170" t="n"/>
      <c r="C593" s="199" t="n"/>
      <c r="D593" s="312" t="n"/>
      <c r="E593" s="312" t="n"/>
      <c r="F593" s="312" t="n"/>
      <c r="G593" s="312" t="n"/>
      <c r="H593" s="312" t="n"/>
      <c r="I593" s="313" t="n"/>
      <c r="J593" s="199" t="n"/>
      <c r="K593" s="314" t="n"/>
      <c r="L593" s="170" t="n"/>
      <c r="M593" s="170" t="n"/>
      <c r="N593" s="170" t="n"/>
      <c r="O593" s="172" t="n"/>
      <c r="P593" s="172" t="n"/>
    </row>
    <row r="594">
      <c r="B594" s="170" t="n"/>
      <c r="C594" s="199" t="n"/>
      <c r="D594" s="312" t="n"/>
      <c r="E594" s="312" t="n"/>
      <c r="F594" s="312" t="n"/>
      <c r="G594" s="312" t="n"/>
      <c r="H594" s="312" t="n"/>
      <c r="I594" s="313" t="n"/>
      <c r="J594" s="199" t="n"/>
      <c r="K594" s="314" t="n"/>
      <c r="L594" s="170" t="n"/>
      <c r="M594" s="170" t="n"/>
      <c r="N594" s="170" t="n"/>
      <c r="O594" s="172" t="n"/>
      <c r="P594" s="172" t="n"/>
    </row>
    <row r="595">
      <c r="B595" s="170" t="n"/>
      <c r="C595" s="199" t="n"/>
      <c r="D595" s="312" t="n"/>
      <c r="E595" s="312" t="n"/>
      <c r="F595" s="312" t="n"/>
      <c r="G595" s="312" t="n"/>
      <c r="H595" s="312" t="n"/>
      <c r="I595" s="313" t="n"/>
      <c r="J595" s="199" t="n"/>
      <c r="K595" s="314" t="n"/>
      <c r="L595" s="170" t="n"/>
      <c r="M595" s="170" t="n"/>
      <c r="N595" s="170" t="n"/>
      <c r="O595" s="172" t="n"/>
      <c r="P595" s="172" t="n"/>
    </row>
    <row r="596">
      <c r="B596" s="170" t="n"/>
      <c r="C596" s="199" t="n"/>
      <c r="D596" s="312" t="n"/>
      <c r="E596" s="312" t="n"/>
      <c r="F596" s="312" t="n"/>
      <c r="G596" s="312" t="n"/>
      <c r="H596" s="312" t="n"/>
      <c r="I596" s="313" t="n"/>
      <c r="J596" s="199" t="n"/>
      <c r="K596" s="314" t="n"/>
      <c r="L596" s="170" t="n"/>
      <c r="M596" s="170" t="n"/>
      <c r="N596" s="170" t="n"/>
      <c r="O596" s="172" t="n"/>
      <c r="P596" s="172" t="n"/>
    </row>
    <row r="597">
      <c r="B597" s="170" t="n"/>
      <c r="C597" s="199" t="n"/>
      <c r="D597" s="312" t="n"/>
      <c r="E597" s="312" t="n"/>
      <c r="F597" s="312" t="n"/>
      <c r="G597" s="312" t="n"/>
      <c r="H597" s="312" t="n"/>
      <c r="I597" s="313" t="n"/>
      <c r="J597" s="199" t="n"/>
      <c r="K597" s="314" t="n"/>
      <c r="L597" s="170" t="n"/>
      <c r="M597" s="170" t="n"/>
      <c r="N597" s="170" t="n"/>
      <c r="O597" s="172" t="n"/>
      <c r="P597" s="172" t="n"/>
    </row>
    <row r="598">
      <c r="B598" s="170" t="n"/>
      <c r="C598" s="199" t="n"/>
      <c r="D598" s="312" t="n"/>
      <c r="E598" s="312" t="n"/>
      <c r="F598" s="312" t="n"/>
      <c r="G598" s="312" t="n"/>
      <c r="H598" s="312" t="n"/>
      <c r="I598" s="313" t="n"/>
      <c r="J598" s="199" t="n"/>
      <c r="K598" s="314" t="n"/>
      <c r="L598" s="170" t="n"/>
      <c r="M598" s="170" t="n"/>
      <c r="N598" s="170" t="n"/>
      <c r="O598" s="172" t="n"/>
      <c r="P598" s="172" t="n"/>
    </row>
    <row r="599">
      <c r="B599" s="170" t="n"/>
      <c r="C599" s="199" t="n"/>
      <c r="D599" s="312" t="n"/>
      <c r="E599" s="312" t="n"/>
      <c r="F599" s="312" t="n"/>
      <c r="G599" s="312" t="n"/>
      <c r="H599" s="312" t="n"/>
      <c r="I599" s="313" t="n"/>
      <c r="J599" s="199" t="n"/>
      <c r="K599" s="314" t="n"/>
      <c r="L599" s="170" t="n"/>
      <c r="M599" s="170" t="n"/>
      <c r="N599" s="170" t="n"/>
      <c r="O599" s="172" t="n"/>
      <c r="P599" s="172" t="n"/>
    </row>
    <row r="600">
      <c r="B600" s="170" t="n"/>
      <c r="C600" s="199" t="n"/>
      <c r="D600" s="312" t="n"/>
      <c r="E600" s="312" t="n"/>
      <c r="F600" s="312" t="n"/>
      <c r="G600" s="312" t="n"/>
      <c r="H600" s="312" t="n"/>
      <c r="I600" s="313" t="n"/>
      <c r="J600" s="199" t="n"/>
      <c r="K600" s="314" t="n"/>
      <c r="L600" s="170" t="n"/>
      <c r="M600" s="170" t="n"/>
      <c r="N600" s="170" t="n"/>
      <c r="O600" s="172" t="n"/>
      <c r="P600" s="172" t="n"/>
    </row>
    <row r="601">
      <c r="B601" s="170" t="n"/>
      <c r="C601" s="199" t="n"/>
      <c r="D601" s="312" t="n"/>
      <c r="E601" s="312" t="n"/>
      <c r="F601" s="312" t="n"/>
      <c r="G601" s="312" t="n"/>
      <c r="H601" s="312" t="n"/>
      <c r="I601" s="313" t="n"/>
      <c r="J601" s="199" t="n"/>
      <c r="K601" s="314" t="n"/>
      <c r="L601" s="170" t="n"/>
      <c r="M601" s="170" t="n"/>
      <c r="N601" s="170" t="n"/>
      <c r="O601" s="172" t="n"/>
      <c r="P601" s="172" t="n"/>
    </row>
    <row r="602">
      <c r="B602" s="170" t="n"/>
      <c r="C602" s="199" t="n"/>
      <c r="D602" s="312" t="n"/>
      <c r="E602" s="312" t="n"/>
      <c r="F602" s="312" t="n"/>
      <c r="G602" s="312" t="n"/>
      <c r="H602" s="312" t="n"/>
      <c r="I602" s="313" t="n"/>
      <c r="J602" s="199" t="n"/>
      <c r="K602" s="314" t="n"/>
      <c r="L602" s="170" t="n"/>
      <c r="M602" s="170" t="n"/>
      <c r="N602" s="170" t="n"/>
      <c r="O602" s="172" t="n"/>
      <c r="P602" s="172" t="n"/>
    </row>
    <row r="603">
      <c r="B603" s="170" t="n"/>
      <c r="C603" s="199" t="n"/>
      <c r="D603" s="312" t="n"/>
      <c r="E603" s="312" t="n"/>
      <c r="F603" s="312" t="n"/>
      <c r="G603" s="312" t="n"/>
      <c r="H603" s="312" t="n"/>
      <c r="I603" s="313" t="n"/>
      <c r="J603" s="199" t="n"/>
      <c r="K603" s="314" t="n"/>
      <c r="L603" s="170" t="n"/>
      <c r="M603" s="170" t="n"/>
      <c r="N603" s="170" t="n"/>
      <c r="O603" s="172" t="n"/>
      <c r="P603" s="172" t="n"/>
    </row>
    <row r="604">
      <c r="B604" s="170" t="n"/>
      <c r="C604" s="199" t="n"/>
      <c r="D604" s="312" t="n"/>
      <c r="E604" s="312" t="n"/>
      <c r="F604" s="312" t="n"/>
      <c r="G604" s="312" t="n"/>
      <c r="H604" s="312" t="n"/>
      <c r="I604" s="313" t="n"/>
      <c r="J604" s="199" t="n"/>
      <c r="K604" s="314" t="n"/>
      <c r="L604" s="170" t="n"/>
      <c r="M604" s="170" t="n"/>
      <c r="N604" s="170" t="n"/>
      <c r="O604" s="172" t="n"/>
      <c r="P604" s="172" t="n"/>
    </row>
    <row r="605">
      <c r="B605" s="170" t="n"/>
      <c r="C605" s="199" t="n"/>
      <c r="D605" s="312" t="n"/>
      <c r="E605" s="312" t="n"/>
      <c r="F605" s="312" t="n"/>
      <c r="G605" s="312" t="n"/>
      <c r="H605" s="312" t="n"/>
      <c r="I605" s="313" t="n"/>
      <c r="J605" s="199" t="n"/>
      <c r="K605" s="314" t="n"/>
      <c r="L605" s="170" t="n"/>
      <c r="M605" s="170" t="n"/>
      <c r="N605" s="170" t="n"/>
      <c r="O605" s="172" t="n"/>
      <c r="P605" s="172" t="n"/>
    </row>
    <row r="606">
      <c r="B606" s="170" t="n"/>
      <c r="C606" s="199" t="n"/>
      <c r="D606" s="312" t="n"/>
      <c r="E606" s="312" t="n"/>
      <c r="F606" s="312" t="n"/>
      <c r="G606" s="312" t="n"/>
      <c r="H606" s="312" t="n"/>
      <c r="I606" s="313" t="n"/>
      <c r="J606" s="199" t="n"/>
      <c r="K606" s="314" t="n"/>
      <c r="L606" s="170" t="n"/>
      <c r="M606" s="170" t="n"/>
      <c r="N606" s="170" t="n"/>
      <c r="O606" s="172" t="n"/>
      <c r="P606" s="172" t="n"/>
    </row>
    <row r="607">
      <c r="B607" s="170" t="n"/>
      <c r="C607" s="199" t="n"/>
      <c r="D607" s="312" t="n"/>
      <c r="E607" s="312" t="n"/>
      <c r="F607" s="312" t="n"/>
      <c r="G607" s="312" t="n"/>
      <c r="H607" s="312" t="n"/>
      <c r="I607" s="313" t="n"/>
      <c r="J607" s="199" t="n"/>
      <c r="K607" s="314" t="n"/>
      <c r="L607" s="170" t="n"/>
      <c r="M607" s="170" t="n"/>
      <c r="N607" s="170" t="n"/>
      <c r="O607" s="172" t="n"/>
      <c r="P607" s="172" t="n"/>
    </row>
    <row r="608">
      <c r="B608" s="170" t="n"/>
      <c r="C608" s="199" t="n"/>
      <c r="D608" s="312" t="n"/>
      <c r="E608" s="312" t="n"/>
      <c r="F608" s="312" t="n"/>
      <c r="G608" s="312" t="n"/>
      <c r="H608" s="312" t="n"/>
      <c r="I608" s="313" t="n"/>
      <c r="J608" s="199" t="n"/>
      <c r="K608" s="314" t="n"/>
      <c r="L608" s="170" t="n"/>
      <c r="M608" s="170" t="n"/>
      <c r="N608" s="170" t="n"/>
      <c r="O608" s="172" t="n"/>
      <c r="P608" s="172" t="n"/>
    </row>
    <row r="609">
      <c r="B609" s="170" t="n"/>
      <c r="C609" s="199" t="n"/>
      <c r="D609" s="312" t="n"/>
      <c r="E609" s="312" t="n"/>
      <c r="F609" s="312" t="n"/>
      <c r="G609" s="312" t="n"/>
      <c r="H609" s="312" t="n"/>
      <c r="I609" s="313" t="n"/>
      <c r="J609" s="199" t="n"/>
      <c r="K609" s="314" t="n"/>
      <c r="L609" s="170" t="n"/>
      <c r="M609" s="170" t="n"/>
      <c r="N609" s="170" t="n"/>
      <c r="O609" s="172" t="n"/>
      <c r="P609" s="172" t="n"/>
    </row>
    <row r="610">
      <c r="B610" s="170" t="n"/>
      <c r="C610" s="199" t="n"/>
      <c r="D610" s="312" t="n"/>
      <c r="E610" s="312" t="n"/>
      <c r="F610" s="312" t="n"/>
      <c r="G610" s="312" t="n"/>
      <c r="H610" s="312" t="n"/>
      <c r="I610" s="313" t="n"/>
      <c r="J610" s="199" t="n"/>
      <c r="K610" s="314" t="n"/>
      <c r="L610" s="170" t="n"/>
      <c r="M610" s="170" t="n"/>
      <c r="N610" s="170" t="n"/>
      <c r="O610" s="172" t="n"/>
      <c r="P610" s="172" t="n"/>
    </row>
    <row r="611">
      <c r="B611" s="170" t="n"/>
      <c r="C611" s="199" t="n"/>
      <c r="D611" s="312" t="n"/>
      <c r="E611" s="312" t="n"/>
      <c r="F611" s="312" t="n"/>
      <c r="G611" s="312" t="n"/>
      <c r="H611" s="312" t="n"/>
      <c r="I611" s="313" t="n"/>
      <c r="J611" s="199" t="n"/>
      <c r="K611" s="314" t="n"/>
      <c r="L611" s="170" t="n"/>
      <c r="M611" s="170" t="n"/>
      <c r="N611" s="170" t="n"/>
      <c r="O611" s="172" t="n"/>
      <c r="P611" s="172" t="n"/>
    </row>
    <row r="612">
      <c r="B612" s="170" t="n"/>
      <c r="C612" s="199" t="n"/>
      <c r="D612" s="312" t="n"/>
      <c r="E612" s="312" t="n"/>
      <c r="F612" s="312" t="n"/>
      <c r="G612" s="312" t="n"/>
      <c r="H612" s="312" t="n"/>
      <c r="I612" s="313" t="n"/>
      <c r="J612" s="199" t="n"/>
      <c r="K612" s="314" t="n"/>
      <c r="L612" s="170" t="n"/>
      <c r="M612" s="170" t="n"/>
      <c r="N612" s="170" t="n"/>
      <c r="O612" s="172" t="n"/>
      <c r="P612" s="172" t="n"/>
    </row>
    <row r="613">
      <c r="B613" s="170" t="n"/>
      <c r="C613" s="199" t="n"/>
      <c r="D613" s="312" t="n"/>
      <c r="E613" s="312" t="n"/>
      <c r="F613" s="312" t="n"/>
      <c r="G613" s="312" t="n"/>
      <c r="H613" s="312" t="n"/>
      <c r="I613" s="313" t="n"/>
      <c r="J613" s="199" t="n"/>
      <c r="K613" s="314" t="n"/>
      <c r="L613" s="170" t="n"/>
      <c r="M613" s="170" t="n"/>
      <c r="N613" s="170" t="n"/>
      <c r="O613" s="172" t="n"/>
      <c r="P613" s="172" t="n"/>
    </row>
    <row r="614">
      <c r="B614" s="170" t="n"/>
      <c r="C614" s="199" t="n"/>
      <c r="D614" s="312" t="n"/>
      <c r="E614" s="312" t="n"/>
      <c r="F614" s="312" t="n"/>
      <c r="G614" s="312" t="n"/>
      <c r="H614" s="312" t="n"/>
      <c r="I614" s="313" t="n"/>
      <c r="J614" s="199" t="n"/>
      <c r="K614" s="314" t="n"/>
      <c r="L614" s="170" t="n"/>
      <c r="M614" s="170" t="n"/>
      <c r="N614" s="170" t="n"/>
      <c r="O614" s="172" t="n"/>
      <c r="P614" s="172" t="n"/>
    </row>
    <row r="615">
      <c r="B615" s="170" t="n"/>
      <c r="C615" s="199" t="n"/>
      <c r="D615" s="312" t="n"/>
      <c r="E615" s="312" t="n"/>
      <c r="F615" s="312" t="n"/>
      <c r="G615" s="312" t="n"/>
      <c r="H615" s="312" t="n"/>
      <c r="I615" s="313" t="n"/>
      <c r="J615" s="199" t="n"/>
      <c r="K615" s="314" t="n"/>
      <c r="L615" s="170" t="n"/>
      <c r="M615" s="170" t="n"/>
      <c r="N615" s="170" t="n"/>
      <c r="O615" s="172" t="n"/>
      <c r="P615" s="172" t="n"/>
    </row>
    <row r="616">
      <c r="B616" s="170" t="n"/>
      <c r="C616" s="199" t="n"/>
      <c r="D616" s="312" t="n"/>
      <c r="E616" s="312" t="n"/>
      <c r="F616" s="312" t="n"/>
      <c r="G616" s="312" t="n"/>
      <c r="H616" s="312" t="n"/>
      <c r="I616" s="313" t="n"/>
      <c r="J616" s="199" t="n"/>
      <c r="K616" s="314" t="n"/>
      <c r="L616" s="170" t="n"/>
      <c r="M616" s="170" t="n"/>
      <c r="N616" s="170" t="n"/>
      <c r="O616" s="172" t="n"/>
      <c r="P616" s="172" t="n"/>
    </row>
    <row r="617">
      <c r="B617" s="170" t="n"/>
      <c r="C617" s="199" t="n"/>
      <c r="D617" s="312" t="n"/>
      <c r="E617" s="312" t="n"/>
      <c r="F617" s="312" t="n"/>
      <c r="G617" s="312" t="n"/>
      <c r="H617" s="312" t="n"/>
      <c r="I617" s="313" t="n"/>
      <c r="J617" s="199" t="n"/>
      <c r="K617" s="314" t="n"/>
      <c r="L617" s="170" t="n"/>
      <c r="M617" s="170" t="n"/>
      <c r="N617" s="170" t="n"/>
      <c r="O617" s="172" t="n"/>
      <c r="P617" s="172" t="n"/>
    </row>
    <row r="618">
      <c r="B618" s="170" t="n"/>
      <c r="C618" s="199" t="n"/>
      <c r="D618" s="312" t="n"/>
      <c r="E618" s="312" t="n"/>
      <c r="F618" s="312" t="n"/>
      <c r="G618" s="312" t="n"/>
      <c r="H618" s="312" t="n"/>
      <c r="I618" s="313" t="n"/>
      <c r="J618" s="199" t="n"/>
      <c r="K618" s="314" t="n"/>
      <c r="L618" s="170" t="n"/>
      <c r="M618" s="170" t="n"/>
      <c r="N618" s="170" t="n"/>
      <c r="O618" s="172" t="n"/>
      <c r="P618" s="172" t="n"/>
    </row>
    <row r="619">
      <c r="B619" s="170" t="n"/>
      <c r="C619" s="199" t="n"/>
      <c r="D619" s="312" t="n"/>
      <c r="E619" s="312" t="n"/>
      <c r="F619" s="312" t="n"/>
      <c r="G619" s="312" t="n"/>
      <c r="H619" s="312" t="n"/>
      <c r="I619" s="313" t="n"/>
      <c r="J619" s="199" t="n"/>
      <c r="K619" s="314" t="n"/>
      <c r="L619" s="170" t="n"/>
      <c r="M619" s="170" t="n"/>
      <c r="N619" s="170" t="n"/>
      <c r="O619" s="172" t="n"/>
      <c r="P619" s="172" t="n"/>
    </row>
    <row r="620">
      <c r="B620" s="170" t="n"/>
      <c r="C620" s="199" t="n"/>
      <c r="D620" s="312" t="n"/>
      <c r="E620" s="312" t="n"/>
      <c r="F620" s="312" t="n"/>
      <c r="G620" s="312" t="n"/>
      <c r="H620" s="312" t="n"/>
      <c r="I620" s="313" t="n"/>
      <c r="J620" s="199" t="n"/>
      <c r="K620" s="314" t="n"/>
      <c r="L620" s="170" t="n"/>
      <c r="M620" s="170" t="n"/>
      <c r="N620" s="170" t="n"/>
      <c r="O620" s="172" t="n"/>
      <c r="P620" s="172" t="n"/>
    </row>
    <row r="621">
      <c r="B621" s="170" t="n"/>
      <c r="C621" s="199" t="n"/>
      <c r="D621" s="312" t="n"/>
      <c r="E621" s="312" t="n"/>
      <c r="F621" s="312" t="n"/>
      <c r="G621" s="312" t="n"/>
      <c r="H621" s="312" t="n"/>
      <c r="I621" s="313" t="n"/>
      <c r="J621" s="199" t="n"/>
      <c r="K621" s="314" t="n"/>
      <c r="L621" s="170" t="n"/>
      <c r="M621" s="170" t="n"/>
      <c r="N621" s="170" t="n"/>
      <c r="O621" s="172" t="n"/>
      <c r="P621" s="172" t="n"/>
    </row>
    <row r="622">
      <c r="B622" s="170" t="n"/>
      <c r="C622" s="199" t="n"/>
      <c r="D622" s="312" t="n"/>
      <c r="E622" s="312" t="n"/>
      <c r="F622" s="312" t="n"/>
      <c r="G622" s="312" t="n"/>
      <c r="H622" s="312" t="n"/>
      <c r="I622" s="313" t="n"/>
      <c r="J622" s="199" t="n"/>
      <c r="K622" s="314" t="n"/>
      <c r="L622" s="170" t="n"/>
      <c r="M622" s="170" t="n"/>
      <c r="N622" s="170" t="n"/>
      <c r="O622" s="172" t="n"/>
      <c r="P622" s="172" t="n"/>
    </row>
    <row r="623">
      <c r="B623" s="170" t="n"/>
      <c r="C623" s="199" t="n"/>
      <c r="D623" s="312" t="n"/>
      <c r="E623" s="312" t="n"/>
      <c r="F623" s="312" t="n"/>
      <c r="G623" s="312" t="n"/>
      <c r="H623" s="312" t="n"/>
      <c r="I623" s="313" t="n"/>
      <c r="J623" s="199" t="n"/>
      <c r="K623" s="314" t="n"/>
      <c r="L623" s="170" t="n"/>
      <c r="M623" s="170" t="n"/>
      <c r="N623" s="170" t="n"/>
      <c r="O623" s="172" t="n"/>
      <c r="P623" s="172" t="n"/>
    </row>
    <row r="624">
      <c r="B624" s="170" t="n"/>
      <c r="C624" s="199" t="n"/>
      <c r="D624" s="312" t="n"/>
      <c r="E624" s="312" t="n"/>
      <c r="F624" s="312" t="n"/>
      <c r="G624" s="312" t="n"/>
      <c r="H624" s="312" t="n"/>
      <c r="I624" s="313" t="n"/>
      <c r="J624" s="199" t="n"/>
      <c r="K624" s="314" t="n"/>
      <c r="L624" s="170" t="n"/>
      <c r="M624" s="170" t="n"/>
      <c r="N624" s="170" t="n"/>
      <c r="O624" s="172" t="n"/>
      <c r="P624" s="172" t="n"/>
    </row>
    <row r="625">
      <c r="B625" s="170" t="n"/>
      <c r="C625" s="199" t="n"/>
      <c r="D625" s="312" t="n"/>
      <c r="E625" s="312" t="n"/>
      <c r="F625" s="312" t="n"/>
      <c r="G625" s="312" t="n"/>
      <c r="H625" s="312" t="n"/>
      <c r="I625" s="313" t="n"/>
      <c r="J625" s="199" t="n"/>
      <c r="K625" s="314" t="n"/>
      <c r="L625" s="170" t="n"/>
      <c r="M625" s="170" t="n"/>
      <c r="N625" s="170" t="n"/>
      <c r="O625" s="172" t="n"/>
      <c r="P625" s="172" t="n"/>
    </row>
    <row r="626">
      <c r="B626" s="170" t="n"/>
      <c r="C626" s="199" t="n"/>
      <c r="D626" s="312" t="n"/>
      <c r="E626" s="312" t="n"/>
      <c r="F626" s="312" t="n"/>
      <c r="G626" s="312" t="n"/>
      <c r="H626" s="312" t="n"/>
      <c r="I626" s="313" t="n"/>
      <c r="J626" s="199" t="n"/>
      <c r="K626" s="314" t="n"/>
      <c r="L626" s="170" t="n"/>
      <c r="M626" s="170" t="n"/>
      <c r="N626" s="170" t="n"/>
      <c r="O626" s="172" t="n"/>
      <c r="P626" s="172" t="n"/>
    </row>
    <row r="627">
      <c r="B627" s="170" t="n"/>
      <c r="C627" s="199" t="n"/>
      <c r="D627" s="312" t="n"/>
      <c r="E627" s="312" t="n"/>
      <c r="F627" s="312" t="n"/>
      <c r="G627" s="312" t="n"/>
      <c r="H627" s="312" t="n"/>
      <c r="I627" s="313" t="n"/>
      <c r="J627" s="199" t="n"/>
      <c r="K627" s="314" t="n"/>
      <c r="L627" s="170" t="n"/>
      <c r="M627" s="170" t="n"/>
      <c r="N627" s="170" t="n"/>
      <c r="O627" s="172" t="n"/>
      <c r="P627" s="172" t="n"/>
    </row>
    <row r="628">
      <c r="B628" s="170" t="n"/>
      <c r="C628" s="199" t="n"/>
      <c r="D628" s="312" t="n"/>
      <c r="E628" s="312" t="n"/>
      <c r="F628" s="312" t="n"/>
      <c r="G628" s="312" t="n"/>
      <c r="H628" s="312" t="n"/>
      <c r="I628" s="313" t="n"/>
      <c r="J628" s="199" t="n"/>
      <c r="K628" s="314" t="n"/>
      <c r="L628" s="170" t="n"/>
      <c r="M628" s="170" t="n"/>
      <c r="N628" s="170" t="n"/>
      <c r="O628" s="172" t="n"/>
      <c r="P628" s="172" t="n"/>
    </row>
    <row r="629">
      <c r="B629" s="170" t="n"/>
      <c r="C629" s="199" t="n"/>
      <c r="D629" s="312" t="n"/>
      <c r="E629" s="312" t="n"/>
      <c r="F629" s="312" t="n"/>
      <c r="G629" s="312" t="n"/>
      <c r="H629" s="312" t="n"/>
      <c r="I629" s="313" t="n"/>
      <c r="J629" s="199" t="n"/>
      <c r="K629" s="314" t="n"/>
      <c r="L629" s="170" t="n"/>
      <c r="M629" s="170" t="n"/>
      <c r="N629" s="170" t="n"/>
      <c r="O629" s="172" t="n"/>
      <c r="P629" s="172" t="n"/>
    </row>
    <row r="630">
      <c r="B630" s="170" t="n"/>
      <c r="C630" s="199" t="n"/>
      <c r="D630" s="312" t="n"/>
      <c r="E630" s="312" t="n"/>
      <c r="F630" s="312" t="n"/>
      <c r="G630" s="312" t="n"/>
      <c r="H630" s="312" t="n"/>
      <c r="I630" s="313" t="n"/>
      <c r="J630" s="199" t="n"/>
      <c r="K630" s="314" t="n"/>
      <c r="L630" s="170" t="n"/>
      <c r="M630" s="170" t="n"/>
      <c r="N630" s="170" t="n"/>
      <c r="O630" s="172" t="n"/>
      <c r="P630" s="172" t="n"/>
    </row>
    <row r="631">
      <c r="B631" s="170" t="n"/>
      <c r="C631" s="199" t="n"/>
      <c r="D631" s="312" t="n"/>
      <c r="E631" s="312" t="n"/>
      <c r="F631" s="312" t="n"/>
      <c r="G631" s="312" t="n"/>
      <c r="H631" s="312" t="n"/>
      <c r="I631" s="313" t="n"/>
      <c r="J631" s="199" t="n"/>
      <c r="K631" s="314" t="n"/>
      <c r="L631" s="170" t="n"/>
      <c r="M631" s="170" t="n"/>
      <c r="N631" s="170" t="n"/>
      <c r="O631" s="172" t="n"/>
      <c r="P631" s="172" t="n"/>
    </row>
    <row r="632">
      <c r="B632" s="170" t="n"/>
      <c r="C632" s="199" t="n"/>
      <c r="D632" s="312" t="n"/>
      <c r="E632" s="312" t="n"/>
      <c r="F632" s="312" t="n"/>
      <c r="G632" s="312" t="n"/>
      <c r="H632" s="312" t="n"/>
      <c r="I632" s="313" t="n"/>
      <c r="J632" s="199" t="n"/>
      <c r="K632" s="314" t="n"/>
      <c r="L632" s="170" t="n"/>
      <c r="M632" s="170" t="n"/>
      <c r="N632" s="170" t="n"/>
      <c r="O632" s="172" t="n"/>
      <c r="P632" s="172" t="n"/>
    </row>
    <row r="633">
      <c r="B633" s="170" t="n"/>
      <c r="C633" s="199" t="n"/>
      <c r="D633" s="312" t="n"/>
      <c r="E633" s="312" t="n"/>
      <c r="F633" s="312" t="n"/>
      <c r="G633" s="312" t="n"/>
      <c r="H633" s="312" t="n"/>
      <c r="I633" s="313" t="n"/>
      <c r="J633" s="199" t="n"/>
      <c r="K633" s="314" t="n"/>
      <c r="L633" s="170" t="n"/>
      <c r="M633" s="170" t="n"/>
      <c r="N633" s="170" t="n"/>
      <c r="O633" s="172" t="n"/>
      <c r="P633" s="172" t="n"/>
    </row>
    <row r="634">
      <c r="B634" s="170" t="n"/>
      <c r="C634" s="199" t="n"/>
      <c r="D634" s="312" t="n"/>
      <c r="E634" s="312" t="n"/>
      <c r="F634" s="312" t="n"/>
      <c r="G634" s="312" t="n"/>
      <c r="H634" s="312" t="n"/>
      <c r="I634" s="313" t="n"/>
      <c r="J634" s="199" t="n"/>
      <c r="K634" s="314" t="n"/>
      <c r="L634" s="170" t="n"/>
      <c r="M634" s="170" t="n"/>
      <c r="N634" s="170" t="n"/>
      <c r="O634" s="172" t="n"/>
      <c r="P634" s="172" t="n"/>
    </row>
    <row r="635">
      <c r="B635" s="170" t="n"/>
      <c r="C635" s="199" t="n"/>
      <c r="D635" s="312" t="n"/>
      <c r="E635" s="312" t="n"/>
      <c r="F635" s="312" t="n"/>
      <c r="G635" s="312" t="n"/>
      <c r="H635" s="312" t="n"/>
      <c r="I635" s="313" t="n"/>
      <c r="J635" s="199" t="n"/>
      <c r="K635" s="314" t="n"/>
      <c r="L635" s="170" t="n"/>
      <c r="M635" s="170" t="n"/>
      <c r="N635" s="170" t="n"/>
      <c r="O635" s="172" t="n"/>
      <c r="P635" s="172" t="n"/>
    </row>
    <row r="636">
      <c r="B636" s="170" t="n"/>
      <c r="C636" s="199" t="n"/>
      <c r="D636" s="312" t="n"/>
      <c r="E636" s="312" t="n"/>
      <c r="F636" s="312" t="n"/>
      <c r="G636" s="312" t="n"/>
      <c r="H636" s="312" t="n"/>
      <c r="I636" s="313" t="n"/>
      <c r="J636" s="199" t="n"/>
      <c r="K636" s="314" t="n"/>
      <c r="L636" s="170" t="n"/>
      <c r="M636" s="170" t="n"/>
      <c r="N636" s="170" t="n"/>
      <c r="O636" s="172" t="n"/>
      <c r="P636" s="172" t="n"/>
    </row>
    <row r="637">
      <c r="B637" s="170" t="n"/>
      <c r="C637" s="199" t="n"/>
      <c r="D637" s="312" t="n"/>
      <c r="E637" s="312" t="n"/>
      <c r="F637" s="312" t="n"/>
      <c r="G637" s="312" t="n"/>
      <c r="H637" s="312" t="n"/>
      <c r="I637" s="313" t="n"/>
      <c r="J637" s="199" t="n"/>
      <c r="K637" s="314" t="n"/>
      <c r="L637" s="170" t="n"/>
      <c r="M637" s="170" t="n"/>
      <c r="N637" s="170" t="n"/>
      <c r="O637" s="172" t="n"/>
      <c r="P637" s="172" t="n"/>
    </row>
    <row r="638">
      <c r="B638" s="170" t="n"/>
      <c r="C638" s="199" t="n"/>
      <c r="D638" s="312" t="n"/>
      <c r="E638" s="312" t="n"/>
      <c r="F638" s="312" t="n"/>
      <c r="G638" s="312" t="n"/>
      <c r="H638" s="312" t="n"/>
      <c r="I638" s="313" t="n"/>
      <c r="J638" s="199" t="n"/>
      <c r="K638" s="314" t="n"/>
      <c r="L638" s="170" t="n"/>
      <c r="M638" s="170" t="n"/>
      <c r="N638" s="170" t="n"/>
      <c r="O638" s="172" t="n"/>
      <c r="P638" s="172" t="n"/>
    </row>
    <row r="639">
      <c r="B639" s="170" t="n"/>
      <c r="C639" s="199" t="n"/>
      <c r="D639" s="312" t="n"/>
      <c r="E639" s="312" t="n"/>
      <c r="F639" s="312" t="n"/>
      <c r="G639" s="312" t="n"/>
      <c r="H639" s="312" t="n"/>
      <c r="I639" s="313" t="n"/>
      <c r="J639" s="199" t="n"/>
      <c r="K639" s="314" t="n"/>
      <c r="L639" s="170" t="n"/>
      <c r="M639" s="170" t="n"/>
      <c r="N639" s="170" t="n"/>
      <c r="O639" s="172" t="n"/>
      <c r="P639" s="172" t="n"/>
    </row>
    <row r="640">
      <c r="B640" s="170" t="n"/>
      <c r="C640" s="199" t="n"/>
      <c r="D640" s="312" t="n"/>
      <c r="E640" s="312" t="n"/>
      <c r="F640" s="312" t="n"/>
      <c r="G640" s="312" t="n"/>
      <c r="H640" s="312" t="n"/>
      <c r="I640" s="313" t="n"/>
      <c r="J640" s="199" t="n"/>
      <c r="K640" s="314" t="n"/>
      <c r="L640" s="170" t="n"/>
      <c r="M640" s="170" t="n"/>
      <c r="N640" s="170" t="n"/>
      <c r="O640" s="172" t="n"/>
      <c r="P640" s="172" t="n"/>
    </row>
    <row r="641">
      <c r="B641" s="170" t="n"/>
      <c r="C641" s="199" t="n"/>
      <c r="D641" s="312" t="n"/>
      <c r="E641" s="312" t="n"/>
      <c r="F641" s="312" t="n"/>
      <c r="G641" s="312" t="n"/>
      <c r="H641" s="312" t="n"/>
      <c r="I641" s="313" t="n"/>
      <c r="J641" s="199" t="n"/>
      <c r="K641" s="314" t="n"/>
      <c r="L641" s="170" t="n"/>
      <c r="M641" s="170" t="n"/>
      <c r="N641" s="170" t="n"/>
      <c r="O641" s="172" t="n"/>
      <c r="P641" s="172" t="n"/>
    </row>
    <row r="642">
      <c r="B642" s="170" t="n"/>
      <c r="C642" s="199" t="n"/>
      <c r="D642" s="312" t="n"/>
      <c r="E642" s="312" t="n"/>
      <c r="F642" s="312" t="n"/>
      <c r="G642" s="312" t="n"/>
      <c r="H642" s="312" t="n"/>
      <c r="I642" s="313" t="n"/>
      <c r="J642" s="199" t="n"/>
      <c r="K642" s="314" t="n"/>
      <c r="L642" s="170" t="n"/>
      <c r="M642" s="170" t="n"/>
      <c r="N642" s="170" t="n"/>
      <c r="O642" s="172" t="n"/>
      <c r="P642" s="172" t="n"/>
    </row>
    <row r="643">
      <c r="B643" s="170" t="n"/>
      <c r="C643" s="199" t="n"/>
      <c r="D643" s="312" t="n"/>
      <c r="E643" s="312" t="n"/>
      <c r="F643" s="312" t="n"/>
      <c r="G643" s="312" t="n"/>
      <c r="H643" s="312" t="n"/>
      <c r="I643" s="313" t="n"/>
      <c r="J643" s="199" t="n"/>
      <c r="K643" s="314" t="n"/>
      <c r="L643" s="170" t="n"/>
      <c r="M643" s="170" t="n"/>
      <c r="N643" s="170" t="n"/>
      <c r="O643" s="172" t="n"/>
      <c r="P643" s="172" t="n"/>
    </row>
    <row r="644">
      <c r="B644" s="170" t="n"/>
      <c r="C644" s="199" t="n"/>
      <c r="D644" s="312" t="n"/>
      <c r="E644" s="312" t="n"/>
      <c r="F644" s="312" t="n"/>
      <c r="G644" s="312" t="n"/>
      <c r="H644" s="312" t="n"/>
      <c r="I644" s="313" t="n"/>
      <c r="J644" s="199" t="n"/>
      <c r="K644" s="314" t="n"/>
      <c r="L644" s="170" t="n"/>
      <c r="M644" s="170" t="n"/>
      <c r="N644" s="170" t="n"/>
      <c r="O644" s="172" t="n"/>
      <c r="P644" s="172" t="n"/>
    </row>
    <row r="645">
      <c r="B645" s="170" t="n"/>
      <c r="C645" s="199" t="n"/>
      <c r="D645" s="312" t="n"/>
      <c r="E645" s="312" t="n"/>
      <c r="F645" s="312" t="n"/>
      <c r="G645" s="312" t="n"/>
      <c r="H645" s="312" t="n"/>
      <c r="I645" s="313" t="n"/>
      <c r="J645" s="199" t="n"/>
      <c r="K645" s="314" t="n"/>
      <c r="L645" s="170" t="n"/>
      <c r="M645" s="170" t="n"/>
      <c r="N645" s="170" t="n"/>
      <c r="O645" s="172" t="n"/>
      <c r="P645" s="172" t="n"/>
    </row>
    <row r="646">
      <c r="B646" s="170" t="n"/>
      <c r="C646" s="199" t="n"/>
      <c r="D646" s="312" t="n"/>
      <c r="E646" s="312" t="n"/>
      <c r="F646" s="312" t="n"/>
      <c r="G646" s="312" t="n"/>
      <c r="H646" s="312" t="n"/>
      <c r="I646" s="313" t="n"/>
      <c r="J646" s="199" t="n"/>
      <c r="K646" s="314" t="n"/>
      <c r="L646" s="170" t="n"/>
      <c r="M646" s="170" t="n"/>
      <c r="N646" s="170" t="n"/>
      <c r="O646" s="172" t="n"/>
      <c r="P646" s="172" t="n"/>
    </row>
    <row r="647">
      <c r="B647" s="170" t="n"/>
      <c r="C647" s="199" t="n"/>
      <c r="D647" s="312" t="n"/>
      <c r="E647" s="312" t="n"/>
      <c r="F647" s="312" t="n"/>
      <c r="G647" s="312" t="n"/>
      <c r="H647" s="312" t="n"/>
      <c r="I647" s="313" t="n"/>
      <c r="J647" s="199" t="n"/>
      <c r="K647" s="314" t="n"/>
      <c r="L647" s="170" t="n"/>
      <c r="M647" s="170" t="n"/>
      <c r="N647" s="170" t="n"/>
      <c r="O647" s="172" t="n"/>
      <c r="P647" s="172" t="n"/>
    </row>
    <row r="648">
      <c r="B648" s="170" t="n"/>
      <c r="C648" s="199" t="n"/>
      <c r="D648" s="312" t="n"/>
      <c r="E648" s="312" t="n"/>
      <c r="F648" s="312" t="n"/>
      <c r="G648" s="312" t="n"/>
      <c r="H648" s="312" t="n"/>
      <c r="I648" s="313" t="n"/>
      <c r="J648" s="199" t="n"/>
      <c r="K648" s="314" t="n"/>
      <c r="L648" s="170" t="n"/>
      <c r="M648" s="170" t="n"/>
      <c r="N648" s="170" t="n"/>
      <c r="O648" s="172" t="n"/>
      <c r="P648" s="172" t="n"/>
    </row>
    <row r="649">
      <c r="B649" s="170" t="n"/>
      <c r="C649" s="199" t="n"/>
      <c r="D649" s="312" t="n"/>
      <c r="E649" s="312" t="n"/>
      <c r="F649" s="312" t="n"/>
      <c r="G649" s="312" t="n"/>
      <c r="H649" s="312" t="n"/>
      <c r="I649" s="313" t="n"/>
      <c r="J649" s="199" t="n"/>
      <c r="K649" s="314" t="n"/>
      <c r="L649" s="170" t="n"/>
      <c r="M649" s="170" t="n"/>
      <c r="N649" s="170" t="n"/>
      <c r="O649" s="172" t="n"/>
      <c r="P649" s="172" t="n"/>
    </row>
    <row r="650">
      <c r="B650" s="170" t="n"/>
      <c r="C650" s="199" t="n"/>
      <c r="D650" s="312" t="n"/>
      <c r="E650" s="312" t="n"/>
      <c r="F650" s="312" t="n"/>
      <c r="G650" s="312" t="n"/>
      <c r="H650" s="312" t="n"/>
      <c r="I650" s="313" t="n"/>
      <c r="J650" s="199" t="n"/>
      <c r="K650" s="314" t="n"/>
      <c r="L650" s="170" t="n"/>
      <c r="M650" s="170" t="n"/>
      <c r="N650" s="170" t="n"/>
      <c r="O650" s="172" t="n"/>
      <c r="P650" s="172" t="n"/>
    </row>
    <row r="651">
      <c r="B651" s="170" t="n"/>
      <c r="C651" s="199" t="n"/>
      <c r="D651" s="312" t="n"/>
      <c r="E651" s="312" t="n"/>
      <c r="F651" s="312" t="n"/>
      <c r="G651" s="312" t="n"/>
      <c r="H651" s="312" t="n"/>
      <c r="I651" s="313" t="n"/>
      <c r="J651" s="199" t="n"/>
      <c r="K651" s="314" t="n"/>
      <c r="L651" s="170" t="n"/>
      <c r="M651" s="170" t="n"/>
      <c r="N651" s="170" t="n"/>
      <c r="O651" s="172" t="n"/>
      <c r="P651" s="172" t="n"/>
    </row>
    <row r="652">
      <c r="B652" s="170" t="n"/>
      <c r="C652" s="199" t="n"/>
      <c r="D652" s="312" t="n"/>
      <c r="E652" s="312" t="n"/>
      <c r="F652" s="312" t="n"/>
      <c r="G652" s="312" t="n"/>
      <c r="H652" s="312" t="n"/>
      <c r="I652" s="313" t="n"/>
      <c r="J652" s="199" t="n"/>
      <c r="K652" s="314" t="n"/>
      <c r="L652" s="170" t="n"/>
      <c r="M652" s="170" t="n"/>
      <c r="N652" s="170" t="n"/>
      <c r="O652" s="172" t="n"/>
      <c r="P652" s="172" t="n"/>
    </row>
    <row r="653">
      <c r="B653" s="170" t="n"/>
      <c r="C653" s="199" t="n"/>
      <c r="D653" s="312" t="n"/>
      <c r="E653" s="312" t="n"/>
      <c r="F653" s="312" t="n"/>
      <c r="G653" s="312" t="n"/>
      <c r="H653" s="312" t="n"/>
      <c r="I653" s="313" t="n"/>
      <c r="J653" s="199" t="n"/>
      <c r="K653" s="314" t="n"/>
      <c r="L653" s="170" t="n"/>
      <c r="M653" s="170" t="n"/>
      <c r="N653" s="170" t="n"/>
      <c r="O653" s="172" t="n"/>
      <c r="P653" s="172" t="n"/>
    </row>
    <row r="654">
      <c r="B654" s="170" t="n"/>
      <c r="C654" s="199" t="n"/>
      <c r="D654" s="312" t="n"/>
      <c r="E654" s="312" t="n"/>
      <c r="F654" s="312" t="n"/>
      <c r="G654" s="312" t="n"/>
      <c r="H654" s="312" t="n"/>
      <c r="I654" s="313" t="n"/>
      <c r="J654" s="199" t="n"/>
      <c r="K654" s="314" t="n"/>
      <c r="L654" s="170" t="n"/>
      <c r="M654" s="170" t="n"/>
      <c r="N654" s="170" t="n"/>
      <c r="O654" s="172" t="n"/>
      <c r="P654" s="172" t="n"/>
    </row>
    <row r="655">
      <c r="B655" s="170" t="n"/>
      <c r="C655" s="199" t="n"/>
      <c r="D655" s="312" t="n"/>
      <c r="E655" s="312" t="n"/>
      <c r="F655" s="312" t="n"/>
      <c r="G655" s="312" t="n"/>
      <c r="H655" s="312" t="n"/>
      <c r="I655" s="313" t="n"/>
      <c r="J655" s="199" t="n"/>
      <c r="K655" s="314" t="n"/>
      <c r="L655" s="170" t="n"/>
      <c r="M655" s="170" t="n"/>
      <c r="N655" s="170" t="n"/>
      <c r="O655" s="172" t="n"/>
      <c r="P655" s="172" t="n"/>
    </row>
    <row r="656">
      <c r="B656" s="170" t="n"/>
      <c r="C656" s="199" t="n"/>
      <c r="D656" s="312" t="n"/>
      <c r="E656" s="312" t="n"/>
      <c r="F656" s="312" t="n"/>
      <c r="G656" s="312" t="n"/>
      <c r="H656" s="312" t="n"/>
      <c r="I656" s="313" t="n"/>
      <c r="J656" s="199" t="n"/>
      <c r="K656" s="314" t="n"/>
      <c r="L656" s="170" t="n"/>
      <c r="M656" s="170" t="n"/>
      <c r="N656" s="170" t="n"/>
      <c r="O656" s="172" t="n"/>
      <c r="P656" s="172" t="n"/>
    </row>
    <row r="657">
      <c r="B657" s="170" t="n"/>
      <c r="C657" s="199" t="n"/>
      <c r="D657" s="312" t="n"/>
      <c r="E657" s="312" t="n"/>
      <c r="F657" s="312" t="n"/>
      <c r="G657" s="312" t="n"/>
      <c r="H657" s="312" t="n"/>
      <c r="I657" s="313" t="n"/>
      <c r="J657" s="199" t="n"/>
      <c r="K657" s="314" t="n"/>
      <c r="L657" s="170" t="n"/>
      <c r="M657" s="170" t="n"/>
      <c r="N657" s="170" t="n"/>
      <c r="O657" s="172" t="n"/>
      <c r="P657" s="172" t="n"/>
    </row>
    <row r="658">
      <c r="B658" s="170" t="n"/>
      <c r="C658" s="199" t="n"/>
      <c r="D658" s="312" t="n"/>
      <c r="E658" s="312" t="n"/>
      <c r="F658" s="312" t="n"/>
      <c r="G658" s="312" t="n"/>
      <c r="H658" s="312" t="n"/>
      <c r="I658" s="313" t="n"/>
      <c r="J658" s="199" t="n"/>
      <c r="K658" s="314" t="n"/>
      <c r="L658" s="170" t="n"/>
      <c r="M658" s="170" t="n"/>
      <c r="N658" s="170" t="n"/>
      <c r="O658" s="172" t="n"/>
      <c r="P658" s="172" t="n"/>
    </row>
    <row r="659">
      <c r="B659" s="170" t="n"/>
      <c r="C659" s="199" t="n"/>
      <c r="D659" s="312" t="n"/>
      <c r="E659" s="312" t="n"/>
      <c r="F659" s="312" t="n"/>
      <c r="G659" s="312" t="n"/>
      <c r="H659" s="312" t="n"/>
      <c r="I659" s="313" t="n"/>
      <c r="J659" s="199" t="n"/>
      <c r="K659" s="314" t="n"/>
      <c r="L659" s="170" t="n"/>
      <c r="M659" s="170" t="n"/>
      <c r="N659" s="170" t="n"/>
      <c r="O659" s="172" t="n"/>
      <c r="P659" s="172" t="n"/>
    </row>
    <row r="660">
      <c r="B660" s="170" t="n"/>
      <c r="C660" s="199" t="n"/>
      <c r="D660" s="312" t="n"/>
      <c r="E660" s="312" t="n"/>
      <c r="F660" s="312" t="n"/>
      <c r="G660" s="312" t="n"/>
      <c r="H660" s="312" t="n"/>
      <c r="I660" s="313" t="n"/>
      <c r="J660" s="199" t="n"/>
      <c r="K660" s="314" t="n"/>
      <c r="L660" s="170" t="n"/>
      <c r="M660" s="170" t="n"/>
      <c r="N660" s="170" t="n"/>
      <c r="O660" s="172" t="n"/>
      <c r="P660" s="172" t="n"/>
    </row>
    <row r="661">
      <c r="B661" s="170" t="n"/>
      <c r="C661" s="199" t="n"/>
      <c r="D661" s="312" t="n"/>
      <c r="E661" s="312" t="n"/>
      <c r="F661" s="312" t="n"/>
      <c r="G661" s="312" t="n"/>
      <c r="H661" s="312" t="n"/>
      <c r="I661" s="313" t="n"/>
      <c r="J661" s="199" t="n"/>
      <c r="K661" s="314" t="n"/>
      <c r="L661" s="170" t="n"/>
      <c r="M661" s="170" t="n"/>
      <c r="N661" s="170" t="n"/>
      <c r="O661" s="172" t="n"/>
      <c r="P661" s="172" t="n"/>
    </row>
    <row r="662">
      <c r="B662" s="170" t="n"/>
      <c r="C662" s="199" t="n"/>
      <c r="D662" s="312" t="n"/>
      <c r="E662" s="312" t="n"/>
      <c r="F662" s="312" t="n"/>
      <c r="G662" s="312" t="n"/>
      <c r="H662" s="312" t="n"/>
      <c r="I662" s="313" t="n"/>
      <c r="J662" s="199" t="n"/>
      <c r="K662" s="314" t="n"/>
      <c r="L662" s="170" t="n"/>
      <c r="M662" s="170" t="n"/>
      <c r="N662" s="170" t="n"/>
      <c r="O662" s="172" t="n"/>
      <c r="P662" s="172" t="n"/>
    </row>
    <row r="663">
      <c r="B663" s="170" t="n"/>
      <c r="C663" s="199" t="n"/>
      <c r="D663" s="312" t="n"/>
      <c r="E663" s="312" t="n"/>
      <c r="F663" s="312" t="n"/>
      <c r="G663" s="312" t="n"/>
      <c r="H663" s="312" t="n"/>
      <c r="I663" s="313" t="n"/>
      <c r="J663" s="199" t="n"/>
      <c r="K663" s="314" t="n"/>
      <c r="L663" s="170" t="n"/>
      <c r="M663" s="170" t="n"/>
      <c r="N663" s="170" t="n"/>
      <c r="O663" s="172" t="n"/>
      <c r="P663" s="172" t="n"/>
    </row>
    <row r="664">
      <c r="B664" s="170" t="n"/>
      <c r="C664" s="199" t="n"/>
      <c r="D664" s="312" t="n"/>
      <c r="E664" s="312" t="n"/>
      <c r="F664" s="312" t="n"/>
      <c r="G664" s="312" t="n"/>
      <c r="H664" s="312" t="n"/>
      <c r="I664" s="313" t="n"/>
      <c r="J664" s="199" t="n"/>
      <c r="K664" s="314" t="n"/>
      <c r="L664" s="170" t="n"/>
      <c r="M664" s="170" t="n"/>
      <c r="N664" s="170" t="n"/>
      <c r="O664" s="172" t="n"/>
      <c r="P664" s="172" t="n"/>
    </row>
    <row r="665">
      <c r="B665" s="170" t="n"/>
      <c r="C665" s="199" t="n"/>
      <c r="D665" s="312" t="n"/>
      <c r="E665" s="312" t="n"/>
      <c r="F665" s="312" t="n"/>
      <c r="G665" s="312" t="n"/>
      <c r="H665" s="312" t="n"/>
      <c r="I665" s="313" t="n"/>
      <c r="J665" s="199" t="n"/>
      <c r="K665" s="314" t="n"/>
      <c r="L665" s="170" t="n"/>
      <c r="M665" s="170" t="n"/>
      <c r="N665" s="170" t="n"/>
      <c r="O665" s="172" t="n"/>
      <c r="P665" s="172" t="n"/>
    </row>
    <row r="666">
      <c r="B666" s="170" t="n"/>
      <c r="C666" s="199" t="n"/>
      <c r="D666" s="312" t="n"/>
      <c r="E666" s="312" t="n"/>
      <c r="F666" s="312" t="n"/>
      <c r="G666" s="312" t="n"/>
      <c r="H666" s="312" t="n"/>
      <c r="I666" s="313" t="n"/>
      <c r="J666" s="199" t="n"/>
      <c r="K666" s="314" t="n"/>
      <c r="L666" s="170" t="n"/>
      <c r="M666" s="170" t="n"/>
      <c r="N666" s="170" t="n"/>
      <c r="O666" s="172" t="n"/>
      <c r="P666" s="172" t="n"/>
    </row>
    <row r="667">
      <c r="B667" s="170" t="n"/>
      <c r="C667" s="199" t="n"/>
      <c r="D667" s="312" t="n"/>
      <c r="E667" s="312" t="n"/>
      <c r="F667" s="312" t="n"/>
      <c r="G667" s="312" t="n"/>
      <c r="H667" s="312" t="n"/>
      <c r="I667" s="313" t="n"/>
      <c r="J667" s="199" t="n"/>
      <c r="K667" s="314" t="n"/>
      <c r="L667" s="170" t="n"/>
      <c r="M667" s="170" t="n"/>
      <c r="N667" s="170" t="n"/>
      <c r="O667" s="172" t="n"/>
      <c r="P667" s="172" t="n"/>
    </row>
    <row r="668">
      <c r="B668" s="170" t="n"/>
      <c r="C668" s="199" t="n"/>
      <c r="D668" s="312" t="n"/>
      <c r="E668" s="312" t="n"/>
      <c r="F668" s="312" t="n"/>
      <c r="G668" s="312" t="n"/>
      <c r="H668" s="312" t="n"/>
      <c r="I668" s="313" t="n"/>
      <c r="J668" s="199" t="n"/>
      <c r="K668" s="314" t="n"/>
      <c r="L668" s="170" t="n"/>
      <c r="M668" s="170" t="n"/>
      <c r="N668" s="170" t="n"/>
      <c r="O668" s="172" t="n"/>
      <c r="P668" s="172" t="n"/>
    </row>
    <row r="669">
      <c r="B669" s="170" t="n"/>
      <c r="C669" s="199" t="n"/>
      <c r="D669" s="312" t="n"/>
      <c r="E669" s="312" t="n"/>
      <c r="F669" s="312" t="n"/>
      <c r="G669" s="312" t="n"/>
      <c r="H669" s="312" t="n"/>
      <c r="I669" s="313" t="n"/>
      <c r="J669" s="199" t="n"/>
      <c r="K669" s="314" t="n"/>
      <c r="L669" s="170" t="n"/>
      <c r="M669" s="170" t="n"/>
      <c r="N669" s="170" t="n"/>
      <c r="O669" s="172" t="n"/>
      <c r="P669" s="172" t="n"/>
    </row>
    <row r="670">
      <c r="B670" s="170" t="n"/>
      <c r="C670" s="199" t="n"/>
      <c r="D670" s="312" t="n"/>
      <c r="E670" s="312" t="n"/>
      <c r="F670" s="312" t="n"/>
      <c r="G670" s="312" t="n"/>
      <c r="H670" s="312" t="n"/>
      <c r="I670" s="313" t="n"/>
      <c r="J670" s="199" t="n"/>
      <c r="K670" s="314" t="n"/>
      <c r="L670" s="170" t="n"/>
      <c r="M670" s="170" t="n"/>
      <c r="N670" s="170" t="n"/>
      <c r="O670" s="172" t="n"/>
      <c r="P670" s="172" t="n"/>
    </row>
    <row r="671">
      <c r="B671" s="170" t="n"/>
      <c r="C671" s="199" t="n"/>
      <c r="D671" s="312" t="n"/>
      <c r="E671" s="312" t="n"/>
      <c r="F671" s="312" t="n"/>
      <c r="G671" s="312" t="n"/>
      <c r="H671" s="312" t="n"/>
      <c r="I671" s="313" t="n"/>
      <c r="J671" s="199" t="n"/>
      <c r="K671" s="314" t="n"/>
      <c r="L671" s="170" t="n"/>
      <c r="M671" s="170" t="n"/>
      <c r="N671" s="170" t="n"/>
      <c r="O671" s="172" t="n"/>
      <c r="P671" s="172" t="n"/>
    </row>
    <row r="672">
      <c r="B672" s="170" t="n"/>
      <c r="C672" s="199" t="n"/>
      <c r="D672" s="312" t="n"/>
      <c r="E672" s="312" t="n"/>
      <c r="F672" s="312" t="n"/>
      <c r="G672" s="312" t="n"/>
      <c r="H672" s="312" t="n"/>
      <c r="I672" s="313" t="n"/>
      <c r="J672" s="199" t="n"/>
      <c r="K672" s="314" t="n"/>
      <c r="L672" s="170" t="n"/>
      <c r="M672" s="170" t="n"/>
      <c r="N672" s="170" t="n"/>
      <c r="O672" s="172" t="n"/>
      <c r="P672" s="172" t="n"/>
    </row>
    <row r="673">
      <c r="B673" s="170" t="n"/>
      <c r="C673" s="199" t="n"/>
      <c r="D673" s="312" t="n"/>
      <c r="E673" s="312" t="n"/>
      <c r="F673" s="312" t="n"/>
      <c r="G673" s="312" t="n"/>
      <c r="H673" s="312" t="n"/>
      <c r="I673" s="313" t="n"/>
      <c r="J673" s="199" t="n"/>
      <c r="K673" s="314" t="n"/>
      <c r="L673" s="170" t="n"/>
      <c r="M673" s="170" t="n"/>
      <c r="N673" s="170" t="n"/>
      <c r="O673" s="172" t="n"/>
      <c r="P673" s="172" t="n"/>
    </row>
    <row r="674">
      <c r="B674" s="170" t="n"/>
      <c r="C674" s="199" t="n"/>
      <c r="D674" s="312" t="n"/>
      <c r="E674" s="312" t="n"/>
      <c r="F674" s="312" t="n"/>
      <c r="G674" s="312" t="n"/>
      <c r="H674" s="312" t="n"/>
      <c r="I674" s="313" t="n"/>
      <c r="J674" s="199" t="n"/>
      <c r="K674" s="314" t="n"/>
      <c r="L674" s="170" t="n"/>
      <c r="M674" s="170" t="n"/>
      <c r="N674" s="170" t="n"/>
      <c r="O674" s="172" t="n"/>
      <c r="P674" s="172" t="n"/>
    </row>
    <row r="675">
      <c r="B675" s="170" t="n"/>
      <c r="C675" s="199" t="n"/>
      <c r="D675" s="312" t="n"/>
      <c r="E675" s="312" t="n"/>
      <c r="F675" s="312" t="n"/>
      <c r="G675" s="312" t="n"/>
      <c r="H675" s="312" t="n"/>
      <c r="I675" s="313" t="n"/>
      <c r="J675" s="199" t="n"/>
      <c r="K675" s="314" t="n"/>
      <c r="L675" s="170" t="n"/>
      <c r="M675" s="170" t="n"/>
      <c r="N675" s="170" t="n"/>
      <c r="O675" s="172" t="n"/>
      <c r="P675" s="172" t="n"/>
    </row>
    <row r="676">
      <c r="B676" s="170" t="n"/>
      <c r="C676" s="199" t="n"/>
      <c r="D676" s="312" t="n"/>
      <c r="E676" s="312" t="n"/>
      <c r="F676" s="312" t="n"/>
      <c r="G676" s="312" t="n"/>
      <c r="H676" s="312" t="n"/>
      <c r="I676" s="313" t="n"/>
      <c r="J676" s="199" t="n"/>
      <c r="K676" s="314" t="n"/>
      <c r="L676" s="170" t="n"/>
      <c r="M676" s="170" t="n"/>
      <c r="N676" s="170" t="n"/>
      <c r="O676" s="172" t="n"/>
      <c r="P676" s="172" t="n"/>
    </row>
    <row r="677">
      <c r="B677" s="170" t="n"/>
      <c r="C677" s="199" t="n"/>
      <c r="D677" s="312" t="n"/>
      <c r="E677" s="312" t="n"/>
      <c r="F677" s="312" t="n"/>
      <c r="G677" s="312" t="n"/>
      <c r="H677" s="312" t="n"/>
      <c r="I677" s="313" t="n"/>
      <c r="J677" s="199" t="n"/>
      <c r="K677" s="314" t="n"/>
      <c r="L677" s="170" t="n"/>
      <c r="M677" s="170" t="n"/>
      <c r="N677" s="170" t="n"/>
      <c r="O677" s="172" t="n"/>
      <c r="P677" s="172" t="n"/>
    </row>
    <row r="678">
      <c r="B678" s="170" t="n"/>
      <c r="C678" s="199" t="n"/>
      <c r="D678" s="312" t="n"/>
      <c r="E678" s="312" t="n"/>
      <c r="F678" s="312" t="n"/>
      <c r="G678" s="312" t="n"/>
      <c r="H678" s="312" t="n"/>
      <c r="I678" s="313" t="n"/>
      <c r="J678" s="199" t="n"/>
      <c r="K678" s="314" t="n"/>
      <c r="L678" s="170" t="n"/>
      <c r="M678" s="170" t="n"/>
      <c r="N678" s="170" t="n"/>
      <c r="O678" s="172" t="n"/>
      <c r="P678" s="172" t="n"/>
    </row>
    <row r="679">
      <c r="B679" s="170" t="n"/>
      <c r="C679" s="199" t="n"/>
      <c r="D679" s="312" t="n"/>
      <c r="E679" s="312" t="n"/>
      <c r="F679" s="312" t="n"/>
      <c r="G679" s="312" t="n"/>
      <c r="H679" s="312" t="n"/>
      <c r="I679" s="313" t="n"/>
      <c r="J679" s="199" t="n"/>
      <c r="K679" s="314" t="n"/>
      <c r="L679" s="170" t="n"/>
      <c r="M679" s="170" t="n"/>
      <c r="N679" s="170" t="n"/>
      <c r="O679" s="172" t="n"/>
      <c r="P679" s="172" t="n"/>
    </row>
    <row r="680">
      <c r="B680" s="170" t="n"/>
      <c r="C680" s="199" t="n"/>
      <c r="D680" s="312" t="n"/>
      <c r="E680" s="312" t="n"/>
      <c r="F680" s="312" t="n"/>
      <c r="G680" s="312" t="n"/>
      <c r="H680" s="312" t="n"/>
      <c r="I680" s="313" t="n"/>
      <c r="J680" s="199" t="n"/>
      <c r="K680" s="314" t="n"/>
      <c r="L680" s="170" t="n"/>
      <c r="M680" s="170" t="n"/>
      <c r="N680" s="170" t="n"/>
      <c r="O680" s="172" t="n"/>
      <c r="P680" s="172" t="n"/>
    </row>
    <row r="681">
      <c r="B681" s="170" t="n"/>
      <c r="C681" s="199" t="n"/>
      <c r="D681" s="312" t="n"/>
      <c r="E681" s="312" t="n"/>
      <c r="F681" s="312" t="n"/>
      <c r="G681" s="312" t="n"/>
      <c r="H681" s="312" t="n"/>
      <c r="I681" s="313" t="n"/>
      <c r="J681" s="199" t="n"/>
      <c r="K681" s="314" t="n"/>
      <c r="L681" s="170" t="n"/>
      <c r="M681" s="170" t="n"/>
      <c r="N681" s="170" t="n"/>
      <c r="O681" s="172" t="n"/>
      <c r="P681" s="172" t="n"/>
    </row>
    <row r="682">
      <c r="B682" s="170" t="n"/>
      <c r="C682" s="199" t="n"/>
      <c r="D682" s="312" t="n"/>
      <c r="E682" s="312" t="n"/>
      <c r="F682" s="312" t="n"/>
      <c r="G682" s="312" t="n"/>
      <c r="H682" s="312" t="n"/>
      <c r="I682" s="313" t="n"/>
      <c r="J682" s="199" t="n"/>
      <c r="K682" s="314" t="n"/>
      <c r="L682" s="170" t="n"/>
      <c r="M682" s="170" t="n"/>
      <c r="N682" s="170" t="n"/>
      <c r="O682" s="172" t="n"/>
      <c r="P682" s="172" t="n"/>
    </row>
    <row r="683">
      <c r="B683" s="170" t="n"/>
      <c r="C683" s="199" t="n"/>
      <c r="D683" s="312" t="n"/>
      <c r="E683" s="312" t="n"/>
      <c r="F683" s="312" t="n"/>
      <c r="G683" s="312" t="n"/>
      <c r="H683" s="312" t="n"/>
      <c r="I683" s="313" t="n"/>
      <c r="J683" s="199" t="n"/>
      <c r="K683" s="314" t="n"/>
      <c r="L683" s="170" t="n"/>
      <c r="M683" s="170" t="n"/>
      <c r="N683" s="170" t="n"/>
      <c r="O683" s="172" t="n"/>
      <c r="P683" s="172" t="n"/>
    </row>
    <row r="684">
      <c r="B684" s="170" t="n"/>
      <c r="C684" s="199" t="n"/>
      <c r="D684" s="312" t="n"/>
      <c r="E684" s="312" t="n"/>
      <c r="F684" s="312" t="n"/>
      <c r="G684" s="312" t="n"/>
      <c r="H684" s="312" t="n"/>
      <c r="I684" s="313" t="n"/>
      <c r="J684" s="199" t="n"/>
      <c r="K684" s="314" t="n"/>
      <c r="L684" s="170" t="n"/>
      <c r="M684" s="170" t="n"/>
      <c r="N684" s="170" t="n"/>
      <c r="O684" s="172" t="n"/>
      <c r="P684" s="172" t="n"/>
    </row>
    <row r="685">
      <c r="B685" s="170" t="n"/>
      <c r="C685" s="199" t="n"/>
      <c r="D685" s="312" t="n"/>
      <c r="E685" s="312" t="n"/>
      <c r="F685" s="312" t="n"/>
      <c r="G685" s="312" t="n"/>
      <c r="H685" s="312" t="n"/>
      <c r="I685" s="313" t="n"/>
      <c r="J685" s="199" t="n"/>
      <c r="K685" s="314" t="n"/>
      <c r="L685" s="170" t="n"/>
      <c r="M685" s="170" t="n"/>
      <c r="N685" s="170" t="n"/>
      <c r="O685" s="172" t="n"/>
      <c r="P685" s="172" t="n"/>
    </row>
    <row r="686">
      <c r="B686" s="170" t="n"/>
      <c r="C686" s="199" t="n"/>
      <c r="D686" s="312" t="n"/>
      <c r="E686" s="312" t="n"/>
      <c r="F686" s="312" t="n"/>
      <c r="G686" s="312" t="n"/>
      <c r="H686" s="312" t="n"/>
      <c r="I686" s="313" t="n"/>
      <c r="J686" s="199" t="n"/>
      <c r="K686" s="314" t="n"/>
      <c r="L686" s="170" t="n"/>
      <c r="M686" s="170" t="n"/>
      <c r="N686" s="170" t="n"/>
      <c r="O686" s="172" t="n"/>
      <c r="P686" s="172" t="n"/>
    </row>
    <row r="687">
      <c r="B687" s="170" t="n"/>
      <c r="C687" s="199" t="n"/>
      <c r="D687" s="312" t="n"/>
      <c r="E687" s="312" t="n"/>
      <c r="F687" s="312" t="n"/>
      <c r="G687" s="312" t="n"/>
      <c r="H687" s="312" t="n"/>
      <c r="I687" s="313" t="n"/>
      <c r="J687" s="199" t="n"/>
      <c r="K687" s="314" t="n"/>
      <c r="L687" s="170" t="n"/>
      <c r="M687" s="170" t="n"/>
      <c r="N687" s="170" t="n"/>
      <c r="O687" s="172" t="n"/>
      <c r="P687" s="172" t="n"/>
    </row>
    <row r="688">
      <c r="B688" s="170" t="n"/>
      <c r="C688" s="199" t="n"/>
      <c r="D688" s="312" t="n"/>
      <c r="E688" s="312" t="n"/>
      <c r="F688" s="312" t="n"/>
      <c r="G688" s="312" t="n"/>
      <c r="H688" s="312" t="n"/>
      <c r="I688" s="313" t="n"/>
      <c r="J688" s="199" t="n"/>
      <c r="K688" s="314" t="n"/>
      <c r="L688" s="170" t="n"/>
      <c r="M688" s="170" t="n"/>
      <c r="N688" s="170" t="n"/>
      <c r="O688" s="172" t="n"/>
      <c r="P688" s="172" t="n"/>
    </row>
    <row r="689">
      <c r="B689" s="170" t="n"/>
      <c r="C689" s="199" t="n"/>
      <c r="D689" s="312" t="n"/>
      <c r="E689" s="312" t="n"/>
      <c r="F689" s="312" t="n"/>
      <c r="G689" s="312" t="n"/>
      <c r="H689" s="312" t="n"/>
      <c r="I689" s="313" t="n"/>
      <c r="J689" s="199" t="n"/>
      <c r="K689" s="314" t="n"/>
      <c r="L689" s="170" t="n"/>
      <c r="M689" s="170" t="n"/>
      <c r="N689" s="170" t="n"/>
      <c r="O689" s="172" t="n"/>
      <c r="P689" s="172" t="n"/>
    </row>
    <row r="690">
      <c r="B690" s="170" t="n"/>
      <c r="C690" s="199" t="n"/>
      <c r="D690" s="312" t="n"/>
      <c r="E690" s="312" t="n"/>
      <c r="F690" s="312" t="n"/>
      <c r="G690" s="312" t="n"/>
      <c r="H690" s="312" t="n"/>
      <c r="I690" s="313" t="n"/>
      <c r="J690" s="199" t="n"/>
      <c r="K690" s="314" t="n"/>
      <c r="L690" s="170" t="n"/>
      <c r="M690" s="170" t="n"/>
      <c r="N690" s="170" t="n"/>
      <c r="O690" s="172" t="n"/>
      <c r="P690" s="172" t="n"/>
    </row>
    <row r="691">
      <c r="B691" s="170" t="n"/>
      <c r="C691" s="199" t="n"/>
      <c r="D691" s="312" t="n"/>
      <c r="E691" s="312" t="n"/>
      <c r="F691" s="312" t="n"/>
      <c r="G691" s="312" t="n"/>
      <c r="H691" s="312" t="n"/>
      <c r="I691" s="313" t="n"/>
      <c r="J691" s="199" t="n"/>
      <c r="K691" s="314" t="n"/>
      <c r="L691" s="170" t="n"/>
      <c r="M691" s="170" t="n"/>
      <c r="N691" s="170" t="n"/>
      <c r="O691" s="172" t="n"/>
      <c r="P691" s="172" t="n"/>
    </row>
    <row r="692">
      <c r="B692" s="170" t="n"/>
      <c r="C692" s="199" t="n"/>
      <c r="D692" s="312" t="n"/>
      <c r="E692" s="312" t="n"/>
      <c r="F692" s="312" t="n"/>
      <c r="G692" s="312" t="n"/>
      <c r="H692" s="312" t="n"/>
      <c r="I692" s="313" t="n"/>
      <c r="J692" s="199" t="n"/>
      <c r="K692" s="314" t="n"/>
      <c r="L692" s="170" t="n"/>
      <c r="M692" s="170" t="n"/>
      <c r="N692" s="170" t="n"/>
      <c r="O692" s="172" t="n"/>
      <c r="P692" s="172" t="n"/>
    </row>
    <row r="693">
      <c r="B693" s="170" t="n"/>
      <c r="C693" s="199" t="n"/>
      <c r="D693" s="312" t="n"/>
      <c r="E693" s="312" t="n"/>
      <c r="F693" s="312" t="n"/>
      <c r="G693" s="312" t="n"/>
      <c r="H693" s="312" t="n"/>
      <c r="I693" s="313" t="n"/>
      <c r="J693" s="199" t="n"/>
      <c r="K693" s="314" t="n"/>
      <c r="L693" s="170" t="n"/>
      <c r="M693" s="170" t="n"/>
      <c r="N693" s="170" t="n"/>
      <c r="O693" s="172" t="n"/>
      <c r="P693" s="172" t="n"/>
    </row>
    <row r="694">
      <c r="B694" s="170" t="n"/>
      <c r="C694" s="199" t="n"/>
      <c r="D694" s="312" t="n"/>
      <c r="E694" s="312" t="n"/>
      <c r="F694" s="312" t="n"/>
      <c r="G694" s="312" t="n"/>
      <c r="H694" s="312" t="n"/>
      <c r="I694" s="313" t="n"/>
      <c r="J694" s="199" t="n"/>
      <c r="K694" s="314" t="n"/>
      <c r="L694" s="170" t="n"/>
      <c r="M694" s="170" t="n"/>
      <c r="N694" s="170" t="n"/>
      <c r="O694" s="172" t="n"/>
      <c r="P694" s="172" t="n"/>
    </row>
    <row r="695">
      <c r="B695" s="170" t="n"/>
      <c r="C695" s="199" t="n"/>
      <c r="D695" s="312" t="n"/>
      <c r="E695" s="312" t="n"/>
      <c r="F695" s="312" t="n"/>
      <c r="G695" s="312" t="n"/>
      <c r="H695" s="312" t="n"/>
      <c r="I695" s="313" t="n"/>
      <c r="J695" s="199" t="n"/>
      <c r="K695" s="314" t="n"/>
      <c r="L695" s="170" t="n"/>
      <c r="M695" s="170" t="n"/>
      <c r="N695" s="170" t="n"/>
      <c r="O695" s="172" t="n"/>
      <c r="P695" s="172" t="n"/>
    </row>
    <row r="696">
      <c r="B696" s="170" t="n"/>
      <c r="C696" s="199" t="n"/>
      <c r="D696" s="312" t="n"/>
      <c r="E696" s="312" t="n"/>
      <c r="F696" s="312" t="n"/>
      <c r="G696" s="312" t="n"/>
      <c r="H696" s="312" t="n"/>
      <c r="I696" s="313" t="n"/>
      <c r="J696" s="199" t="n"/>
      <c r="K696" s="314" t="n"/>
      <c r="L696" s="170" t="n"/>
      <c r="M696" s="170" t="n"/>
      <c r="N696" s="170" t="n"/>
      <c r="O696" s="172" t="n"/>
      <c r="P696" s="172" t="n"/>
    </row>
    <row r="697">
      <c r="B697" s="170" t="n"/>
      <c r="C697" s="199" t="n"/>
      <c r="D697" s="312" t="n"/>
      <c r="E697" s="312" t="n"/>
      <c r="F697" s="312" t="n"/>
      <c r="G697" s="312" t="n"/>
      <c r="H697" s="312" t="n"/>
      <c r="I697" s="313" t="n"/>
      <c r="J697" s="199" t="n"/>
      <c r="K697" s="314" t="n"/>
      <c r="L697" s="170" t="n"/>
      <c r="M697" s="170" t="n"/>
      <c r="N697" s="170" t="n"/>
      <c r="O697" s="172" t="n"/>
      <c r="P697" s="172" t="n"/>
    </row>
    <row r="698">
      <c r="B698" s="170" t="n"/>
      <c r="C698" s="199" t="n"/>
      <c r="D698" s="312" t="n"/>
      <c r="E698" s="312" t="n"/>
      <c r="F698" s="312" t="n"/>
      <c r="G698" s="312" t="n"/>
      <c r="H698" s="312" t="n"/>
      <c r="I698" s="313" t="n"/>
      <c r="J698" s="199" t="n"/>
      <c r="K698" s="314" t="n"/>
      <c r="L698" s="170" t="n"/>
      <c r="M698" s="170" t="n"/>
      <c r="N698" s="170" t="n"/>
      <c r="O698" s="172" t="n"/>
      <c r="P698" s="172" t="n"/>
    </row>
    <row r="699">
      <c r="B699" s="170" t="n"/>
      <c r="C699" s="199" t="n"/>
      <c r="D699" s="312" t="n"/>
      <c r="E699" s="312" t="n"/>
      <c r="F699" s="312" t="n"/>
      <c r="G699" s="312" t="n"/>
      <c r="H699" s="312" t="n"/>
      <c r="I699" s="313" t="n"/>
      <c r="J699" s="199" t="n"/>
      <c r="K699" s="314" t="n"/>
      <c r="L699" s="170" t="n"/>
      <c r="M699" s="170" t="n"/>
      <c r="N699" s="170" t="n"/>
      <c r="O699" s="172" t="n"/>
      <c r="P699" s="172" t="n"/>
    </row>
    <row r="700">
      <c r="B700" s="170" t="n"/>
      <c r="C700" s="199" t="n"/>
      <c r="D700" s="312" t="n"/>
      <c r="E700" s="312" t="n"/>
      <c r="F700" s="312" t="n"/>
      <c r="G700" s="312" t="n"/>
      <c r="H700" s="312" t="n"/>
      <c r="I700" s="313" t="n"/>
      <c r="J700" s="199" t="n"/>
      <c r="K700" s="314" t="n"/>
      <c r="L700" s="170" t="n"/>
      <c r="M700" s="170" t="n"/>
      <c r="N700" s="170" t="n"/>
      <c r="O700" s="172" t="n"/>
      <c r="P700" s="172" t="n"/>
    </row>
    <row r="701">
      <c r="B701" s="170" t="n"/>
      <c r="C701" s="199" t="n"/>
      <c r="D701" s="312" t="n"/>
      <c r="E701" s="312" t="n"/>
      <c r="F701" s="312" t="n"/>
      <c r="G701" s="312" t="n"/>
      <c r="H701" s="312" t="n"/>
      <c r="I701" s="313" t="n"/>
      <c r="J701" s="199" t="n"/>
      <c r="K701" s="314" t="n"/>
      <c r="L701" s="170" t="n"/>
      <c r="M701" s="170" t="n"/>
      <c r="N701" s="170" t="n"/>
      <c r="O701" s="172" t="n"/>
      <c r="P701" s="172" t="n"/>
    </row>
    <row r="702">
      <c r="B702" s="170" t="n"/>
      <c r="C702" s="199" t="n"/>
      <c r="D702" s="312" t="n"/>
      <c r="E702" s="312" t="n"/>
      <c r="F702" s="312" t="n"/>
      <c r="G702" s="312" t="n"/>
      <c r="H702" s="312" t="n"/>
      <c r="I702" s="313" t="n"/>
      <c r="J702" s="199" t="n"/>
      <c r="K702" s="314" t="n"/>
      <c r="L702" s="170" t="n"/>
      <c r="M702" s="170" t="n"/>
      <c r="N702" s="170" t="n"/>
      <c r="O702" s="172" t="n"/>
      <c r="P702" s="172" t="n"/>
    </row>
    <row r="703">
      <c r="B703" s="170" t="n"/>
      <c r="C703" s="199" t="n"/>
      <c r="D703" s="312" t="n"/>
      <c r="E703" s="312" t="n"/>
      <c r="F703" s="312" t="n"/>
      <c r="G703" s="312" t="n"/>
      <c r="H703" s="312" t="n"/>
      <c r="I703" s="313" t="n"/>
      <c r="J703" s="199" t="n"/>
      <c r="K703" s="314" t="n"/>
      <c r="L703" s="170" t="n"/>
      <c r="M703" s="170" t="n"/>
      <c r="N703" s="170" t="n"/>
      <c r="O703" s="172" t="n"/>
      <c r="P703" s="172" t="n"/>
    </row>
    <row r="704">
      <c r="B704" s="170" t="n"/>
      <c r="C704" s="199" t="n"/>
      <c r="D704" s="312" t="n"/>
      <c r="E704" s="312" t="n"/>
      <c r="F704" s="312" t="n"/>
      <c r="G704" s="312" t="n"/>
      <c r="H704" s="312" t="n"/>
      <c r="I704" s="313" t="n"/>
      <c r="J704" s="199" t="n"/>
      <c r="K704" s="314" t="n"/>
      <c r="L704" s="170" t="n"/>
      <c r="M704" s="170" t="n"/>
      <c r="N704" s="170" t="n"/>
      <c r="O704" s="172" t="n"/>
      <c r="P704" s="172" t="n"/>
    </row>
    <row r="705">
      <c r="B705" s="170" t="n"/>
      <c r="C705" s="199" t="n"/>
      <c r="D705" s="312" t="n"/>
      <c r="E705" s="312" t="n"/>
      <c r="F705" s="312" t="n"/>
      <c r="G705" s="312" t="n"/>
      <c r="H705" s="312" t="n"/>
      <c r="I705" s="313" t="n"/>
      <c r="J705" s="199" t="n"/>
      <c r="K705" s="314" t="n"/>
      <c r="L705" s="170" t="n"/>
      <c r="M705" s="170" t="n"/>
      <c r="N705" s="170" t="n"/>
      <c r="O705" s="172" t="n"/>
      <c r="P705" s="172" t="n"/>
    </row>
    <row r="706">
      <c r="B706" s="170" t="n"/>
      <c r="C706" s="199" t="n"/>
      <c r="D706" s="312" t="n"/>
      <c r="E706" s="312" t="n"/>
      <c r="F706" s="312" t="n"/>
      <c r="G706" s="312" t="n"/>
      <c r="H706" s="312" t="n"/>
      <c r="I706" s="313" t="n"/>
      <c r="J706" s="199" t="n"/>
      <c r="K706" s="314" t="n"/>
      <c r="L706" s="170" t="n"/>
      <c r="M706" s="170" t="n"/>
      <c r="N706" s="170" t="n"/>
      <c r="O706" s="172" t="n"/>
      <c r="P706" s="172" t="n"/>
    </row>
    <row r="707">
      <c r="B707" s="170" t="n"/>
      <c r="C707" s="199" t="n"/>
      <c r="D707" s="312" t="n"/>
      <c r="E707" s="312" t="n"/>
      <c r="F707" s="312" t="n"/>
      <c r="G707" s="312" t="n"/>
      <c r="H707" s="312" t="n"/>
      <c r="I707" s="313" t="n"/>
      <c r="J707" s="199" t="n"/>
      <c r="K707" s="314" t="n"/>
      <c r="L707" s="170" t="n"/>
      <c r="M707" s="170" t="n"/>
      <c r="N707" s="170" t="n"/>
      <c r="O707" s="172" t="n"/>
      <c r="P707" s="172" t="n"/>
    </row>
    <row r="708">
      <c r="B708" s="170" t="n"/>
      <c r="C708" s="199" t="n"/>
      <c r="D708" s="312" t="n"/>
      <c r="E708" s="312" t="n"/>
      <c r="F708" s="312" t="n"/>
      <c r="G708" s="312" t="n"/>
      <c r="H708" s="312" t="n"/>
      <c r="I708" s="313" t="n"/>
      <c r="J708" s="199" t="n"/>
      <c r="K708" s="314" t="n"/>
      <c r="L708" s="170" t="n"/>
      <c r="M708" s="170" t="n"/>
      <c r="N708" s="170" t="n"/>
      <c r="O708" s="172" t="n"/>
      <c r="P708" s="172" t="n"/>
    </row>
    <row r="709">
      <c r="B709" s="170" t="n"/>
      <c r="C709" s="199" t="n"/>
      <c r="D709" s="312" t="n"/>
      <c r="E709" s="312" t="n"/>
      <c r="F709" s="312" t="n"/>
      <c r="G709" s="312" t="n"/>
      <c r="H709" s="312" t="n"/>
      <c r="I709" s="313" t="n"/>
      <c r="J709" s="199" t="n"/>
      <c r="K709" s="314" t="n"/>
      <c r="L709" s="170" t="n"/>
      <c r="M709" s="170" t="n"/>
      <c r="N709" s="170" t="n"/>
      <c r="O709" s="172" t="n"/>
      <c r="P709" s="172" t="n"/>
    </row>
    <row r="710">
      <c r="B710" s="170" t="n"/>
      <c r="C710" s="199" t="n"/>
      <c r="D710" s="312" t="n"/>
      <c r="E710" s="312" t="n"/>
      <c r="F710" s="312" t="n"/>
      <c r="G710" s="312" t="n"/>
      <c r="H710" s="312" t="n"/>
      <c r="I710" s="313" t="n"/>
      <c r="J710" s="199" t="n"/>
      <c r="K710" s="314" t="n"/>
      <c r="L710" s="170" t="n"/>
      <c r="M710" s="170" t="n"/>
      <c r="N710" s="170" t="n"/>
      <c r="O710" s="172" t="n"/>
      <c r="P710" s="172" t="n"/>
    </row>
    <row r="711">
      <c r="B711" s="170" t="n"/>
      <c r="C711" s="199" t="n"/>
      <c r="D711" s="312" t="n"/>
      <c r="E711" s="312" t="n"/>
      <c r="F711" s="312" t="n"/>
      <c r="G711" s="312" t="n"/>
      <c r="H711" s="312" t="n"/>
      <c r="I711" s="313" t="n"/>
      <c r="J711" s="199" t="n"/>
      <c r="K711" s="314" t="n"/>
      <c r="L711" s="170" t="n"/>
      <c r="M711" s="170" t="n"/>
      <c r="N711" s="170" t="n"/>
      <c r="O711" s="172" t="n"/>
      <c r="P711" s="172" t="n"/>
    </row>
    <row r="712">
      <c r="B712" s="170" t="n"/>
      <c r="C712" s="199" t="n"/>
      <c r="D712" s="312" t="n"/>
      <c r="E712" s="312" t="n"/>
      <c r="F712" s="312" t="n"/>
      <c r="G712" s="312" t="n"/>
      <c r="H712" s="312" t="n"/>
      <c r="I712" s="313" t="n"/>
      <c r="J712" s="199" t="n"/>
      <c r="K712" s="314" t="n"/>
      <c r="L712" s="170" t="n"/>
      <c r="M712" s="170" t="n"/>
      <c r="N712" s="170" t="n"/>
      <c r="O712" s="172" t="n"/>
      <c r="P712" s="172" t="n"/>
    </row>
    <row r="713">
      <c r="B713" s="170" t="n"/>
      <c r="C713" s="199" t="n"/>
      <c r="D713" s="312" t="n"/>
      <c r="E713" s="312" t="n"/>
      <c r="F713" s="312" t="n"/>
      <c r="G713" s="312" t="n"/>
      <c r="H713" s="312" t="n"/>
      <c r="I713" s="313" t="n"/>
      <c r="J713" s="199" t="n"/>
      <c r="K713" s="314" t="n"/>
      <c r="L713" s="170" t="n"/>
      <c r="M713" s="170" t="n"/>
      <c r="N713" s="170" t="n"/>
      <c r="O713" s="172" t="n"/>
      <c r="P713" s="172" t="n"/>
    </row>
    <row r="714">
      <c r="B714" s="170" t="n"/>
      <c r="C714" s="199" t="n"/>
      <c r="D714" s="312" t="n"/>
      <c r="E714" s="312" t="n"/>
      <c r="F714" s="312" t="n"/>
      <c r="G714" s="312" t="n"/>
      <c r="H714" s="312" t="n"/>
      <c r="I714" s="313" t="n"/>
      <c r="J714" s="199" t="n"/>
      <c r="K714" s="314" t="n"/>
      <c r="L714" s="170" t="n"/>
      <c r="M714" s="170" t="n"/>
      <c r="N714" s="170" t="n"/>
      <c r="O714" s="172" t="n"/>
      <c r="P714" s="172" t="n"/>
    </row>
    <row r="715">
      <c r="B715" s="170" t="n"/>
      <c r="C715" s="199" t="n"/>
      <c r="D715" s="312" t="n"/>
      <c r="E715" s="312" t="n"/>
      <c r="F715" s="312" t="n"/>
      <c r="G715" s="312" t="n"/>
      <c r="H715" s="312" t="n"/>
      <c r="I715" s="313" t="n"/>
      <c r="J715" s="199" t="n"/>
      <c r="K715" s="314" t="n"/>
      <c r="L715" s="170" t="n"/>
      <c r="M715" s="170" t="n"/>
      <c r="N715" s="170" t="n"/>
      <c r="O715" s="172" t="n"/>
      <c r="P715" s="172" t="n"/>
    </row>
    <row r="716">
      <c r="B716" s="170" t="n"/>
      <c r="C716" s="199" t="n"/>
      <c r="D716" s="312" t="n"/>
      <c r="E716" s="312" t="n"/>
      <c r="F716" s="312" t="n"/>
      <c r="G716" s="312" t="n"/>
      <c r="H716" s="312" t="n"/>
      <c r="I716" s="313" t="n"/>
      <c r="J716" s="199" t="n"/>
      <c r="K716" s="314" t="n"/>
      <c r="L716" s="170" t="n"/>
      <c r="M716" s="170" t="n"/>
      <c r="N716" s="170" t="n"/>
      <c r="O716" s="172" t="n"/>
      <c r="P716" s="172" t="n"/>
    </row>
    <row r="717">
      <c r="B717" s="170" t="n"/>
      <c r="C717" s="199" t="n"/>
      <c r="D717" s="312" t="n"/>
      <c r="E717" s="312" t="n"/>
      <c r="F717" s="312" t="n"/>
      <c r="G717" s="312" t="n"/>
      <c r="H717" s="312" t="n"/>
      <c r="I717" s="313" t="n"/>
      <c r="J717" s="199" t="n"/>
      <c r="K717" s="314" t="n"/>
      <c r="L717" s="170" t="n"/>
      <c r="M717" s="170" t="n"/>
      <c r="N717" s="170" t="n"/>
      <c r="O717" s="172" t="n"/>
      <c r="P717" s="172" t="n"/>
    </row>
    <row r="718">
      <c r="B718" s="170" t="n"/>
      <c r="C718" s="199" t="n"/>
      <c r="D718" s="312" t="n"/>
      <c r="E718" s="312" t="n"/>
      <c r="F718" s="312" t="n"/>
      <c r="G718" s="312" t="n"/>
      <c r="H718" s="312" t="n"/>
      <c r="I718" s="313" t="n"/>
      <c r="J718" s="199" t="n"/>
      <c r="K718" s="314" t="n"/>
      <c r="L718" s="170" t="n"/>
      <c r="M718" s="170" t="n"/>
      <c r="N718" s="170" t="n"/>
      <c r="O718" s="172" t="n"/>
      <c r="P718" s="172" t="n"/>
    </row>
    <row r="719">
      <c r="B719" s="170" t="n"/>
      <c r="C719" s="199" t="n"/>
      <c r="D719" s="312" t="n"/>
      <c r="E719" s="312" t="n"/>
      <c r="F719" s="312" t="n"/>
      <c r="G719" s="312" t="n"/>
      <c r="H719" s="312" t="n"/>
      <c r="I719" s="313" t="n"/>
      <c r="J719" s="199" t="n"/>
      <c r="K719" s="314" t="n"/>
      <c r="L719" s="170" t="n"/>
      <c r="M719" s="170" t="n"/>
      <c r="N719" s="170" t="n"/>
      <c r="O719" s="172" t="n"/>
      <c r="P719" s="172" t="n"/>
    </row>
    <row r="720">
      <c r="B720" s="170" t="n"/>
      <c r="C720" s="199" t="n"/>
      <c r="D720" s="312" t="n"/>
      <c r="E720" s="312" t="n"/>
      <c r="F720" s="312" t="n"/>
      <c r="G720" s="312" t="n"/>
      <c r="H720" s="312" t="n"/>
      <c r="I720" s="313" t="n"/>
      <c r="J720" s="199" t="n"/>
      <c r="K720" s="314" t="n"/>
      <c r="L720" s="170" t="n"/>
      <c r="M720" s="170" t="n"/>
      <c r="N720" s="170" t="n"/>
      <c r="O720" s="172" t="n"/>
      <c r="P720" s="172" t="n"/>
    </row>
    <row r="721">
      <c r="B721" s="170" t="n"/>
      <c r="C721" s="199" t="n"/>
      <c r="D721" s="312" t="n"/>
      <c r="E721" s="312" t="n"/>
      <c r="F721" s="312" t="n"/>
      <c r="G721" s="312" t="n"/>
      <c r="H721" s="312" t="n"/>
      <c r="I721" s="313" t="n"/>
      <c r="J721" s="199" t="n"/>
      <c r="K721" s="314" t="n"/>
      <c r="L721" s="170" t="n"/>
      <c r="M721" s="170" t="n"/>
      <c r="N721" s="170" t="n"/>
      <c r="O721" s="172" t="n"/>
      <c r="P721" s="172" t="n"/>
    </row>
    <row r="722">
      <c r="B722" s="170" t="n"/>
      <c r="C722" s="199" t="n"/>
      <c r="D722" s="312" t="n"/>
      <c r="E722" s="312" t="n"/>
      <c r="F722" s="312" t="n"/>
      <c r="G722" s="312" t="n"/>
      <c r="H722" s="312" t="n"/>
      <c r="I722" s="313" t="n"/>
      <c r="J722" s="199" t="n"/>
      <c r="K722" s="314" t="n"/>
      <c r="L722" s="170" t="n"/>
      <c r="M722" s="170" t="n"/>
      <c r="N722" s="170" t="n"/>
      <c r="O722" s="172" t="n"/>
      <c r="P722" s="172" t="n"/>
    </row>
    <row r="723">
      <c r="B723" s="170" t="n"/>
      <c r="C723" s="199" t="n"/>
      <c r="D723" s="312" t="n"/>
      <c r="E723" s="312" t="n"/>
      <c r="F723" s="312" t="n"/>
      <c r="G723" s="312" t="n"/>
      <c r="H723" s="312" t="n"/>
      <c r="I723" s="313" t="n"/>
      <c r="J723" s="199" t="n"/>
      <c r="K723" s="314" t="n"/>
      <c r="L723" s="170" t="n"/>
      <c r="M723" s="170" t="n"/>
      <c r="N723" s="170" t="n"/>
      <c r="O723" s="172" t="n"/>
      <c r="P723" s="172" t="n"/>
    </row>
    <row r="724">
      <c r="B724" s="170" t="n"/>
      <c r="C724" s="199" t="n"/>
      <c r="D724" s="312" t="n"/>
      <c r="E724" s="312" t="n"/>
      <c r="F724" s="312" t="n"/>
      <c r="G724" s="312" t="n"/>
      <c r="H724" s="312" t="n"/>
      <c r="I724" s="313" t="n"/>
      <c r="J724" s="199" t="n"/>
      <c r="K724" s="314" t="n"/>
      <c r="L724" s="170" t="n"/>
      <c r="M724" s="170" t="n"/>
      <c r="N724" s="170" t="n"/>
      <c r="O724" s="172" t="n"/>
      <c r="P724" s="172" t="n"/>
    </row>
    <row r="725">
      <c r="B725" s="170" t="n"/>
      <c r="C725" s="199" t="n"/>
      <c r="D725" s="312" t="n"/>
      <c r="E725" s="312" t="n"/>
      <c r="F725" s="312" t="n"/>
      <c r="G725" s="312" t="n"/>
      <c r="H725" s="312" t="n"/>
      <c r="I725" s="313" t="n"/>
      <c r="J725" s="199" t="n"/>
      <c r="K725" s="314" t="n"/>
      <c r="L725" s="170" t="n"/>
      <c r="M725" s="170" t="n"/>
      <c r="N725" s="170" t="n"/>
      <c r="O725" s="172" t="n"/>
      <c r="P725" s="172" t="n"/>
    </row>
    <row r="726">
      <c r="B726" s="170" t="n"/>
      <c r="C726" s="199" t="n"/>
      <c r="D726" s="312" t="n"/>
      <c r="E726" s="312" t="n"/>
      <c r="F726" s="312" t="n"/>
      <c r="G726" s="312" t="n"/>
      <c r="H726" s="312" t="n"/>
      <c r="I726" s="313" t="n"/>
      <c r="J726" s="199" t="n"/>
      <c r="K726" s="314" t="n"/>
      <c r="L726" s="170" t="n"/>
      <c r="M726" s="170" t="n"/>
      <c r="N726" s="170" t="n"/>
      <c r="O726" s="172" t="n"/>
      <c r="P726" s="172" t="n"/>
    </row>
    <row r="727">
      <c r="B727" s="170" t="n"/>
      <c r="C727" s="199" t="n"/>
      <c r="D727" s="312" t="n"/>
      <c r="E727" s="312" t="n"/>
      <c r="F727" s="312" t="n"/>
      <c r="G727" s="312" t="n"/>
      <c r="H727" s="312" t="n"/>
      <c r="I727" s="313" t="n"/>
      <c r="J727" s="199" t="n"/>
      <c r="K727" s="314" t="n"/>
      <c r="L727" s="170" t="n"/>
      <c r="M727" s="170" t="n"/>
      <c r="N727" s="170" t="n"/>
      <c r="O727" s="172" t="n"/>
      <c r="P727" s="172" t="n"/>
    </row>
    <row r="728">
      <c r="B728" s="170" t="n"/>
      <c r="C728" s="199" t="n"/>
      <c r="D728" s="312" t="n"/>
      <c r="E728" s="312" t="n"/>
      <c r="F728" s="312" t="n"/>
      <c r="G728" s="312" t="n"/>
      <c r="H728" s="312" t="n"/>
      <c r="I728" s="313" t="n"/>
      <c r="J728" s="199" t="n"/>
      <c r="K728" s="314" t="n"/>
      <c r="L728" s="170" t="n"/>
      <c r="M728" s="170" t="n"/>
      <c r="N728" s="170" t="n"/>
      <c r="O728" s="172" t="n"/>
      <c r="P728" s="172" t="n"/>
    </row>
    <row r="729">
      <c r="B729" s="170" t="n"/>
      <c r="C729" s="199" t="n"/>
      <c r="D729" s="312" t="n"/>
      <c r="E729" s="312" t="n"/>
      <c r="F729" s="312" t="n"/>
      <c r="G729" s="312" t="n"/>
      <c r="H729" s="312" t="n"/>
      <c r="I729" s="313" t="n"/>
      <c r="J729" s="199" t="n"/>
      <c r="K729" s="314" t="n"/>
      <c r="L729" s="170" t="n"/>
      <c r="M729" s="170" t="n"/>
      <c r="N729" s="170" t="n"/>
      <c r="O729" s="172" t="n"/>
      <c r="P729" s="172" t="n"/>
    </row>
    <row r="730">
      <c r="B730" s="170" t="n"/>
      <c r="C730" s="199" t="n"/>
      <c r="D730" s="312" t="n"/>
      <c r="E730" s="312" t="n"/>
      <c r="F730" s="312" t="n"/>
      <c r="G730" s="312" t="n"/>
      <c r="H730" s="312" t="n"/>
      <c r="I730" s="313" t="n"/>
      <c r="J730" s="199" t="n"/>
      <c r="K730" s="314" t="n"/>
      <c r="L730" s="170" t="n"/>
      <c r="M730" s="170" t="n"/>
      <c r="N730" s="170" t="n"/>
      <c r="O730" s="172" t="n"/>
      <c r="P730" s="172" t="n"/>
    </row>
    <row r="731">
      <c r="B731" s="170" t="n"/>
      <c r="C731" s="199" t="n"/>
      <c r="D731" s="312" t="n"/>
      <c r="E731" s="312" t="n"/>
      <c r="F731" s="312" t="n"/>
      <c r="G731" s="312" t="n"/>
      <c r="H731" s="312" t="n"/>
      <c r="I731" s="313" t="n"/>
      <c r="J731" s="199" t="n"/>
      <c r="K731" s="314" t="n"/>
      <c r="L731" s="170" t="n"/>
      <c r="M731" s="170" t="n"/>
      <c r="N731" s="170" t="n"/>
      <c r="O731" s="172" t="n"/>
      <c r="P731" s="172" t="n"/>
    </row>
    <row r="732">
      <c r="B732" s="170" t="n"/>
      <c r="C732" s="199" t="n"/>
      <c r="D732" s="312" t="n"/>
      <c r="E732" s="312" t="n"/>
      <c r="F732" s="312" t="n"/>
      <c r="G732" s="312" t="n"/>
      <c r="H732" s="312" t="n"/>
      <c r="I732" s="313" t="n"/>
      <c r="J732" s="199" t="n"/>
      <c r="K732" s="314" t="n"/>
      <c r="L732" s="170" t="n"/>
      <c r="M732" s="170" t="n"/>
      <c r="N732" s="170" t="n"/>
      <c r="O732" s="172" t="n"/>
      <c r="P732" s="172" t="n"/>
    </row>
    <row r="733">
      <c r="B733" s="170" t="n"/>
      <c r="C733" s="199" t="n"/>
      <c r="D733" s="312" t="n"/>
      <c r="E733" s="312" t="n"/>
      <c r="F733" s="312" t="n"/>
      <c r="G733" s="312" t="n"/>
      <c r="H733" s="312" t="n"/>
      <c r="I733" s="313" t="n"/>
      <c r="J733" s="199" t="n"/>
      <c r="K733" s="314" t="n"/>
      <c r="L733" s="170" t="n"/>
      <c r="M733" s="170" t="n"/>
      <c r="N733" s="170" t="n"/>
      <c r="O733" s="172" t="n"/>
      <c r="P733" s="172" t="n"/>
    </row>
    <row r="734">
      <c r="B734" s="170" t="n"/>
      <c r="C734" s="199" t="n"/>
      <c r="D734" s="312" t="n"/>
      <c r="E734" s="312" t="n"/>
      <c r="F734" s="312" t="n"/>
      <c r="G734" s="312" t="n"/>
      <c r="H734" s="312" t="n"/>
      <c r="I734" s="313" t="n"/>
      <c r="J734" s="199" t="n"/>
      <c r="K734" s="314" t="n"/>
      <c r="L734" s="170" t="n"/>
      <c r="M734" s="170" t="n"/>
      <c r="N734" s="170" t="n"/>
      <c r="O734" s="172" t="n"/>
      <c r="P734" s="172" t="n"/>
    </row>
    <row r="735">
      <c r="B735" s="170" t="n"/>
      <c r="C735" s="199" t="n"/>
      <c r="D735" s="312" t="n"/>
      <c r="E735" s="312" t="n"/>
      <c r="F735" s="312" t="n"/>
      <c r="G735" s="312" t="n"/>
      <c r="H735" s="312" t="n"/>
      <c r="I735" s="313" t="n"/>
      <c r="J735" s="199" t="n"/>
      <c r="K735" s="314" t="n"/>
      <c r="L735" s="170" t="n"/>
      <c r="M735" s="170" t="n"/>
      <c r="N735" s="170" t="n"/>
      <c r="O735" s="172" t="n"/>
      <c r="P735" s="172" t="n"/>
    </row>
    <row r="736">
      <c r="B736" s="170" t="n"/>
      <c r="C736" s="199" t="n"/>
      <c r="D736" s="312" t="n"/>
      <c r="E736" s="312" t="n"/>
      <c r="F736" s="312" t="n"/>
      <c r="G736" s="312" t="n"/>
      <c r="H736" s="312" t="n"/>
      <c r="I736" s="313" t="n"/>
      <c r="J736" s="199" t="n"/>
      <c r="K736" s="314" t="n"/>
      <c r="L736" s="170" t="n"/>
      <c r="M736" s="170" t="n"/>
      <c r="N736" s="170" t="n"/>
      <c r="O736" s="172" t="n"/>
      <c r="P736" s="172" t="n"/>
    </row>
    <row r="737">
      <c r="B737" s="170" t="n"/>
      <c r="C737" s="199" t="n"/>
      <c r="D737" s="312" t="n"/>
      <c r="E737" s="312" t="n"/>
      <c r="F737" s="312" t="n"/>
      <c r="G737" s="312" t="n"/>
      <c r="H737" s="312" t="n"/>
      <c r="I737" s="313" t="n"/>
      <c r="J737" s="199" t="n"/>
      <c r="K737" s="314" t="n"/>
      <c r="L737" s="170" t="n"/>
      <c r="M737" s="170" t="n"/>
      <c r="N737" s="170" t="n"/>
      <c r="O737" s="172" t="n"/>
      <c r="P737" s="172" t="n"/>
    </row>
    <row r="738">
      <c r="B738" s="170" t="n"/>
      <c r="C738" s="199" t="n"/>
      <c r="D738" s="312" t="n"/>
      <c r="E738" s="312" t="n"/>
      <c r="F738" s="312" t="n"/>
      <c r="G738" s="312" t="n"/>
      <c r="H738" s="312" t="n"/>
      <c r="I738" s="313" t="n"/>
      <c r="J738" s="199" t="n"/>
      <c r="K738" s="314" t="n"/>
      <c r="L738" s="170" t="n"/>
      <c r="M738" s="170" t="n"/>
      <c r="N738" s="170" t="n"/>
      <c r="O738" s="172" t="n"/>
      <c r="P738" s="172" t="n"/>
    </row>
    <row r="739">
      <c r="B739" s="170" t="n"/>
      <c r="C739" s="199" t="n"/>
      <c r="D739" s="312" t="n"/>
      <c r="E739" s="312" t="n"/>
      <c r="F739" s="312" t="n"/>
      <c r="G739" s="312" t="n"/>
      <c r="H739" s="312" t="n"/>
      <c r="I739" s="313" t="n"/>
      <c r="J739" s="199" t="n"/>
      <c r="K739" s="314" t="n"/>
      <c r="L739" s="170" t="n"/>
      <c r="M739" s="170" t="n"/>
      <c r="N739" s="170" t="n"/>
      <c r="O739" s="172" t="n"/>
      <c r="P739" s="172" t="n"/>
    </row>
    <row r="740">
      <c r="B740" s="170" t="n"/>
      <c r="C740" s="199" t="n"/>
      <c r="D740" s="312" t="n"/>
      <c r="E740" s="312" t="n"/>
      <c r="F740" s="312" t="n"/>
      <c r="G740" s="312" t="n"/>
      <c r="H740" s="312" t="n"/>
      <c r="I740" s="313" t="n"/>
      <c r="J740" s="199" t="n"/>
      <c r="K740" s="314" t="n"/>
      <c r="L740" s="170" t="n"/>
      <c r="M740" s="170" t="n"/>
      <c r="N740" s="170" t="n"/>
      <c r="O740" s="172" t="n"/>
      <c r="P740" s="172" t="n"/>
    </row>
    <row r="741">
      <c r="B741" s="170" t="n"/>
      <c r="C741" s="199" t="n"/>
      <c r="D741" s="312" t="n"/>
      <c r="E741" s="312" t="n"/>
      <c r="F741" s="312" t="n"/>
      <c r="G741" s="312" t="n"/>
      <c r="H741" s="312" t="n"/>
      <c r="I741" s="313" t="n"/>
      <c r="J741" s="199" t="n"/>
      <c r="K741" s="314" t="n"/>
      <c r="L741" s="170" t="n"/>
      <c r="M741" s="170" t="n"/>
      <c r="N741" s="170" t="n"/>
      <c r="O741" s="172" t="n"/>
      <c r="P741" s="172" t="n"/>
    </row>
    <row r="742">
      <c r="B742" s="170" t="n"/>
      <c r="C742" s="199" t="n"/>
      <c r="D742" s="312" t="n"/>
      <c r="E742" s="312" t="n"/>
      <c r="F742" s="312" t="n"/>
      <c r="G742" s="312" t="n"/>
      <c r="H742" s="312" t="n"/>
      <c r="I742" s="313" t="n"/>
      <c r="J742" s="199" t="n"/>
      <c r="K742" s="314" t="n"/>
      <c r="L742" s="170" t="n"/>
      <c r="M742" s="170" t="n"/>
      <c r="N742" s="170" t="n"/>
      <c r="O742" s="172" t="n"/>
      <c r="P742" s="172" t="n"/>
    </row>
    <row r="743">
      <c r="B743" s="170" t="n"/>
      <c r="C743" s="199" t="n"/>
      <c r="D743" s="312" t="n"/>
      <c r="E743" s="312" t="n"/>
      <c r="F743" s="312" t="n"/>
      <c r="G743" s="312" t="n"/>
      <c r="H743" s="312" t="n"/>
      <c r="I743" s="313" t="n"/>
      <c r="J743" s="199" t="n"/>
      <c r="K743" s="314" t="n"/>
      <c r="L743" s="170" t="n"/>
      <c r="M743" s="170" t="n"/>
      <c r="N743" s="170" t="n"/>
      <c r="O743" s="172" t="n"/>
      <c r="P743" s="172" t="n"/>
    </row>
    <row r="744">
      <c r="B744" s="170" t="n"/>
      <c r="C744" s="199" t="n"/>
      <c r="D744" s="312" t="n"/>
      <c r="E744" s="312" t="n"/>
      <c r="F744" s="312" t="n"/>
      <c r="G744" s="312" t="n"/>
      <c r="H744" s="312" t="n"/>
      <c r="I744" s="313" t="n"/>
      <c r="J744" s="199" t="n"/>
      <c r="K744" s="314" t="n"/>
      <c r="L744" s="170" t="n"/>
      <c r="M744" s="170" t="n"/>
      <c r="N744" s="170" t="n"/>
      <c r="O744" s="172" t="n"/>
      <c r="P744" s="172" t="n"/>
    </row>
    <row r="745">
      <c r="B745" s="170" t="n"/>
      <c r="C745" s="199" t="n"/>
      <c r="D745" s="312" t="n"/>
      <c r="E745" s="312" t="n"/>
      <c r="F745" s="312" t="n"/>
      <c r="G745" s="312" t="n"/>
      <c r="H745" s="312" t="n"/>
      <c r="I745" s="313" t="n"/>
      <c r="J745" s="199" t="n"/>
      <c r="K745" s="314" t="n"/>
      <c r="L745" s="170" t="n"/>
      <c r="M745" s="170" t="n"/>
      <c r="N745" s="170" t="n"/>
      <c r="O745" s="172" t="n"/>
      <c r="P745" s="172" t="n"/>
    </row>
    <row r="746">
      <c r="B746" s="170" t="n"/>
      <c r="C746" s="199" t="n"/>
      <c r="D746" s="312" t="n"/>
      <c r="E746" s="312" t="n"/>
      <c r="F746" s="312" t="n"/>
      <c r="G746" s="312" t="n"/>
      <c r="H746" s="312" t="n"/>
      <c r="I746" s="313" t="n"/>
      <c r="J746" s="199" t="n"/>
      <c r="K746" s="314" t="n"/>
      <c r="L746" s="170" t="n"/>
      <c r="M746" s="170" t="n"/>
      <c r="N746" s="170" t="n"/>
      <c r="O746" s="172" t="n"/>
      <c r="P746" s="172" t="n"/>
    </row>
    <row r="747">
      <c r="B747" s="170" t="n"/>
      <c r="C747" s="199" t="n"/>
      <c r="D747" s="312" t="n"/>
      <c r="E747" s="312" t="n"/>
      <c r="F747" s="312" t="n"/>
      <c r="G747" s="312" t="n"/>
      <c r="H747" s="312" t="n"/>
      <c r="I747" s="313" t="n"/>
      <c r="J747" s="199" t="n"/>
      <c r="K747" s="314" t="n"/>
      <c r="L747" s="170" t="n"/>
      <c r="M747" s="170" t="n"/>
      <c r="N747" s="170" t="n"/>
      <c r="O747" s="172" t="n"/>
      <c r="P747" s="172" t="n"/>
    </row>
    <row r="748">
      <c r="B748" s="170" t="n"/>
      <c r="C748" s="199" t="n"/>
      <c r="D748" s="312" t="n"/>
      <c r="E748" s="312" t="n"/>
      <c r="F748" s="312" t="n"/>
      <c r="G748" s="312" t="n"/>
      <c r="H748" s="312" t="n"/>
      <c r="I748" s="313" t="n"/>
      <c r="J748" s="199" t="n"/>
      <c r="K748" s="314" t="n"/>
      <c r="L748" s="170" t="n"/>
      <c r="M748" s="170" t="n"/>
      <c r="N748" s="170" t="n"/>
      <c r="O748" s="172" t="n"/>
      <c r="P748" s="172" t="n"/>
    </row>
    <row r="749">
      <c r="B749" s="170" t="n"/>
      <c r="C749" s="199" t="n"/>
      <c r="D749" s="312" t="n"/>
      <c r="E749" s="312" t="n"/>
      <c r="F749" s="312" t="n"/>
      <c r="G749" s="312" t="n"/>
      <c r="H749" s="312" t="n"/>
      <c r="I749" s="313" t="n"/>
      <c r="J749" s="199" t="n"/>
      <c r="K749" s="314" t="n"/>
      <c r="L749" s="170" t="n"/>
      <c r="M749" s="170" t="n"/>
      <c r="N749" s="170" t="n"/>
      <c r="O749" s="172" t="n"/>
      <c r="P749" s="172" t="n"/>
    </row>
    <row r="750">
      <c r="B750" s="170" t="n"/>
      <c r="C750" s="199" t="n"/>
      <c r="D750" s="312" t="n"/>
      <c r="E750" s="312" t="n"/>
      <c r="F750" s="312" t="n"/>
      <c r="G750" s="312" t="n"/>
      <c r="H750" s="312" t="n"/>
      <c r="I750" s="313" t="n"/>
      <c r="J750" s="199" t="n"/>
      <c r="K750" s="314" t="n"/>
      <c r="L750" s="170" t="n"/>
      <c r="M750" s="170" t="n"/>
      <c r="N750" s="170" t="n"/>
      <c r="O750" s="172" t="n"/>
      <c r="P750" s="172" t="n"/>
    </row>
    <row r="751">
      <c r="B751" s="170" t="n"/>
      <c r="C751" s="199" t="n"/>
      <c r="D751" s="312" t="n"/>
      <c r="E751" s="312" t="n"/>
      <c r="F751" s="312" t="n"/>
      <c r="G751" s="312" t="n"/>
      <c r="H751" s="312" t="n"/>
      <c r="I751" s="313" t="n"/>
      <c r="J751" s="199" t="n"/>
      <c r="K751" s="314" t="n"/>
      <c r="L751" s="170" t="n"/>
      <c r="M751" s="170" t="n"/>
      <c r="N751" s="170" t="n"/>
      <c r="O751" s="172" t="n"/>
      <c r="P751" s="172" t="n"/>
    </row>
    <row r="752">
      <c r="B752" s="170" t="n"/>
      <c r="C752" s="199" t="n"/>
      <c r="D752" s="312" t="n"/>
      <c r="E752" s="312" t="n"/>
      <c r="F752" s="312" t="n"/>
      <c r="G752" s="312" t="n"/>
      <c r="H752" s="312" t="n"/>
      <c r="I752" s="313" t="n"/>
      <c r="J752" s="199" t="n"/>
      <c r="K752" s="314" t="n"/>
      <c r="L752" s="170" t="n"/>
      <c r="M752" s="170" t="n"/>
      <c r="N752" s="170" t="n"/>
      <c r="O752" s="172" t="n"/>
      <c r="P752" s="172" t="n"/>
    </row>
    <row r="753">
      <c r="B753" s="170" t="n"/>
      <c r="C753" s="199" t="n"/>
      <c r="D753" s="312" t="n"/>
      <c r="E753" s="312" t="n"/>
      <c r="F753" s="312" t="n"/>
      <c r="G753" s="312" t="n"/>
      <c r="H753" s="312" t="n"/>
      <c r="I753" s="313" t="n"/>
      <c r="J753" s="199" t="n"/>
      <c r="K753" s="314" t="n"/>
      <c r="L753" s="170" t="n"/>
      <c r="M753" s="170" t="n"/>
      <c r="N753" s="170" t="n"/>
      <c r="O753" s="172" t="n"/>
      <c r="P753" s="172" t="n"/>
    </row>
    <row r="754">
      <c r="B754" s="170" t="n"/>
      <c r="C754" s="199" t="n"/>
      <c r="D754" s="312" t="n"/>
      <c r="E754" s="312" t="n"/>
      <c r="F754" s="312" t="n"/>
      <c r="G754" s="312" t="n"/>
      <c r="H754" s="312" t="n"/>
      <c r="I754" s="313" t="n"/>
      <c r="J754" s="199" t="n"/>
      <c r="K754" s="314" t="n"/>
      <c r="L754" s="170" t="n"/>
      <c r="M754" s="170" t="n"/>
      <c r="N754" s="170" t="n"/>
      <c r="O754" s="172" t="n"/>
      <c r="P754" s="172" t="n"/>
    </row>
    <row r="755">
      <c r="B755" s="170" t="n"/>
      <c r="C755" s="199" t="n"/>
      <c r="D755" s="312" t="n"/>
      <c r="E755" s="312" t="n"/>
      <c r="F755" s="312" t="n"/>
      <c r="G755" s="312" t="n"/>
      <c r="H755" s="312" t="n"/>
      <c r="I755" s="313" t="n"/>
      <c r="J755" s="199" t="n"/>
      <c r="K755" s="314" t="n"/>
      <c r="L755" s="170" t="n"/>
      <c r="M755" s="170" t="n"/>
      <c r="N755" s="170" t="n"/>
      <c r="O755" s="172" t="n"/>
      <c r="P755" s="172" t="n"/>
    </row>
    <row r="756">
      <c r="B756" s="170" t="n"/>
      <c r="C756" s="199" t="n"/>
      <c r="D756" s="312" t="n"/>
      <c r="E756" s="312" t="n"/>
      <c r="F756" s="312" t="n"/>
      <c r="G756" s="312" t="n"/>
      <c r="H756" s="312" t="n"/>
      <c r="I756" s="313" t="n"/>
      <c r="J756" s="199" t="n"/>
      <c r="K756" s="314" t="n"/>
      <c r="L756" s="170" t="n"/>
      <c r="M756" s="170" t="n"/>
      <c r="N756" s="170" t="n"/>
      <c r="O756" s="172" t="n"/>
      <c r="P756" s="172" t="n"/>
    </row>
    <row r="757">
      <c r="B757" s="170" t="n"/>
      <c r="C757" s="199" t="n"/>
      <c r="D757" s="312" t="n"/>
      <c r="E757" s="312" t="n"/>
      <c r="F757" s="312" t="n"/>
      <c r="G757" s="312" t="n"/>
      <c r="H757" s="312" t="n"/>
      <c r="I757" s="313" t="n"/>
      <c r="J757" s="199" t="n"/>
      <c r="K757" s="314" t="n"/>
      <c r="L757" s="170" t="n"/>
      <c r="M757" s="170" t="n"/>
      <c r="N757" s="170" t="n"/>
      <c r="O757" s="172" t="n"/>
      <c r="P757" s="172" t="n"/>
    </row>
    <row r="758">
      <c r="B758" s="170" t="n"/>
      <c r="C758" s="199" t="n"/>
      <c r="D758" s="312" t="n"/>
      <c r="E758" s="312" t="n"/>
      <c r="F758" s="312" t="n"/>
      <c r="G758" s="312" t="n"/>
      <c r="H758" s="312" t="n"/>
      <c r="I758" s="313" t="n"/>
      <c r="J758" s="199" t="n"/>
      <c r="K758" s="314" t="n"/>
      <c r="L758" s="170" t="n"/>
      <c r="M758" s="170" t="n"/>
      <c r="N758" s="170" t="n"/>
      <c r="O758" s="172" t="n"/>
      <c r="P758" s="172" t="n"/>
    </row>
    <row r="759">
      <c r="B759" s="170" t="n"/>
      <c r="C759" s="199" t="n"/>
      <c r="D759" s="312" t="n"/>
      <c r="E759" s="312" t="n"/>
      <c r="F759" s="312" t="n"/>
      <c r="G759" s="312" t="n"/>
      <c r="H759" s="312" t="n"/>
      <c r="I759" s="313" t="n"/>
      <c r="J759" s="199" t="n"/>
      <c r="K759" s="314" t="n"/>
      <c r="L759" s="170" t="n"/>
      <c r="M759" s="170" t="n"/>
      <c r="N759" s="170" t="n"/>
      <c r="O759" s="172" t="n"/>
      <c r="P759" s="172" t="n"/>
    </row>
    <row r="760">
      <c r="B760" s="170" t="n"/>
      <c r="C760" s="199" t="n"/>
      <c r="D760" s="312" t="n"/>
      <c r="E760" s="312" t="n"/>
      <c r="F760" s="312" t="n"/>
      <c r="G760" s="312" t="n"/>
      <c r="H760" s="312" t="n"/>
      <c r="I760" s="313" t="n"/>
      <c r="J760" s="199" t="n"/>
      <c r="K760" s="314" t="n"/>
      <c r="L760" s="170" t="n"/>
      <c r="M760" s="170" t="n"/>
      <c r="N760" s="170" t="n"/>
      <c r="O760" s="172" t="n"/>
      <c r="P760" s="172" t="n"/>
    </row>
    <row r="761">
      <c r="B761" s="170" t="n"/>
      <c r="C761" s="199" t="n"/>
      <c r="D761" s="312" t="n"/>
      <c r="E761" s="312" t="n"/>
      <c r="F761" s="312" t="n"/>
      <c r="G761" s="312" t="n"/>
      <c r="H761" s="312" t="n"/>
      <c r="I761" s="313" t="n"/>
      <c r="J761" s="199" t="n"/>
      <c r="K761" s="314" t="n"/>
      <c r="L761" s="170" t="n"/>
      <c r="M761" s="170" t="n"/>
      <c r="N761" s="170" t="n"/>
      <c r="O761" s="172" t="n"/>
      <c r="P761" s="172" t="n"/>
    </row>
    <row r="762">
      <c r="B762" s="170" t="n"/>
      <c r="C762" s="199" t="n"/>
      <c r="D762" s="312" t="n"/>
      <c r="E762" s="312" t="n"/>
      <c r="F762" s="312" t="n"/>
      <c r="G762" s="312" t="n"/>
      <c r="H762" s="312" t="n"/>
      <c r="I762" s="313" t="n"/>
      <c r="J762" s="199" t="n"/>
      <c r="K762" s="314" t="n"/>
      <c r="L762" s="170" t="n"/>
      <c r="M762" s="170" t="n"/>
      <c r="N762" s="170" t="n"/>
      <c r="O762" s="172" t="n"/>
      <c r="P762" s="172" t="n"/>
    </row>
    <row r="763">
      <c r="J763" s="199" t="n"/>
      <c r="N763" s="170" t="n"/>
      <c r="O763" s="172" t="n"/>
      <c r="P763" s="172" t="n"/>
    </row>
    <row r="764">
      <c r="J764" s="199" t="n"/>
    </row>
    <row r="765">
      <c r="J765" s="199" t="n"/>
    </row>
  </sheetData>
  <autoFilter ref="B11:P574"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</autoFilter>
  <mergeCells count="752">
    <mergeCell ref="C262:I262"/>
    <mergeCell ref="C700:I700"/>
    <mergeCell ref="C529:I529"/>
    <mergeCell ref="C237:I237"/>
    <mergeCell ref="C547:I547"/>
    <mergeCell ref="C53:I53"/>
    <mergeCell ref="C28:I28"/>
    <mergeCell ref="C351:I351"/>
    <mergeCell ref="C326:I326"/>
    <mergeCell ref="C593:I593"/>
    <mergeCell ref="C239:I239"/>
    <mergeCell ref="C310:I310"/>
    <mergeCell ref="C92:I92"/>
    <mergeCell ref="C608:I608"/>
    <mergeCell ref="C30:I30"/>
    <mergeCell ref="C524:I524"/>
    <mergeCell ref="C695:I695"/>
    <mergeCell ref="C595:I595"/>
    <mergeCell ref="C97:I97"/>
    <mergeCell ref="C290:I290"/>
    <mergeCell ref="B3:D10"/>
    <mergeCell ref="C384:I384"/>
    <mergeCell ref="C624:I624"/>
    <mergeCell ref="C321:I321"/>
    <mergeCell ref="C255:I255"/>
    <mergeCell ref="C242:I242"/>
    <mergeCell ref="C413:I413"/>
    <mergeCell ref="C684:I684"/>
    <mergeCell ref="C478:I478"/>
    <mergeCell ref="C21:I21"/>
    <mergeCell ref="C192:I192"/>
    <mergeCell ref="C252:I252"/>
    <mergeCell ref="C379:I379"/>
    <mergeCell ref="C550:I550"/>
    <mergeCell ref="C621:I621"/>
    <mergeCell ref="C615:I615"/>
    <mergeCell ref="C415:I415"/>
    <mergeCell ref="C244:I244"/>
    <mergeCell ref="C664:I664"/>
    <mergeCell ref="C713:I713"/>
    <mergeCell ref="C542:I542"/>
    <mergeCell ref="C123:I123"/>
    <mergeCell ref="C23:I23"/>
    <mergeCell ref="C194:I194"/>
    <mergeCell ref="C316:I316"/>
    <mergeCell ref="C492:I492"/>
    <mergeCell ref="C110:I110"/>
    <mergeCell ref="C552:I552"/>
    <mergeCell ref="C181:I181"/>
    <mergeCell ref="C408:I408"/>
    <mergeCell ref="C623:I623"/>
    <mergeCell ref="C479:I479"/>
    <mergeCell ref="C650:I650"/>
    <mergeCell ref="C679:I679"/>
    <mergeCell ref="C473:I473"/>
    <mergeCell ref="C606:I606"/>
    <mergeCell ref="C544:I544"/>
    <mergeCell ref="C715:I715"/>
    <mergeCell ref="C423:I423"/>
    <mergeCell ref="C174:I174"/>
    <mergeCell ref="C616:I616"/>
    <mergeCell ref="C410:I410"/>
    <mergeCell ref="C481:I481"/>
    <mergeCell ref="C18:I18"/>
    <mergeCell ref="C189:I189"/>
    <mergeCell ref="C456:I456"/>
    <mergeCell ref="C34:I34"/>
    <mergeCell ref="C397:I397"/>
    <mergeCell ref="C568:I568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100:I100"/>
    <mergeCell ref="C205:I205"/>
    <mergeCell ref="C94:I94"/>
    <mergeCell ref="C65:I65"/>
    <mergeCell ref="C265:I265"/>
    <mergeCell ref="C336:I336"/>
    <mergeCell ref="C563:I563"/>
    <mergeCell ref="C634:I634"/>
    <mergeCell ref="C44:I44"/>
    <mergeCell ref="C311:I311"/>
    <mergeCell ref="C428:I428"/>
    <mergeCell ref="C167:I167"/>
    <mergeCell ref="C142:I142"/>
    <mergeCell ref="C609:I609"/>
    <mergeCell ref="C80:I80"/>
    <mergeCell ref="C403:I403"/>
    <mergeCell ref="C129:I129"/>
    <mergeCell ref="C645:I645"/>
    <mergeCell ref="C701:I701"/>
    <mergeCell ref="C365:I365"/>
    <mergeCell ref="C169:I169"/>
    <mergeCell ref="C611:I611"/>
    <mergeCell ref="C467:I467"/>
    <mergeCell ref="C598:I598"/>
    <mergeCell ref="C703:I703"/>
    <mergeCell ref="C665:I665"/>
    <mergeCell ref="C233:I233"/>
    <mergeCell ref="C469:I469"/>
    <mergeCell ref="C640:I640"/>
    <mergeCell ref="C710:I710"/>
    <mergeCell ref="C131:I131"/>
    <mergeCell ref="C258:I258"/>
    <mergeCell ref="C500:I500"/>
    <mergeCell ref="C556:I556"/>
    <mergeCell ref="C494:I494"/>
    <mergeCell ref="C245:I245"/>
    <mergeCell ref="C49:I49"/>
    <mergeCell ref="C543:I543"/>
    <mergeCell ref="C714:I714"/>
    <mergeCell ref="C614:I614"/>
    <mergeCell ref="C24:I24"/>
    <mergeCell ref="C195:I195"/>
    <mergeCell ref="C266:I266"/>
    <mergeCell ref="C322:I322"/>
    <mergeCell ref="C493:I493"/>
    <mergeCell ref="C260:I260"/>
    <mergeCell ref="C431:I431"/>
    <mergeCell ref="C116:I116"/>
    <mergeCell ref="C558:I558"/>
    <mergeCell ref="C545:I545"/>
    <mergeCell ref="C716:I716"/>
    <mergeCell ref="C88:I88"/>
    <mergeCell ref="C126:I126"/>
    <mergeCell ref="C26:I26"/>
    <mergeCell ref="C197:I197"/>
    <mergeCell ref="C259:I259"/>
    <mergeCell ref="C324:I324"/>
    <mergeCell ref="C495:I495"/>
    <mergeCell ref="C482:I482"/>
    <mergeCell ref="C416:I416"/>
    <mergeCell ref="C261:I261"/>
    <mergeCell ref="C432:I432"/>
    <mergeCell ref="C117:I117"/>
    <mergeCell ref="C55:I55"/>
    <mergeCell ref="C546:I546"/>
    <mergeCell ref="C447:I447"/>
    <mergeCell ref="C115:I115"/>
    <mergeCell ref="C213:I213"/>
    <mergeCell ref="C273:I273"/>
    <mergeCell ref="C400:I400"/>
    <mergeCell ref="C571:I571"/>
    <mergeCell ref="C698:I698"/>
    <mergeCell ref="C52:I52"/>
    <mergeCell ref="C734:I734"/>
    <mergeCell ref="C150:I150"/>
    <mergeCell ref="C39:I39"/>
    <mergeCell ref="C144:I144"/>
    <mergeCell ref="C337:I337"/>
    <mergeCell ref="C442:I442"/>
    <mergeCell ref="C513:I513"/>
    <mergeCell ref="C635:I635"/>
    <mergeCell ref="C573:I573"/>
    <mergeCell ref="C429:I429"/>
    <mergeCell ref="C671:I671"/>
    <mergeCell ref="C727:I727"/>
    <mergeCell ref="C414:I414"/>
    <mergeCell ref="C81:I81"/>
    <mergeCell ref="C352:I352"/>
    <mergeCell ref="C548:I548"/>
    <mergeCell ref="C37:I37"/>
    <mergeCell ref="C208:I208"/>
    <mergeCell ref="C339:I339"/>
    <mergeCell ref="C637:I637"/>
    <mergeCell ref="C437:I437"/>
    <mergeCell ref="C686:I686"/>
    <mergeCell ref="C735:I735"/>
    <mergeCell ref="C419:I419"/>
    <mergeCell ref="C729:I729"/>
    <mergeCell ref="C145:I145"/>
    <mergeCell ref="C406:I406"/>
    <mergeCell ref="C210:I210"/>
    <mergeCell ref="C381:I381"/>
    <mergeCell ref="C185:I185"/>
    <mergeCell ref="C564:I564"/>
    <mergeCell ref="C63:I63"/>
    <mergeCell ref="C330:I330"/>
    <mergeCell ref="C305:I305"/>
    <mergeCell ref="C134:I134"/>
    <mergeCell ref="C50:I50"/>
    <mergeCell ref="C566:I566"/>
    <mergeCell ref="C286:I286"/>
    <mergeCell ref="C553:I553"/>
    <mergeCell ref="C584:I584"/>
    <mergeCell ref="C90:I90"/>
    <mergeCell ref="C332:I332"/>
    <mergeCell ref="C388:I388"/>
    <mergeCell ref="C503:I503"/>
    <mergeCell ref="C163:I163"/>
    <mergeCell ref="C630:I630"/>
    <mergeCell ref="C350:I350"/>
    <mergeCell ref="C617:I617"/>
    <mergeCell ref="C138:I138"/>
    <mergeCell ref="C76:I76"/>
    <mergeCell ref="C27:I27"/>
    <mergeCell ref="C132:I132"/>
    <mergeCell ref="C567:I567"/>
    <mergeCell ref="C119:I119"/>
    <mergeCell ref="C561:I561"/>
    <mergeCell ref="C361:I361"/>
    <mergeCell ref="C632:I632"/>
    <mergeCell ref="C732:I732"/>
    <mergeCell ref="C327:I327"/>
    <mergeCell ref="C498:I498"/>
    <mergeCell ref="C425:I425"/>
    <mergeCell ref="C723:I723"/>
    <mergeCell ref="C661:I661"/>
    <mergeCell ref="C264:I264"/>
    <mergeCell ref="C279:I279"/>
    <mergeCell ref="C450:I450"/>
    <mergeCell ref="C643:I643"/>
    <mergeCell ref="C748:I748"/>
    <mergeCell ref="C45:I45"/>
    <mergeCell ref="C216:I216"/>
    <mergeCell ref="C387:I387"/>
    <mergeCell ref="C343:I343"/>
    <mergeCell ref="C514:I514"/>
    <mergeCell ref="C281:I281"/>
    <mergeCell ref="C452:I452"/>
    <mergeCell ref="C685:I685"/>
    <mergeCell ref="C750:I750"/>
    <mergeCell ref="C501:I501"/>
    <mergeCell ref="C756:I756"/>
    <mergeCell ref="C353:I353"/>
    <mergeCell ref="C737:I737"/>
    <mergeCell ref="C109:I109"/>
    <mergeCell ref="C147:I147"/>
    <mergeCell ref="C47:I47"/>
    <mergeCell ref="C218:I218"/>
    <mergeCell ref="C280:I280"/>
    <mergeCell ref="C274:I274"/>
    <mergeCell ref="C345:I345"/>
    <mergeCell ref="C445:I445"/>
    <mergeCell ref="C451:I451"/>
    <mergeCell ref="C516:I516"/>
    <mergeCell ref="C687:I687"/>
    <mergeCell ref="C40:I40"/>
    <mergeCell ref="C211:I211"/>
    <mergeCell ref="C282:I282"/>
    <mergeCell ref="C453:I453"/>
    <mergeCell ref="C580:I580"/>
    <mergeCell ref="C751:I751"/>
    <mergeCell ref="C71:I71"/>
    <mergeCell ref="C592:I592"/>
    <mergeCell ref="C371:I371"/>
    <mergeCell ref="C165:I165"/>
    <mergeCell ref="C358:I358"/>
    <mergeCell ref="C656:I656"/>
    <mergeCell ref="C66:I66"/>
    <mergeCell ref="C308:I308"/>
    <mergeCell ref="C631:I631"/>
    <mergeCell ref="C102:I102"/>
    <mergeCell ref="C569:I569"/>
    <mergeCell ref="C229:I229"/>
    <mergeCell ref="C77:I77"/>
    <mergeCell ref="C658:I658"/>
    <mergeCell ref="C375:I375"/>
    <mergeCell ref="C179:I179"/>
    <mergeCell ref="C446:I446"/>
    <mergeCell ref="C68:I68"/>
    <mergeCell ref="C682:I682"/>
    <mergeCell ref="C166:I166"/>
    <mergeCell ref="C633:I633"/>
    <mergeCell ref="C489:I489"/>
    <mergeCell ref="C160:I160"/>
    <mergeCell ref="C427:I427"/>
    <mergeCell ref="C402:I402"/>
    <mergeCell ref="C464:I464"/>
    <mergeCell ref="C141:I141"/>
    <mergeCell ref="C725:I725"/>
    <mergeCell ref="C206:I206"/>
    <mergeCell ref="C377:I377"/>
    <mergeCell ref="C662:I662"/>
    <mergeCell ref="C143:I143"/>
    <mergeCell ref="C270:I270"/>
    <mergeCell ref="C441:I441"/>
    <mergeCell ref="C506:I506"/>
    <mergeCell ref="C522:I522"/>
    <mergeCell ref="C59:I59"/>
    <mergeCell ref="C295:I295"/>
    <mergeCell ref="C46:I46"/>
    <mergeCell ref="C380:I380"/>
    <mergeCell ref="C61:I61"/>
    <mergeCell ref="C359:I359"/>
    <mergeCell ref="C159:I159"/>
    <mergeCell ref="C48:I48"/>
    <mergeCell ref="C153:I153"/>
    <mergeCell ref="C219:I219"/>
    <mergeCell ref="C346:I346"/>
    <mergeCell ref="C395:I395"/>
    <mergeCell ref="C517:I517"/>
    <mergeCell ref="C588:I588"/>
    <mergeCell ref="C688:I688"/>
    <mergeCell ref="C582:I582"/>
    <mergeCell ref="C759:I759"/>
    <mergeCell ref="C653:I653"/>
    <mergeCell ref="C753:I753"/>
    <mergeCell ref="C125:I125"/>
    <mergeCell ref="C296:I296"/>
    <mergeCell ref="C680:I680"/>
    <mergeCell ref="C740:I740"/>
    <mergeCell ref="C161:I161"/>
    <mergeCell ref="C217:I217"/>
    <mergeCell ref="C283:I283"/>
    <mergeCell ref="C348:I348"/>
    <mergeCell ref="C519:I519"/>
    <mergeCell ref="C690:I690"/>
    <mergeCell ref="C646:I646"/>
    <mergeCell ref="C298:I298"/>
    <mergeCell ref="C154:I154"/>
    <mergeCell ref="C285:I285"/>
    <mergeCell ref="C390:I390"/>
    <mergeCell ref="C583:I583"/>
    <mergeCell ref="C754:I754"/>
    <mergeCell ref="C648:I648"/>
    <mergeCell ref="C677:I677"/>
    <mergeCell ref="C156:I156"/>
    <mergeCell ref="C74:I74"/>
    <mergeCell ref="C250:I250"/>
    <mergeCell ref="C372:I372"/>
    <mergeCell ref="C535:I535"/>
    <mergeCell ref="C706:I706"/>
    <mergeCell ref="C16:I16"/>
    <mergeCell ref="C374:I374"/>
    <mergeCell ref="C230:I230"/>
    <mergeCell ref="C401:I401"/>
    <mergeCell ref="C168:I168"/>
    <mergeCell ref="C301:I301"/>
    <mergeCell ref="C472:I472"/>
    <mergeCell ref="C466:I466"/>
    <mergeCell ref="C672:I672"/>
    <mergeCell ref="C537:I537"/>
    <mergeCell ref="C659:I659"/>
    <mergeCell ref="C180:I180"/>
    <mergeCell ref="C708:I708"/>
    <mergeCell ref="C118:I118"/>
    <mergeCell ref="C238:I238"/>
    <mergeCell ref="C232:I232"/>
    <mergeCell ref="C674:I674"/>
    <mergeCell ref="C303:I303"/>
    <mergeCell ref="C474:I474"/>
    <mergeCell ref="C530:I530"/>
    <mergeCell ref="C601:I601"/>
    <mergeCell ref="C207:I207"/>
    <mergeCell ref="C11:I11"/>
    <mergeCell ref="C182:I182"/>
    <mergeCell ref="C747:I747"/>
    <mergeCell ref="C532:I532"/>
    <mergeCell ref="C69:I69"/>
    <mergeCell ref="C96:I96"/>
    <mergeCell ref="C87:I87"/>
    <mergeCell ref="C354:I354"/>
    <mergeCell ref="C652:I652"/>
    <mergeCell ref="C627:I627"/>
    <mergeCell ref="C590:I590"/>
    <mergeCell ref="C761:I761"/>
    <mergeCell ref="C62:I62"/>
    <mergeCell ref="C421:I421"/>
    <mergeCell ref="C98:I98"/>
    <mergeCell ref="C369:I369"/>
    <mergeCell ref="C396:I396"/>
    <mergeCell ref="C667:I667"/>
    <mergeCell ref="C89:I89"/>
    <mergeCell ref="C527:I527"/>
    <mergeCell ref="C187:I187"/>
    <mergeCell ref="C629:I629"/>
    <mergeCell ref="C654:I654"/>
    <mergeCell ref="C485:I485"/>
    <mergeCell ref="C64:I64"/>
    <mergeCell ref="C368:I368"/>
    <mergeCell ref="C306:I306"/>
    <mergeCell ref="C619:I619"/>
    <mergeCell ref="C162:I162"/>
    <mergeCell ref="C681:I681"/>
    <mergeCell ref="C752:I752"/>
    <mergeCell ref="C460:I460"/>
    <mergeCell ref="C349:I349"/>
    <mergeCell ref="C398:I398"/>
    <mergeCell ref="C591:I591"/>
    <mergeCell ref="C696:I696"/>
    <mergeCell ref="C177:I177"/>
    <mergeCell ref="C683:I683"/>
    <mergeCell ref="C93:I93"/>
    <mergeCell ref="C226:I226"/>
    <mergeCell ref="C164:I164"/>
    <mergeCell ref="C335:I335"/>
    <mergeCell ref="C364:I364"/>
    <mergeCell ref="C462:I462"/>
    <mergeCell ref="C760:I760"/>
    <mergeCell ref="C222:I222"/>
    <mergeCell ref="C251:I251"/>
    <mergeCell ref="C487:I487"/>
    <mergeCell ref="C17:I17"/>
    <mergeCell ref="C82:I82"/>
    <mergeCell ref="C253:I253"/>
    <mergeCell ref="C551:I551"/>
    <mergeCell ref="C622:I622"/>
    <mergeCell ref="C240:I240"/>
    <mergeCell ref="C411:I411"/>
    <mergeCell ref="C538:I538"/>
    <mergeCell ref="C709:I709"/>
    <mergeCell ref="C19:I19"/>
    <mergeCell ref="C190:I190"/>
    <mergeCell ref="C317:I317"/>
    <mergeCell ref="C111:I111"/>
    <mergeCell ref="C304:I304"/>
    <mergeCell ref="C480:I480"/>
    <mergeCell ref="C602:I602"/>
    <mergeCell ref="C540:I540"/>
    <mergeCell ref="C711:I711"/>
    <mergeCell ref="C83:I83"/>
    <mergeCell ref="C254:I254"/>
    <mergeCell ref="C248:I248"/>
    <mergeCell ref="C515:I515"/>
    <mergeCell ref="C319:I319"/>
    <mergeCell ref="C490:I490"/>
    <mergeCell ref="C175:I175"/>
    <mergeCell ref="C235:I235"/>
    <mergeCell ref="C477:I477"/>
    <mergeCell ref="C604:I604"/>
    <mergeCell ref="E3:P10"/>
    <mergeCell ref="C14:I14"/>
    <mergeCell ref="C579:I579"/>
    <mergeCell ref="C475:I475"/>
    <mergeCell ref="C393:I393"/>
    <mergeCell ref="C137:I137"/>
    <mergeCell ref="C702:I702"/>
    <mergeCell ref="C124:I124"/>
    <mergeCell ref="C422:I422"/>
    <mergeCell ref="C693:I693"/>
    <mergeCell ref="C201:I201"/>
    <mergeCell ref="C668:I668"/>
    <mergeCell ref="C139:I139"/>
    <mergeCell ref="C188:I188"/>
    <mergeCell ref="C704:I704"/>
    <mergeCell ref="C424:I424"/>
    <mergeCell ref="C722:I722"/>
    <mergeCell ref="C228:I228"/>
    <mergeCell ref="C203:I203"/>
    <mergeCell ref="C399:I399"/>
    <mergeCell ref="C470:I470"/>
    <mergeCell ref="C526:I526"/>
    <mergeCell ref="C762:I762"/>
    <mergeCell ref="C488:I488"/>
    <mergeCell ref="C724:I724"/>
    <mergeCell ref="C607:I607"/>
    <mergeCell ref="C292:I292"/>
    <mergeCell ref="C528:I528"/>
    <mergeCell ref="C699:I699"/>
    <mergeCell ref="C465:I465"/>
    <mergeCell ref="C636:I636"/>
    <mergeCell ref="C559:I559"/>
    <mergeCell ref="C108:I108"/>
    <mergeCell ref="C325:I325"/>
    <mergeCell ref="C417:I417"/>
    <mergeCell ref="C20:I20"/>
    <mergeCell ref="C196:I196"/>
    <mergeCell ref="C318:I318"/>
    <mergeCell ref="C85:I85"/>
    <mergeCell ref="C256:I256"/>
    <mergeCell ref="C112:I112"/>
    <mergeCell ref="C389:I389"/>
    <mergeCell ref="C183:I183"/>
    <mergeCell ref="C383:I383"/>
    <mergeCell ref="C554:I554"/>
    <mergeCell ref="C560:I560"/>
    <mergeCell ref="C625:I625"/>
    <mergeCell ref="C541:I541"/>
    <mergeCell ref="C612:I612"/>
    <mergeCell ref="C717:I717"/>
    <mergeCell ref="C84:I84"/>
    <mergeCell ref="C133:I133"/>
    <mergeCell ref="C22:I22"/>
    <mergeCell ref="C127:I127"/>
    <mergeCell ref="C193:I193"/>
    <mergeCell ref="C198:I198"/>
    <mergeCell ref="C320:I320"/>
    <mergeCell ref="C176:I176"/>
    <mergeCell ref="C491:I491"/>
    <mergeCell ref="C114:I114"/>
    <mergeCell ref="C247:I247"/>
    <mergeCell ref="C356:I356"/>
    <mergeCell ref="C412:I412"/>
    <mergeCell ref="C418:I418"/>
    <mergeCell ref="C483:I483"/>
    <mergeCell ref="C605:I605"/>
    <mergeCell ref="C719:I719"/>
    <mergeCell ref="C257:I257"/>
    <mergeCell ref="C51:I51"/>
    <mergeCell ref="C178:I178"/>
    <mergeCell ref="C620:I620"/>
    <mergeCell ref="C272:I272"/>
    <mergeCell ref="C443:I443"/>
    <mergeCell ref="C38:I38"/>
    <mergeCell ref="C209:I209"/>
    <mergeCell ref="C743:I743"/>
    <mergeCell ref="C730:I730"/>
    <mergeCell ref="C140:I140"/>
    <mergeCell ref="C267:I267"/>
    <mergeCell ref="C438:I438"/>
    <mergeCell ref="C338:I338"/>
    <mergeCell ref="C509:I509"/>
    <mergeCell ref="C496:I496"/>
    <mergeCell ref="C33:I33"/>
    <mergeCell ref="C204:I204"/>
    <mergeCell ref="C104:I104"/>
    <mergeCell ref="C275:I275"/>
    <mergeCell ref="C269:I269"/>
    <mergeCell ref="C440:I440"/>
    <mergeCell ref="C340:I340"/>
    <mergeCell ref="C511:I511"/>
    <mergeCell ref="C707:I707"/>
    <mergeCell ref="C738:I738"/>
    <mergeCell ref="C231:I231"/>
    <mergeCell ref="C35:I35"/>
    <mergeCell ref="C333:I333"/>
    <mergeCell ref="C504:I504"/>
    <mergeCell ref="C99:I99"/>
    <mergeCell ref="C130:I130"/>
    <mergeCell ref="C562:I562"/>
    <mergeCell ref="C689:I689"/>
    <mergeCell ref="C409:I409"/>
    <mergeCell ref="C651:I651"/>
    <mergeCell ref="C135:I135"/>
    <mergeCell ref="C328:I328"/>
    <mergeCell ref="C433:I433"/>
    <mergeCell ref="C626:I626"/>
    <mergeCell ref="C122:I122"/>
    <mergeCell ref="C430:I430"/>
    <mergeCell ref="C420:I420"/>
    <mergeCell ref="C224:I224"/>
    <mergeCell ref="C718:I718"/>
    <mergeCell ref="C72:I72"/>
    <mergeCell ref="C199:I199"/>
    <mergeCell ref="C497:I497"/>
    <mergeCell ref="C435:I435"/>
    <mergeCell ref="C186:I186"/>
    <mergeCell ref="C557:I557"/>
    <mergeCell ref="C628:I628"/>
    <mergeCell ref="C484:I484"/>
    <mergeCell ref="C655:I655"/>
    <mergeCell ref="C720:I720"/>
    <mergeCell ref="C136:I136"/>
    <mergeCell ref="C263:I263"/>
    <mergeCell ref="C434:I434"/>
    <mergeCell ref="C323:I323"/>
    <mergeCell ref="C499:I499"/>
    <mergeCell ref="C486:I486"/>
    <mergeCell ref="C657:I657"/>
    <mergeCell ref="C54:I54"/>
    <mergeCell ref="C41:I41"/>
    <mergeCell ref="C146:I146"/>
    <mergeCell ref="C212:I212"/>
    <mergeCell ref="C510:I510"/>
    <mergeCell ref="C277:I277"/>
    <mergeCell ref="C448:I448"/>
    <mergeCell ref="C581:I581"/>
    <mergeCell ref="C404:I404"/>
    <mergeCell ref="C575:I575"/>
    <mergeCell ref="C746:I746"/>
    <mergeCell ref="C56:I56"/>
    <mergeCell ref="C733:I733"/>
    <mergeCell ref="C105:I105"/>
    <mergeCell ref="C276:I276"/>
    <mergeCell ref="C43:I43"/>
    <mergeCell ref="C214:I214"/>
    <mergeCell ref="C341:I341"/>
    <mergeCell ref="C512:I512"/>
    <mergeCell ref="C639:I639"/>
    <mergeCell ref="C439:I439"/>
    <mergeCell ref="C577:I577"/>
    <mergeCell ref="C120:I120"/>
    <mergeCell ref="C675:I675"/>
    <mergeCell ref="C731:I731"/>
    <mergeCell ref="C36:I36"/>
    <mergeCell ref="C278:I278"/>
    <mergeCell ref="C405:I405"/>
    <mergeCell ref="C576:I576"/>
    <mergeCell ref="C370:I370"/>
    <mergeCell ref="C641:I641"/>
    <mergeCell ref="C149:I149"/>
    <mergeCell ref="C385:I385"/>
    <mergeCell ref="C67:I67"/>
    <mergeCell ref="C670:I670"/>
    <mergeCell ref="C367:I367"/>
    <mergeCell ref="C603:I603"/>
    <mergeCell ref="C288:I288"/>
    <mergeCell ref="C459:I459"/>
    <mergeCell ref="C726:I726"/>
    <mergeCell ref="C505:I505"/>
    <mergeCell ref="C225:I225"/>
    <mergeCell ref="C741:I741"/>
    <mergeCell ref="C461:I461"/>
    <mergeCell ref="C728:I728"/>
    <mergeCell ref="C200:I200"/>
    <mergeCell ref="C271:I271"/>
    <mergeCell ref="C436:I436"/>
    <mergeCell ref="C507:I507"/>
    <mergeCell ref="C227:I227"/>
    <mergeCell ref="C721:I721"/>
    <mergeCell ref="C525:I525"/>
    <mergeCell ref="C31:I31"/>
    <mergeCell ref="C202:I202"/>
    <mergeCell ref="C373:I373"/>
    <mergeCell ref="C329:I329"/>
    <mergeCell ref="C444:I444"/>
    <mergeCell ref="C565:I565"/>
    <mergeCell ref="C736:I736"/>
    <mergeCell ref="C291:I291"/>
    <mergeCell ref="C589:I589"/>
    <mergeCell ref="C95:I95"/>
    <mergeCell ref="C331:I331"/>
    <mergeCell ref="C502:I502"/>
    <mergeCell ref="C673:I673"/>
    <mergeCell ref="C347:I347"/>
    <mergeCell ref="C268:I268"/>
    <mergeCell ref="C360:I360"/>
    <mergeCell ref="C91:I91"/>
    <mergeCell ref="C362:I362"/>
    <mergeCell ref="C454:I454"/>
    <mergeCell ref="C647:I647"/>
    <mergeCell ref="C57:I57"/>
    <mergeCell ref="C355:I355"/>
    <mergeCell ref="C155:I155"/>
    <mergeCell ref="C293:I293"/>
    <mergeCell ref="C739:I739"/>
    <mergeCell ref="C220:I220"/>
    <mergeCell ref="C342:I342"/>
    <mergeCell ref="C391:I391"/>
    <mergeCell ref="C518:I518"/>
    <mergeCell ref="C578:I578"/>
    <mergeCell ref="C749:I749"/>
    <mergeCell ref="C649:I649"/>
    <mergeCell ref="C676:I676"/>
    <mergeCell ref="C86:I86"/>
    <mergeCell ref="C357:I357"/>
    <mergeCell ref="C157:I157"/>
    <mergeCell ref="C42:I42"/>
    <mergeCell ref="C151:I151"/>
    <mergeCell ref="C284:I284"/>
    <mergeCell ref="C344:I344"/>
    <mergeCell ref="C449:I449"/>
    <mergeCell ref="C455:I455"/>
    <mergeCell ref="C520:I520"/>
    <mergeCell ref="C58:I58"/>
    <mergeCell ref="C586:I586"/>
    <mergeCell ref="C642:I642"/>
    <mergeCell ref="C691:I691"/>
    <mergeCell ref="C294:I294"/>
    <mergeCell ref="C678:I678"/>
    <mergeCell ref="C215:I215"/>
    <mergeCell ref="C386:I386"/>
    <mergeCell ref="C644:I644"/>
    <mergeCell ref="C152:I152"/>
    <mergeCell ref="C75:I75"/>
    <mergeCell ref="C531:I531"/>
    <mergeCell ref="C596:I596"/>
    <mergeCell ref="C12:I12"/>
    <mergeCell ref="C297:I297"/>
    <mergeCell ref="C533:I533"/>
    <mergeCell ref="C660:I660"/>
    <mergeCell ref="C70:I70"/>
    <mergeCell ref="C241:I241"/>
    <mergeCell ref="C312:I312"/>
    <mergeCell ref="C508:I508"/>
    <mergeCell ref="C610:I610"/>
    <mergeCell ref="C106:I106"/>
    <mergeCell ref="C744:I744"/>
    <mergeCell ref="C299:I299"/>
    <mergeCell ref="C597:I597"/>
    <mergeCell ref="C32:I32"/>
    <mergeCell ref="C572:I572"/>
    <mergeCell ref="C243:I243"/>
    <mergeCell ref="C366:I366"/>
    <mergeCell ref="C170:I170"/>
    <mergeCell ref="C468:I468"/>
    <mergeCell ref="C307:I307"/>
    <mergeCell ref="C574:I574"/>
    <mergeCell ref="C745:I745"/>
    <mergeCell ref="C101:I101"/>
    <mergeCell ref="C666:I666"/>
    <mergeCell ref="C697:I697"/>
    <mergeCell ref="C246:I246"/>
    <mergeCell ref="C221:I221"/>
    <mergeCell ref="C25:I25"/>
    <mergeCell ref="C392:I392"/>
    <mergeCell ref="C463:I463"/>
    <mergeCell ref="C457:I457"/>
    <mergeCell ref="C755:I755"/>
    <mergeCell ref="C236:I236"/>
    <mergeCell ref="C742:I742"/>
    <mergeCell ref="C594:I594"/>
    <mergeCell ref="C223:I223"/>
    <mergeCell ref="C394:I394"/>
    <mergeCell ref="C521:I521"/>
    <mergeCell ref="C692:I692"/>
    <mergeCell ref="C757:I757"/>
    <mergeCell ref="C300:I300"/>
    <mergeCell ref="C287:I287"/>
    <mergeCell ref="C458:I458"/>
    <mergeCell ref="C585:I585"/>
    <mergeCell ref="C523:I523"/>
    <mergeCell ref="C694:I694"/>
    <mergeCell ref="C158:I158"/>
    <mergeCell ref="C289:I289"/>
    <mergeCell ref="C587:I587"/>
    <mergeCell ref="C758:I758"/>
    <mergeCell ref="C13:I13"/>
    <mergeCell ref="C78:I78"/>
    <mergeCell ref="C249:I249"/>
    <mergeCell ref="C376:I376"/>
    <mergeCell ref="C314:I314"/>
    <mergeCell ref="C618:I618"/>
    <mergeCell ref="C363:I363"/>
    <mergeCell ref="C534:I534"/>
    <mergeCell ref="C539:I539"/>
    <mergeCell ref="C599:I599"/>
    <mergeCell ref="C15:I15"/>
    <mergeCell ref="C191:I191"/>
    <mergeCell ref="C313:I313"/>
    <mergeCell ref="C107:I107"/>
    <mergeCell ref="C378:I378"/>
    <mergeCell ref="C549:I549"/>
    <mergeCell ref="C234:I234"/>
    <mergeCell ref="C172:I172"/>
    <mergeCell ref="C476:I476"/>
    <mergeCell ref="C536:I536"/>
    <mergeCell ref="C663:I663"/>
    <mergeCell ref="C79:I79"/>
    <mergeCell ref="C184:I184"/>
    <mergeCell ref="C712:I712"/>
    <mergeCell ref="C73:I73"/>
    <mergeCell ref="C315:I315"/>
    <mergeCell ref="C171:I171"/>
    <mergeCell ref="C613:I613"/>
    <mergeCell ref="C638:I638"/>
    <mergeCell ref="C302:I302"/>
    <mergeCell ref="C407:I407"/>
    <mergeCell ref="C600:I600"/>
    <mergeCell ref="C705:I705"/>
    <mergeCell ref="C121:I121"/>
    <mergeCell ref="C382:I382"/>
    <mergeCell ref="C173:I173"/>
    <mergeCell ref="C471:I471"/>
    <mergeCell ref="C148:I148"/>
    <mergeCell ref="C669:I669"/>
  </mergeCells>
  <hyperlinks>
    <hyperlink xmlns:r="http://schemas.openxmlformats.org/officeDocument/2006/relationships" ref="P12" r:id="rId1"/>
    <hyperlink xmlns:r="http://schemas.openxmlformats.org/officeDocument/2006/relationships" ref="P13" r:id="rId2"/>
    <hyperlink xmlns:r="http://schemas.openxmlformats.org/officeDocument/2006/relationships" ref="P14" r:id="rId3"/>
    <hyperlink xmlns:r="http://schemas.openxmlformats.org/officeDocument/2006/relationships" ref="P15" r:id="rId4"/>
    <hyperlink xmlns:r="http://schemas.openxmlformats.org/officeDocument/2006/relationships" ref="P16" r:id="rId5"/>
    <hyperlink xmlns:r="http://schemas.openxmlformats.org/officeDocument/2006/relationships" ref="P17" r:id="rId6"/>
    <hyperlink xmlns:r="http://schemas.openxmlformats.org/officeDocument/2006/relationships" ref="P18" r:id="rId7"/>
    <hyperlink xmlns:r="http://schemas.openxmlformats.org/officeDocument/2006/relationships" ref="P19" r:id="rId8"/>
    <hyperlink xmlns:r="http://schemas.openxmlformats.org/officeDocument/2006/relationships" ref="P20" r:id="rId9"/>
    <hyperlink xmlns:r="http://schemas.openxmlformats.org/officeDocument/2006/relationships" ref="P21" r:id="rId10"/>
    <hyperlink xmlns:r="http://schemas.openxmlformats.org/officeDocument/2006/relationships" ref="P22" r:id="rId11"/>
    <hyperlink xmlns:r="http://schemas.openxmlformats.org/officeDocument/2006/relationships" ref="P23" r:id="rId12"/>
    <hyperlink xmlns:r="http://schemas.openxmlformats.org/officeDocument/2006/relationships" ref="P24" r:id="rId13"/>
    <hyperlink xmlns:r="http://schemas.openxmlformats.org/officeDocument/2006/relationships" ref="P25" r:id="rId14"/>
    <hyperlink xmlns:r="http://schemas.openxmlformats.org/officeDocument/2006/relationships" ref="P26" r:id="rId15"/>
    <hyperlink xmlns:r="http://schemas.openxmlformats.org/officeDocument/2006/relationships" ref="P27" r:id="rId16"/>
    <hyperlink xmlns:r="http://schemas.openxmlformats.org/officeDocument/2006/relationships" ref="P28" r:id="rId17"/>
    <hyperlink xmlns:r="http://schemas.openxmlformats.org/officeDocument/2006/relationships" ref="P29" r:id="rId18"/>
    <hyperlink xmlns:r="http://schemas.openxmlformats.org/officeDocument/2006/relationships" ref="P30" r:id="rId19"/>
    <hyperlink xmlns:r="http://schemas.openxmlformats.org/officeDocument/2006/relationships" ref="P31" r:id="rId20"/>
    <hyperlink xmlns:r="http://schemas.openxmlformats.org/officeDocument/2006/relationships" ref="P32" r:id="rId21"/>
    <hyperlink xmlns:r="http://schemas.openxmlformats.org/officeDocument/2006/relationships" ref="P33" r:id="rId22"/>
    <hyperlink xmlns:r="http://schemas.openxmlformats.org/officeDocument/2006/relationships" ref="P34" r:id="rId23"/>
    <hyperlink xmlns:r="http://schemas.openxmlformats.org/officeDocument/2006/relationships" ref="P35" r:id="rId24"/>
    <hyperlink xmlns:r="http://schemas.openxmlformats.org/officeDocument/2006/relationships" ref="P36" r:id="rId25"/>
    <hyperlink xmlns:r="http://schemas.openxmlformats.org/officeDocument/2006/relationships" ref="P38" r:id="rId26"/>
    <hyperlink xmlns:r="http://schemas.openxmlformats.org/officeDocument/2006/relationships" ref="P39" r:id="rId27"/>
    <hyperlink xmlns:r="http://schemas.openxmlformats.org/officeDocument/2006/relationships" ref="P40" r:id="rId28"/>
    <hyperlink xmlns:r="http://schemas.openxmlformats.org/officeDocument/2006/relationships" ref="P42" r:id="rId29"/>
    <hyperlink xmlns:r="http://schemas.openxmlformats.org/officeDocument/2006/relationships" ref="P43" r:id="rId30"/>
    <hyperlink xmlns:r="http://schemas.openxmlformats.org/officeDocument/2006/relationships" ref="P44" r:id="rId31"/>
    <hyperlink xmlns:r="http://schemas.openxmlformats.org/officeDocument/2006/relationships" ref="P45" r:id="rId32"/>
    <hyperlink xmlns:r="http://schemas.openxmlformats.org/officeDocument/2006/relationships" ref="P47" r:id="rId33"/>
    <hyperlink xmlns:r="http://schemas.openxmlformats.org/officeDocument/2006/relationships" ref="P48" r:id="rId34"/>
    <hyperlink xmlns:r="http://schemas.openxmlformats.org/officeDocument/2006/relationships" ref="P49" r:id="rId35"/>
    <hyperlink xmlns:r="http://schemas.openxmlformats.org/officeDocument/2006/relationships" ref="P51" r:id="rId36"/>
    <hyperlink xmlns:r="http://schemas.openxmlformats.org/officeDocument/2006/relationships" ref="P52" r:id="rId37"/>
    <hyperlink xmlns:r="http://schemas.openxmlformats.org/officeDocument/2006/relationships" ref="P53" r:id="rId38"/>
    <hyperlink xmlns:r="http://schemas.openxmlformats.org/officeDocument/2006/relationships" ref="P54" r:id="rId39"/>
    <hyperlink xmlns:r="http://schemas.openxmlformats.org/officeDocument/2006/relationships" ref="P55" r:id="rId40"/>
    <hyperlink xmlns:r="http://schemas.openxmlformats.org/officeDocument/2006/relationships" ref="P56" r:id="rId41"/>
    <hyperlink xmlns:r="http://schemas.openxmlformats.org/officeDocument/2006/relationships" ref="P57" r:id="rId42"/>
    <hyperlink xmlns:r="http://schemas.openxmlformats.org/officeDocument/2006/relationships" ref="P58" r:id="rId43"/>
    <hyperlink xmlns:r="http://schemas.openxmlformats.org/officeDocument/2006/relationships" ref="P59" r:id="rId44"/>
    <hyperlink xmlns:r="http://schemas.openxmlformats.org/officeDocument/2006/relationships" ref="P60" r:id="rId45"/>
    <hyperlink xmlns:r="http://schemas.openxmlformats.org/officeDocument/2006/relationships" ref="P61" r:id="rId46"/>
    <hyperlink xmlns:r="http://schemas.openxmlformats.org/officeDocument/2006/relationships" ref="P63" r:id="rId47"/>
    <hyperlink xmlns:r="http://schemas.openxmlformats.org/officeDocument/2006/relationships" ref="P64" r:id="rId48"/>
    <hyperlink xmlns:r="http://schemas.openxmlformats.org/officeDocument/2006/relationships" ref="P65" r:id="rId49"/>
    <hyperlink xmlns:r="http://schemas.openxmlformats.org/officeDocument/2006/relationships" ref="P66" r:id="rId50"/>
    <hyperlink xmlns:r="http://schemas.openxmlformats.org/officeDocument/2006/relationships" ref="P67" r:id="rId51"/>
    <hyperlink xmlns:r="http://schemas.openxmlformats.org/officeDocument/2006/relationships" ref="P68" r:id="rId52"/>
    <hyperlink xmlns:r="http://schemas.openxmlformats.org/officeDocument/2006/relationships" ref="P69" r:id="rId53"/>
    <hyperlink xmlns:r="http://schemas.openxmlformats.org/officeDocument/2006/relationships" ref="P70" r:id="rId54"/>
    <hyperlink xmlns:r="http://schemas.openxmlformats.org/officeDocument/2006/relationships" ref="P71" r:id="rId55"/>
    <hyperlink xmlns:r="http://schemas.openxmlformats.org/officeDocument/2006/relationships" ref="P72" r:id="rId56"/>
    <hyperlink xmlns:r="http://schemas.openxmlformats.org/officeDocument/2006/relationships" ref="P73" r:id="rId57"/>
    <hyperlink xmlns:r="http://schemas.openxmlformats.org/officeDocument/2006/relationships" ref="P74" r:id="rId58"/>
    <hyperlink xmlns:r="http://schemas.openxmlformats.org/officeDocument/2006/relationships" ref="P75" r:id="rId59"/>
    <hyperlink xmlns:r="http://schemas.openxmlformats.org/officeDocument/2006/relationships" ref="P76" r:id="rId60"/>
    <hyperlink xmlns:r="http://schemas.openxmlformats.org/officeDocument/2006/relationships" ref="P77" r:id="rId61"/>
    <hyperlink xmlns:r="http://schemas.openxmlformats.org/officeDocument/2006/relationships" ref="P78" r:id="rId62"/>
    <hyperlink xmlns:r="http://schemas.openxmlformats.org/officeDocument/2006/relationships" ref="P79" r:id="rId63"/>
    <hyperlink xmlns:r="http://schemas.openxmlformats.org/officeDocument/2006/relationships" ref="P80" r:id="rId64"/>
    <hyperlink xmlns:r="http://schemas.openxmlformats.org/officeDocument/2006/relationships" ref="P81" r:id="rId65"/>
    <hyperlink xmlns:r="http://schemas.openxmlformats.org/officeDocument/2006/relationships" ref="P82" r:id="rId66"/>
    <hyperlink xmlns:r="http://schemas.openxmlformats.org/officeDocument/2006/relationships" ref="P83" r:id="rId67"/>
    <hyperlink xmlns:r="http://schemas.openxmlformats.org/officeDocument/2006/relationships" ref="P84" r:id="rId68"/>
    <hyperlink xmlns:r="http://schemas.openxmlformats.org/officeDocument/2006/relationships" ref="P85" r:id="rId69"/>
    <hyperlink xmlns:r="http://schemas.openxmlformats.org/officeDocument/2006/relationships" ref="P86" r:id="rId70"/>
    <hyperlink xmlns:r="http://schemas.openxmlformats.org/officeDocument/2006/relationships" ref="P87" r:id="rId71"/>
    <hyperlink xmlns:r="http://schemas.openxmlformats.org/officeDocument/2006/relationships" ref="P88" r:id="rId72"/>
    <hyperlink xmlns:r="http://schemas.openxmlformats.org/officeDocument/2006/relationships" ref="P89" r:id="rId73"/>
    <hyperlink xmlns:r="http://schemas.openxmlformats.org/officeDocument/2006/relationships" ref="P90" r:id="rId74"/>
    <hyperlink xmlns:r="http://schemas.openxmlformats.org/officeDocument/2006/relationships" ref="P91" r:id="rId75"/>
    <hyperlink xmlns:r="http://schemas.openxmlformats.org/officeDocument/2006/relationships" ref="P92" r:id="rId76"/>
    <hyperlink xmlns:r="http://schemas.openxmlformats.org/officeDocument/2006/relationships" ref="P93" r:id="rId77"/>
    <hyperlink xmlns:r="http://schemas.openxmlformats.org/officeDocument/2006/relationships" ref="P94" r:id="rId78"/>
    <hyperlink xmlns:r="http://schemas.openxmlformats.org/officeDocument/2006/relationships" ref="P95" r:id="rId79"/>
    <hyperlink xmlns:r="http://schemas.openxmlformats.org/officeDocument/2006/relationships" ref="P96" r:id="rId80"/>
    <hyperlink xmlns:r="http://schemas.openxmlformats.org/officeDocument/2006/relationships" ref="P97" r:id="rId81"/>
    <hyperlink xmlns:r="http://schemas.openxmlformats.org/officeDocument/2006/relationships" ref="P98" r:id="rId82"/>
    <hyperlink xmlns:r="http://schemas.openxmlformats.org/officeDocument/2006/relationships" ref="P99" r:id="rId83"/>
    <hyperlink xmlns:r="http://schemas.openxmlformats.org/officeDocument/2006/relationships" ref="P100" r:id="rId84"/>
    <hyperlink xmlns:r="http://schemas.openxmlformats.org/officeDocument/2006/relationships" ref="P101" r:id="rId85"/>
    <hyperlink xmlns:r="http://schemas.openxmlformats.org/officeDocument/2006/relationships" ref="P102" r:id="rId86"/>
    <hyperlink xmlns:r="http://schemas.openxmlformats.org/officeDocument/2006/relationships" ref="P103" r:id="rId87"/>
    <hyperlink xmlns:r="http://schemas.openxmlformats.org/officeDocument/2006/relationships" ref="P104" r:id="rId88"/>
    <hyperlink xmlns:r="http://schemas.openxmlformats.org/officeDocument/2006/relationships" ref="P105" r:id="rId89"/>
    <hyperlink xmlns:r="http://schemas.openxmlformats.org/officeDocument/2006/relationships" ref="P106" r:id="rId90"/>
    <hyperlink xmlns:r="http://schemas.openxmlformats.org/officeDocument/2006/relationships" ref="P107" r:id="rId91"/>
    <hyperlink xmlns:r="http://schemas.openxmlformats.org/officeDocument/2006/relationships" ref="P109" r:id="rId92"/>
    <hyperlink xmlns:r="http://schemas.openxmlformats.org/officeDocument/2006/relationships" ref="P110" r:id="rId93"/>
    <hyperlink xmlns:r="http://schemas.openxmlformats.org/officeDocument/2006/relationships" ref="P111" r:id="rId94"/>
    <hyperlink xmlns:r="http://schemas.openxmlformats.org/officeDocument/2006/relationships" ref="P112" r:id="rId95"/>
    <hyperlink xmlns:r="http://schemas.openxmlformats.org/officeDocument/2006/relationships" ref="P114" r:id="rId96"/>
    <hyperlink xmlns:r="http://schemas.openxmlformats.org/officeDocument/2006/relationships" ref="P115" r:id="rId97"/>
    <hyperlink xmlns:r="http://schemas.openxmlformats.org/officeDocument/2006/relationships" ref="P116" r:id="rId98"/>
    <hyperlink xmlns:r="http://schemas.openxmlformats.org/officeDocument/2006/relationships" ref="P117" r:id="rId99"/>
    <hyperlink xmlns:r="http://schemas.openxmlformats.org/officeDocument/2006/relationships" ref="P118" r:id="rId100"/>
    <hyperlink xmlns:r="http://schemas.openxmlformats.org/officeDocument/2006/relationships" ref="P119" r:id="rId101"/>
    <hyperlink xmlns:r="http://schemas.openxmlformats.org/officeDocument/2006/relationships" ref="P120" r:id="rId102"/>
    <hyperlink xmlns:r="http://schemas.openxmlformats.org/officeDocument/2006/relationships" ref="P121" r:id="rId103"/>
    <hyperlink xmlns:r="http://schemas.openxmlformats.org/officeDocument/2006/relationships" ref="P122" r:id="rId104"/>
    <hyperlink xmlns:r="http://schemas.openxmlformats.org/officeDocument/2006/relationships" ref="P123" r:id="rId105"/>
    <hyperlink xmlns:r="http://schemas.openxmlformats.org/officeDocument/2006/relationships" ref="P124" r:id="rId106"/>
    <hyperlink xmlns:r="http://schemas.openxmlformats.org/officeDocument/2006/relationships" ref="P125" r:id="rId107"/>
    <hyperlink xmlns:r="http://schemas.openxmlformats.org/officeDocument/2006/relationships" ref="P126" r:id="rId108"/>
    <hyperlink xmlns:r="http://schemas.openxmlformats.org/officeDocument/2006/relationships" ref="P127" r:id="rId109"/>
    <hyperlink xmlns:r="http://schemas.openxmlformats.org/officeDocument/2006/relationships" ref="P128" r:id="rId110"/>
    <hyperlink xmlns:r="http://schemas.openxmlformats.org/officeDocument/2006/relationships" ref="P129" r:id="rId111"/>
    <hyperlink xmlns:r="http://schemas.openxmlformats.org/officeDocument/2006/relationships" ref="P130" r:id="rId112"/>
    <hyperlink xmlns:r="http://schemas.openxmlformats.org/officeDocument/2006/relationships" ref="P131" r:id="rId113"/>
    <hyperlink xmlns:r="http://schemas.openxmlformats.org/officeDocument/2006/relationships" ref="P132" r:id="rId114"/>
    <hyperlink xmlns:r="http://schemas.openxmlformats.org/officeDocument/2006/relationships" ref="P133" r:id="rId115"/>
    <hyperlink xmlns:r="http://schemas.openxmlformats.org/officeDocument/2006/relationships" ref="P134" r:id="rId116"/>
    <hyperlink xmlns:r="http://schemas.openxmlformats.org/officeDocument/2006/relationships" ref="P135" r:id="rId117"/>
    <hyperlink xmlns:r="http://schemas.openxmlformats.org/officeDocument/2006/relationships" ref="P136" r:id="rId118"/>
    <hyperlink xmlns:r="http://schemas.openxmlformats.org/officeDocument/2006/relationships" ref="P137" r:id="rId119"/>
    <hyperlink xmlns:r="http://schemas.openxmlformats.org/officeDocument/2006/relationships" ref="P138" r:id="rId120"/>
    <hyperlink xmlns:r="http://schemas.openxmlformats.org/officeDocument/2006/relationships" ref="P139" r:id="rId121"/>
    <hyperlink xmlns:r="http://schemas.openxmlformats.org/officeDocument/2006/relationships" ref="P140" r:id="rId122"/>
    <hyperlink xmlns:r="http://schemas.openxmlformats.org/officeDocument/2006/relationships" ref="P143" r:id="rId123"/>
    <hyperlink xmlns:r="http://schemas.openxmlformats.org/officeDocument/2006/relationships" ref="P144" r:id="rId124"/>
    <hyperlink xmlns:r="http://schemas.openxmlformats.org/officeDocument/2006/relationships" ref="P145" r:id="rId125"/>
    <hyperlink xmlns:r="http://schemas.openxmlformats.org/officeDocument/2006/relationships" ref="P147" r:id="rId126"/>
    <hyperlink xmlns:r="http://schemas.openxmlformats.org/officeDocument/2006/relationships" ref="P149" r:id="rId127"/>
    <hyperlink xmlns:r="http://schemas.openxmlformats.org/officeDocument/2006/relationships" ref="P150" r:id="rId128"/>
    <hyperlink xmlns:r="http://schemas.openxmlformats.org/officeDocument/2006/relationships" ref="P151" r:id="rId129"/>
    <hyperlink xmlns:r="http://schemas.openxmlformats.org/officeDocument/2006/relationships" ref="P152" r:id="rId130"/>
    <hyperlink xmlns:r="http://schemas.openxmlformats.org/officeDocument/2006/relationships" ref="P153" r:id="rId131"/>
    <hyperlink xmlns:r="http://schemas.openxmlformats.org/officeDocument/2006/relationships" ref="P154" r:id="rId132"/>
    <hyperlink xmlns:r="http://schemas.openxmlformats.org/officeDocument/2006/relationships" ref="P155" r:id="rId133"/>
    <hyperlink xmlns:r="http://schemas.openxmlformats.org/officeDocument/2006/relationships" ref="P156" r:id="rId134"/>
    <hyperlink xmlns:r="http://schemas.openxmlformats.org/officeDocument/2006/relationships" ref="P157" r:id="rId135"/>
    <hyperlink xmlns:r="http://schemas.openxmlformats.org/officeDocument/2006/relationships" ref="P160" r:id="rId136"/>
    <hyperlink xmlns:r="http://schemas.openxmlformats.org/officeDocument/2006/relationships" ref="P161" r:id="rId137"/>
    <hyperlink xmlns:r="http://schemas.openxmlformats.org/officeDocument/2006/relationships" ref="P162" r:id="rId138"/>
    <hyperlink xmlns:r="http://schemas.openxmlformats.org/officeDocument/2006/relationships" ref="P163" r:id="rId139"/>
    <hyperlink xmlns:r="http://schemas.openxmlformats.org/officeDocument/2006/relationships" ref="P164" r:id="rId140"/>
    <hyperlink xmlns:r="http://schemas.openxmlformats.org/officeDocument/2006/relationships" ref="P165" r:id="rId141"/>
    <hyperlink xmlns:r="http://schemas.openxmlformats.org/officeDocument/2006/relationships" ref="P166" r:id="rId142"/>
    <hyperlink xmlns:r="http://schemas.openxmlformats.org/officeDocument/2006/relationships" ref="P168" r:id="rId143"/>
    <hyperlink xmlns:r="http://schemas.openxmlformats.org/officeDocument/2006/relationships" ref="P169" r:id="rId144"/>
    <hyperlink xmlns:r="http://schemas.openxmlformats.org/officeDocument/2006/relationships" ref="P170" r:id="rId145"/>
    <hyperlink xmlns:r="http://schemas.openxmlformats.org/officeDocument/2006/relationships" ref="P171" r:id="rId146"/>
    <hyperlink xmlns:r="http://schemas.openxmlformats.org/officeDocument/2006/relationships" ref="P172" r:id="rId147"/>
    <hyperlink xmlns:r="http://schemas.openxmlformats.org/officeDocument/2006/relationships" ref="P173" r:id="rId148"/>
    <hyperlink xmlns:r="http://schemas.openxmlformats.org/officeDocument/2006/relationships" ref="P174" r:id="rId149"/>
    <hyperlink xmlns:r="http://schemas.openxmlformats.org/officeDocument/2006/relationships" ref="P175" r:id="rId150"/>
    <hyperlink xmlns:r="http://schemas.openxmlformats.org/officeDocument/2006/relationships" ref="P176" r:id="rId151"/>
    <hyperlink xmlns:r="http://schemas.openxmlformats.org/officeDocument/2006/relationships" ref="P177" r:id="rId152"/>
    <hyperlink xmlns:r="http://schemas.openxmlformats.org/officeDocument/2006/relationships" ref="P178" r:id="rId153"/>
    <hyperlink xmlns:r="http://schemas.openxmlformats.org/officeDocument/2006/relationships" ref="P179" r:id="rId154"/>
    <hyperlink xmlns:r="http://schemas.openxmlformats.org/officeDocument/2006/relationships" ref="P180" r:id="rId155"/>
    <hyperlink xmlns:r="http://schemas.openxmlformats.org/officeDocument/2006/relationships" ref="P181" r:id="rId156"/>
    <hyperlink xmlns:r="http://schemas.openxmlformats.org/officeDocument/2006/relationships" ref="P182" r:id="rId157"/>
    <hyperlink xmlns:r="http://schemas.openxmlformats.org/officeDocument/2006/relationships" ref="P183" r:id="rId158"/>
    <hyperlink xmlns:r="http://schemas.openxmlformats.org/officeDocument/2006/relationships" ref="P184" r:id="rId159"/>
    <hyperlink xmlns:r="http://schemas.openxmlformats.org/officeDocument/2006/relationships" ref="P185" r:id="rId160"/>
    <hyperlink xmlns:r="http://schemas.openxmlformats.org/officeDocument/2006/relationships" ref="P187" r:id="rId161"/>
    <hyperlink xmlns:r="http://schemas.openxmlformats.org/officeDocument/2006/relationships" ref="P188" r:id="rId162"/>
    <hyperlink xmlns:r="http://schemas.openxmlformats.org/officeDocument/2006/relationships" ref="P189" r:id="rId163"/>
    <hyperlink xmlns:r="http://schemas.openxmlformats.org/officeDocument/2006/relationships" ref="P190" r:id="rId164"/>
    <hyperlink xmlns:r="http://schemas.openxmlformats.org/officeDocument/2006/relationships" ref="P191" r:id="rId165"/>
    <hyperlink xmlns:r="http://schemas.openxmlformats.org/officeDocument/2006/relationships" ref="P192" r:id="rId166"/>
    <hyperlink xmlns:r="http://schemas.openxmlformats.org/officeDocument/2006/relationships" ref="P195" r:id="rId167"/>
    <hyperlink xmlns:r="http://schemas.openxmlformats.org/officeDocument/2006/relationships" ref="P196" r:id="rId168"/>
    <hyperlink xmlns:r="http://schemas.openxmlformats.org/officeDocument/2006/relationships" ref="P197" r:id="rId169"/>
    <hyperlink xmlns:r="http://schemas.openxmlformats.org/officeDocument/2006/relationships" ref="P198" r:id="rId170"/>
    <hyperlink xmlns:r="http://schemas.openxmlformats.org/officeDocument/2006/relationships" ref="P199" r:id="rId171"/>
    <hyperlink xmlns:r="http://schemas.openxmlformats.org/officeDocument/2006/relationships" ref="P200" r:id="rId172"/>
    <hyperlink xmlns:r="http://schemas.openxmlformats.org/officeDocument/2006/relationships" ref="P201" r:id="rId173"/>
    <hyperlink xmlns:r="http://schemas.openxmlformats.org/officeDocument/2006/relationships" ref="P202" r:id="rId174"/>
    <hyperlink xmlns:r="http://schemas.openxmlformats.org/officeDocument/2006/relationships" ref="P203" r:id="rId175"/>
    <hyperlink xmlns:r="http://schemas.openxmlformats.org/officeDocument/2006/relationships" ref="P204" r:id="rId176"/>
    <hyperlink xmlns:r="http://schemas.openxmlformats.org/officeDocument/2006/relationships" ref="P205" r:id="rId177"/>
    <hyperlink xmlns:r="http://schemas.openxmlformats.org/officeDocument/2006/relationships" ref="P206" r:id="rId178"/>
    <hyperlink xmlns:r="http://schemas.openxmlformats.org/officeDocument/2006/relationships" ref="P207" r:id="rId179"/>
    <hyperlink xmlns:r="http://schemas.openxmlformats.org/officeDocument/2006/relationships" ref="P208" r:id="rId180"/>
    <hyperlink xmlns:r="http://schemas.openxmlformats.org/officeDocument/2006/relationships" ref="P210" r:id="rId181"/>
    <hyperlink xmlns:r="http://schemas.openxmlformats.org/officeDocument/2006/relationships" ref="P211" r:id="rId182"/>
    <hyperlink xmlns:r="http://schemas.openxmlformats.org/officeDocument/2006/relationships" ref="P212" r:id="rId183"/>
    <hyperlink xmlns:r="http://schemas.openxmlformats.org/officeDocument/2006/relationships" ref="P213" r:id="rId184"/>
    <hyperlink xmlns:r="http://schemas.openxmlformats.org/officeDocument/2006/relationships" ref="P214" r:id="rId185"/>
    <hyperlink xmlns:r="http://schemas.openxmlformats.org/officeDocument/2006/relationships" ref="P215" r:id="rId186"/>
    <hyperlink xmlns:r="http://schemas.openxmlformats.org/officeDocument/2006/relationships" ref="P216" r:id="rId187"/>
    <hyperlink xmlns:r="http://schemas.openxmlformats.org/officeDocument/2006/relationships" ref="P217" r:id="rId188"/>
    <hyperlink xmlns:r="http://schemas.openxmlformats.org/officeDocument/2006/relationships" ref="P218" r:id="rId189"/>
    <hyperlink xmlns:r="http://schemas.openxmlformats.org/officeDocument/2006/relationships" ref="P219" r:id="rId190"/>
    <hyperlink xmlns:r="http://schemas.openxmlformats.org/officeDocument/2006/relationships" ref="P220" r:id="rId191"/>
    <hyperlink xmlns:r="http://schemas.openxmlformats.org/officeDocument/2006/relationships" ref="P221" r:id="rId192"/>
    <hyperlink xmlns:r="http://schemas.openxmlformats.org/officeDocument/2006/relationships" ref="P222" r:id="rId193"/>
    <hyperlink xmlns:r="http://schemas.openxmlformats.org/officeDocument/2006/relationships" ref="P223" r:id="rId194"/>
    <hyperlink xmlns:r="http://schemas.openxmlformats.org/officeDocument/2006/relationships" ref="P224" r:id="rId195"/>
    <hyperlink xmlns:r="http://schemas.openxmlformats.org/officeDocument/2006/relationships" ref="P225" r:id="rId196"/>
    <hyperlink xmlns:r="http://schemas.openxmlformats.org/officeDocument/2006/relationships" ref="P226" r:id="rId197"/>
    <hyperlink xmlns:r="http://schemas.openxmlformats.org/officeDocument/2006/relationships" ref="P227" r:id="rId198"/>
    <hyperlink xmlns:r="http://schemas.openxmlformats.org/officeDocument/2006/relationships" ref="P228" r:id="rId199"/>
    <hyperlink xmlns:r="http://schemas.openxmlformats.org/officeDocument/2006/relationships" ref="P231" r:id="rId200"/>
    <hyperlink xmlns:r="http://schemas.openxmlformats.org/officeDocument/2006/relationships" ref="P232" r:id="rId201"/>
    <hyperlink xmlns:r="http://schemas.openxmlformats.org/officeDocument/2006/relationships" ref="P233" r:id="rId202"/>
    <hyperlink xmlns:r="http://schemas.openxmlformats.org/officeDocument/2006/relationships" ref="P234" r:id="rId203"/>
    <hyperlink xmlns:r="http://schemas.openxmlformats.org/officeDocument/2006/relationships" ref="P235" r:id="rId204"/>
    <hyperlink xmlns:r="http://schemas.openxmlformats.org/officeDocument/2006/relationships" ref="P236" r:id="rId205"/>
    <hyperlink xmlns:r="http://schemas.openxmlformats.org/officeDocument/2006/relationships" ref="P237" r:id="rId206"/>
    <hyperlink xmlns:r="http://schemas.openxmlformats.org/officeDocument/2006/relationships" ref="P239" r:id="rId207"/>
    <hyperlink xmlns:r="http://schemas.openxmlformats.org/officeDocument/2006/relationships" ref="P240" r:id="rId208"/>
    <hyperlink xmlns:r="http://schemas.openxmlformats.org/officeDocument/2006/relationships" ref="P241" r:id="rId209"/>
    <hyperlink xmlns:r="http://schemas.openxmlformats.org/officeDocument/2006/relationships" ref="P242" r:id="rId210"/>
    <hyperlink xmlns:r="http://schemas.openxmlformats.org/officeDocument/2006/relationships" ref="P243" r:id="rId211"/>
    <hyperlink xmlns:r="http://schemas.openxmlformats.org/officeDocument/2006/relationships" ref="P245" r:id="rId212"/>
    <hyperlink xmlns:r="http://schemas.openxmlformats.org/officeDocument/2006/relationships" ref="P246" r:id="rId213"/>
    <hyperlink xmlns:r="http://schemas.openxmlformats.org/officeDocument/2006/relationships" ref="P247" r:id="rId214"/>
    <hyperlink xmlns:r="http://schemas.openxmlformats.org/officeDocument/2006/relationships" ref="P248" r:id="rId215"/>
    <hyperlink xmlns:r="http://schemas.openxmlformats.org/officeDocument/2006/relationships" ref="P249" r:id="rId216"/>
    <hyperlink xmlns:r="http://schemas.openxmlformats.org/officeDocument/2006/relationships" ref="P251" r:id="rId217"/>
    <hyperlink xmlns:r="http://schemas.openxmlformats.org/officeDocument/2006/relationships" ref="P252" r:id="rId218"/>
    <hyperlink xmlns:r="http://schemas.openxmlformats.org/officeDocument/2006/relationships" ref="P253" r:id="rId219"/>
    <hyperlink xmlns:r="http://schemas.openxmlformats.org/officeDocument/2006/relationships" ref="P255" r:id="rId220"/>
    <hyperlink xmlns:r="http://schemas.openxmlformats.org/officeDocument/2006/relationships" ref="P256" r:id="rId221"/>
    <hyperlink xmlns:r="http://schemas.openxmlformats.org/officeDocument/2006/relationships" ref="P257" r:id="rId222"/>
    <hyperlink xmlns:r="http://schemas.openxmlformats.org/officeDocument/2006/relationships" ref="P258" r:id="rId223"/>
    <hyperlink xmlns:r="http://schemas.openxmlformats.org/officeDocument/2006/relationships" ref="P259" r:id="rId224"/>
    <hyperlink xmlns:r="http://schemas.openxmlformats.org/officeDocument/2006/relationships" ref="P260" r:id="rId225"/>
    <hyperlink xmlns:r="http://schemas.openxmlformats.org/officeDocument/2006/relationships" ref="P261" r:id="rId226"/>
    <hyperlink xmlns:r="http://schemas.openxmlformats.org/officeDocument/2006/relationships" ref="P262" r:id="rId227"/>
    <hyperlink xmlns:r="http://schemas.openxmlformats.org/officeDocument/2006/relationships" ref="P264" r:id="rId228"/>
    <hyperlink xmlns:r="http://schemas.openxmlformats.org/officeDocument/2006/relationships" ref="P265" r:id="rId229"/>
    <hyperlink xmlns:r="http://schemas.openxmlformats.org/officeDocument/2006/relationships" ref="P266" r:id="rId230"/>
    <hyperlink xmlns:r="http://schemas.openxmlformats.org/officeDocument/2006/relationships" ref="P267" r:id="rId231"/>
    <hyperlink xmlns:r="http://schemas.openxmlformats.org/officeDocument/2006/relationships" ref="P268" r:id="rId232"/>
    <hyperlink xmlns:r="http://schemas.openxmlformats.org/officeDocument/2006/relationships" ref="P269" r:id="rId233"/>
    <hyperlink xmlns:r="http://schemas.openxmlformats.org/officeDocument/2006/relationships" ref="P270" r:id="rId234"/>
    <hyperlink xmlns:r="http://schemas.openxmlformats.org/officeDocument/2006/relationships" ref="P271" r:id="rId235"/>
    <hyperlink xmlns:r="http://schemas.openxmlformats.org/officeDocument/2006/relationships" ref="P272" r:id="rId236"/>
    <hyperlink xmlns:r="http://schemas.openxmlformats.org/officeDocument/2006/relationships" ref="P273" r:id="rId237"/>
    <hyperlink xmlns:r="http://schemas.openxmlformats.org/officeDocument/2006/relationships" ref="P274" r:id="rId238"/>
    <hyperlink xmlns:r="http://schemas.openxmlformats.org/officeDocument/2006/relationships" ref="P275" r:id="rId239"/>
    <hyperlink xmlns:r="http://schemas.openxmlformats.org/officeDocument/2006/relationships" ref="P277" r:id="rId240"/>
    <hyperlink xmlns:r="http://schemas.openxmlformats.org/officeDocument/2006/relationships" ref="P278" r:id="rId241"/>
    <hyperlink xmlns:r="http://schemas.openxmlformats.org/officeDocument/2006/relationships" ref="P279" r:id="rId242"/>
    <hyperlink xmlns:r="http://schemas.openxmlformats.org/officeDocument/2006/relationships" ref="P280" r:id="rId243"/>
    <hyperlink xmlns:r="http://schemas.openxmlformats.org/officeDocument/2006/relationships" ref="P281" r:id="rId244"/>
    <hyperlink xmlns:r="http://schemas.openxmlformats.org/officeDocument/2006/relationships" ref="P282" r:id="rId245"/>
    <hyperlink xmlns:r="http://schemas.openxmlformats.org/officeDocument/2006/relationships" ref="P283" r:id="rId246"/>
    <hyperlink xmlns:r="http://schemas.openxmlformats.org/officeDocument/2006/relationships" ref="P284" r:id="rId247"/>
    <hyperlink xmlns:r="http://schemas.openxmlformats.org/officeDocument/2006/relationships" ref="P285" r:id="rId248"/>
    <hyperlink xmlns:r="http://schemas.openxmlformats.org/officeDocument/2006/relationships" ref="P286" r:id="rId249"/>
    <hyperlink xmlns:r="http://schemas.openxmlformats.org/officeDocument/2006/relationships" ref="P287" r:id="rId250"/>
    <hyperlink xmlns:r="http://schemas.openxmlformats.org/officeDocument/2006/relationships" ref="P288" r:id="rId251"/>
    <hyperlink xmlns:r="http://schemas.openxmlformats.org/officeDocument/2006/relationships" ref="P289" r:id="rId252"/>
    <hyperlink xmlns:r="http://schemas.openxmlformats.org/officeDocument/2006/relationships" ref="P290" r:id="rId253"/>
    <hyperlink xmlns:r="http://schemas.openxmlformats.org/officeDocument/2006/relationships" ref="P291" r:id="rId254"/>
    <hyperlink xmlns:r="http://schemas.openxmlformats.org/officeDocument/2006/relationships" ref="P292" r:id="rId255"/>
    <hyperlink xmlns:r="http://schemas.openxmlformats.org/officeDocument/2006/relationships" ref="P293" r:id="rId256"/>
    <hyperlink xmlns:r="http://schemas.openxmlformats.org/officeDocument/2006/relationships" ref="P294" r:id="rId257"/>
    <hyperlink xmlns:r="http://schemas.openxmlformats.org/officeDocument/2006/relationships" ref="P295" r:id="rId258"/>
    <hyperlink xmlns:r="http://schemas.openxmlformats.org/officeDocument/2006/relationships" ref="P296" r:id="rId259"/>
    <hyperlink xmlns:r="http://schemas.openxmlformats.org/officeDocument/2006/relationships" ref="P297" r:id="rId260"/>
    <hyperlink xmlns:r="http://schemas.openxmlformats.org/officeDocument/2006/relationships" ref="P298" r:id="rId261"/>
    <hyperlink xmlns:r="http://schemas.openxmlformats.org/officeDocument/2006/relationships" ref="P299" r:id="rId262"/>
    <hyperlink xmlns:r="http://schemas.openxmlformats.org/officeDocument/2006/relationships" ref="P300" r:id="rId263"/>
    <hyperlink xmlns:r="http://schemas.openxmlformats.org/officeDocument/2006/relationships" ref="P301" r:id="rId264"/>
    <hyperlink xmlns:r="http://schemas.openxmlformats.org/officeDocument/2006/relationships" ref="P302" r:id="rId265"/>
    <hyperlink xmlns:r="http://schemas.openxmlformats.org/officeDocument/2006/relationships" ref="P303" r:id="rId266"/>
    <hyperlink xmlns:r="http://schemas.openxmlformats.org/officeDocument/2006/relationships" ref="P304" r:id="rId267"/>
    <hyperlink xmlns:r="http://schemas.openxmlformats.org/officeDocument/2006/relationships" ref="P305" r:id="rId268"/>
    <hyperlink xmlns:r="http://schemas.openxmlformats.org/officeDocument/2006/relationships" ref="P306" r:id="rId269"/>
    <hyperlink xmlns:r="http://schemas.openxmlformats.org/officeDocument/2006/relationships" ref="P307" r:id="rId270"/>
    <hyperlink xmlns:r="http://schemas.openxmlformats.org/officeDocument/2006/relationships" ref="P308" r:id="rId271"/>
    <hyperlink xmlns:r="http://schemas.openxmlformats.org/officeDocument/2006/relationships" ref="P309" r:id="rId272"/>
    <hyperlink xmlns:r="http://schemas.openxmlformats.org/officeDocument/2006/relationships" ref="P311" r:id="rId273"/>
    <hyperlink xmlns:r="http://schemas.openxmlformats.org/officeDocument/2006/relationships" ref="P312" r:id="rId274"/>
    <hyperlink xmlns:r="http://schemas.openxmlformats.org/officeDocument/2006/relationships" ref="P313" r:id="rId275"/>
    <hyperlink xmlns:r="http://schemas.openxmlformats.org/officeDocument/2006/relationships" ref="P314" r:id="rId276"/>
    <hyperlink xmlns:r="http://schemas.openxmlformats.org/officeDocument/2006/relationships" ref="P315" r:id="rId277"/>
    <hyperlink xmlns:r="http://schemas.openxmlformats.org/officeDocument/2006/relationships" ref="P316" r:id="rId278"/>
    <hyperlink xmlns:r="http://schemas.openxmlformats.org/officeDocument/2006/relationships" ref="P317" r:id="rId279"/>
    <hyperlink xmlns:r="http://schemas.openxmlformats.org/officeDocument/2006/relationships" ref="P318" r:id="rId280"/>
    <hyperlink xmlns:r="http://schemas.openxmlformats.org/officeDocument/2006/relationships" ref="P319" r:id="rId281"/>
    <hyperlink xmlns:r="http://schemas.openxmlformats.org/officeDocument/2006/relationships" ref="P320" r:id="rId282"/>
    <hyperlink xmlns:r="http://schemas.openxmlformats.org/officeDocument/2006/relationships" ref="P321" r:id="rId283"/>
    <hyperlink xmlns:r="http://schemas.openxmlformats.org/officeDocument/2006/relationships" ref="P322" r:id="rId284"/>
    <hyperlink xmlns:r="http://schemas.openxmlformats.org/officeDocument/2006/relationships" ref="P323" r:id="rId285"/>
    <hyperlink xmlns:r="http://schemas.openxmlformats.org/officeDocument/2006/relationships" ref="P324" r:id="rId286"/>
    <hyperlink xmlns:r="http://schemas.openxmlformats.org/officeDocument/2006/relationships" ref="P325" r:id="rId287"/>
    <hyperlink xmlns:r="http://schemas.openxmlformats.org/officeDocument/2006/relationships" ref="P327" r:id="rId288"/>
    <hyperlink xmlns:r="http://schemas.openxmlformats.org/officeDocument/2006/relationships" ref="P328" r:id="rId289"/>
    <hyperlink xmlns:r="http://schemas.openxmlformats.org/officeDocument/2006/relationships" ref="P329" r:id="rId290"/>
    <hyperlink xmlns:r="http://schemas.openxmlformats.org/officeDocument/2006/relationships" ref="P330" r:id="rId291"/>
    <hyperlink xmlns:r="http://schemas.openxmlformats.org/officeDocument/2006/relationships" ref="P331" r:id="rId292"/>
    <hyperlink xmlns:r="http://schemas.openxmlformats.org/officeDocument/2006/relationships" ref="P332" r:id="rId293"/>
    <hyperlink xmlns:r="http://schemas.openxmlformats.org/officeDocument/2006/relationships" ref="P333" r:id="rId294"/>
    <hyperlink xmlns:r="http://schemas.openxmlformats.org/officeDocument/2006/relationships" ref="P335" r:id="rId295"/>
    <hyperlink xmlns:r="http://schemas.openxmlformats.org/officeDocument/2006/relationships" ref="P336" r:id="rId296"/>
    <hyperlink xmlns:r="http://schemas.openxmlformats.org/officeDocument/2006/relationships" ref="P337" r:id="rId297"/>
    <hyperlink xmlns:r="http://schemas.openxmlformats.org/officeDocument/2006/relationships" ref="P338" r:id="rId298"/>
    <hyperlink xmlns:r="http://schemas.openxmlformats.org/officeDocument/2006/relationships" ref="P339" r:id="rId299"/>
    <hyperlink xmlns:r="http://schemas.openxmlformats.org/officeDocument/2006/relationships" ref="P340" r:id="rId300"/>
    <hyperlink xmlns:r="http://schemas.openxmlformats.org/officeDocument/2006/relationships" ref="P341" r:id="rId301"/>
    <hyperlink xmlns:r="http://schemas.openxmlformats.org/officeDocument/2006/relationships" ref="P342" r:id="rId302"/>
    <hyperlink xmlns:r="http://schemas.openxmlformats.org/officeDocument/2006/relationships" ref="P344" r:id="rId303"/>
    <hyperlink xmlns:r="http://schemas.openxmlformats.org/officeDocument/2006/relationships" ref="P345" r:id="rId304"/>
    <hyperlink xmlns:r="http://schemas.openxmlformats.org/officeDocument/2006/relationships" ref="P346" r:id="rId305"/>
    <hyperlink xmlns:r="http://schemas.openxmlformats.org/officeDocument/2006/relationships" ref="P347" r:id="rId306"/>
    <hyperlink xmlns:r="http://schemas.openxmlformats.org/officeDocument/2006/relationships" ref="P348" r:id="rId307"/>
    <hyperlink xmlns:r="http://schemas.openxmlformats.org/officeDocument/2006/relationships" ref="P349" r:id="rId308"/>
    <hyperlink xmlns:r="http://schemas.openxmlformats.org/officeDocument/2006/relationships" ref="P350" r:id="rId309"/>
    <hyperlink xmlns:r="http://schemas.openxmlformats.org/officeDocument/2006/relationships" ref="P351" r:id="rId310"/>
    <hyperlink xmlns:r="http://schemas.openxmlformats.org/officeDocument/2006/relationships" ref="P352" r:id="rId311"/>
    <hyperlink xmlns:r="http://schemas.openxmlformats.org/officeDocument/2006/relationships" ref="P353" r:id="rId312"/>
    <hyperlink xmlns:r="http://schemas.openxmlformats.org/officeDocument/2006/relationships" ref="P354" r:id="rId313"/>
    <hyperlink xmlns:r="http://schemas.openxmlformats.org/officeDocument/2006/relationships" ref="P355" r:id="rId314"/>
    <hyperlink xmlns:r="http://schemas.openxmlformats.org/officeDocument/2006/relationships" ref="P356" r:id="rId315"/>
    <hyperlink xmlns:r="http://schemas.openxmlformats.org/officeDocument/2006/relationships" ref="P357" r:id="rId316"/>
    <hyperlink xmlns:r="http://schemas.openxmlformats.org/officeDocument/2006/relationships" ref="P358" r:id="rId317"/>
    <hyperlink xmlns:r="http://schemas.openxmlformats.org/officeDocument/2006/relationships" ref="P359" r:id="rId318"/>
    <hyperlink xmlns:r="http://schemas.openxmlformats.org/officeDocument/2006/relationships" ref="P360" r:id="rId319"/>
    <hyperlink xmlns:r="http://schemas.openxmlformats.org/officeDocument/2006/relationships" ref="P361" r:id="rId320"/>
    <hyperlink xmlns:r="http://schemas.openxmlformats.org/officeDocument/2006/relationships" ref="P362" r:id="rId321"/>
    <hyperlink xmlns:r="http://schemas.openxmlformats.org/officeDocument/2006/relationships" ref="P363" r:id="rId322"/>
    <hyperlink xmlns:r="http://schemas.openxmlformats.org/officeDocument/2006/relationships" ref="P364" r:id="rId323"/>
    <hyperlink xmlns:r="http://schemas.openxmlformats.org/officeDocument/2006/relationships" ref="O365" display="dbetancur@aia.com.co" r:id="rId324"/>
    <hyperlink xmlns:r="http://schemas.openxmlformats.org/officeDocument/2006/relationships" ref="P365" r:id="rId325"/>
    <hyperlink xmlns:r="http://schemas.openxmlformats.org/officeDocument/2006/relationships" ref="P366" r:id="rId326"/>
    <hyperlink xmlns:r="http://schemas.openxmlformats.org/officeDocument/2006/relationships" ref="P367" r:id="rId327"/>
    <hyperlink xmlns:r="http://schemas.openxmlformats.org/officeDocument/2006/relationships" ref="P368" r:id="rId328"/>
    <hyperlink xmlns:r="http://schemas.openxmlformats.org/officeDocument/2006/relationships" ref="P369" r:id="rId329"/>
    <hyperlink xmlns:r="http://schemas.openxmlformats.org/officeDocument/2006/relationships" ref="P370" r:id="rId330"/>
    <hyperlink xmlns:r="http://schemas.openxmlformats.org/officeDocument/2006/relationships" ref="P371" r:id="rId331"/>
    <hyperlink xmlns:r="http://schemas.openxmlformats.org/officeDocument/2006/relationships" ref="P372" r:id="rId332"/>
    <hyperlink xmlns:r="http://schemas.openxmlformats.org/officeDocument/2006/relationships" ref="P373" r:id="rId333"/>
    <hyperlink xmlns:r="http://schemas.openxmlformats.org/officeDocument/2006/relationships" ref="P374" r:id="rId334"/>
    <hyperlink xmlns:r="http://schemas.openxmlformats.org/officeDocument/2006/relationships" ref="P375" r:id="rId335"/>
    <hyperlink xmlns:r="http://schemas.openxmlformats.org/officeDocument/2006/relationships" ref="P376" r:id="rId336"/>
    <hyperlink xmlns:r="http://schemas.openxmlformats.org/officeDocument/2006/relationships" ref="P377" r:id="rId337"/>
    <hyperlink xmlns:r="http://schemas.openxmlformats.org/officeDocument/2006/relationships" ref="P378" r:id="rId338"/>
    <hyperlink xmlns:r="http://schemas.openxmlformats.org/officeDocument/2006/relationships" ref="P379" r:id="rId339"/>
    <hyperlink xmlns:r="http://schemas.openxmlformats.org/officeDocument/2006/relationships" ref="P380" r:id="rId340"/>
    <hyperlink xmlns:r="http://schemas.openxmlformats.org/officeDocument/2006/relationships" ref="P382" r:id="rId341"/>
    <hyperlink xmlns:r="http://schemas.openxmlformats.org/officeDocument/2006/relationships" ref="P383" r:id="rId342"/>
    <hyperlink xmlns:r="http://schemas.openxmlformats.org/officeDocument/2006/relationships" ref="P384" r:id="rId343"/>
    <hyperlink xmlns:r="http://schemas.openxmlformats.org/officeDocument/2006/relationships" ref="P385" r:id="rId344"/>
    <hyperlink xmlns:r="http://schemas.openxmlformats.org/officeDocument/2006/relationships" ref="P386" r:id="rId345"/>
    <hyperlink xmlns:r="http://schemas.openxmlformats.org/officeDocument/2006/relationships" ref="P387" r:id="rId346"/>
    <hyperlink xmlns:r="http://schemas.openxmlformats.org/officeDocument/2006/relationships" ref="P389" r:id="rId347"/>
    <hyperlink xmlns:r="http://schemas.openxmlformats.org/officeDocument/2006/relationships" ref="P390" r:id="rId348"/>
    <hyperlink xmlns:r="http://schemas.openxmlformats.org/officeDocument/2006/relationships" ref="P391" r:id="rId349"/>
    <hyperlink xmlns:r="http://schemas.openxmlformats.org/officeDocument/2006/relationships" ref="P392" r:id="rId350"/>
    <hyperlink xmlns:r="http://schemas.openxmlformats.org/officeDocument/2006/relationships" ref="P393" r:id="rId351"/>
    <hyperlink xmlns:r="http://schemas.openxmlformats.org/officeDocument/2006/relationships" ref="P394" r:id="rId352"/>
    <hyperlink xmlns:r="http://schemas.openxmlformats.org/officeDocument/2006/relationships" ref="P395" r:id="rId353"/>
    <hyperlink xmlns:r="http://schemas.openxmlformats.org/officeDocument/2006/relationships" ref="P396" r:id="rId354"/>
    <hyperlink xmlns:r="http://schemas.openxmlformats.org/officeDocument/2006/relationships" ref="P399" r:id="rId355"/>
    <hyperlink xmlns:r="http://schemas.openxmlformats.org/officeDocument/2006/relationships" ref="P400" r:id="rId356"/>
    <hyperlink xmlns:r="http://schemas.openxmlformats.org/officeDocument/2006/relationships" ref="P401" r:id="rId357"/>
    <hyperlink xmlns:r="http://schemas.openxmlformats.org/officeDocument/2006/relationships" ref="P403" r:id="rId358"/>
    <hyperlink xmlns:r="http://schemas.openxmlformats.org/officeDocument/2006/relationships" ref="P404" r:id="rId359"/>
    <hyperlink xmlns:r="http://schemas.openxmlformats.org/officeDocument/2006/relationships" ref="P405" r:id="rId360"/>
    <hyperlink xmlns:r="http://schemas.openxmlformats.org/officeDocument/2006/relationships" ref="P406" r:id="rId361"/>
    <hyperlink xmlns:r="http://schemas.openxmlformats.org/officeDocument/2006/relationships" ref="P407" r:id="rId362"/>
    <hyperlink xmlns:r="http://schemas.openxmlformats.org/officeDocument/2006/relationships" ref="P408" r:id="rId363"/>
    <hyperlink xmlns:r="http://schemas.openxmlformats.org/officeDocument/2006/relationships" ref="P409" r:id="rId364"/>
    <hyperlink xmlns:r="http://schemas.openxmlformats.org/officeDocument/2006/relationships" ref="O410" display="dbetancur@aia.com.co" r:id="rId365"/>
    <hyperlink xmlns:r="http://schemas.openxmlformats.org/officeDocument/2006/relationships" ref="P410" r:id="rId366"/>
    <hyperlink xmlns:r="http://schemas.openxmlformats.org/officeDocument/2006/relationships" ref="P411" r:id="rId367"/>
    <hyperlink xmlns:r="http://schemas.openxmlformats.org/officeDocument/2006/relationships" ref="P413" r:id="rId368"/>
    <hyperlink xmlns:r="http://schemas.openxmlformats.org/officeDocument/2006/relationships" ref="P414" r:id="rId369"/>
    <hyperlink xmlns:r="http://schemas.openxmlformats.org/officeDocument/2006/relationships" ref="P415" r:id="rId370"/>
    <hyperlink xmlns:r="http://schemas.openxmlformats.org/officeDocument/2006/relationships" ref="P416" r:id="rId371"/>
    <hyperlink xmlns:r="http://schemas.openxmlformats.org/officeDocument/2006/relationships" ref="P417" r:id="rId372"/>
    <hyperlink xmlns:r="http://schemas.openxmlformats.org/officeDocument/2006/relationships" ref="P418" r:id="rId373"/>
    <hyperlink xmlns:r="http://schemas.openxmlformats.org/officeDocument/2006/relationships" ref="P419" r:id="rId374"/>
    <hyperlink xmlns:r="http://schemas.openxmlformats.org/officeDocument/2006/relationships" ref="P420" r:id="rId375"/>
    <hyperlink xmlns:r="http://schemas.openxmlformats.org/officeDocument/2006/relationships" ref="P421" r:id="rId376"/>
    <hyperlink xmlns:r="http://schemas.openxmlformats.org/officeDocument/2006/relationships" ref="P422" r:id="rId377"/>
    <hyperlink xmlns:r="http://schemas.openxmlformats.org/officeDocument/2006/relationships" ref="P423" r:id="rId378"/>
    <hyperlink xmlns:r="http://schemas.openxmlformats.org/officeDocument/2006/relationships" ref="P424" r:id="rId379"/>
    <hyperlink xmlns:r="http://schemas.openxmlformats.org/officeDocument/2006/relationships" ref="P425" r:id="rId380"/>
    <hyperlink xmlns:r="http://schemas.openxmlformats.org/officeDocument/2006/relationships" ref="P426" r:id="rId381"/>
    <hyperlink xmlns:r="http://schemas.openxmlformats.org/officeDocument/2006/relationships" ref="P427" r:id="rId382"/>
    <hyperlink xmlns:r="http://schemas.openxmlformats.org/officeDocument/2006/relationships" ref="P429" r:id="rId383"/>
    <hyperlink xmlns:r="http://schemas.openxmlformats.org/officeDocument/2006/relationships" ref="P430" r:id="rId384"/>
    <hyperlink xmlns:r="http://schemas.openxmlformats.org/officeDocument/2006/relationships" ref="P432" r:id="rId385"/>
    <hyperlink xmlns:r="http://schemas.openxmlformats.org/officeDocument/2006/relationships" ref="P433" r:id="rId386"/>
    <hyperlink xmlns:r="http://schemas.openxmlformats.org/officeDocument/2006/relationships" ref="P434" r:id="rId387"/>
    <hyperlink xmlns:r="http://schemas.openxmlformats.org/officeDocument/2006/relationships" ref="P435" r:id="rId388"/>
    <hyperlink xmlns:r="http://schemas.openxmlformats.org/officeDocument/2006/relationships" ref="P436" r:id="rId389"/>
    <hyperlink xmlns:r="http://schemas.openxmlformats.org/officeDocument/2006/relationships" ref="P437" r:id="rId390"/>
    <hyperlink xmlns:r="http://schemas.openxmlformats.org/officeDocument/2006/relationships" ref="P438" r:id="rId391"/>
    <hyperlink xmlns:r="http://schemas.openxmlformats.org/officeDocument/2006/relationships" ref="P439" r:id="rId392"/>
    <hyperlink xmlns:r="http://schemas.openxmlformats.org/officeDocument/2006/relationships" ref="P440" r:id="rId393"/>
    <hyperlink xmlns:r="http://schemas.openxmlformats.org/officeDocument/2006/relationships" ref="P441" r:id="rId394"/>
    <hyperlink xmlns:r="http://schemas.openxmlformats.org/officeDocument/2006/relationships" ref="P442" r:id="rId395"/>
    <hyperlink xmlns:r="http://schemas.openxmlformats.org/officeDocument/2006/relationships" ref="P443" r:id="rId396"/>
    <hyperlink xmlns:r="http://schemas.openxmlformats.org/officeDocument/2006/relationships" ref="P444" r:id="rId397"/>
    <hyperlink xmlns:r="http://schemas.openxmlformats.org/officeDocument/2006/relationships" ref="P445" r:id="rId398"/>
    <hyperlink xmlns:r="http://schemas.openxmlformats.org/officeDocument/2006/relationships" ref="P446" r:id="rId399"/>
    <hyperlink xmlns:r="http://schemas.openxmlformats.org/officeDocument/2006/relationships" ref="P447" r:id="rId400"/>
    <hyperlink xmlns:r="http://schemas.openxmlformats.org/officeDocument/2006/relationships" ref="P448" r:id="rId401"/>
    <hyperlink xmlns:r="http://schemas.openxmlformats.org/officeDocument/2006/relationships" ref="P449" r:id="rId402"/>
    <hyperlink xmlns:r="http://schemas.openxmlformats.org/officeDocument/2006/relationships" ref="P450" r:id="rId403"/>
    <hyperlink xmlns:r="http://schemas.openxmlformats.org/officeDocument/2006/relationships" ref="P451" r:id="rId404"/>
    <hyperlink xmlns:r="http://schemas.openxmlformats.org/officeDocument/2006/relationships" ref="P452" r:id="rId405"/>
    <hyperlink xmlns:r="http://schemas.openxmlformats.org/officeDocument/2006/relationships" ref="P453" r:id="rId406"/>
    <hyperlink xmlns:r="http://schemas.openxmlformats.org/officeDocument/2006/relationships" ref="P454" r:id="rId407"/>
    <hyperlink xmlns:r="http://schemas.openxmlformats.org/officeDocument/2006/relationships" ref="P455" r:id="rId408"/>
    <hyperlink xmlns:r="http://schemas.openxmlformats.org/officeDocument/2006/relationships" ref="P456" r:id="rId409"/>
    <hyperlink xmlns:r="http://schemas.openxmlformats.org/officeDocument/2006/relationships" ref="P457" r:id="rId410"/>
    <hyperlink xmlns:r="http://schemas.openxmlformats.org/officeDocument/2006/relationships" ref="P458" r:id="rId411"/>
    <hyperlink xmlns:r="http://schemas.openxmlformats.org/officeDocument/2006/relationships" ref="P460" r:id="rId412"/>
    <hyperlink xmlns:r="http://schemas.openxmlformats.org/officeDocument/2006/relationships" ref="P461" r:id="rId413"/>
    <hyperlink xmlns:r="http://schemas.openxmlformats.org/officeDocument/2006/relationships" ref="P462" r:id="rId414"/>
    <hyperlink xmlns:r="http://schemas.openxmlformats.org/officeDocument/2006/relationships" ref="P463" r:id="rId415"/>
    <hyperlink xmlns:r="http://schemas.openxmlformats.org/officeDocument/2006/relationships" ref="P464" r:id="rId416"/>
    <hyperlink xmlns:r="http://schemas.openxmlformats.org/officeDocument/2006/relationships" ref="P465" r:id="rId417"/>
    <hyperlink xmlns:r="http://schemas.openxmlformats.org/officeDocument/2006/relationships" ref="P466" r:id="rId418"/>
    <hyperlink xmlns:r="http://schemas.openxmlformats.org/officeDocument/2006/relationships" ref="P467" r:id="rId419"/>
    <hyperlink xmlns:r="http://schemas.openxmlformats.org/officeDocument/2006/relationships" ref="P468" r:id="rId420"/>
    <hyperlink xmlns:r="http://schemas.openxmlformats.org/officeDocument/2006/relationships" ref="P469" r:id="rId421"/>
    <hyperlink xmlns:r="http://schemas.openxmlformats.org/officeDocument/2006/relationships" ref="P470" r:id="rId422"/>
    <hyperlink xmlns:r="http://schemas.openxmlformats.org/officeDocument/2006/relationships" ref="P471" r:id="rId423"/>
    <hyperlink xmlns:r="http://schemas.openxmlformats.org/officeDocument/2006/relationships" ref="P473" r:id="rId424"/>
    <hyperlink xmlns:r="http://schemas.openxmlformats.org/officeDocument/2006/relationships" ref="P474" r:id="rId425"/>
    <hyperlink xmlns:r="http://schemas.openxmlformats.org/officeDocument/2006/relationships" ref="P475" r:id="rId426"/>
    <hyperlink xmlns:r="http://schemas.openxmlformats.org/officeDocument/2006/relationships" ref="P476" r:id="rId427"/>
    <hyperlink xmlns:r="http://schemas.openxmlformats.org/officeDocument/2006/relationships" ref="P477" r:id="rId428"/>
    <hyperlink xmlns:r="http://schemas.openxmlformats.org/officeDocument/2006/relationships" ref="P478" r:id="rId429"/>
    <hyperlink xmlns:r="http://schemas.openxmlformats.org/officeDocument/2006/relationships" ref="P479" r:id="rId430"/>
    <hyperlink xmlns:r="http://schemas.openxmlformats.org/officeDocument/2006/relationships" ref="P480" r:id="rId431"/>
    <hyperlink xmlns:r="http://schemas.openxmlformats.org/officeDocument/2006/relationships" ref="P481" r:id="rId432"/>
    <hyperlink xmlns:r="http://schemas.openxmlformats.org/officeDocument/2006/relationships" ref="P482" r:id="rId433"/>
    <hyperlink xmlns:r="http://schemas.openxmlformats.org/officeDocument/2006/relationships" ref="P483" r:id="rId434"/>
    <hyperlink xmlns:r="http://schemas.openxmlformats.org/officeDocument/2006/relationships" ref="P485" r:id="rId435"/>
    <hyperlink xmlns:r="http://schemas.openxmlformats.org/officeDocument/2006/relationships" ref="P486" r:id="rId436"/>
    <hyperlink xmlns:r="http://schemas.openxmlformats.org/officeDocument/2006/relationships" ref="P487" r:id="rId437"/>
    <hyperlink xmlns:r="http://schemas.openxmlformats.org/officeDocument/2006/relationships" ref="P488" r:id="rId438"/>
    <hyperlink xmlns:r="http://schemas.openxmlformats.org/officeDocument/2006/relationships" ref="P489" r:id="rId439"/>
    <hyperlink xmlns:r="http://schemas.openxmlformats.org/officeDocument/2006/relationships" ref="P490" r:id="rId440"/>
    <hyperlink xmlns:r="http://schemas.openxmlformats.org/officeDocument/2006/relationships" ref="P491" r:id="rId441"/>
    <hyperlink xmlns:r="http://schemas.openxmlformats.org/officeDocument/2006/relationships" ref="P492" r:id="rId442"/>
    <hyperlink xmlns:r="http://schemas.openxmlformats.org/officeDocument/2006/relationships" ref="P493" r:id="rId443"/>
    <hyperlink xmlns:r="http://schemas.openxmlformats.org/officeDocument/2006/relationships" ref="P494" r:id="rId444"/>
    <hyperlink xmlns:r="http://schemas.openxmlformats.org/officeDocument/2006/relationships" ref="P495" r:id="rId445"/>
    <hyperlink xmlns:r="http://schemas.openxmlformats.org/officeDocument/2006/relationships" ref="P496" r:id="rId446"/>
    <hyperlink xmlns:r="http://schemas.openxmlformats.org/officeDocument/2006/relationships" ref="P497" r:id="rId447"/>
    <hyperlink xmlns:r="http://schemas.openxmlformats.org/officeDocument/2006/relationships" ref="P498" r:id="rId448"/>
    <hyperlink xmlns:r="http://schemas.openxmlformats.org/officeDocument/2006/relationships" ref="P499" r:id="rId449"/>
    <hyperlink xmlns:r="http://schemas.openxmlformats.org/officeDocument/2006/relationships" ref="P500" r:id="rId450"/>
    <hyperlink xmlns:r="http://schemas.openxmlformats.org/officeDocument/2006/relationships" ref="P501" r:id="rId451"/>
    <hyperlink xmlns:r="http://schemas.openxmlformats.org/officeDocument/2006/relationships" ref="P503" r:id="rId452"/>
    <hyperlink xmlns:r="http://schemas.openxmlformats.org/officeDocument/2006/relationships" ref="P504" r:id="rId453"/>
    <hyperlink xmlns:r="http://schemas.openxmlformats.org/officeDocument/2006/relationships" ref="P505" r:id="rId454"/>
    <hyperlink xmlns:r="http://schemas.openxmlformats.org/officeDocument/2006/relationships" ref="P506" r:id="rId455"/>
    <hyperlink xmlns:r="http://schemas.openxmlformats.org/officeDocument/2006/relationships" ref="P507" r:id="rId456"/>
    <hyperlink xmlns:r="http://schemas.openxmlformats.org/officeDocument/2006/relationships" ref="P508" r:id="rId457"/>
    <hyperlink xmlns:r="http://schemas.openxmlformats.org/officeDocument/2006/relationships" ref="P509" r:id="rId458"/>
    <hyperlink xmlns:r="http://schemas.openxmlformats.org/officeDocument/2006/relationships" ref="P510" r:id="rId459"/>
    <hyperlink xmlns:r="http://schemas.openxmlformats.org/officeDocument/2006/relationships" ref="P511" r:id="rId460"/>
    <hyperlink xmlns:r="http://schemas.openxmlformats.org/officeDocument/2006/relationships" ref="P513" r:id="rId461"/>
    <hyperlink xmlns:r="http://schemas.openxmlformats.org/officeDocument/2006/relationships" ref="P514" r:id="rId462"/>
    <hyperlink xmlns:r="http://schemas.openxmlformats.org/officeDocument/2006/relationships" ref="P516" r:id="rId463"/>
    <hyperlink xmlns:r="http://schemas.openxmlformats.org/officeDocument/2006/relationships" ref="P517" r:id="rId464"/>
    <hyperlink xmlns:r="http://schemas.openxmlformats.org/officeDocument/2006/relationships" ref="P518" r:id="rId465"/>
    <hyperlink xmlns:r="http://schemas.openxmlformats.org/officeDocument/2006/relationships" ref="P519" r:id="rId466"/>
    <hyperlink xmlns:r="http://schemas.openxmlformats.org/officeDocument/2006/relationships" ref="P520" r:id="rId467"/>
    <hyperlink xmlns:r="http://schemas.openxmlformats.org/officeDocument/2006/relationships" ref="P522" r:id="rId468"/>
    <hyperlink xmlns:r="http://schemas.openxmlformats.org/officeDocument/2006/relationships" ref="P523" r:id="rId469"/>
    <hyperlink xmlns:r="http://schemas.openxmlformats.org/officeDocument/2006/relationships" ref="P524" r:id="rId470"/>
    <hyperlink xmlns:r="http://schemas.openxmlformats.org/officeDocument/2006/relationships" ref="P526" r:id="rId471"/>
    <hyperlink xmlns:r="http://schemas.openxmlformats.org/officeDocument/2006/relationships" ref="P527" r:id="rId472"/>
    <hyperlink xmlns:r="http://schemas.openxmlformats.org/officeDocument/2006/relationships" ref="P528" r:id="rId473"/>
    <hyperlink xmlns:r="http://schemas.openxmlformats.org/officeDocument/2006/relationships" ref="P529" r:id="rId474"/>
    <hyperlink xmlns:r="http://schemas.openxmlformats.org/officeDocument/2006/relationships" ref="P530" r:id="rId475"/>
    <hyperlink xmlns:r="http://schemas.openxmlformats.org/officeDocument/2006/relationships" ref="P531" r:id="rId476"/>
    <hyperlink xmlns:r="http://schemas.openxmlformats.org/officeDocument/2006/relationships" ref="P532" r:id="rId477"/>
    <hyperlink xmlns:r="http://schemas.openxmlformats.org/officeDocument/2006/relationships" ref="P533" r:id="rId478"/>
    <hyperlink xmlns:r="http://schemas.openxmlformats.org/officeDocument/2006/relationships" ref="P535" r:id="rId479"/>
    <hyperlink xmlns:r="http://schemas.openxmlformats.org/officeDocument/2006/relationships" ref="P536" r:id="rId480"/>
    <hyperlink xmlns:r="http://schemas.openxmlformats.org/officeDocument/2006/relationships" ref="P538" r:id="rId481"/>
    <hyperlink xmlns:r="http://schemas.openxmlformats.org/officeDocument/2006/relationships" ref="P539" r:id="rId482"/>
    <hyperlink xmlns:r="http://schemas.openxmlformats.org/officeDocument/2006/relationships" ref="P540" r:id="rId483"/>
    <hyperlink xmlns:r="http://schemas.openxmlformats.org/officeDocument/2006/relationships" ref="P541" r:id="rId484"/>
    <hyperlink xmlns:r="http://schemas.openxmlformats.org/officeDocument/2006/relationships" ref="P542" r:id="rId485"/>
    <hyperlink xmlns:r="http://schemas.openxmlformats.org/officeDocument/2006/relationships" ref="P543" r:id="rId486"/>
    <hyperlink xmlns:r="http://schemas.openxmlformats.org/officeDocument/2006/relationships" ref="P544" r:id="rId487"/>
    <hyperlink xmlns:r="http://schemas.openxmlformats.org/officeDocument/2006/relationships" ref="P545" r:id="rId488"/>
    <hyperlink xmlns:r="http://schemas.openxmlformats.org/officeDocument/2006/relationships" ref="P546" r:id="rId489"/>
    <hyperlink xmlns:r="http://schemas.openxmlformats.org/officeDocument/2006/relationships" ref="P547" r:id="rId490"/>
    <hyperlink xmlns:r="http://schemas.openxmlformats.org/officeDocument/2006/relationships" ref="P548" r:id="rId491"/>
    <hyperlink xmlns:r="http://schemas.openxmlformats.org/officeDocument/2006/relationships" ref="P549" r:id="rId492"/>
    <hyperlink xmlns:r="http://schemas.openxmlformats.org/officeDocument/2006/relationships" ref="P550" r:id="rId493"/>
    <hyperlink xmlns:r="http://schemas.openxmlformats.org/officeDocument/2006/relationships" ref="P551" r:id="rId494"/>
    <hyperlink xmlns:r="http://schemas.openxmlformats.org/officeDocument/2006/relationships" ref="P552" r:id="rId495"/>
    <hyperlink xmlns:r="http://schemas.openxmlformats.org/officeDocument/2006/relationships" ref="P553" r:id="rId496"/>
  </hyperlink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P765"/>
  <sheetViews>
    <sheetView topLeftCell="A243" zoomScale="85" zoomScaleNormal="85" workbookViewId="0">
      <selection activeCell="C257" sqref="C257:I257"/>
    </sheetView>
  </sheetViews>
  <sheetFormatPr baseColWidth="10" defaultColWidth="11.44140625" defaultRowHeight="14.4"/>
  <cols>
    <col width="3.109375" customWidth="1" min="1" max="1"/>
    <col width="12.44140625" customWidth="1" min="2" max="2"/>
    <col width="48.5546875" customWidth="1" min="9" max="9"/>
    <col width="26.5546875" customWidth="1" min="10" max="10"/>
    <col width="18.88671875" customWidth="1" min="11" max="11"/>
    <col width="11.44140625" customWidth="1" min="12" max="12"/>
    <col width="22" bestFit="1" customWidth="1" min="13" max="13"/>
    <col width="14.109375" customWidth="1" min="14" max="14"/>
    <col width="33.109375" bestFit="1" customWidth="1" min="15" max="15"/>
    <col width="37.109375" customWidth="1" min="16" max="16"/>
  </cols>
  <sheetData>
    <row r="2" ht="15" customHeight="1" thickBot="1">
      <c r="B2" s="176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176" t="n"/>
      <c r="L2" s="176" t="n"/>
      <c r="M2" s="176" t="n"/>
      <c r="N2" s="176" t="n"/>
      <c r="O2" s="176" t="n"/>
      <c r="P2" s="176" t="n"/>
    </row>
    <row r="3">
      <c r="B3" s="318" t="n"/>
      <c r="C3" s="296" t="n"/>
      <c r="D3" s="296" t="n"/>
      <c r="E3" s="331" t="inlineStr">
        <is>
          <t>SEGUIMIENTO A COTIZACIONES</t>
        </is>
      </c>
      <c r="F3" s="296" t="n"/>
      <c r="G3" s="296" t="n"/>
      <c r="H3" s="296" t="n"/>
      <c r="I3" s="296" t="n"/>
      <c r="J3" s="296" t="n"/>
      <c r="K3" s="296" t="n"/>
      <c r="L3" s="296" t="n"/>
      <c r="M3" s="296" t="n"/>
      <c r="N3" s="296" t="n"/>
      <c r="O3" s="296" t="n"/>
      <c r="P3" s="298" t="n"/>
    </row>
    <row r="4">
      <c r="B4" s="299" t="n"/>
      <c r="E4" s="299" t="n"/>
      <c r="P4" s="300" t="n"/>
    </row>
    <row r="5">
      <c r="B5" s="299" t="n"/>
      <c r="E5" s="299" t="n"/>
      <c r="P5" s="300" t="n"/>
    </row>
    <row r="6">
      <c r="B6" s="299" t="n"/>
      <c r="E6" s="299" t="n"/>
      <c r="P6" s="300" t="n"/>
    </row>
    <row r="7">
      <c r="B7" s="299" t="n"/>
      <c r="E7" s="299" t="n"/>
      <c r="P7" s="300" t="n"/>
    </row>
    <row r="8">
      <c r="B8" s="299" t="n"/>
      <c r="E8" s="299" t="n"/>
      <c r="P8" s="300" t="n"/>
    </row>
    <row r="9">
      <c r="B9" s="299" t="n"/>
      <c r="E9" s="299" t="n"/>
      <c r="P9" s="300" t="n"/>
    </row>
    <row r="10" ht="15" customHeight="1" thickBot="1">
      <c r="B10" s="301" t="n"/>
      <c r="C10" s="302" t="n"/>
      <c r="D10" s="302" t="n"/>
      <c r="E10" s="301" t="n"/>
      <c r="F10" s="302" t="n"/>
      <c r="G10" s="302" t="n"/>
      <c r="H10" s="302" t="n"/>
      <c r="I10" s="302" t="n"/>
      <c r="J10" s="302" t="n"/>
      <c r="K10" s="302" t="n"/>
      <c r="L10" s="302" t="n"/>
      <c r="M10" s="302" t="n"/>
      <c r="N10" s="302" t="n"/>
      <c r="O10" s="302" t="n"/>
      <c r="P10" s="303" t="n"/>
    </row>
    <row r="11" ht="27.6" customHeight="1">
      <c r="B11" s="179" t="inlineStr">
        <is>
          <t>Número de cotización</t>
        </is>
      </c>
      <c r="C11" s="236" t="inlineStr">
        <is>
          <t>Descripción de la cotización</t>
        </is>
      </c>
      <c r="D11" s="332" t="n"/>
      <c r="E11" s="332" t="n"/>
      <c r="F11" s="332" t="n"/>
      <c r="G11" s="332" t="n"/>
      <c r="H11" s="332" t="n"/>
      <c r="I11" s="333" t="n"/>
      <c r="J11" s="159" t="inlineStr">
        <is>
          <t>Cliente</t>
        </is>
      </c>
      <c r="K11" s="191" t="inlineStr">
        <is>
          <t>Valor sin IVA</t>
        </is>
      </c>
      <c r="L11" s="193" t="inlineStr">
        <is>
          <t>Fecha de cotización</t>
        </is>
      </c>
      <c r="M11" s="193" t="inlineStr">
        <is>
          <t>Aprobado</t>
        </is>
      </c>
      <c r="N11" s="195" t="inlineStr">
        <is>
          <t>Telefono</t>
        </is>
      </c>
      <c r="O11" s="195" t="inlineStr">
        <is>
          <t>Persona Encargada</t>
        </is>
      </c>
      <c r="P11" s="195" t="inlineStr">
        <is>
          <t>Correo</t>
        </is>
      </c>
    </row>
    <row r="12">
      <c r="B12" s="170" t="n">
        <v>1</v>
      </c>
      <c r="C12" s="246" t="n"/>
      <c r="D12" s="312" t="n"/>
      <c r="E12" s="312" t="n"/>
      <c r="F12" s="312" t="n"/>
      <c r="G12" s="312" t="n"/>
      <c r="H12" s="312" t="n"/>
      <c r="I12" s="313" t="n"/>
      <c r="J12" s="199" t="n"/>
      <c r="K12" s="314" t="n"/>
      <c r="L12" s="2" t="n"/>
      <c r="M12" s="170" t="n"/>
      <c r="N12" s="170" t="n"/>
      <c r="O12" s="103" t="n"/>
      <c r="P12" s="52" t="n"/>
    </row>
    <row r="13">
      <c r="B13" s="170" t="n">
        <v>2</v>
      </c>
      <c r="C13" s="246" t="inlineStr">
        <is>
          <t xml:space="preserve">COTIZACION DE LOS DISEÑOS DE PROTECCIÓN CONTRA INCENDIOS Y SEGURIDAD HUMANA PARA EL PROYECTO ENTRE AIRES
</t>
        </is>
      </c>
      <c r="D13" s="312" t="n"/>
      <c r="E13" s="312" t="n"/>
      <c r="F13" s="312" t="n"/>
      <c r="G13" s="312" t="n"/>
      <c r="H13" s="312" t="n"/>
      <c r="I13" s="313" t="n"/>
      <c r="J13" s="199" t="inlineStr">
        <is>
          <t>INSERCO</t>
        </is>
      </c>
      <c r="K13" s="314" t="n">
        <v>34950000</v>
      </c>
      <c r="L13" s="2" t="n">
        <v>45303</v>
      </c>
      <c r="M13" s="170" t="n"/>
      <c r="N13" s="170" t="n">
        <v>3104131109</v>
      </c>
      <c r="O13" s="103" t="inlineStr">
        <is>
          <t>Leandro Herrera Gutierrez</t>
        </is>
      </c>
      <c r="P13" s="52" t="inlineStr">
        <is>
          <t>directorlean@inserco.com.co</t>
        </is>
      </c>
    </row>
    <row r="14">
      <c r="B14" s="170" t="n">
        <v>3</v>
      </c>
      <c r="C14" s="199" t="inlineStr">
        <is>
          <t>COTIZACION DEL DISEÑO DE EXTINCIÓN DE INCENDIOS - SERVICENTRO EL CAMPESTRE</t>
        </is>
      </c>
      <c r="D14" s="312" t="n"/>
      <c r="E14" s="312" t="n"/>
      <c r="F14" s="312" t="n"/>
      <c r="G14" s="312" t="n"/>
      <c r="H14" s="312" t="n"/>
      <c r="I14" s="313" t="n"/>
      <c r="J14" s="199" t="inlineStr">
        <is>
          <t>K&amp;J INGENIEROS S.A.S</t>
        </is>
      </c>
      <c r="K14" s="314" t="n">
        <v>6950000</v>
      </c>
      <c r="L14" s="2" t="n">
        <v>45303</v>
      </c>
      <c r="M14" s="170" t="n"/>
      <c r="N14" s="170" t="n"/>
      <c r="O14" s="103" t="inlineStr">
        <is>
          <t>Karla Rendón</t>
        </is>
      </c>
      <c r="P14" s="52" t="inlineStr">
        <is>
          <t>krendon@kyjingenieros.co</t>
        </is>
      </c>
    </row>
    <row r="15">
      <c r="B15" s="170" t="n">
        <v>4</v>
      </c>
      <c r="C15" s="199" t="inlineStr">
        <is>
          <t>COTIZACION DE LOS DISEÑOS DE SEGURIDAD HUMANA Y PROTECCIÓN CONTRA INCENDIOS - LICEO FRANCES EXISTENTE</t>
        </is>
      </c>
      <c r="D15" s="312" t="n"/>
      <c r="E15" s="312" t="n"/>
      <c r="F15" s="312" t="n"/>
      <c r="G15" s="312" t="n"/>
      <c r="H15" s="312" t="n"/>
      <c r="I15" s="313" t="n"/>
      <c r="J15" s="199" t="inlineStr">
        <is>
          <t>LICEO FRANCES</t>
        </is>
      </c>
      <c r="K15" s="314" t="n">
        <v>11950000</v>
      </c>
      <c r="L15" s="2" t="n">
        <v>45303</v>
      </c>
      <c r="M15" s="170" t="n"/>
      <c r="N15" s="170" t="n"/>
      <c r="O15" s="103" t="inlineStr">
        <is>
          <t>Andrés Ramírez</t>
        </is>
      </c>
      <c r="P15" s="52" t="inlineStr">
        <is>
          <t>administrativo2@lf.edu.co</t>
        </is>
      </c>
    </row>
    <row r="16">
      <c r="B16" s="170" t="n">
        <v>5</v>
      </c>
      <c r="C16" s="199" t="inlineStr">
        <is>
          <t>COTIZACION DEL ANÁLISIS DE SEGURIDAD HUMANA PARA EL PROYECTO NUEVA SEDE DE LA TORRE ESE HOSPITAL SAN VICENTE</t>
        </is>
      </c>
      <c r="D16" s="312" t="n"/>
      <c r="E16" s="312" t="n"/>
      <c r="F16" s="312" t="n"/>
      <c r="G16" s="312" t="n"/>
      <c r="H16" s="312" t="n"/>
      <c r="I16" s="313" t="n"/>
      <c r="J16" s="199" t="inlineStr">
        <is>
          <t>Consorcio HSVA</t>
        </is>
      </c>
      <c r="K16" s="314" t="n">
        <v>4250000</v>
      </c>
      <c r="L16" s="2" t="n">
        <v>45303</v>
      </c>
      <c r="M16" s="170" t="n"/>
      <c r="N16" s="170" t="n">
        <v>3164313039</v>
      </c>
      <c r="O16" s="103" t="inlineStr">
        <is>
          <t>CARLOS ORJUELA</t>
        </is>
      </c>
      <c r="P16" s="52" t="inlineStr">
        <is>
          <t>caleorca26@gmail.com</t>
        </is>
      </c>
    </row>
    <row r="17">
      <c r="B17" s="170" t="n">
        <v>6</v>
      </c>
      <c r="C17" s="246" t="inlineStr">
        <is>
          <t>COTIZACION DE LOS DISEÑOS DE PROTECCIÓN CONTRA INCENDIOS PARA EL PROYECTO OFICINA 11-01 DEL CCI</t>
        </is>
      </c>
      <c r="D17" s="312" t="n"/>
      <c r="E17" s="312" t="n"/>
      <c r="F17" s="312" t="n"/>
      <c r="G17" s="312" t="n"/>
      <c r="H17" s="312" t="n"/>
      <c r="I17" s="313" t="n"/>
      <c r="J17" s="199" t="inlineStr">
        <is>
          <t>SPCI</t>
        </is>
      </c>
      <c r="K17" s="314" t="n">
        <v>2830000</v>
      </c>
      <c r="L17" s="2" t="n">
        <v>45308</v>
      </c>
      <c r="M17" s="170" t="n"/>
      <c r="N17" s="170" t="n">
        <v>3104165783</v>
      </c>
      <c r="O17" s="103" t="inlineStr">
        <is>
          <t xml:space="preserve"> Cristiam Gustavo Mondragon </t>
        </is>
      </c>
      <c r="P17" s="52" t="inlineStr">
        <is>
          <t>dir.tecnico@spci.com.co</t>
        </is>
      </c>
    </row>
    <row r="18">
      <c r="B18" s="170" t="n">
        <v>7</v>
      </c>
      <c r="C18" s="199" t="inlineStr">
        <is>
          <t>COTIZACION DEL REDISEÑO DE EXTINCIÓN DE INCENDIOS PARA EL PROYECTO ARAGUA</t>
        </is>
      </c>
      <c r="D18" s="312" t="n"/>
      <c r="E18" s="312" t="n"/>
      <c r="F18" s="312" t="n"/>
      <c r="G18" s="312" t="n"/>
      <c r="H18" s="312" t="n"/>
      <c r="I18" s="313" t="n"/>
      <c r="J18" s="199" t="inlineStr">
        <is>
          <t>SPCI</t>
        </is>
      </c>
      <c r="K18" s="314" t="n">
        <v>1000000</v>
      </c>
      <c r="L18" s="2" t="n">
        <v>45308</v>
      </c>
      <c r="M18" s="170" t="n"/>
      <c r="N18" s="170" t="n">
        <v>3104165783</v>
      </c>
      <c r="O18" s="103" t="inlineStr">
        <is>
          <t xml:space="preserve"> Cristiam Gustavo Mondragon </t>
        </is>
      </c>
      <c r="P18" s="52" t="inlineStr">
        <is>
          <t>dir.tecnico@spci.com.co</t>
        </is>
      </c>
    </row>
    <row r="19">
      <c r="B19" s="170" t="n">
        <v>8</v>
      </c>
      <c r="C19" s="199" t="inlineStr">
        <is>
          <t>COTIZACION DEL DISEÑO DE DETECCIÓN DE INCENDIOS PARA EL PROYECTO PLANTA ZEUUS GIRARDOTA</t>
        </is>
      </c>
      <c r="D19" s="312" t="n"/>
      <c r="E19" s="312" t="n"/>
      <c r="F19" s="312" t="n"/>
      <c r="G19" s="312" t="n"/>
      <c r="H19" s="312" t="n"/>
      <c r="I19" s="313" t="n"/>
      <c r="J19" s="199" t="inlineStr">
        <is>
          <t>SERIINCO</t>
        </is>
      </c>
      <c r="K19" s="314" t="n">
        <v>7950000</v>
      </c>
      <c r="L19" s="2" t="n">
        <v>45306</v>
      </c>
      <c r="M19" s="2" t="n"/>
      <c r="N19" s="170" t="n">
        <v>3113391008</v>
      </c>
      <c r="O19" s="103" t="inlineStr">
        <is>
          <t>Carlos Henao</t>
        </is>
      </c>
      <c r="P19" s="52" t="inlineStr">
        <is>
          <t>carlos.henao@seriinco.com</t>
        </is>
      </c>
    </row>
    <row r="20">
      <c r="B20" s="170" t="n">
        <v>9</v>
      </c>
      <c r="C20" s="199" t="inlineStr">
        <is>
          <t xml:space="preserve">COTIZACION DE LOS DISEÑOS DE PROTECCIÓN CONTRA INCENDIOS Y SEGURIDAD HUMANA PARA EL PROYECTO HOTEL HAVEN
</t>
        </is>
      </c>
      <c r="D20" s="312" t="n"/>
      <c r="E20" s="312" t="n"/>
      <c r="F20" s="312" t="n"/>
      <c r="G20" s="312" t="n"/>
      <c r="H20" s="312" t="n"/>
      <c r="I20" s="313" t="n"/>
      <c r="J20" s="199" t="inlineStr">
        <is>
          <t>Mensula</t>
        </is>
      </c>
      <c r="K20" s="314" t="n">
        <v>11950000</v>
      </c>
      <c r="L20" s="2" t="n">
        <v>45306</v>
      </c>
      <c r="M20" s="170" t="n"/>
      <c r="N20" s="170" t="inlineStr">
        <is>
          <t xml:space="preserve"> 311 6751810</t>
        </is>
      </c>
      <c r="O20" s="103" t="inlineStr">
        <is>
          <t>Valentina Ortega Morales</t>
        </is>
      </c>
      <c r="P20" s="52" t="inlineStr">
        <is>
          <t>valentinaortega@mensulaingenieros.com</t>
        </is>
      </c>
    </row>
    <row r="21">
      <c r="B21" s="170" t="n">
        <v>10</v>
      </c>
      <c r="C21" s="199" t="inlineStr">
        <is>
          <t>COTIZACION DE LOS DISEÑOS DE PROTECCIÓN CONTRA INCENDIOS PARA EL PROYECTO BELIVE</t>
        </is>
      </c>
      <c r="D21" s="312" t="n"/>
      <c r="E21" s="312" t="n"/>
      <c r="F21" s="312" t="n"/>
      <c r="G21" s="312" t="n"/>
      <c r="H21" s="312" t="n"/>
      <c r="I21" s="313" t="n"/>
      <c r="J21" s="199" t="inlineStr">
        <is>
          <t>COMEX INTERNACIONAL SAS</t>
        </is>
      </c>
      <c r="K21" s="314" t="n">
        <v>14950000</v>
      </c>
      <c r="L21" s="2" t="n">
        <v>45307</v>
      </c>
      <c r="M21" s="35" t="n"/>
      <c r="N21" s="170" t="inlineStr">
        <is>
          <t>316 496 20 26</t>
        </is>
      </c>
      <c r="O21" s="103" t="inlineStr">
        <is>
          <t>Juan David Ossa Salazar</t>
        </is>
      </c>
      <c r="P21" s="52" t="inlineStr">
        <is>
          <t>comercial@comexinternacional.com.co</t>
        </is>
      </c>
    </row>
    <row r="22">
      <c r="B22" s="170" t="n">
        <v>11</v>
      </c>
      <c r="C22" s="246" t="inlineStr">
        <is>
          <t>COTIZACION DEL ANÁLISIS DE SEGURIDAD HUMANA PARA EL PROYECTO PLANTA SIKA RIONEGRO</t>
        </is>
      </c>
      <c r="D22" s="312" t="n"/>
      <c r="E22" s="312" t="n"/>
      <c r="F22" s="312" t="n"/>
      <c r="G22" s="312" t="n"/>
      <c r="H22" s="312" t="n"/>
      <c r="I22" s="313" t="n"/>
      <c r="J22" s="199" t="inlineStr">
        <is>
          <t>JOMARK</t>
        </is>
      </c>
      <c r="K22" s="314" t="n">
        <v>7950000</v>
      </c>
      <c r="L22" s="2" t="n">
        <v>45308</v>
      </c>
      <c r="M22" s="170" t="n"/>
      <c r="N22" s="170" t="n">
        <v>3194913179</v>
      </c>
      <c r="O22" s="103" t="inlineStr">
        <is>
          <t>Carlos Almanya Patiño</t>
        </is>
      </c>
      <c r="P22" s="52" t="inlineStr">
        <is>
          <t>calmanya@jomarkseguridad.com</t>
        </is>
      </c>
    </row>
    <row r="23">
      <c r="B23" s="170" t="n">
        <v>12</v>
      </c>
      <c r="C23" s="199" t="inlineStr">
        <is>
          <t>COTIZACIÓN REDISEÑO DE EXTINCIÓN DE INCENDIOS PARA EL PROYECTO OFICINAS LEBRIJA PISO 2 MEZANINE</t>
        </is>
      </c>
      <c r="D23" s="312" t="n"/>
      <c r="E23" s="312" t="n"/>
      <c r="F23" s="312" t="n"/>
      <c r="G23" s="312" t="n"/>
      <c r="H23" s="312" t="n"/>
      <c r="I23" s="313" t="n"/>
      <c r="J23" s="199" t="inlineStr">
        <is>
          <t>SPCI</t>
        </is>
      </c>
      <c r="K23" s="314" t="n">
        <v>2950000</v>
      </c>
      <c r="L23" s="2" t="n">
        <v>45308</v>
      </c>
      <c r="M23" s="170" t="n"/>
      <c r="N23" s="170" t="n">
        <v>3229057647</v>
      </c>
      <c r="O23" s="103" t="inlineStr">
        <is>
          <t>José Luis Ojeda Caarvajal</t>
        </is>
      </c>
      <c r="P23" s="52" t="inlineStr">
        <is>
          <t>jose.ojeda@spci.com.co</t>
        </is>
      </c>
    </row>
    <row r="24">
      <c r="B24" s="170" t="n">
        <v>13</v>
      </c>
      <c r="C24" s="199" t="inlineStr">
        <is>
          <t>COTIZACION DE LA INGENIERÍA CONCEPTUAL DE PROTECCIÓN CONTRA INCENDIOS PARA EL PROYECTO - PLANTA DE ACEITE</t>
        </is>
      </c>
      <c r="D24" s="312" t="n"/>
      <c r="E24" s="312" t="n"/>
      <c r="F24" s="312" t="n"/>
      <c r="G24" s="312" t="n"/>
      <c r="H24" s="312" t="n"/>
      <c r="I24" s="313" t="n"/>
      <c r="J24" s="199" t="inlineStr">
        <is>
          <t>INGESED</t>
        </is>
      </c>
      <c r="K24" s="314" t="n">
        <v>9950000</v>
      </c>
      <c r="L24" s="2" t="n">
        <v>45310</v>
      </c>
      <c r="M24" s="170" t="n"/>
      <c r="N24" s="170" t="inlineStr">
        <is>
          <t>313 540 17 14</t>
        </is>
      </c>
      <c r="O24" s="103" t="inlineStr">
        <is>
          <t xml:space="preserve"> Eliana Isabel Cardona Ríos</t>
        </is>
      </c>
      <c r="P24" s="52" t="inlineStr">
        <is>
          <t>comercial@ingesed.com</t>
        </is>
      </c>
    </row>
    <row r="25">
      <c r="B25" s="170" t="n">
        <v>14</v>
      </c>
      <c r="C25" s="199" t="inlineStr">
        <is>
          <t>COTIZACION DE LOS DISEÑOS DE SEGURIDAD HUMANA Y PROTECCIÓN CONTRA INCENDIOS - RESERVA CENTRAL</t>
        </is>
      </c>
      <c r="D25" s="312" t="n"/>
      <c r="E25" s="312" t="n"/>
      <c r="F25" s="312" t="n"/>
      <c r="G25" s="312" t="n"/>
      <c r="H25" s="312" t="n"/>
      <c r="I25" s="313" t="n"/>
      <c r="J25" s="199" t="inlineStr">
        <is>
          <t>GO INGENIERÍA Y SOLUCIONES</t>
        </is>
      </c>
      <c r="K25" s="314" t="n">
        <v>19940000</v>
      </c>
      <c r="L25" s="2" t="n">
        <v>45309</v>
      </c>
      <c r="M25" s="2" t="n"/>
      <c r="N25" s="170" t="inlineStr">
        <is>
          <t>310 5104288</t>
        </is>
      </c>
      <c r="O25" s="103" t="inlineStr">
        <is>
          <t xml:space="preserve">Cristian Gañan </t>
        </is>
      </c>
      <c r="P25" s="52" t="n"/>
    </row>
    <row r="26">
      <c r="B26" s="170" t="n">
        <v>15</v>
      </c>
      <c r="C26" s="199" t="inlineStr">
        <is>
          <t>COTIZACION DE LOS DISEÑOS DE SEGURIDAD HUMANA Y PROTECCIÓN CONTRA INCENDIOS - 380 M2 CLÍNICA NOEL</t>
        </is>
      </c>
      <c r="D26" s="312" t="n"/>
      <c r="E26" s="312" t="n"/>
      <c r="F26" s="312" t="n"/>
      <c r="G26" s="312" t="n"/>
      <c r="H26" s="312" t="n"/>
      <c r="I26" s="313" t="n"/>
      <c r="J26" s="199" t="inlineStr">
        <is>
          <t>GO INGENIERÍA Y SOLUCIONES</t>
        </is>
      </c>
      <c r="K26" s="314" t="n">
        <v>4760000</v>
      </c>
      <c r="L26" s="2" t="n">
        <v>45309</v>
      </c>
      <c r="M26" s="2" t="n"/>
      <c r="N26" s="170" t="inlineStr">
        <is>
          <t>310 5104288</t>
        </is>
      </c>
      <c r="O26" s="103" t="inlineStr">
        <is>
          <t xml:space="preserve">Cristian Gañan </t>
        </is>
      </c>
      <c r="P26" s="52" t="n"/>
    </row>
    <row r="27">
      <c r="B27" s="170" t="n">
        <v>16</v>
      </c>
      <c r="C27" s="246" t="inlineStr">
        <is>
          <t xml:space="preserve">COTIZACIÓN DE LA MODELACIÓN DE LA RED GENERAL DE EXTINCIÓN DE INCENDIOS PARA EL PROYECTO </t>
        </is>
      </c>
      <c r="D27" s="312" t="n"/>
      <c r="E27" s="312" t="n"/>
      <c r="F27" s="312" t="n"/>
      <c r="G27" s="312" t="n"/>
      <c r="H27" s="312" t="n"/>
      <c r="I27" s="313" t="n"/>
      <c r="J27" s="199" t="inlineStr">
        <is>
          <t>SOCOMES</t>
        </is>
      </c>
      <c r="K27" s="314" t="n">
        <v>2500000</v>
      </c>
      <c r="L27" s="2" t="n">
        <v>45309</v>
      </c>
      <c r="M27" s="2" t="n"/>
      <c r="N27" s="170" t="n">
        <v>3137851941</v>
      </c>
      <c r="O27" s="103" t="inlineStr">
        <is>
          <t>David Lopera medina</t>
        </is>
      </c>
      <c r="P27" s="52" t="inlineStr">
        <is>
          <t>david.lopera@socomes.com</t>
        </is>
      </c>
    </row>
    <row r="28">
      <c r="B28" s="170" t="n">
        <v>17</v>
      </c>
      <c r="C28" s="246" t="inlineStr">
        <is>
          <t xml:space="preserve">COTIZACION DE LOS DISEÑOS DE PROTECCIÓN CONTRA INCENDIOS Y SEGURIDAD HUMANA PARA EL PROYECTO ARMENIA
</t>
        </is>
      </c>
      <c r="D28" s="312" t="n"/>
      <c r="E28" s="312" t="n"/>
      <c r="F28" s="312" t="n"/>
      <c r="G28" s="312" t="n"/>
      <c r="H28" s="312" t="n"/>
      <c r="I28" s="313" t="n"/>
      <c r="J28" s="199" t="inlineStr">
        <is>
          <t>CONTEX</t>
        </is>
      </c>
      <c r="K28" s="314" t="n">
        <v>19950000</v>
      </c>
      <c r="L28" s="2" t="n">
        <v>45313</v>
      </c>
      <c r="M28" s="170" t="n"/>
      <c r="N28" s="170" t="n">
        <v>3104145629</v>
      </c>
      <c r="O28" s="103" t="inlineStr">
        <is>
          <t>Maria Camila Velásquez</t>
        </is>
      </c>
      <c r="P28" s="52" t="inlineStr">
        <is>
          <t>mcvelasquez@contex.com.co</t>
        </is>
      </c>
    </row>
    <row r="29">
      <c r="B29" s="170" t="n">
        <v>18</v>
      </c>
      <c r="C29" s="199" t="inlineStr">
        <is>
          <t>COTIZACIÓN DE LA ASESORIA EN SALIDA DE EMERGENCIA PARA PRIMER PISO DE EDUARDO BOTERO SOTO S.A.</t>
        </is>
      </c>
      <c r="D29" s="312" t="n"/>
      <c r="E29" s="312" t="n"/>
      <c r="F29" s="312" t="n"/>
      <c r="G29" s="312" t="n"/>
      <c r="H29" s="312" t="n"/>
      <c r="I29" s="313" t="n"/>
      <c r="J29" s="199" t="inlineStr">
        <is>
          <t>EDUARDO BOTERO SOTO S.A.</t>
        </is>
      </c>
      <c r="K29" s="314" t="n">
        <v>1880000</v>
      </c>
      <c r="L29" s="2" t="n">
        <v>45313</v>
      </c>
      <c r="M29" s="170" t="n"/>
      <c r="N29" s="170" t="n">
        <v>3113507944</v>
      </c>
      <c r="O29" s="102" t="inlineStr">
        <is>
          <t>Milena Echeverri</t>
        </is>
      </c>
      <c r="P29" s="52" t="n"/>
    </row>
    <row r="30">
      <c r="B30" s="170" t="n">
        <v>19</v>
      </c>
      <c r="C30" s="199" t="inlineStr">
        <is>
          <t>COTIZACION DE LOS DISEÑOS DE PROTECCIÓN CONTRA INCENDIOS Y SEGURIDAD HUMANA PARA EL PROYECTO INCODOL MEDICAL TOWER</t>
        </is>
      </c>
      <c r="D30" s="312" t="n"/>
      <c r="E30" s="312" t="n"/>
      <c r="F30" s="312" t="n"/>
      <c r="G30" s="312" t="n"/>
      <c r="H30" s="312" t="n"/>
      <c r="I30" s="313" t="n"/>
      <c r="J30" s="199" t="inlineStr">
        <is>
          <t>SOLUCIONES INMOBILIARIAS</t>
        </is>
      </c>
      <c r="K30" s="314" t="n">
        <v>7530000</v>
      </c>
      <c r="L30" s="2" t="n">
        <v>45314</v>
      </c>
      <c r="M30" s="170" t="n"/>
      <c r="N30" s="170" t="n">
        <v>3182079204</v>
      </c>
      <c r="O30" s="102" t="inlineStr">
        <is>
          <t>Deyner Jimenez</t>
        </is>
      </c>
      <c r="P30" s="52" t="inlineStr">
        <is>
          <t>residente3@solucionesinmobiliariassas.com</t>
        </is>
      </c>
    </row>
    <row r="31">
      <c r="B31" s="170" t="n">
        <v>20</v>
      </c>
      <c r="C31" s="199" t="inlineStr">
        <is>
          <t>COTIZACION DE LOS DISEÑOS DE PROTECCIÓN CONTRA INCENDIOS Y SEGURIDAD HUMANA PARA EL PROYECTO NEUROMEDICA MEDICAL TOWER</t>
        </is>
      </c>
      <c r="D31" s="312" t="n"/>
      <c r="E31" s="312" t="n"/>
      <c r="F31" s="312" t="n"/>
      <c r="G31" s="312" t="n"/>
      <c r="H31" s="312" t="n"/>
      <c r="I31" s="313" t="n"/>
      <c r="J31" s="199" t="inlineStr">
        <is>
          <t>SOLUCIONES INMOBILIARIAS</t>
        </is>
      </c>
      <c r="K31" s="314" t="n">
        <v>14430000</v>
      </c>
      <c r="L31" s="2" t="n">
        <v>45314</v>
      </c>
      <c r="M31" s="170" t="n"/>
      <c r="N31" s="170" t="n">
        <v>3182079204</v>
      </c>
      <c r="O31" s="102" t="inlineStr">
        <is>
          <t>Deyner Jimenez</t>
        </is>
      </c>
      <c r="P31" s="52" t="inlineStr">
        <is>
          <t>residente3@solucionesinmobiliariassas.com</t>
        </is>
      </c>
    </row>
    <row r="32">
      <c r="B32" s="170" t="n">
        <v>21</v>
      </c>
      <c r="C32" s="199" t="inlineStr">
        <is>
          <t>COTIZACION DE LOS DISEÑOS DE PROTECCIÓN CONTRA INCENDIOS PARA EL PROYECTO ARL SURA VIVA ENVIGADO</t>
        </is>
      </c>
      <c r="D32" s="312" t="n"/>
      <c r="E32" s="312" t="n"/>
      <c r="F32" s="312" t="n"/>
      <c r="G32" s="312" t="n"/>
      <c r="H32" s="312" t="n"/>
      <c r="I32" s="313" t="n"/>
      <c r="J32" s="199" t="inlineStr">
        <is>
          <t>Ingenieria y Montajes</t>
        </is>
      </c>
      <c r="K32" s="314" t="n">
        <v>6250000</v>
      </c>
      <c r="L32" s="2" t="n">
        <v>45314</v>
      </c>
      <c r="M32" s="2" t="n"/>
      <c r="N32" s="170" t="n">
        <v>3175179593</v>
      </c>
      <c r="O32" s="102" t="inlineStr">
        <is>
          <t xml:space="preserve"> Diego Alejandro Correa Bedoya</t>
        </is>
      </c>
      <c r="P32" s="52" t="inlineStr">
        <is>
          <t>dacorrea@rcimontajes.co</t>
        </is>
      </c>
    </row>
    <row r="33">
      <c r="B33" s="170" t="n">
        <v>22</v>
      </c>
      <c r="C33" s="199" t="inlineStr">
        <is>
          <t>COTIZACION DE REVISIÓN DE LOS DISEÑOS DE PROTECCIÓN CONTRA INCENDIO Y SEGURIDAD HUMANA - PTAR ESCOBERO</t>
        </is>
      </c>
      <c r="D33" s="312" t="n"/>
      <c r="E33" s="312" t="n"/>
      <c r="F33" s="312" t="n"/>
      <c r="G33" s="312" t="n"/>
      <c r="H33" s="312" t="n"/>
      <c r="I33" s="313" t="n"/>
      <c r="J33" s="199" t="inlineStr">
        <is>
          <t>SPCI</t>
        </is>
      </c>
      <c r="K33" s="314" t="n">
        <v>3150000</v>
      </c>
      <c r="L33" s="2" t="n">
        <v>45315</v>
      </c>
      <c r="M33" s="170" t="n"/>
      <c r="N33" s="170" t="inlineStr">
        <is>
          <t xml:space="preserve"> 310 468 0508</t>
        </is>
      </c>
      <c r="O33" s="102" t="inlineStr">
        <is>
          <t>Juan Pablo Grajales Gómez</t>
        </is>
      </c>
      <c r="P33" s="52" t="inlineStr">
        <is>
          <t>juan.grajales@spci.com.co</t>
        </is>
      </c>
    </row>
    <row r="34">
      <c r="B34" s="170" t="n">
        <v>23</v>
      </c>
      <c r="C34" s="233" t="inlineStr">
        <is>
          <t>COTIZACION DEL ANÁLISIS DE SEGURIDAD HUMANA PARA EL PROYECTO TORRE DE LA ALIANZA</t>
        </is>
      </c>
      <c r="D34" s="312" t="n"/>
      <c r="E34" s="312" t="n"/>
      <c r="F34" s="312" t="n"/>
      <c r="G34" s="312" t="n"/>
      <c r="H34" s="312" t="n"/>
      <c r="I34" s="313" t="n"/>
      <c r="J34" s="199" t="inlineStr">
        <is>
          <t>SOLUCIONES INMOBILIARIAS</t>
        </is>
      </c>
      <c r="K34" s="314" t="n">
        <v>2750000</v>
      </c>
      <c r="L34" s="2" t="n">
        <v>45315</v>
      </c>
      <c r="M34" s="170" t="n"/>
      <c r="N34" s="170" t="n">
        <v>3006731128</v>
      </c>
      <c r="O34" s="102" t="inlineStr">
        <is>
          <t>Laura Olano</t>
        </is>
      </c>
      <c r="P34" s="52" t="inlineStr">
        <is>
          <t>gcia.torresalianza@solucionesinmobiliariassas.com</t>
        </is>
      </c>
    </row>
    <row r="35">
      <c r="B35" s="170" t="n">
        <v>24</v>
      </c>
      <c r="C35" s="199" t="inlineStr">
        <is>
          <t>COTIZACION DE LA REVISIÓN DE SEGURIDAD HUMANA Y LOS SISTEMAS DE PROTECCIÓN CONTRA INCENDIOS PARA CLÍNICA EN SINCELEJO</t>
        </is>
      </c>
      <c r="D35" s="312" t="n"/>
      <c r="E35" s="312" t="n"/>
      <c r="F35" s="312" t="n"/>
      <c r="G35" s="312" t="n"/>
      <c r="H35" s="312" t="n"/>
      <c r="I35" s="313" t="n"/>
      <c r="J35" s="199" t="inlineStr">
        <is>
          <t>CONDISEÑO</t>
        </is>
      </c>
      <c r="K35" s="314" t="n">
        <v>6500000</v>
      </c>
      <c r="L35" s="2" t="n">
        <v>45316</v>
      </c>
      <c r="M35" s="170" t="n"/>
      <c r="N35" s="170" t="n">
        <v>3175594091</v>
      </c>
      <c r="O35" s="103" t="inlineStr">
        <is>
          <t>Nakary Garcia Romero</t>
        </is>
      </c>
      <c r="P35" s="52" t="inlineStr">
        <is>
          <t>n.garcia@condiseno.co</t>
        </is>
      </c>
    </row>
    <row r="36" ht="15" customHeight="1">
      <c r="B36" s="170" t="n">
        <v>25</v>
      </c>
      <c r="C36" s="246" t="inlineStr">
        <is>
          <t xml:space="preserve">COTIZACION DE LOS DISEÑOS DE PROTECCIÓN CONTRA INCENDIOS Y SEGURIDAD HUMANA PARA EL PROYECTO USHUAYA
</t>
        </is>
      </c>
      <c r="D36" s="312" t="n"/>
      <c r="E36" s="312" t="n"/>
      <c r="F36" s="312" t="n"/>
      <c r="G36" s="312" t="n"/>
      <c r="H36" s="312" t="n"/>
      <c r="I36" s="313" t="n"/>
      <c r="J36" s="199" t="inlineStr">
        <is>
          <t>EDYFYCA</t>
        </is>
      </c>
      <c r="K36" s="314" t="n">
        <v>26350000</v>
      </c>
      <c r="L36" s="2" t="n">
        <v>45317</v>
      </c>
      <c r="M36" s="170" t="n"/>
      <c r="N36" s="170" t="n">
        <v>3104057513</v>
      </c>
      <c r="O36" s="103" t="inlineStr">
        <is>
          <t>Claudia Ramirez</t>
        </is>
      </c>
      <c r="P36" s="52" t="inlineStr">
        <is>
          <t>claudia.ramirez@edyfica.co</t>
        </is>
      </c>
    </row>
    <row r="37">
      <c r="B37" s="170" t="n">
        <v>26</v>
      </c>
      <c r="C37" s="233" t="inlineStr">
        <is>
          <t>COTIZACION DE LOS DISEÑOS DE EXTINCIÓN DE INCENDIOS Y SEGURIDAD HUMANA PARA EL PROYECTO IE RIO GRANDE</t>
        </is>
      </c>
      <c r="D37" s="312" t="n"/>
      <c r="E37" s="312" t="n"/>
      <c r="F37" s="312" t="n"/>
      <c r="G37" s="312" t="n"/>
      <c r="H37" s="312" t="n"/>
      <c r="I37" s="313" t="n"/>
      <c r="J37" s="199" t="inlineStr">
        <is>
          <t>Londoño Gomez</t>
        </is>
      </c>
      <c r="K37" s="314" t="n">
        <v>5650000</v>
      </c>
      <c r="L37" s="2" t="n">
        <v>45317</v>
      </c>
      <c r="M37" s="170" t="n"/>
      <c r="N37" s="170" t="inlineStr">
        <is>
          <t>3111770 ext 177</t>
        </is>
      </c>
      <c r="O37" s="102" t="inlineStr">
        <is>
          <t>Juan Diego Echeverri</t>
        </is>
      </c>
      <c r="P37" s="52" t="inlineStr">
        <is>
          <t>jecheverri@londonogomez.com</t>
        </is>
      </c>
    </row>
    <row r="38">
      <c r="B38" s="170" t="n">
        <v>27</v>
      </c>
      <c r="C38" s="246" t="inlineStr">
        <is>
          <t xml:space="preserve">COTIZACION DEL DISEÑO DE EXTINCIÓN DE INCENDIOS PARA EL PROYECTO CLINICA LLANO GRANDE
</t>
        </is>
      </c>
      <c r="D38" s="312" t="n"/>
      <c r="E38" s="312" t="n"/>
      <c r="F38" s="312" t="n"/>
      <c r="G38" s="312" t="n"/>
      <c r="H38" s="312" t="n"/>
      <c r="I38" s="313" t="n"/>
      <c r="J38" s="199" t="inlineStr">
        <is>
          <t>ML ARQUITECTURA</t>
        </is>
      </c>
      <c r="K38" s="314" t="n">
        <v>1450000</v>
      </c>
      <c r="L38" s="2" t="n">
        <v>45317</v>
      </c>
      <c r="M38" s="170" t="n"/>
      <c r="N38" s="170" t="n"/>
      <c r="O38" s="102" t="inlineStr">
        <is>
          <t xml:space="preserve"> Melissa Lopez Torres</t>
        </is>
      </c>
      <c r="P38" s="52" t="inlineStr">
        <is>
          <t>melissalopez@mltarq.com</t>
        </is>
      </c>
    </row>
    <row r="39">
      <c r="B39" s="170" t="n">
        <v>28</v>
      </c>
      <c r="C39" s="199" t="inlineStr">
        <is>
          <t>COTIZACION DEL DISEÑO DE DETECCIÓN DE INCENDIOS PARA EL PROYECTO PARQUE EMPRESARIAL ELITE II</t>
        </is>
      </c>
      <c r="D39" s="312" t="n"/>
      <c r="E39" s="312" t="n"/>
      <c r="F39" s="312" t="n"/>
      <c r="G39" s="312" t="n"/>
      <c r="H39" s="312" t="n"/>
      <c r="I39" s="313" t="n"/>
      <c r="J39" s="199" t="inlineStr">
        <is>
          <t>RCI Ingenieria y Montajes</t>
        </is>
      </c>
      <c r="K39" s="314" t="n">
        <v>4950000</v>
      </c>
      <c r="L39" s="2" t="n">
        <v>45317</v>
      </c>
      <c r="M39" s="170" t="n"/>
      <c r="N39" s="170" t="n">
        <v>3175179593</v>
      </c>
      <c r="O39" s="102" t="inlineStr">
        <is>
          <t>Diego Alejandro Correa Bedoya</t>
        </is>
      </c>
      <c r="P39" s="52" t="inlineStr">
        <is>
          <t>dacorrea@rcimontajes.co</t>
        </is>
      </c>
    </row>
    <row r="40">
      <c r="B40" s="170" t="n">
        <v>29</v>
      </c>
      <c r="C40" s="199" t="inlineStr">
        <is>
          <t>COTIZACION DE LOS DISEÑOS DE PROTECCIÓN CONTRA INCENDIOS Y SEGURIDAD HUMANA PARA EL PROYECTO CENTRO COMERCIAL X ORIENTE</t>
        </is>
      </c>
      <c r="D40" s="312" t="n"/>
      <c r="E40" s="312" t="n"/>
      <c r="F40" s="312" t="n"/>
      <c r="G40" s="312" t="n"/>
      <c r="H40" s="312" t="n"/>
      <c r="I40" s="313" t="n"/>
      <c r="J40" s="199" t="inlineStr">
        <is>
          <t>Arquitectura y Concreto</t>
        </is>
      </c>
      <c r="K40" s="314" t="n">
        <v>59950000</v>
      </c>
      <c r="L40" s="2" t="n">
        <v>45317</v>
      </c>
      <c r="M40" s="170" t="n"/>
      <c r="N40" s="170" t="n">
        <v>3127218621</v>
      </c>
      <c r="O40" s="102" t="inlineStr">
        <is>
          <t xml:space="preserve">ROBINSON MARULANDA GUARIN </t>
        </is>
      </c>
      <c r="P40" s="52" t="inlineStr">
        <is>
          <t>robinsonmarulanda@arquitecturayconcreto.com</t>
        </is>
      </c>
    </row>
    <row r="41">
      <c r="B41" s="170" t="n">
        <v>30</v>
      </c>
      <c r="C41" s="199" t="inlineStr">
        <is>
          <t>COTIZACION DEL DISEÑO DE EXTINCIÓN DE INCENDIOS PARA EL PROYECTO LOCALES MEDIPIEL DMODA</t>
        </is>
      </c>
      <c r="D41" s="312" t="n"/>
      <c r="E41" s="312" t="n"/>
      <c r="F41" s="312" t="n"/>
      <c r="G41" s="312" t="n"/>
      <c r="H41" s="312" t="n"/>
      <c r="I41" s="313" t="n"/>
      <c r="J41" s="199" t="inlineStr">
        <is>
          <t>SPCI</t>
        </is>
      </c>
      <c r="K41" s="314" t="n">
        <v>7170000</v>
      </c>
      <c r="L41" s="2" t="n">
        <v>45318</v>
      </c>
      <c r="M41" s="170" t="n"/>
      <c r="N41" s="170" t="n">
        <v>3137546144</v>
      </c>
      <c r="O41" s="102" t="inlineStr">
        <is>
          <t xml:space="preserve"> Juan Camilo Quintero Bedoya</t>
        </is>
      </c>
      <c r="P41" s="52" t="inlineStr">
        <is>
          <t>camilo.quintero@spci.com.co</t>
        </is>
      </c>
    </row>
    <row r="42">
      <c r="B42" s="170" t="n">
        <v>31</v>
      </c>
      <c r="C42" s="233" t="inlineStr">
        <is>
          <t>COTIZACION DEL ANÁLISIS DE SEGURIDAD HUMANA PARA EL PROYECTO PLANTA BIOCLORO</t>
        </is>
      </c>
      <c r="D42" s="312" t="n"/>
      <c r="E42" s="312" t="n"/>
      <c r="F42" s="312" t="n"/>
      <c r="G42" s="312" t="n"/>
      <c r="H42" s="312" t="n"/>
      <c r="I42" s="313" t="n"/>
      <c r="J42" s="199" t="inlineStr">
        <is>
          <t>CONCONCRETO</t>
        </is>
      </c>
      <c r="K42" s="314" t="n">
        <v>8500000</v>
      </c>
      <c r="L42" s="2" t="n">
        <v>45320</v>
      </c>
      <c r="M42" s="170" t="n"/>
      <c r="N42" s="170" t="n">
        <v>3003404902</v>
      </c>
      <c r="O42" s="102" t="inlineStr">
        <is>
          <t>Pilar Arango Restrepo</t>
        </is>
      </c>
      <c r="P42" s="52" t="inlineStr">
        <is>
          <t>parangor@conconcreto.com</t>
        </is>
      </c>
    </row>
    <row r="43" ht="15" customHeight="1">
      <c r="B43" s="170" t="n">
        <v>32</v>
      </c>
      <c r="C43" s="233" t="inlineStr">
        <is>
          <t>COTIZACION DE LOS DISEÑOS DE PROTECCIÓN CONTRA INCENDIOS Y SEGURIDAD HUMANA PARA EL PROYECTO OBRA PREESCOLAR COLEGIO BENEDICTINOS</t>
        </is>
      </c>
      <c r="D43" s="312" t="n"/>
      <c r="E43" s="312" t="n"/>
      <c r="F43" s="312" t="n"/>
      <c r="G43" s="312" t="n"/>
      <c r="H43" s="312" t="n"/>
      <c r="I43" s="313" t="n"/>
      <c r="J43" s="199" t="inlineStr">
        <is>
          <t>Tamayo Ingenieros</t>
        </is>
      </c>
      <c r="K43" s="314" t="n">
        <v>6250000</v>
      </c>
      <c r="L43" s="2" t="n">
        <v>45320</v>
      </c>
      <c r="M43" s="170" t="n"/>
      <c r="N43" s="170" t="n">
        <v>3137687548</v>
      </c>
      <c r="O43" s="102" t="inlineStr">
        <is>
          <t>Herbin Cartagena Montoya</t>
        </is>
      </c>
      <c r="P43" s="6" t="n"/>
    </row>
    <row r="44">
      <c r="B44" s="170" t="n">
        <v>33</v>
      </c>
      <c r="C44" s="199" t="inlineStr">
        <is>
          <t>COTIZACION DEL DISEÑO DE EXTINCIÓN DE INCENDIOS PARA EL PROYECTO PISO 19 CENTRO COMERCIAL LOS MOLINOS</t>
        </is>
      </c>
      <c r="D44" s="312" t="n"/>
      <c r="E44" s="312" t="n"/>
      <c r="F44" s="312" t="n"/>
      <c r="G44" s="312" t="n"/>
      <c r="H44" s="312" t="n"/>
      <c r="I44" s="313" t="n"/>
      <c r="J44" s="199" t="inlineStr">
        <is>
          <t>I+ CONSTRUCTORA</t>
        </is>
      </c>
      <c r="K44" s="314" t="n">
        <v>4350000</v>
      </c>
      <c r="L44" s="2" t="n">
        <v>45321</v>
      </c>
      <c r="M44" s="170" t="n"/>
      <c r="N44" s="170" t="inlineStr">
        <is>
          <t>(604) 4443091</t>
        </is>
      </c>
      <c r="O44" s="102" t="inlineStr">
        <is>
          <t>Lina Maria Montoya Gonzalez</t>
        </is>
      </c>
      <c r="P44" s="52" t="inlineStr">
        <is>
          <t>lmontoya@iconstructora.com.co</t>
        </is>
      </c>
    </row>
    <row r="45">
      <c r="B45" s="170" t="n">
        <v>34</v>
      </c>
      <c r="C45" s="233" t="inlineStr">
        <is>
          <t>COTIZACIÓN DE LA ELABORACIÓN DIGITAL DE LAS PLACAS HIDRÁULICAS PARA JARDINES DE LLANOGRANDE</t>
        </is>
      </c>
      <c r="D45" s="312" t="n"/>
      <c r="E45" s="312" t="n"/>
      <c r="F45" s="312" t="n"/>
      <c r="G45" s="312" t="n"/>
      <c r="H45" s="312" t="n"/>
      <c r="I45" s="313" t="n"/>
      <c r="J45" s="199" t="inlineStr">
        <is>
          <t>SPCI</t>
        </is>
      </c>
      <c r="K45" s="314" t="n">
        <v>750000</v>
      </c>
      <c r="L45" s="2" t="n">
        <v>45321</v>
      </c>
      <c r="M45" s="170" t="n"/>
      <c r="N45" s="170" t="n">
        <v>3137546144</v>
      </c>
      <c r="O45" s="102" t="inlineStr">
        <is>
          <t xml:space="preserve"> Juan Camilo Quintero Bedoya</t>
        </is>
      </c>
      <c r="P45" s="52" t="inlineStr">
        <is>
          <t>camilo.quintero@spci.com.co</t>
        </is>
      </c>
    </row>
    <row r="46">
      <c r="B46" s="170" t="n">
        <v>35</v>
      </c>
      <c r="C46" s="199" t="inlineStr">
        <is>
          <t>COTIZACION DEL DISEÑO DE DETECCIÓN DE INCENDIOS PARA EL PROYECTO PLANTA ZEUUS GIRARDOTA</t>
        </is>
      </c>
      <c r="D46" s="312" t="n"/>
      <c r="E46" s="312" t="n"/>
      <c r="F46" s="312" t="n"/>
      <c r="G46" s="312" t="n"/>
      <c r="H46" s="312" t="n"/>
      <c r="I46" s="313" t="n"/>
      <c r="J46" s="199" t="inlineStr">
        <is>
          <t>SERIINCO</t>
        </is>
      </c>
      <c r="K46" s="314" t="n">
        <v>6950000</v>
      </c>
      <c r="L46" s="2" t="n">
        <v>45323</v>
      </c>
      <c r="M46" s="2" t="n"/>
      <c r="N46" s="170" t="n">
        <v>3113391008</v>
      </c>
      <c r="O46" s="103" t="inlineStr">
        <is>
          <t>Carlos Henao</t>
        </is>
      </c>
      <c r="P46" s="52" t="inlineStr">
        <is>
          <t>carlos.henao@seriinco.com</t>
        </is>
      </c>
    </row>
    <row r="47">
      <c r="B47" s="170" t="n">
        <v>36</v>
      </c>
      <c r="C47" s="199" t="inlineStr">
        <is>
          <t>COTIZACION DE LOS DISEÑOS DE PROTECCIÓN CONTRA INCENDIOS PARA EL PROYECTO SUBESTACIONES EPM</t>
        </is>
      </c>
      <c r="D47" s="312" t="n"/>
      <c r="E47" s="312" t="n"/>
      <c r="F47" s="312" t="n"/>
      <c r="G47" s="312" t="n"/>
      <c r="H47" s="312" t="n"/>
      <c r="I47" s="313" t="n"/>
      <c r="J47" s="199" t="inlineStr">
        <is>
          <t>COINSI</t>
        </is>
      </c>
      <c r="K47" s="314" t="n">
        <v>214500000</v>
      </c>
      <c r="L47" s="2" t="n">
        <v>45324</v>
      </c>
      <c r="M47" s="170" t="n"/>
      <c r="N47" s="170" t="n">
        <v>3117208541</v>
      </c>
      <c r="O47" s="102" t="inlineStr">
        <is>
          <t>Sergio Rodriguez</t>
        </is>
      </c>
      <c r="P47" s="52" t="inlineStr">
        <is>
          <t>diseno4@gyd.com.co</t>
        </is>
      </c>
    </row>
    <row r="48">
      <c r="B48" s="170" t="n">
        <v>37</v>
      </c>
      <c r="C48" s="233" t="inlineStr">
        <is>
          <t xml:space="preserve">COTIZACION DE LOS DISEÑOS DE PROTECCIÓN CONTRA INCENDIOS Y SEGURIDAD HUMANA PARA EL PROYECTO CENTRO DE SALUD BARRIO GALÁN
</t>
        </is>
      </c>
      <c r="D48" s="312" t="n"/>
      <c r="E48" s="312" t="n"/>
      <c r="F48" s="312" t="n"/>
      <c r="G48" s="312" t="n"/>
      <c r="H48" s="312" t="n"/>
      <c r="I48" s="313" t="n"/>
      <c r="J48" s="199" t="inlineStr">
        <is>
          <t>Pedro Quiros</t>
        </is>
      </c>
      <c r="K48" s="314" t="n">
        <v>7520000</v>
      </c>
      <c r="L48" s="2" t="n">
        <v>45324</v>
      </c>
      <c r="M48" s="2" t="n"/>
      <c r="N48" s="170" t="n">
        <v>3123770102</v>
      </c>
      <c r="O48" s="102" t="inlineStr">
        <is>
          <t>Pedro Quiros</t>
        </is>
      </c>
      <c r="P48" s="52" t="inlineStr">
        <is>
          <t>pequibo1@gmail.com</t>
        </is>
      </c>
    </row>
    <row r="49">
      <c r="B49" s="170" t="n">
        <v>38</v>
      </c>
      <c r="C49" s="199" t="inlineStr">
        <is>
          <t>COTIZACION DE LOS DISEÑOS DE PROTECCIÓN CONTRA INCENDIOS PARA EL PROYECTO BANDAS TRANSPORTADORAS</t>
        </is>
      </c>
      <c r="D49" s="312" t="n"/>
      <c r="E49" s="312" t="n"/>
      <c r="F49" s="312" t="n"/>
      <c r="G49" s="312" t="n"/>
      <c r="H49" s="312" t="n"/>
      <c r="I49" s="313" t="n"/>
      <c r="J49" s="199" t="inlineStr">
        <is>
          <t>JM Ingenieria</t>
        </is>
      </c>
      <c r="K49" s="314" t="n">
        <v>56500000</v>
      </c>
      <c r="L49" s="2" t="n">
        <v>45324</v>
      </c>
      <c r="M49" s="2" t="n"/>
      <c r="N49" s="170" t="n"/>
      <c r="O49" s="102" t="inlineStr">
        <is>
          <t>Joam Moreno</t>
        </is>
      </c>
      <c r="P49" s="52" t="inlineStr">
        <is>
          <t xml:space="preserve"> gerencia@jmingenieriatotal.com.co</t>
        </is>
      </c>
    </row>
    <row r="50" ht="15" customHeight="1">
      <c r="B50" s="170" t="n">
        <v>39</v>
      </c>
      <c r="C50" s="199" t="inlineStr">
        <is>
          <t>COTIZACION DE LOS DISEÑOS DE PROTECCIÓN CONTRA INCENDIOS PARA EL PROYECTO SMURFIT KAPPA YUMBO</t>
        </is>
      </c>
      <c r="D50" s="312" t="n"/>
      <c r="E50" s="312" t="n"/>
      <c r="F50" s="312" t="n"/>
      <c r="G50" s="312" t="n"/>
      <c r="H50" s="312" t="n"/>
      <c r="I50" s="313" t="n"/>
      <c r="J50" s="199" t="inlineStr">
        <is>
          <t>SERIINCO</t>
        </is>
      </c>
      <c r="K50" s="314" t="n">
        <v>58500000</v>
      </c>
      <c r="L50" s="2" t="n">
        <v>45324</v>
      </c>
      <c r="M50" s="2" t="n"/>
      <c r="N50" s="170" t="n">
        <v>3113391008</v>
      </c>
      <c r="O50" s="102" t="inlineStr">
        <is>
          <t xml:space="preserve">Carlos Henao </t>
        </is>
      </c>
      <c r="P50" s="52" t="inlineStr">
        <is>
          <t>carlos.henao@seriinco.com</t>
        </is>
      </c>
    </row>
    <row r="51" ht="15" customHeight="1">
      <c r="B51" s="170" t="n">
        <v>40</v>
      </c>
      <c r="C51" s="199" t="inlineStr">
        <is>
          <t>COTIZACION DE LOS DISEÑOS DE PROTECCIÓN CONTRA INCENDIOS Y SEGURIDAD HUMANA PARA EL PROYECTO TORRE FÁTIMA</t>
        </is>
      </c>
      <c r="D51" s="312" t="n"/>
      <c r="E51" s="312" t="n"/>
      <c r="F51" s="312" t="n"/>
      <c r="G51" s="312" t="n"/>
      <c r="H51" s="312" t="n"/>
      <c r="I51" s="313" t="n"/>
      <c r="J51" s="199" t="inlineStr">
        <is>
          <t>COMEX INTERNACIONAL SAS</t>
        </is>
      </c>
      <c r="K51" s="314" t="n">
        <v>21850000</v>
      </c>
      <c r="L51" s="2" t="n">
        <v>45324</v>
      </c>
      <c r="M51" s="170" t="n"/>
      <c r="N51" s="84" t="inlineStr">
        <is>
          <t xml:space="preserve">316 496 20 26
 </t>
        </is>
      </c>
      <c r="O51" s="102" t="inlineStr">
        <is>
          <t>Juan David Ossa Salazar</t>
        </is>
      </c>
      <c r="P51" s="52" t="inlineStr">
        <is>
          <t>comercial@comexinternacional.com.co</t>
        </is>
      </c>
    </row>
    <row r="52">
      <c r="B52" s="170" t="n">
        <v>41</v>
      </c>
      <c r="C52" s="233" t="inlineStr">
        <is>
          <t>COTIZACION DE LOS DISEÑOS DE SEGURIDAD HUMANA Y PROTECCIÓN CONTRA INCENDIOS - BODEGA INDUSTRIAL LOTE 24 Y 26</t>
        </is>
      </c>
      <c r="D52" s="312" t="n"/>
      <c r="E52" s="312" t="n"/>
      <c r="F52" s="312" t="n"/>
      <c r="G52" s="312" t="n"/>
      <c r="H52" s="312" t="n"/>
      <c r="I52" s="313" t="n"/>
      <c r="J52" s="199" t="inlineStr">
        <is>
          <t>SPCI</t>
        </is>
      </c>
      <c r="K52" s="314" t="n">
        <v>27380000</v>
      </c>
      <c r="L52" s="2" t="n">
        <v>45324</v>
      </c>
      <c r="M52" s="2" t="n"/>
      <c r="N52" s="170" t="inlineStr">
        <is>
          <t xml:space="preserve"> 310 468 0508</t>
        </is>
      </c>
      <c r="O52" s="102" t="inlineStr">
        <is>
          <t>Juan Pablo Grajales Gómez</t>
        </is>
      </c>
      <c r="P52" s="52" t="inlineStr">
        <is>
          <t>juan.grajales@spci.com.co</t>
        </is>
      </c>
    </row>
    <row r="53">
      <c r="B53" s="170" t="n">
        <v>42</v>
      </c>
      <c r="C53" s="199" t="inlineStr">
        <is>
          <t>COTIZACION DE LOS DISEÑOS DE SEGURIDAD HUMANA Y PROTECCIÓN CONTRA INCENDIOS - AOSTA</t>
        </is>
      </c>
      <c r="D53" s="312" t="n"/>
      <c r="E53" s="312" t="n"/>
      <c r="F53" s="312" t="n"/>
      <c r="G53" s="312" t="n"/>
      <c r="H53" s="312" t="n"/>
      <c r="I53" s="313" t="n"/>
      <c r="J53" s="199" t="inlineStr">
        <is>
          <t>Htres</t>
        </is>
      </c>
      <c r="K53" s="314" t="n">
        <v>5990000</v>
      </c>
      <c r="L53" s="2" t="n">
        <v>45325</v>
      </c>
      <c r="M53" s="2" t="n"/>
      <c r="N53" s="170" t="n"/>
      <c r="O53" s="102" t="inlineStr">
        <is>
          <t>Nathaly Barrera Palacio</t>
        </is>
      </c>
      <c r="P53" s="52" t="inlineStr">
        <is>
          <t>Nathalybarrerapalacio@gmail.com</t>
        </is>
      </c>
    </row>
    <row r="54">
      <c r="B54" s="170" t="n">
        <v>43</v>
      </c>
      <c r="C54" s="199" t="inlineStr">
        <is>
          <t>COTIZACION DEL RE-DISEÑOS DE SEGURIDAD HUMANA Y PROTECCIÓN CONTRA INCENDIOS PARA PISO 2 TRRAZO</t>
        </is>
      </c>
      <c r="D54" s="312" t="n"/>
      <c r="E54" s="312" t="n"/>
      <c r="F54" s="312" t="n"/>
      <c r="G54" s="312" t="n"/>
      <c r="H54" s="312" t="n"/>
      <c r="I54" s="313" t="n"/>
      <c r="J54" s="199" t="inlineStr">
        <is>
          <t>PERFEK</t>
        </is>
      </c>
      <c r="K54" s="314" t="n">
        <v>2970000</v>
      </c>
      <c r="L54" s="2" t="n">
        <v>45325</v>
      </c>
      <c r="M54" s="170" t="n"/>
      <c r="N54" s="170" t="n">
        <v>3007701428</v>
      </c>
      <c r="O54" s="103" t="inlineStr">
        <is>
          <t>Johana Montoya Zapata</t>
        </is>
      </c>
      <c r="P54" s="52" t="inlineStr">
        <is>
          <t>johana.montoya@perfek.com.co</t>
        </is>
      </c>
    </row>
    <row r="55">
      <c r="B55" s="170" t="n">
        <v>44</v>
      </c>
      <c r="C55" s="233" t="inlineStr">
        <is>
          <t>COTIZACION DEL DISEÑO DE SOPORTERÍA SISMORESISTENTE PARA RISERS - JOHNSON &amp; JOHNSON CALI</t>
        </is>
      </c>
      <c r="D55" s="312" t="n"/>
      <c r="E55" s="312" t="n"/>
      <c r="F55" s="312" t="n"/>
      <c r="G55" s="312" t="n"/>
      <c r="H55" s="312" t="n"/>
      <c r="I55" s="313" t="n"/>
      <c r="J55" s="199" t="inlineStr">
        <is>
          <t>JOHNSON &amp; JOHNSON</t>
        </is>
      </c>
      <c r="K55" s="314" t="n">
        <v>7150000</v>
      </c>
      <c r="L55" s="2" t="n">
        <v>45324</v>
      </c>
      <c r="M55" s="170" t="n"/>
      <c r="N55" s="170" t="n">
        <v>3187346703</v>
      </c>
      <c r="O55" s="102" t="inlineStr">
        <is>
          <t>Jorge Edward Lopez</t>
        </is>
      </c>
      <c r="P55" s="52" t="inlineStr">
        <is>
          <t>jlopezv3@kenvue.com</t>
        </is>
      </c>
    </row>
    <row r="56">
      <c r="B56" s="170" t="n">
        <v>45</v>
      </c>
      <c r="C56" s="246" t="inlineStr">
        <is>
          <t xml:space="preserve">COTIZACION DE LOS DISEÑOS DE PROTECCIÓN CONTRA INCENDIOS Y SEGURIDAD HUMANA PARA EL PROYECTO VERMONTE
</t>
        </is>
      </c>
      <c r="D56" s="312" t="n"/>
      <c r="E56" s="312" t="n"/>
      <c r="F56" s="312" t="n"/>
      <c r="G56" s="312" t="n"/>
      <c r="H56" s="312" t="n"/>
      <c r="I56" s="313" t="n"/>
      <c r="J56" s="199" t="inlineStr">
        <is>
          <t>CONAXION</t>
        </is>
      </c>
      <c r="K56" s="314" t="n">
        <v>6350000</v>
      </c>
      <c r="L56" s="2" t="n">
        <v>45327</v>
      </c>
      <c r="M56" s="170" t="n"/>
      <c r="N56" s="170" t="inlineStr">
        <is>
          <t>(4) 440 9310</t>
        </is>
      </c>
      <c r="O56" s="102" t="inlineStr">
        <is>
          <t xml:space="preserve">Jorge O. Toro Montes  </t>
        </is>
      </c>
      <c r="P56" s="52" t="n"/>
    </row>
    <row r="57">
      <c r="B57" s="170" t="n">
        <v>46</v>
      </c>
      <c r="C57" s="246" t="inlineStr">
        <is>
          <t>COTIZACION DEL ANÁLISIS DE SEGURIDAD HUMANA PARA EL PROYECTO ALMARENA-COSTA RICA</t>
        </is>
      </c>
      <c r="D57" s="312" t="n"/>
      <c r="E57" s="312" t="n"/>
      <c r="F57" s="312" t="n"/>
      <c r="G57" s="312" t="n"/>
      <c r="H57" s="312" t="n"/>
      <c r="I57" s="313" t="n"/>
      <c r="J57" s="199" t="inlineStr">
        <is>
          <t>CONCONCRETO</t>
        </is>
      </c>
      <c r="K57" s="314" t="n">
        <v>4950000</v>
      </c>
      <c r="L57" s="2" t="n">
        <v>45328</v>
      </c>
      <c r="M57" s="170" t="n"/>
      <c r="N57" s="170" t="inlineStr">
        <is>
          <t xml:space="preserve"> 313 610 68 56</t>
        </is>
      </c>
      <c r="O57" s="103" t="inlineStr">
        <is>
          <t>Javier Andres Herrera Uribe</t>
        </is>
      </c>
      <c r="P57" s="52" t="inlineStr">
        <is>
          <t>jherrerau@conconcreto.com</t>
        </is>
      </c>
    </row>
    <row r="58">
      <c r="B58" s="170" t="n">
        <v>47</v>
      </c>
      <c r="C58" s="233" t="inlineStr">
        <is>
          <t>COTIZACION DEL DISEÑO DE DETECCIÓN DE INCENDIOS PARA EL PROYECTO CLINICA DEL ROSARIO</t>
        </is>
      </c>
      <c r="D58" s="312" t="n"/>
      <c r="E58" s="312" t="n"/>
      <c r="F58" s="312" t="n"/>
      <c r="G58" s="312" t="n"/>
      <c r="H58" s="312" t="n"/>
      <c r="I58" s="313" t="n"/>
      <c r="J58" s="199" t="inlineStr">
        <is>
          <t>CLINICA DEL ROSARIO</t>
        </is>
      </c>
      <c r="K58" s="314" t="n">
        <v>25000000</v>
      </c>
      <c r="L58" s="2" t="n">
        <v>45328</v>
      </c>
      <c r="M58" s="2" t="n"/>
      <c r="N58" s="170" t="inlineStr">
        <is>
          <t>300 4610230</t>
        </is>
      </c>
      <c r="O58" s="103" t="inlineStr">
        <is>
          <t>Juan David Velez Herrera</t>
        </is>
      </c>
      <c r="P58" s="52" t="inlineStr">
        <is>
          <t>proyectos@clinicaelrosario.com</t>
        </is>
      </c>
    </row>
    <row r="59">
      <c r="B59" s="170" t="n">
        <v>48</v>
      </c>
      <c r="C59" s="199" t="inlineStr">
        <is>
          <t>COTIZACION DEL DISEÑO DE EXTINCIÓN DE INCENDIOS PARA EL PROYECTO CLINICA DEL ROSARIO</t>
        </is>
      </c>
      <c r="D59" s="312" t="n"/>
      <c r="E59" s="312" t="n"/>
      <c r="F59" s="312" t="n"/>
      <c r="G59" s="312" t="n"/>
      <c r="H59" s="312" t="n"/>
      <c r="I59" s="313" t="n"/>
      <c r="J59" s="199" t="inlineStr">
        <is>
          <t>CLINICA DEL ROSARIO</t>
        </is>
      </c>
      <c r="K59" s="314" t="n">
        <v>8000000</v>
      </c>
      <c r="L59" s="2" t="n">
        <v>45328</v>
      </c>
      <c r="N59" s="170" t="inlineStr">
        <is>
          <t>300 4610230</t>
        </is>
      </c>
      <c r="O59" s="103" t="inlineStr">
        <is>
          <t>Juan David Velez Herrera</t>
        </is>
      </c>
      <c r="P59" s="52" t="inlineStr">
        <is>
          <t>proyectos@clinicaelrosario.com</t>
        </is>
      </c>
    </row>
    <row r="60">
      <c r="B60" s="170" t="n">
        <v>49</v>
      </c>
      <c r="C60" s="199" t="inlineStr">
        <is>
          <t>COTIZACION DEL DIAGNOSTICO RED CONTRA INCENDIOS Y SISTEMA ELECTRICO - INSTITUTO HUMBOLT</t>
        </is>
      </c>
      <c r="D60" s="312" t="n"/>
      <c r="E60" s="312" t="n"/>
      <c r="F60" s="312" t="n"/>
      <c r="G60" s="312" t="n"/>
      <c r="H60" s="312" t="n"/>
      <c r="I60" s="313" t="n"/>
      <c r="J60" s="199" t="inlineStr">
        <is>
          <t>INSTITUTO HUMBOLT</t>
        </is>
      </c>
      <c r="K60" s="314" t="n">
        <v>16350000</v>
      </c>
      <c r="L60" s="2" t="n">
        <v>45328</v>
      </c>
      <c r="M60" s="170" t="n"/>
      <c r="N60" s="170" t="n">
        <v>3202767</v>
      </c>
      <c r="O60" s="103" t="inlineStr">
        <is>
          <t>Lorena Alejandra Valencia Cruz</t>
        </is>
      </c>
      <c r="P60" s="52" t="n"/>
    </row>
    <row r="61">
      <c r="B61" s="170" t="n">
        <v>50</v>
      </c>
      <c r="C61" s="199" t="inlineStr">
        <is>
          <t>COTIZACION DEL DISEÑO DE EXTINCIÓN DE INCENDIOS PARA EL PROYECTO SYM BELT SMURFIT KAPPA</t>
        </is>
      </c>
      <c r="D61" s="312" t="n"/>
      <c r="E61" s="312" t="n"/>
      <c r="F61" s="312" t="n"/>
      <c r="G61" s="312" t="n"/>
      <c r="H61" s="312" t="n"/>
      <c r="I61" s="313" t="n"/>
      <c r="J61" s="199" t="inlineStr">
        <is>
          <t>SERIINCO</t>
        </is>
      </c>
      <c r="K61" s="314" t="n">
        <v>7990000</v>
      </c>
      <c r="L61" s="2" t="n">
        <v>45330</v>
      </c>
      <c r="M61" s="170" t="n"/>
      <c r="N61" s="170" t="n">
        <v>3113391008</v>
      </c>
      <c r="O61" s="103" t="inlineStr">
        <is>
          <t>Carlos Henao</t>
        </is>
      </c>
      <c r="P61" s="52" t="inlineStr">
        <is>
          <t>carlos.henao@seriinco.com</t>
        </is>
      </c>
    </row>
    <row r="62">
      <c r="B62" s="170" t="n">
        <v>51</v>
      </c>
      <c r="C62" s="246" t="inlineStr">
        <is>
          <t xml:space="preserve">COTIZACION DE LOS DISEÑOS DE PROTECCIÓN CONTRA INCENDIOS PARA EL PROYECTO CLINICA SAN FRANCISCO TULUA
</t>
        </is>
      </c>
      <c r="D62" s="312" t="n"/>
      <c r="E62" s="312" t="n"/>
      <c r="F62" s="312" t="n"/>
      <c r="G62" s="312" t="n"/>
      <c r="H62" s="312" t="n"/>
      <c r="I62" s="313" t="n"/>
      <c r="J62" s="199" t="inlineStr">
        <is>
          <t>SOLUCIONES INMOBILIARIAS</t>
        </is>
      </c>
      <c r="K62" s="314" t="n">
        <v>3550000</v>
      </c>
      <c r="L62" s="2" t="n">
        <v>45330</v>
      </c>
      <c r="M62" s="170" t="n"/>
      <c r="N62" s="170" t="inlineStr">
        <is>
          <t>312 7760909</t>
        </is>
      </c>
      <c r="O62" s="102" t="inlineStr">
        <is>
          <t>Simon Lopera</t>
        </is>
      </c>
      <c r="P62" s="52" t="n"/>
    </row>
    <row r="63">
      <c r="B63" s="170" t="n">
        <v>52</v>
      </c>
      <c r="C63" s="199" t="inlineStr">
        <is>
          <t>COTIZACION DEL DISEÑO DE DETECCIÓN DE INCENDIOS PARA EL PROYECTO PLANTA CROMATEX</t>
        </is>
      </c>
      <c r="D63" s="312" t="n"/>
      <c r="E63" s="312" t="n"/>
      <c r="F63" s="312" t="n"/>
      <c r="G63" s="312" t="n"/>
      <c r="H63" s="312" t="n"/>
      <c r="I63" s="313" t="n"/>
      <c r="J63" s="199" t="inlineStr">
        <is>
          <t>Cromatex</t>
        </is>
      </c>
      <c r="K63" s="314" t="n">
        <v>6270000</v>
      </c>
      <c r="L63" s="2" t="n">
        <v>45330</v>
      </c>
      <c r="M63" s="2" t="n"/>
      <c r="N63" s="170" t="inlineStr">
        <is>
          <t>315 5334100</t>
        </is>
      </c>
      <c r="O63" s="102" t="inlineStr">
        <is>
          <t>Wendy Oviedo</t>
        </is>
      </c>
      <c r="P63" s="52" t="inlineStr">
        <is>
          <t>gestionhumana@cromatex.com.co</t>
        </is>
      </c>
    </row>
    <row r="64">
      <c r="B64" s="170" t="n">
        <v>53</v>
      </c>
      <c r="C64" s="246" t="inlineStr">
        <is>
          <t xml:space="preserve">COTIZACION DEL DISEÑO DE DETECCIÓN DE INCENDIOS PARA EL PROYECTO FAMILIA PLANTA MEDELLIN
</t>
        </is>
      </c>
      <c r="D64" s="312" t="n"/>
      <c r="E64" s="312" t="n"/>
      <c r="F64" s="312" t="n"/>
      <c r="G64" s="312" t="n"/>
      <c r="H64" s="312" t="n"/>
      <c r="I64" s="313" t="n"/>
      <c r="J64" s="199" t="inlineStr">
        <is>
          <t>SERIINCO</t>
        </is>
      </c>
      <c r="K64" s="314" t="n">
        <v>14950000</v>
      </c>
      <c r="L64" s="2" t="n">
        <v>45330</v>
      </c>
      <c r="M64" s="170" t="n"/>
      <c r="N64" s="170" t="n">
        <v>3113391008</v>
      </c>
      <c r="O64" s="102" t="inlineStr">
        <is>
          <t>Carlos Enrique Henao Londoño</t>
        </is>
      </c>
      <c r="P64" s="52" t="inlineStr">
        <is>
          <t>carlos.henao@seriinco.com</t>
        </is>
      </c>
    </row>
    <row r="65">
      <c r="B65" s="170" t="n">
        <v>54</v>
      </c>
      <c r="C65" s="246" t="inlineStr">
        <is>
          <t>COTIZACIÓN DE LA ELABORACIÓN DIGITAL DE LAS PLACAS HIDRÁULICAS PARA ALGUNOS SISTEMAS DE PLAZA FABRICATO</t>
        </is>
      </c>
      <c r="D65" s="312" t="n"/>
      <c r="E65" s="312" t="n"/>
      <c r="F65" s="312" t="n"/>
      <c r="G65" s="312" t="n"/>
      <c r="H65" s="312" t="n"/>
      <c r="I65" s="313" t="n"/>
      <c r="J65" s="199" t="inlineStr">
        <is>
          <t>SPCI</t>
        </is>
      </c>
      <c r="K65" s="314" t="n">
        <v>500000</v>
      </c>
      <c r="L65" s="2" t="n">
        <v>45330</v>
      </c>
      <c r="M65" s="2" t="n"/>
      <c r="N65" s="170" t="n">
        <v>3137546144</v>
      </c>
      <c r="O65" s="102" t="inlineStr">
        <is>
          <t xml:space="preserve"> Juan Camilo Quintero Bedoya</t>
        </is>
      </c>
      <c r="P65" s="52" t="inlineStr">
        <is>
          <t>camilo.quintero@spci.com.co</t>
        </is>
      </c>
    </row>
    <row r="66">
      <c r="B66" s="170" t="n">
        <v>55</v>
      </c>
      <c r="C66" s="199" t="inlineStr">
        <is>
          <t>COTIZACION DEL INGENIERÍA CONCEPTUAL DE PROTECCIÓN CONTRA INCENDIOS PARA EL PROYECTO PROQUIDENT</t>
        </is>
      </c>
      <c r="D66" s="312" t="n"/>
      <c r="E66" s="312" t="n"/>
      <c r="F66" s="312" t="n"/>
      <c r="G66" s="312" t="n"/>
      <c r="H66" s="312" t="n"/>
      <c r="I66" s="313" t="n"/>
      <c r="J66" s="199" t="inlineStr">
        <is>
          <t>SERIINCO</t>
        </is>
      </c>
      <c r="K66" s="314" t="n">
        <v>7500000</v>
      </c>
      <c r="L66" s="2" t="n">
        <v>45330</v>
      </c>
      <c r="M66" s="2" t="n"/>
      <c r="N66" s="170" t="n">
        <v>3113391008</v>
      </c>
      <c r="O66" s="103" t="inlineStr">
        <is>
          <t>Carlos Henao</t>
        </is>
      </c>
      <c r="P66" s="52" t="inlineStr">
        <is>
          <t>carlos.henao@seriinco.com</t>
        </is>
      </c>
    </row>
    <row r="67">
      <c r="B67" s="170" t="n">
        <v>56</v>
      </c>
      <c r="C67" s="199" t="inlineStr">
        <is>
          <t>COTIZACION DE LOS DISEÑOS DE PROTECCIÓN CONTRA INCENDIOS Y SEGURIDAD HUMANA PARA EL PROYECTO EL NIAGARA</t>
        </is>
      </c>
      <c r="D67" s="312" t="n"/>
      <c r="E67" s="312" t="n"/>
      <c r="F67" s="312" t="n"/>
      <c r="G67" s="312" t="n"/>
      <c r="H67" s="312" t="n"/>
      <c r="I67" s="313" t="n"/>
      <c r="J67" s="199" t="inlineStr">
        <is>
          <t>PROJECT&amp; SOLUTIONS</t>
        </is>
      </c>
      <c r="K67" s="314" t="n">
        <v>7520000</v>
      </c>
      <c r="L67" s="2" t="n">
        <v>45334</v>
      </c>
      <c r="M67" s="2" t="n"/>
      <c r="N67" s="170" t="inlineStr">
        <is>
          <t>311 3079477</t>
        </is>
      </c>
      <c r="O67" s="102" t="inlineStr">
        <is>
          <t>Sebastian Lopez Duque</t>
        </is>
      </c>
      <c r="P67" s="52" t="inlineStr">
        <is>
          <t>gerencia@projectsolutions.com.co</t>
        </is>
      </c>
    </row>
    <row r="68">
      <c r="B68" s="170" t="n">
        <v>57</v>
      </c>
      <c r="C68" s="233" t="inlineStr">
        <is>
          <t>COTIZACION DE LOS DISEÑOS DE PROTECCIÓN CONTRA INCENDIOS Y SEGURIDAD HUMANA PARA EL PROYECTO MALL BELLOCENTRO</t>
        </is>
      </c>
      <c r="D68" s="312" t="n"/>
      <c r="E68" s="312" t="n"/>
      <c r="F68" s="312" t="n"/>
      <c r="G68" s="312" t="n"/>
      <c r="H68" s="312" t="n"/>
      <c r="I68" s="313" t="n"/>
      <c r="J68" s="199" t="inlineStr">
        <is>
          <t>INGESED</t>
        </is>
      </c>
      <c r="K68" s="314" t="n">
        <v>13550000</v>
      </c>
      <c r="L68" s="2" t="n">
        <v>45334</v>
      </c>
      <c r="M68" s="2" t="n"/>
      <c r="N68" s="170" t="inlineStr">
        <is>
          <t>313 540 17 14</t>
        </is>
      </c>
      <c r="O68" s="102" t="inlineStr">
        <is>
          <t xml:space="preserve"> Eliana Isabel Cardona Ríos</t>
        </is>
      </c>
      <c r="P68" s="52" t="inlineStr">
        <is>
          <t>comercial@ingesed.com</t>
        </is>
      </c>
    </row>
    <row r="69">
      <c r="B69" s="170" t="n">
        <v>58</v>
      </c>
      <c r="C69" s="199" t="inlineStr">
        <is>
          <t>COTIZACION DE LOS DISEÑOS DE PROTECCIÓN CONTRA INCENDIOS Y SEGURIDAD HUMANA PARA EL PROYECTO PABELLON H2O</t>
        </is>
      </c>
      <c r="D69" s="312" t="n"/>
      <c r="E69" s="312" t="n"/>
      <c r="F69" s="312" t="n"/>
      <c r="G69" s="312" t="n"/>
      <c r="H69" s="312" t="n"/>
      <c r="I69" s="313" t="n"/>
      <c r="J69" s="199" t="inlineStr">
        <is>
          <t>INGESED</t>
        </is>
      </c>
      <c r="K69" s="314" t="n">
        <v>12920000</v>
      </c>
      <c r="L69" s="2" t="n">
        <v>45334</v>
      </c>
      <c r="M69" s="2" t="n"/>
      <c r="N69" s="170" t="inlineStr">
        <is>
          <t>313 540 17 14</t>
        </is>
      </c>
      <c r="O69" s="102" t="inlineStr">
        <is>
          <t xml:space="preserve"> Eliana Isabel Cardona Ríos</t>
        </is>
      </c>
      <c r="P69" s="52" t="inlineStr">
        <is>
          <t>comercial@ingesed.com</t>
        </is>
      </c>
    </row>
    <row r="70" ht="15" customHeight="1">
      <c r="B70" s="170" t="n">
        <v>59</v>
      </c>
      <c r="C70" s="199" t="inlineStr">
        <is>
          <t>COTIZACION DE LOS DISEÑOS DE PROTECCIÓN CONTRA INCENDIOS Y SEGURIDAD HUMANA PARA EL PROYECTO PARIS CAMPESTRE-ZONA COMERCIAL</t>
        </is>
      </c>
      <c r="D70" s="312" t="n"/>
      <c r="E70" s="312" t="n"/>
      <c r="F70" s="312" t="n"/>
      <c r="G70" s="312" t="n"/>
      <c r="H70" s="312" t="n"/>
      <c r="I70" s="313" t="n"/>
      <c r="J70" s="199" t="inlineStr">
        <is>
          <t>AIA</t>
        </is>
      </c>
      <c r="K70" s="314" t="n">
        <v>5930000</v>
      </c>
      <c r="L70" s="2" t="n">
        <v>45334</v>
      </c>
      <c r="M70" s="170" t="n"/>
      <c r="N70" s="170" t="n">
        <v>3007582159</v>
      </c>
      <c r="O70" s="102" t="inlineStr">
        <is>
          <t>Maria Paula Nieto</t>
        </is>
      </c>
      <c r="P70" s="52" t="inlineStr">
        <is>
          <t>mnieto@aia.com.co</t>
        </is>
      </c>
    </row>
    <row r="71">
      <c r="B71" s="170" t="n">
        <v>60</v>
      </c>
      <c r="C71" s="199" t="inlineStr">
        <is>
          <t>COTIZACION DE LOS DISEÑOS DE PROTECCIÓN CONTRA INCENDIOS Y SEGURIDAD HUMANA PARA EL PROYECTO EDIFICIO SAN LUCAS</t>
        </is>
      </c>
      <c r="D71" s="312" t="n"/>
      <c r="E71" s="312" t="n"/>
      <c r="F71" s="312" t="n"/>
      <c r="G71" s="312" t="n"/>
      <c r="H71" s="312" t="n"/>
      <c r="I71" s="313" t="n"/>
      <c r="J71" s="199" t="inlineStr">
        <is>
          <t>Asesorías Balbin</t>
        </is>
      </c>
      <c r="K71" s="314" t="n">
        <v>15650000</v>
      </c>
      <c r="L71" s="2" t="n">
        <v>45334</v>
      </c>
      <c r="M71" s="170" t="n"/>
      <c r="N71" s="81" t="n">
        <v>3127463275</v>
      </c>
      <c r="O71" s="102" t="inlineStr">
        <is>
          <t>Santiago Cardona Balbin</t>
        </is>
      </c>
      <c r="P71" s="52" t="inlineStr">
        <is>
          <t>Santiago Cardona Balbin</t>
        </is>
      </c>
    </row>
    <row r="72">
      <c r="B72" s="170" t="n">
        <v>61</v>
      </c>
      <c r="C72" s="233" t="inlineStr">
        <is>
          <t>COTIZACION DE LOS DISEÑOS DE PROTECCIÓN CONTRA INCENDIOS Y SEGURIDAD HUMANA PARA EL PROYECTO BLOQUE DE AULAS SEDE CAMPESTRE</t>
        </is>
      </c>
      <c r="D72" s="312" t="n"/>
      <c r="E72" s="312" t="n"/>
      <c r="F72" s="312" t="n"/>
      <c r="G72" s="312" t="n"/>
      <c r="H72" s="312" t="n"/>
      <c r="I72" s="313" t="n"/>
      <c r="J72" s="199" t="inlineStr">
        <is>
          <t>INGENIOBIM</t>
        </is>
      </c>
      <c r="K72" s="314" t="n">
        <v>19990000</v>
      </c>
      <c r="L72" s="2" t="n">
        <v>45334</v>
      </c>
      <c r="M72" s="170" t="n"/>
      <c r="N72" s="170" t="n">
        <v>3014170260</v>
      </c>
      <c r="O72" s="102" t="inlineStr">
        <is>
          <t>Jenifer Vanessa Orozco Ordoñez</t>
        </is>
      </c>
      <c r="P72" s="52" t="inlineStr">
        <is>
          <t>jenifer.orozco@ingeniobim.co</t>
        </is>
      </c>
    </row>
    <row r="73">
      <c r="B73" s="170" t="n">
        <v>62</v>
      </c>
      <c r="C73" s="246" t="inlineStr">
        <is>
          <t>COTIZACION DE LOS DISEÑOS DE PROTECCIÓN CONTRA INCENDIOS PARA EL PROYECTO CRUZ ROJA LOCAL 2 AEROPUERTO EL DORADO</t>
        </is>
      </c>
      <c r="D73" s="312" t="n"/>
      <c r="E73" s="312" t="n"/>
      <c r="F73" s="312" t="n"/>
      <c r="G73" s="312" t="n"/>
      <c r="H73" s="312" t="n"/>
      <c r="I73" s="313" t="n"/>
      <c r="J73" s="199" t="inlineStr">
        <is>
          <t>Arkec Soluciones y Proyectos</t>
        </is>
      </c>
      <c r="K73" s="314" t="n">
        <v>2310000</v>
      </c>
      <c r="L73" s="2" t="n">
        <v>45335</v>
      </c>
      <c r="M73" s="2" t="n"/>
      <c r="N73" s="170" t="n">
        <v>3004531110</v>
      </c>
      <c r="O73" s="102" t="inlineStr">
        <is>
          <t>Juan Pablo Garzón R</t>
        </is>
      </c>
      <c r="P73" s="52" t="inlineStr">
        <is>
          <t>proyectos8.arkec@gmail.com</t>
        </is>
      </c>
    </row>
    <row r="74" ht="15" customHeight="1">
      <c r="B74" s="170" t="n">
        <v>63</v>
      </c>
      <c r="C74" s="246" t="inlineStr">
        <is>
          <t>COTIZACION DE LOS DISEÑOS DE PROTECCIÓN CONTRA INCENDIOS PARA EL PROYECTO LOCAL CLINICA CARDIO VID</t>
        </is>
      </c>
      <c r="D74" s="312" t="n"/>
      <c r="E74" s="312" t="n"/>
      <c r="F74" s="312" t="n"/>
      <c r="G74" s="312" t="n"/>
      <c r="H74" s="312" t="n"/>
      <c r="I74" s="313" t="n"/>
      <c r="J74" s="199" t="inlineStr">
        <is>
          <t>Clinica Cardio VID</t>
        </is>
      </c>
      <c r="K74" s="314" t="n">
        <v>5550000</v>
      </c>
      <c r="L74" s="2" t="n">
        <v>45335</v>
      </c>
      <c r="M74" s="170" t="n"/>
      <c r="N74" s="170" t="inlineStr">
        <is>
          <t>3227090 Ext. 4399</t>
        </is>
      </c>
      <c r="O74" s="102" t="inlineStr">
        <is>
          <t>Jaime Armando Osorio Giraldo</t>
        </is>
      </c>
      <c r="P74" s="52" t="inlineStr">
        <is>
          <t>josorio@vid.org.co</t>
        </is>
      </c>
    </row>
    <row r="75">
      <c r="B75" s="170" t="n">
        <v>64</v>
      </c>
      <c r="C75" s="199" t="inlineStr">
        <is>
          <t xml:space="preserve">COTIZACION DE LOS DISEÑOS DE PROTECCIÓN CONTRA INCENDIOS Y SEGURIDAD HUMANA PARA CAFETERÍA Y OFICINAS ESCUELA EARLY YEAR </t>
        </is>
      </c>
      <c r="D75" s="312" t="n"/>
      <c r="E75" s="312" t="n"/>
      <c r="F75" s="312" t="n"/>
      <c r="G75" s="312" t="n"/>
      <c r="H75" s="312" t="n"/>
      <c r="I75" s="313" t="n"/>
      <c r="J75" s="199" t="inlineStr">
        <is>
          <t>THE COLUMBUS SCHOOL</t>
        </is>
      </c>
      <c r="K75" s="314" t="n">
        <v>9410000</v>
      </c>
      <c r="L75" s="2" t="n">
        <v>45335</v>
      </c>
      <c r="M75" s="2" t="n"/>
      <c r="N75" s="170" t="n"/>
      <c r="O75" s="102" t="inlineStr">
        <is>
          <t>Puala Duque</t>
        </is>
      </c>
      <c r="P75" s="52" t="inlineStr">
        <is>
          <t>pduque@columbus.edu.co</t>
        </is>
      </c>
    </row>
    <row r="76">
      <c r="B76" s="170" t="n">
        <v>65</v>
      </c>
      <c r="C76" s="246" t="inlineStr">
        <is>
          <t xml:space="preserve">COTIZACION DEL DISEÑO DE EXTINCIÓN DE INCENDIOS PARA EL PROYECTO CUBIERTA VIVA FONTIBÓN
</t>
        </is>
      </c>
      <c r="D76" s="312" t="n"/>
      <c r="E76" s="312" t="n"/>
      <c r="F76" s="312" t="n"/>
      <c r="G76" s="312" t="n"/>
      <c r="H76" s="312" t="n"/>
      <c r="I76" s="313" t="n"/>
      <c r="J76" s="199" t="inlineStr">
        <is>
          <t>SPCI</t>
        </is>
      </c>
      <c r="K76" s="314" t="n">
        <v>2850000</v>
      </c>
      <c r="L76" s="2" t="n">
        <v>45336</v>
      </c>
      <c r="M76" s="170" t="n"/>
      <c r="N76" s="170" t="n">
        <v>3104680508</v>
      </c>
      <c r="O76" s="102" t="inlineStr">
        <is>
          <t xml:space="preserve">Juan Pablo Grajales Gomez </t>
        </is>
      </c>
      <c r="P76" s="52" t="inlineStr">
        <is>
          <t>juan.grajales@spci.com.co</t>
        </is>
      </c>
    </row>
    <row r="77">
      <c r="B77" s="170" t="n">
        <v>66</v>
      </c>
      <c r="C77" s="199" t="inlineStr">
        <is>
          <t>COTIZACION DEL DISEÑO DE EXTINCIÓN DE INCENDIOS PARA EL PROYECTO EDIFICIO LOS CAMBULOS</t>
        </is>
      </c>
      <c r="D77" s="312" t="n"/>
      <c r="E77" s="312" t="n"/>
      <c r="F77" s="312" t="n"/>
      <c r="G77" s="312" t="n"/>
      <c r="H77" s="312" t="n"/>
      <c r="I77" s="313" t="n"/>
      <c r="J77" s="199" t="inlineStr">
        <is>
          <t>Ingeaguas</t>
        </is>
      </c>
      <c r="K77" s="314" t="n">
        <v>4640000</v>
      </c>
      <c r="L77" s="2" t="n">
        <v>45336</v>
      </c>
      <c r="M77" s="2" t="n"/>
      <c r="N77" s="170" t="inlineStr">
        <is>
          <t xml:space="preserve"> 311 7468517</t>
        </is>
      </c>
      <c r="O77" s="103" t="inlineStr">
        <is>
          <t>Weimar Gonzales</t>
        </is>
      </c>
      <c r="P77" s="52" t="n"/>
    </row>
    <row r="78">
      <c r="B78" s="170" t="n">
        <v>67</v>
      </c>
      <c r="C78" s="199" t="inlineStr">
        <is>
          <t>COTIZACION DE LOS DISEÑOS DE PROTECCIÓN CONTRA INCENDIOS PARA EL PROYECTO COMFAMA COPACABANA</t>
        </is>
      </c>
      <c r="D78" s="312" t="n"/>
      <c r="E78" s="312" t="n"/>
      <c r="F78" s="312" t="n"/>
      <c r="G78" s="312" t="n"/>
      <c r="H78" s="312" t="n"/>
      <c r="I78" s="313" t="n"/>
      <c r="J78" s="199" t="inlineStr">
        <is>
          <t>SPCI</t>
        </is>
      </c>
      <c r="K78" s="314" t="n">
        <v>8970000</v>
      </c>
      <c r="L78" s="2" t="n">
        <v>45336</v>
      </c>
      <c r="M78" s="2" t="n"/>
      <c r="N78" s="170" t="n">
        <v>3137546144</v>
      </c>
      <c r="O78" s="102" t="inlineStr">
        <is>
          <t>Juan Camilo Quintero</t>
        </is>
      </c>
      <c r="P78" s="52" t="inlineStr">
        <is>
          <t>camilo.quintero@spci.com.co</t>
        </is>
      </c>
    </row>
    <row r="79">
      <c r="B79" s="170" t="n">
        <v>68</v>
      </c>
      <c r="C79" s="199" t="inlineStr">
        <is>
          <t>COTIZACION DE LOS DISEÑOS DE PROTECCIÓN CONTRA INCENDIOS PARA EL PROYECTO AVOPAK</t>
        </is>
      </c>
      <c r="D79" s="312" t="n"/>
      <c r="E79" s="312" t="n"/>
      <c r="F79" s="312" t="n"/>
      <c r="G79" s="312" t="n"/>
      <c r="H79" s="312" t="n"/>
      <c r="I79" s="313" t="n"/>
      <c r="J79" s="199" t="inlineStr">
        <is>
          <t>SPCI</t>
        </is>
      </c>
      <c r="K79" s="314" t="n">
        <v>4760000</v>
      </c>
      <c r="L79" s="2" t="n">
        <v>45336</v>
      </c>
      <c r="M79" s="2" t="n"/>
      <c r="N79" s="170" t="n">
        <v>3104165783</v>
      </c>
      <c r="O79" s="103" t="inlineStr">
        <is>
          <t xml:space="preserve"> Cristiam Gustavo Mondragon </t>
        </is>
      </c>
      <c r="P79" s="52" t="inlineStr">
        <is>
          <t>dir.tecnico@spci.com.co</t>
        </is>
      </c>
    </row>
    <row r="80">
      <c r="B80" s="170" t="n">
        <v>69</v>
      </c>
      <c r="C80" s="233" t="inlineStr">
        <is>
          <t>COTIZACION DEL DISEÑO DE DETECCIÓN DE INCENDIOS PARA EL PROYECTO CUERPO DE BOMBEROS SABANETA</t>
        </is>
      </c>
      <c r="D80" s="312" t="n"/>
      <c r="E80" s="312" t="n"/>
      <c r="F80" s="312" t="n"/>
      <c r="G80" s="312" t="n"/>
      <c r="H80" s="312" t="n"/>
      <c r="I80" s="313" t="n"/>
      <c r="J80" s="199" t="inlineStr">
        <is>
          <t>SERIINCO</t>
        </is>
      </c>
      <c r="K80" s="314" t="n">
        <v>2510000</v>
      </c>
      <c r="L80" s="2" t="n">
        <v>45338</v>
      </c>
      <c r="M80" s="170" t="n"/>
      <c r="N80" s="170" t="n">
        <v>3113391008</v>
      </c>
      <c r="O80" s="102" t="inlineStr">
        <is>
          <t>Carlos Enrique Henao Londoño</t>
        </is>
      </c>
      <c r="P80" s="52" t="inlineStr">
        <is>
          <t>carlos.henao@seriinco.com</t>
        </is>
      </c>
    </row>
    <row r="81">
      <c r="B81" s="170" t="n">
        <v>70</v>
      </c>
      <c r="C81" s="199" t="inlineStr">
        <is>
          <t>COTIZACIÓN DE LA REVISIÓN DE DISEÑOS DE PROTECCIÓN CONTRA INCENIDOS PARA EL PROYECTO PUERTO ANTIOQUIA</t>
        </is>
      </c>
      <c r="D81" s="312" t="n"/>
      <c r="E81" s="312" t="n"/>
      <c r="F81" s="312" t="n"/>
      <c r="G81" s="312" t="n"/>
      <c r="H81" s="312" t="n"/>
      <c r="I81" s="313" t="n"/>
      <c r="J81" s="199" t="inlineStr">
        <is>
          <t>SERIINCO</t>
        </is>
      </c>
      <c r="K81" s="314" t="n">
        <v>12400000</v>
      </c>
      <c r="L81" s="2" t="n">
        <v>45337</v>
      </c>
      <c r="M81" s="2" t="n"/>
      <c r="N81" s="170" t="n">
        <v>3113391008</v>
      </c>
      <c r="O81" s="102" t="inlineStr">
        <is>
          <t>Carlos Enrique Henao Londoño</t>
        </is>
      </c>
      <c r="P81" s="52" t="inlineStr">
        <is>
          <t>carlos.henao@seriinco.com</t>
        </is>
      </c>
    </row>
    <row r="82" ht="15" customHeight="1">
      <c r="B82" s="170" t="n">
        <v>71</v>
      </c>
      <c r="C82" s="199" t="inlineStr">
        <is>
          <t>COTIZACION DE LOS DISEÑOS DE PROTECCIÓN CONTRA INCENDIOS Y SEGURIDAD HUMANA PARA EL PROYECTO TEATRO APARTADÓ COMFAMA</t>
        </is>
      </c>
      <c r="D82" s="312" t="n"/>
      <c r="E82" s="312" t="n"/>
      <c r="F82" s="312" t="n"/>
      <c r="G82" s="312" t="n"/>
      <c r="H82" s="312" t="n"/>
      <c r="I82" s="313" t="n"/>
      <c r="J82" s="199" t="inlineStr">
        <is>
          <t>Connatural</t>
        </is>
      </c>
      <c r="K82" s="314" t="n">
        <v>19950000</v>
      </c>
      <c r="L82" s="2" t="n">
        <v>45337</v>
      </c>
      <c r="M82" s="2" t="n"/>
      <c r="N82" s="170" t="n">
        <v>3218527044</v>
      </c>
      <c r="O82" s="102" t="inlineStr">
        <is>
          <t>Edgar Mazo</t>
        </is>
      </c>
      <c r="P82" s="52" t="inlineStr">
        <is>
          <t>&lt;teatroapartado@gmail.com</t>
        </is>
      </c>
    </row>
    <row r="83">
      <c r="B83" s="170" t="n">
        <v>72</v>
      </c>
      <c r="C83" s="199" t="inlineStr">
        <is>
          <t>COTIZACION DE LOS DISEÑOS DE PROTECCIÓN CONTRA INCENDIOS PARA EL PROYECTO MUSEO DE LA MEMORIA</t>
        </is>
      </c>
      <c r="D83" s="312" t="n"/>
      <c r="E83" s="312" t="n"/>
      <c r="F83" s="312" t="n"/>
      <c r="G83" s="312" t="n"/>
      <c r="H83" s="312" t="n"/>
      <c r="I83" s="313" t="n"/>
      <c r="J83" s="199" t="inlineStr">
        <is>
          <t>Securetec</t>
        </is>
      </c>
      <c r="K83" s="314" t="n">
        <v>9950000</v>
      </c>
      <c r="L83" s="2" t="n">
        <v>45337</v>
      </c>
      <c r="M83" s="170" t="n"/>
      <c r="N83" s="170" t="n">
        <v>3014111727</v>
      </c>
      <c r="O83" s="102" t="inlineStr">
        <is>
          <t>Julian David Camacho</t>
        </is>
      </c>
      <c r="P83" s="52" t="inlineStr">
        <is>
          <t>ascomercial2@securetec.com.co</t>
        </is>
      </c>
    </row>
    <row r="84">
      <c r="B84" s="170" t="n">
        <v>73</v>
      </c>
      <c r="C84" s="199" t="inlineStr">
        <is>
          <t xml:space="preserve">COTIZACION DE LOS DISEÑOS DE PROTECCIÓN CONTRA INCENDIOS PARA EL PROYECTO PLANTA DE BALANCEADO </t>
        </is>
      </c>
      <c r="D84" s="312" t="n"/>
      <c r="E84" s="312" t="n"/>
      <c r="F84" s="312" t="n"/>
      <c r="G84" s="312" t="n"/>
      <c r="H84" s="312" t="n"/>
      <c r="I84" s="313" t="n"/>
      <c r="J84" s="199" t="inlineStr">
        <is>
          <t>SERIINCO</t>
        </is>
      </c>
      <c r="K84" s="314" t="n">
        <v>29970000</v>
      </c>
      <c r="L84" s="2" t="n">
        <v>45338</v>
      </c>
      <c r="M84" s="2" t="n"/>
      <c r="N84" s="170" t="n">
        <v>3113391008</v>
      </c>
      <c r="O84" s="102" t="inlineStr">
        <is>
          <t>Carlos Enrique Henao Londoño</t>
        </is>
      </c>
      <c r="P84" s="52" t="inlineStr">
        <is>
          <t>carlos.henao@seriinco.com</t>
        </is>
      </c>
    </row>
    <row r="85">
      <c r="B85" s="170" t="n">
        <v>74</v>
      </c>
      <c r="C85" s="233" t="inlineStr">
        <is>
          <t>COTIZACION DE LOS DISEÑOS DE PROTECCIÓN CONTRA INCENDIOS Y SEGURIDAD HUMANA PARA EL PROYECTO LOTE COLTABACO-OFICINAS</t>
        </is>
      </c>
      <c r="D85" s="312" t="n"/>
      <c r="E85" s="312" t="n"/>
      <c r="F85" s="312" t="n"/>
      <c r="G85" s="312" t="n"/>
      <c r="H85" s="312" t="n"/>
      <c r="I85" s="313" t="n"/>
      <c r="J85" s="199" t="inlineStr">
        <is>
          <t>A&amp;C</t>
        </is>
      </c>
      <c r="K85" s="314" t="n">
        <v>15950000</v>
      </c>
      <c r="L85" s="2" t="n">
        <v>45338</v>
      </c>
      <c r="M85" s="170" t="n"/>
      <c r="N85" s="170" t="n">
        <v>3123618</v>
      </c>
      <c r="O85" s="102" t="inlineStr">
        <is>
          <t>Germán E. Martínez Arboleda</t>
        </is>
      </c>
      <c r="P85" s="52" t="inlineStr">
        <is>
          <t>germanmartinez@arquitecturayconcreto.com</t>
        </is>
      </c>
    </row>
    <row r="86">
      <c r="B86" s="170" t="n">
        <v>75</v>
      </c>
      <c r="C86" s="199" t="inlineStr">
        <is>
          <t>COTIZACION DE LOS DISEÑOS DE SEGURIDAD HUMANA Y PROTECCIÓN CONTRA INCENDIOS - PROYECTO USHUAYA- REV B</t>
        </is>
      </c>
      <c r="D86" s="312" t="n"/>
      <c r="E86" s="312" t="n"/>
      <c r="F86" s="312" t="n"/>
      <c r="G86" s="312" t="n"/>
      <c r="H86" s="312" t="n"/>
      <c r="I86" s="313" t="n"/>
      <c r="J86" s="199" t="inlineStr">
        <is>
          <t>Edyfica</t>
        </is>
      </c>
      <c r="K86" s="314" t="n">
        <v>25160000</v>
      </c>
      <c r="L86" s="2" t="n">
        <v>45338</v>
      </c>
      <c r="M86" s="170" t="n"/>
      <c r="N86" s="170" t="inlineStr">
        <is>
          <t>310 4057513</t>
        </is>
      </c>
      <c r="O86" s="102" t="inlineStr">
        <is>
          <t>Claudia Ramirez</t>
        </is>
      </c>
      <c r="P86" s="52" t="inlineStr">
        <is>
          <t>claudia.ramirez@edyfica.co</t>
        </is>
      </c>
    </row>
    <row r="87">
      <c r="B87" s="170" t="n">
        <v>76</v>
      </c>
      <c r="C87" s="233" t="inlineStr">
        <is>
          <t>COTIZACION DEL DISEÑO DE DETECCIÓN DE INCENDIOS PARA EL PROYECTO LEVI’S PLANTA NIVEL 1 Y NIVEL 2 - EXPOFARO</t>
        </is>
      </c>
      <c r="D87" s="312" t="n"/>
      <c r="E87" s="312" t="n"/>
      <c r="F87" s="312" t="n"/>
      <c r="G87" s="312" t="n"/>
      <c r="H87" s="312" t="n"/>
      <c r="I87" s="313" t="n"/>
      <c r="J87" s="199" t="inlineStr">
        <is>
          <t>Detectar Systems</t>
        </is>
      </c>
      <c r="K87" s="314" t="n">
        <v>4950000</v>
      </c>
      <c r="L87" s="2" t="n">
        <v>45341</v>
      </c>
      <c r="M87" s="170" t="n"/>
      <c r="N87" s="170" t="inlineStr">
        <is>
          <t>301 5421412</t>
        </is>
      </c>
      <c r="O87" s="102" t="inlineStr">
        <is>
          <t>Juan Santiago Londoño Quiceno</t>
        </is>
      </c>
      <c r="P87" s="52" t="inlineStr">
        <is>
          <t>detectarsystems@gmail.com</t>
        </is>
      </c>
    </row>
    <row r="88">
      <c r="B88" s="170" t="n">
        <v>77</v>
      </c>
      <c r="C88" s="199" t="inlineStr">
        <is>
          <t>COTIZACION DE LOS DISEÑOS DE PROTECCIÓN CONTRA INCENDIOS PARA EL PROYECTO LA JAULA DEL ÁNGEL</t>
        </is>
      </c>
      <c r="D88" s="312" t="n"/>
      <c r="E88" s="312" t="n"/>
      <c r="F88" s="312" t="n"/>
      <c r="G88" s="312" t="n"/>
      <c r="H88" s="312" t="n"/>
      <c r="I88" s="313" t="n"/>
      <c r="J88" s="199" t="inlineStr">
        <is>
          <t>SPCI</t>
        </is>
      </c>
      <c r="K88" s="314" t="n">
        <v>3300000</v>
      </c>
      <c r="L88" s="2" t="n">
        <v>45342</v>
      </c>
      <c r="M88" s="170" t="n"/>
      <c r="N88" s="170" t="n"/>
      <c r="O88" s="102" t="inlineStr">
        <is>
          <t>Juan Camilo Quintero Bedoya</t>
        </is>
      </c>
      <c r="P88" s="52" t="inlineStr">
        <is>
          <t>camilo.quintero@spci.com.co</t>
        </is>
      </c>
    </row>
    <row r="89">
      <c r="B89" s="170" t="n">
        <v>78</v>
      </c>
      <c r="C89" s="246" t="inlineStr">
        <is>
          <t>COTIZACIÓN CONSULTORÍA HORA INGENIERÍA PROTECCIÓN CONTRA INCENDIOS</t>
        </is>
      </c>
      <c r="D89" s="312" t="n"/>
      <c r="E89" s="312" t="n"/>
      <c r="F89" s="312" t="n"/>
      <c r="G89" s="312" t="n"/>
      <c r="H89" s="312" t="n"/>
      <c r="I89" s="313" t="n"/>
      <c r="J89" s="199" t="inlineStr">
        <is>
          <t>INMA</t>
        </is>
      </c>
      <c r="K89" s="314" t="n">
        <v>250000</v>
      </c>
      <c r="L89" s="2" t="n">
        <v>45342</v>
      </c>
      <c r="M89" s="170" t="n"/>
      <c r="N89" s="170" t="inlineStr">
        <is>
          <t>57 310 4485610</t>
        </is>
      </c>
      <c r="O89" s="102" t="inlineStr">
        <is>
          <t xml:space="preserve">Nora Berrio </t>
        </is>
      </c>
      <c r="P89" s="52" t="inlineStr">
        <is>
          <t>NBerrio@ingenierosmecanicos.com.co</t>
        </is>
      </c>
    </row>
    <row r="90">
      <c r="B90" s="170" t="n">
        <v>79</v>
      </c>
      <c r="C90" s="246" t="inlineStr">
        <is>
          <t>COTIZACION DE LOS DISEÑOS DE PROTECCIÓN CONTRA INCENDIOS Y SEGURIDAD HUMANA PARA EL PROYECTO EDIFICIO ADMINISTRATIVO Y APOYO</t>
        </is>
      </c>
      <c r="D90" s="312" t="n"/>
      <c r="E90" s="312" t="n"/>
      <c r="F90" s="312" t="n"/>
      <c r="G90" s="312" t="n"/>
      <c r="H90" s="312" t="n"/>
      <c r="I90" s="313" t="n"/>
      <c r="J90" s="199" t="inlineStr">
        <is>
          <t>Pao Arquitectura</t>
        </is>
      </c>
      <c r="K90" s="314" t="n">
        <v>9950000</v>
      </c>
      <c r="L90" s="2" t="n">
        <v>45342</v>
      </c>
      <c r="M90" s="170" t="n"/>
      <c r="N90" s="170" t="n"/>
      <c r="O90" s="102" t="inlineStr">
        <is>
          <t>Paola López</t>
        </is>
      </c>
      <c r="P90" s="87" t="inlineStr">
        <is>
          <t>paolopez@paoarq.com</t>
        </is>
      </c>
    </row>
    <row r="91">
      <c r="B91" s="170" t="n">
        <v>80</v>
      </c>
      <c r="C91" s="199" t="inlineStr">
        <is>
          <t>COTIZACION DEL ANÁLISIS DE SEGURIDAD HUMANA PARA EL PROYECTO INSTITUTO METEREOLÓGICO</t>
        </is>
      </c>
      <c r="D91" s="312" t="n"/>
      <c r="E91" s="312" t="n"/>
      <c r="F91" s="312" t="n"/>
      <c r="G91" s="312" t="n"/>
      <c r="H91" s="312" t="n"/>
      <c r="I91" s="313" t="n"/>
      <c r="J91" s="199" t="inlineStr">
        <is>
          <t>CONCONCRETO</t>
        </is>
      </c>
      <c r="K91" s="314" t="n">
        <v>6960000</v>
      </c>
      <c r="L91" s="2" t="n">
        <v>45343</v>
      </c>
      <c r="M91" s="170" t="n"/>
      <c r="N91" s="170" t="inlineStr">
        <is>
          <t xml:space="preserve"> 313 610 68 56</t>
        </is>
      </c>
      <c r="O91" s="102" t="inlineStr">
        <is>
          <t>Javier Andres Herrera Uribe</t>
        </is>
      </c>
      <c r="P91" s="52" t="inlineStr">
        <is>
          <t>jherrerau@conconcreto.com</t>
        </is>
      </c>
    </row>
    <row r="92">
      <c r="B92" s="170" t="n">
        <v>81</v>
      </c>
      <c r="C92" s="199" t="inlineStr">
        <is>
          <t>COTIZACION DE LOS DISEÑOS DE PROTECCIÓN CONTRA INCENDIOS PARA EL PROYECTO PLAZA DE MERCADO SANTUARIO</t>
        </is>
      </c>
      <c r="D92" s="312" t="n"/>
      <c r="E92" s="312" t="n"/>
      <c r="F92" s="312" t="n"/>
      <c r="G92" s="312" t="n"/>
      <c r="H92" s="312" t="n"/>
      <c r="I92" s="313" t="n"/>
      <c r="J92" s="199" t="inlineStr">
        <is>
          <t>GO INGENIERIAYSOLUCIONES</t>
        </is>
      </c>
      <c r="K92" s="314" t="n">
        <v>19940000</v>
      </c>
      <c r="L92" s="2" t="n">
        <v>45343</v>
      </c>
      <c r="M92" s="170" t="n"/>
      <c r="N92" s="170" t="inlineStr">
        <is>
          <t>310 5104288</t>
        </is>
      </c>
      <c r="O92" s="102" t="inlineStr">
        <is>
          <t>Christian Gañan Ibarra</t>
        </is>
      </c>
      <c r="P92" s="52" t="inlineStr">
        <is>
          <t>goingenieriaysoluciones@gmail.com</t>
        </is>
      </c>
    </row>
    <row r="93">
      <c r="B93" s="170" t="n">
        <v>82</v>
      </c>
      <c r="C93" s="199" t="inlineStr">
        <is>
          <t>COTIZACION DE LOS DISEÑOS DE PROTECCIÓN CONTRA INCENDIOS Y SEGURIDAD HUMANA PARA EL PROYECTO HARAS DE SANTA LUCIA</t>
        </is>
      </c>
      <c r="D93" s="312" t="n"/>
      <c r="E93" s="312" t="n"/>
      <c r="F93" s="312" t="n"/>
      <c r="G93" s="312" t="n"/>
      <c r="H93" s="312" t="n"/>
      <c r="I93" s="313" t="n"/>
      <c r="J93" s="199" t="inlineStr">
        <is>
          <t>MENSULA</t>
        </is>
      </c>
      <c r="K93" s="314" t="n">
        <v>18950000</v>
      </c>
      <c r="L93" s="2" t="n">
        <v>44613</v>
      </c>
      <c r="M93" s="170" t="n"/>
      <c r="N93" s="170" t="inlineStr">
        <is>
          <t xml:space="preserve">320 666 1899 </t>
        </is>
      </c>
      <c r="O93" s="102" t="inlineStr">
        <is>
          <t>Santiago López González</t>
        </is>
      </c>
      <c r="P93" s="52" t="inlineStr">
        <is>
          <t>santiagolopez@mensulaingenieros.com</t>
        </is>
      </c>
    </row>
    <row r="94">
      <c r="B94" s="170" t="n">
        <v>83</v>
      </c>
      <c r="C94" s="199" t="inlineStr">
        <is>
          <t>COTIZACION DEL DISEÑO DE DETECCIÓN DE INCENDIOS PARA EL PROYECTO EDIFICIO ADMINISTRATIVO COLEGIO COLOMBO BRITANICO</t>
        </is>
      </c>
      <c r="D94" s="312" t="n"/>
      <c r="E94" s="312" t="n"/>
      <c r="F94" s="312" t="n"/>
      <c r="G94" s="312" t="n"/>
      <c r="H94" s="312" t="n"/>
      <c r="I94" s="313" t="n"/>
      <c r="J94" s="199" t="inlineStr">
        <is>
          <t>SPCI</t>
        </is>
      </c>
      <c r="K94" s="314" t="n">
        <v>2510000</v>
      </c>
      <c r="L94" s="2" t="n">
        <v>45343</v>
      </c>
      <c r="M94" s="170" t="n"/>
      <c r="N94" s="170" t="n">
        <v>3137546144</v>
      </c>
      <c r="O94" s="102" t="inlineStr">
        <is>
          <t xml:space="preserve">Juan Camilo Quintero Bedoya </t>
        </is>
      </c>
      <c r="P94" s="52" t="inlineStr">
        <is>
          <t>camilo.quintero@spci.com.co</t>
        </is>
      </c>
    </row>
    <row r="95">
      <c r="B95" s="170" t="n">
        <v>84</v>
      </c>
      <c r="C95" s="233" t="inlineStr">
        <is>
          <t>COTIZACION DE LOS DISEÑOS DE PROTECCIÓN CONTRA INCENDIOS Y SEGURIDAD HUMANA PARA EL PROYECTO EDIFICIO ESQUINA DEL HUECO</t>
        </is>
      </c>
      <c r="D95" s="312" t="n"/>
      <c r="E95" s="312" t="n"/>
      <c r="F95" s="312" t="n"/>
      <c r="G95" s="312" t="n"/>
      <c r="H95" s="312" t="n"/>
      <c r="I95" s="313" t="n"/>
      <c r="J95" s="199" t="inlineStr">
        <is>
          <t>Clara Inés López</t>
        </is>
      </c>
      <c r="K95" s="314" t="n">
        <v>9900000</v>
      </c>
      <c r="L95" s="2" t="n">
        <v>45344</v>
      </c>
      <c r="M95" s="170" t="n"/>
      <c r="N95" s="170" t="inlineStr">
        <is>
          <t>300 6194323</t>
        </is>
      </c>
      <c r="O95" s="102" t="inlineStr">
        <is>
          <t>Ines Lopez de Mesa</t>
        </is>
      </c>
      <c r="P95" s="52" t="inlineStr">
        <is>
          <t>obraesquinadelhueco@gmail.com</t>
        </is>
      </c>
    </row>
    <row r="96">
      <c r="B96" s="170" t="n">
        <v>85</v>
      </c>
      <c r="C96" s="199" t="inlineStr">
        <is>
          <t>COTIZACIÓN REDISEÑO EXTINCIÓN DE INCENDIOS HUMAX</t>
        </is>
      </c>
      <c r="D96" s="312" t="n"/>
      <c r="E96" s="312" t="n"/>
      <c r="F96" s="312" t="n"/>
      <c r="G96" s="312" t="n"/>
      <c r="H96" s="312" t="n"/>
      <c r="I96" s="313" t="n"/>
      <c r="J96" s="199" t="inlineStr">
        <is>
          <t>INMA</t>
        </is>
      </c>
      <c r="K96" s="314" t="n">
        <v>15000000</v>
      </c>
      <c r="L96" s="2" t="n">
        <v>45344</v>
      </c>
      <c r="M96" s="35" t="n"/>
      <c r="N96" s="170" t="inlineStr">
        <is>
          <t>57 310 4485610</t>
        </is>
      </c>
      <c r="O96" s="102" t="inlineStr">
        <is>
          <t xml:space="preserve">Nora Berrio </t>
        </is>
      </c>
      <c r="P96" s="52" t="inlineStr">
        <is>
          <t>NBerrio@ingenierosmecanicos.com.co</t>
        </is>
      </c>
    </row>
    <row r="97">
      <c r="B97" s="170" t="n">
        <v>86</v>
      </c>
      <c r="C97" s="233" t="inlineStr">
        <is>
          <t>COTIZACION DEL ANÁLISIS DE SEGURIDAD HUMANA PARA EL PROYECTO PLANTA DE AGUA BENDITA</t>
        </is>
      </c>
      <c r="D97" s="312" t="n"/>
      <c r="E97" s="312" t="n"/>
      <c r="F97" s="312" t="n"/>
      <c r="G97" s="312" t="n"/>
      <c r="H97" s="312" t="n"/>
      <c r="I97" s="313" t="n"/>
      <c r="J97" s="199" t="inlineStr">
        <is>
          <t>Agua Bendita</t>
        </is>
      </c>
      <c r="K97" s="314" t="n">
        <v>4950000</v>
      </c>
      <c r="L97" s="2" t="n">
        <v>45348</v>
      </c>
      <c r="M97" s="170" t="n"/>
      <c r="N97" s="170" t="n"/>
      <c r="O97" s="102" t="inlineStr">
        <is>
          <t>Yesica Sanchez Giraldo</t>
        </is>
      </c>
      <c r="P97" s="52" t="n"/>
    </row>
    <row r="98">
      <c r="B98" s="170" t="n">
        <v>87</v>
      </c>
      <c r="C98" s="199" t="inlineStr">
        <is>
          <t>COTIZACION DEL DISEÑO DE EXTINCIÓN DE INCENDIOS PARA EL PROYECTO BIO26</t>
        </is>
      </c>
      <c r="D98" s="312" t="n"/>
      <c r="E98" s="312" t="n"/>
      <c r="F98" s="312" t="n"/>
      <c r="G98" s="312" t="n"/>
      <c r="H98" s="312" t="n"/>
      <c r="I98" s="313" t="n"/>
      <c r="J98" s="199" t="inlineStr">
        <is>
          <t>SPCI</t>
        </is>
      </c>
      <c r="K98" s="314" t="n">
        <v>6880000</v>
      </c>
      <c r="L98" s="2" t="n">
        <v>45348</v>
      </c>
      <c r="M98" s="2" t="n"/>
      <c r="N98" s="170" t="n">
        <v>3137546144</v>
      </c>
      <c r="O98" s="102" t="inlineStr">
        <is>
          <t>Juan Camilo Quintero Bedoya</t>
        </is>
      </c>
      <c r="P98" s="52" t="inlineStr">
        <is>
          <t>camilo.quintero@spci.com.co</t>
        </is>
      </c>
    </row>
    <row r="99">
      <c r="B99" s="170" t="n">
        <v>88</v>
      </c>
      <c r="C99" s="199" t="inlineStr">
        <is>
          <t>COTIZACION DEL DISEÑO DE EXTINCIÓN DE INCENDIOS PARA EL PROYECTO VIVA SINCELEJO</t>
        </is>
      </c>
      <c r="D99" s="312" t="n"/>
      <c r="E99" s="312" t="n"/>
      <c r="F99" s="312" t="n"/>
      <c r="G99" s="312" t="n"/>
      <c r="H99" s="312" t="n"/>
      <c r="I99" s="313" t="n"/>
      <c r="J99" s="199" t="inlineStr">
        <is>
          <t>SPCI</t>
        </is>
      </c>
      <c r="K99" s="314" t="n">
        <v>3250000</v>
      </c>
      <c r="L99" s="2" t="n">
        <v>45348</v>
      </c>
      <c r="M99" s="170" t="n"/>
      <c r="N99" s="170" t="n">
        <v>3137546144</v>
      </c>
      <c r="O99" s="102" t="inlineStr">
        <is>
          <t>Juan Camilo Quintero Bedoya</t>
        </is>
      </c>
      <c r="P99" s="52" t="inlineStr">
        <is>
          <t>camilo.quintero@spci.com.co</t>
        </is>
      </c>
    </row>
    <row r="100">
      <c r="B100" s="170" t="n">
        <v>89</v>
      </c>
      <c r="C100" s="199" t="inlineStr">
        <is>
          <t>COTIZACION DE LOS DISEÑOS DE PROTECCIÓN CONTRA INCENDIOS Y SEGURIDAD HUMANA PARA EL PROYECTO CQ2</t>
        </is>
      </c>
      <c r="D100" s="312" t="n"/>
      <c r="E100" s="312" t="n"/>
      <c r="F100" s="312" t="n"/>
      <c r="G100" s="312" t="n"/>
      <c r="H100" s="312" t="n"/>
      <c r="I100" s="313" t="n"/>
      <c r="J100" s="199" t="inlineStr">
        <is>
          <t>INGESED</t>
        </is>
      </c>
      <c r="K100" s="314" t="n">
        <v>11950000</v>
      </c>
      <c r="L100" s="2" t="n">
        <v>45348</v>
      </c>
      <c r="M100" s="170" t="n"/>
      <c r="N100" s="170" t="inlineStr">
        <is>
          <t>313 540 17 14</t>
        </is>
      </c>
      <c r="O100" s="102" t="inlineStr">
        <is>
          <t xml:space="preserve"> Eliana Isabel Cardona Ríos </t>
        </is>
      </c>
      <c r="P100" s="52" t="inlineStr">
        <is>
          <t>comercial@ingesed.com</t>
        </is>
      </c>
    </row>
    <row r="101">
      <c r="B101" s="170" t="n">
        <v>90</v>
      </c>
      <c r="C101" s="199" t="inlineStr">
        <is>
          <t>COTIZACION DEL DISEÑO DE EXTINCIÓN DE INCENDIOS PARA EL PROYECTO EDIFICIO FOREVER</t>
        </is>
      </c>
      <c r="D101" s="312" t="n"/>
      <c r="E101" s="312" t="n"/>
      <c r="F101" s="312" t="n"/>
      <c r="G101" s="312" t="n"/>
      <c r="H101" s="312" t="n"/>
      <c r="I101" s="313" t="n"/>
      <c r="J101" s="199" t="inlineStr">
        <is>
          <t>FIRE MARSHAL</t>
        </is>
      </c>
      <c r="K101" s="314" t="n">
        <v>3500000</v>
      </c>
      <c r="L101" s="2" t="n">
        <v>45344</v>
      </c>
      <c r="M101" s="170" t="n"/>
      <c r="N101" s="170" t="n">
        <v>3163564491</v>
      </c>
      <c r="O101" s="102" t="inlineStr">
        <is>
          <t>Cristian Eduardo Ortega Ipuchima</t>
        </is>
      </c>
      <c r="P101" s="52" t="inlineStr">
        <is>
          <t>cristianortega@firemarshal.com.co</t>
        </is>
      </c>
    </row>
    <row r="102">
      <c r="B102" s="170" t="n">
        <v>91</v>
      </c>
      <c r="C102" s="199" t="inlineStr">
        <is>
          <t>COTIZACION DE LOS DISEÑOS DE PROTECCIÓN CONTRA INCENDIOS Y SEGURIDAD HUMANA PARA EL PROYECTO BELLO ANDALUCIA</t>
        </is>
      </c>
      <c r="D102" s="312" t="n"/>
      <c r="E102" s="312" t="n"/>
      <c r="F102" s="312" t="n"/>
      <c r="G102" s="312" t="n"/>
      <c r="H102" s="312" t="n"/>
      <c r="I102" s="313" t="n"/>
      <c r="J102" s="199" t="inlineStr">
        <is>
          <t>Socomes</t>
        </is>
      </c>
      <c r="K102" s="314" t="n">
        <v>15980000</v>
      </c>
      <c r="L102" s="2" t="n">
        <v>45350</v>
      </c>
      <c r="M102" s="170" t="n"/>
      <c r="N102" s="170" t="n">
        <v>3137851941</v>
      </c>
      <c r="O102" s="102" t="inlineStr">
        <is>
          <t>David Lopera medina</t>
        </is>
      </c>
      <c r="P102" s="52" t="inlineStr">
        <is>
          <t>david.lopera@socomes.com</t>
        </is>
      </c>
    </row>
    <row r="103">
      <c r="B103" s="170" t="n">
        <v>92</v>
      </c>
      <c r="C103" s="246" t="inlineStr">
        <is>
          <t>COTIZACION DE LOS DISEÑOS DE PROTECCIÓN CONTRA INCENDIOS - EXTRACTORA VERDE PLANTA AVATAR</t>
        </is>
      </c>
      <c r="D103" s="312" t="n"/>
      <c r="E103" s="312" t="n"/>
      <c r="F103" s="312" t="n"/>
      <c r="G103" s="312" t="n"/>
      <c r="H103" s="312" t="n"/>
      <c r="I103" s="313" t="n"/>
      <c r="J103" s="199" t="inlineStr">
        <is>
          <t>INGESED</t>
        </is>
      </c>
      <c r="K103" s="314">
        <f>25000000*1.3</f>
        <v/>
      </c>
      <c r="L103" s="2" t="n">
        <v>45348</v>
      </c>
      <c r="M103" s="170" t="n"/>
      <c r="N103" s="170" t="inlineStr">
        <is>
          <t>313 540 17 14</t>
        </is>
      </c>
      <c r="O103" s="102" t="inlineStr">
        <is>
          <t xml:space="preserve"> Eliana Isabel Cardona Ríos </t>
        </is>
      </c>
      <c r="P103" s="52" t="inlineStr">
        <is>
          <t>comercial@ingesed.com</t>
        </is>
      </c>
    </row>
    <row r="104">
      <c r="B104" s="170" t="n">
        <v>93</v>
      </c>
      <c r="C104" s="199" t="inlineStr">
        <is>
          <t>COTIZACION DEL DISEÑO DE EXTINCIÓN DE INCENDIOS PARA EL PROYECTO PLANTA INDUSTRIAS FAACA COLOMBIA</t>
        </is>
      </c>
      <c r="D104" s="312" t="n"/>
      <c r="E104" s="312" t="n"/>
      <c r="F104" s="312" t="n"/>
      <c r="G104" s="312" t="n"/>
      <c r="H104" s="312" t="n"/>
      <c r="I104" s="313" t="n"/>
      <c r="J104" s="199" t="inlineStr">
        <is>
          <t>SPCI</t>
        </is>
      </c>
      <c r="K104" s="314" t="n">
        <v>6960000</v>
      </c>
      <c r="L104" s="2" t="n">
        <v>45348</v>
      </c>
      <c r="M104" s="170" t="n"/>
      <c r="N104" s="170" t="n">
        <v>3104165783</v>
      </c>
      <c r="O104" s="102" t="inlineStr">
        <is>
          <t>Cristiam Gustavo Mondragon</t>
        </is>
      </c>
      <c r="P104" s="52" t="inlineStr">
        <is>
          <t>dir.tecnico@spci.com.co</t>
        </is>
      </c>
    </row>
    <row r="105" ht="15" customHeight="1">
      <c r="B105" s="170" t="n">
        <v>94</v>
      </c>
      <c r="C105" s="246" t="inlineStr">
        <is>
          <t xml:space="preserve">COTIZACION DE LOS DISEÑOS DE PROTECCIÓN CONTRA INCENDIOS Y SEGURIDAD HUMANA PARA EL PROYECTO CQ2
</t>
        </is>
      </c>
      <c r="D105" s="312" t="n"/>
      <c r="E105" s="312" t="n"/>
      <c r="F105" s="312" t="n"/>
      <c r="G105" s="312" t="n"/>
      <c r="H105" s="312" t="n"/>
      <c r="I105" s="313" t="n"/>
      <c r="J105" s="199" t="inlineStr">
        <is>
          <t>Miguel Ángel Zuluaga</t>
        </is>
      </c>
      <c r="K105" s="314" t="n">
        <v>11950000</v>
      </c>
      <c r="L105" s="2" t="n">
        <v>45348</v>
      </c>
      <c r="M105" s="170" t="n"/>
      <c r="N105" s="170" t="n">
        <v>3122492717</v>
      </c>
      <c r="O105" s="105" t="inlineStr">
        <is>
          <t>Miguel Ángel Zuluaga</t>
        </is>
      </c>
      <c r="P105" s="52" t="inlineStr">
        <is>
          <t>mzuluaga1996@gmail.com</t>
        </is>
      </c>
    </row>
    <row r="106">
      <c r="B106" s="170" t="n">
        <v>95</v>
      </c>
      <c r="C106" s="246" t="inlineStr">
        <is>
          <t>COTIZACION DE LA ACTUALIZACION DEL SISTEMA DE ROCIADORES PARA EL PROYECTO PLANTA YUMBO SKC</t>
        </is>
      </c>
      <c r="D106" s="312" t="n"/>
      <c r="E106" s="312" t="n"/>
      <c r="F106" s="312" t="n"/>
      <c r="G106" s="312" t="n"/>
      <c r="H106" s="312" t="n"/>
      <c r="I106" s="313" t="n"/>
      <c r="J106" s="199" t="inlineStr">
        <is>
          <t>SERIINCO</t>
        </is>
      </c>
      <c r="K106" s="314" t="n">
        <v>9970000</v>
      </c>
      <c r="L106" s="2" t="n">
        <v>45348</v>
      </c>
      <c r="M106" s="170" t="n"/>
      <c r="N106" s="170" t="n">
        <v>3113391008</v>
      </c>
      <c r="O106" s="102" t="inlineStr">
        <is>
          <t>Carlos Enrique Henao Londoño</t>
        </is>
      </c>
      <c r="P106" s="52" t="inlineStr">
        <is>
          <t>carlos.henao@seriinco.com</t>
        </is>
      </c>
    </row>
    <row r="107">
      <c r="B107" s="170" t="n">
        <v>96</v>
      </c>
      <c r="C107" s="246" t="inlineStr">
        <is>
          <t xml:space="preserve">COTIZACION DE LOS DISEÑOS DE PROTECCIÓN CONTRA INCENDIOS Y SEGURIDAD HUMANA PARA EL PROYECTO TOLEDANA
</t>
        </is>
      </c>
      <c r="D107" s="312" t="n"/>
      <c r="E107" s="312" t="n"/>
      <c r="F107" s="312" t="n"/>
      <c r="G107" s="312" t="n"/>
      <c r="H107" s="312" t="n"/>
      <c r="I107" s="313" t="n"/>
      <c r="J107" s="199" t="inlineStr">
        <is>
          <t>Soluciones Civiles</t>
        </is>
      </c>
      <c r="K107" s="314" t="inlineStr">
        <is>
          <t>Variable</t>
        </is>
      </c>
      <c r="L107" s="2" t="n">
        <v>45350</v>
      </c>
      <c r="M107" s="2" t="n"/>
      <c r="N107" s="170" t="inlineStr">
        <is>
          <t>301 4317086</t>
        </is>
      </c>
      <c r="O107" s="102" t="inlineStr">
        <is>
          <t>Tamara Puerta</t>
        </is>
      </c>
      <c r="P107" s="52" t="inlineStr">
        <is>
          <t>fcrtamarapuerta@gmail.com</t>
        </is>
      </c>
    </row>
    <row r="108">
      <c r="B108" s="170" t="n">
        <v>97</v>
      </c>
      <c r="C108" s="199" t="inlineStr">
        <is>
          <t>COTIZACION DEL DISEÑO DE DETECCIÓN DE INCENDIOS PARA EL PROYECTO SERVIESPRESS LA CEJA ANTIOQUIA</t>
        </is>
      </c>
      <c r="D108" s="312" t="n"/>
      <c r="E108" s="312" t="n"/>
      <c r="F108" s="312" t="n"/>
      <c r="G108" s="312" t="n"/>
      <c r="H108" s="312" t="n"/>
      <c r="I108" s="313" t="n"/>
      <c r="J108" s="199" t="inlineStr">
        <is>
          <t>SPCI</t>
        </is>
      </c>
      <c r="K108" s="314" t="n">
        <v>700000</v>
      </c>
      <c r="L108" s="2" t="n">
        <v>45351</v>
      </c>
      <c r="M108" s="170" t="n"/>
      <c r="N108" s="170" t="n">
        <v>3137546144</v>
      </c>
      <c r="O108" s="102" t="inlineStr">
        <is>
          <t>Juan Camilo Quintero Bedoya</t>
        </is>
      </c>
      <c r="P108" s="52" t="inlineStr">
        <is>
          <t>camilo.quintero@spci.com.co</t>
        </is>
      </c>
    </row>
    <row r="109">
      <c r="B109" s="170" t="n">
        <v>98</v>
      </c>
      <c r="C109" s="199" t="inlineStr">
        <is>
          <t>COTIZACION DE LOS DISEÑOS DE PROTECCIÓN CONTRA INCENDIOS PARA EL PROYECTO PLANTA MOLINOS SAN MIGUEL</t>
        </is>
      </c>
      <c r="D109" s="312" t="n"/>
      <c r="E109" s="312" t="n"/>
      <c r="F109" s="312" t="n"/>
      <c r="G109" s="312" t="n"/>
      <c r="H109" s="312" t="n"/>
      <c r="I109" s="313" t="n"/>
      <c r="J109" s="199" t="inlineStr">
        <is>
          <t>SERIINCO</t>
        </is>
      </c>
      <c r="K109" s="314" t="n">
        <v>21320000</v>
      </c>
      <c r="L109" s="2" t="n">
        <v>45350</v>
      </c>
      <c r="M109" s="170" t="n"/>
      <c r="N109" s="170" t="n">
        <v>3113391008</v>
      </c>
      <c r="O109" s="102" t="inlineStr">
        <is>
          <t>Carlos Enrique Henao Londoño</t>
        </is>
      </c>
      <c r="P109" s="52" t="inlineStr">
        <is>
          <t>carlos.henao@seriinco.com</t>
        </is>
      </c>
    </row>
    <row r="110">
      <c r="B110" s="170" t="n">
        <v>99</v>
      </c>
      <c r="C110" s="199" t="inlineStr">
        <is>
          <t>COTIZACION DE LOS DISEÑOS DE PROTECCIÓN CONTRA INCENDIOS Y SEGURIDAD HUMANA PARA EL PROYECTO TORRE DE LA ALIANZA</t>
        </is>
      </c>
      <c r="D110" s="312" t="n"/>
      <c r="E110" s="312" t="n"/>
      <c r="F110" s="312" t="n"/>
      <c r="G110" s="312" t="n"/>
      <c r="H110" s="312" t="n"/>
      <c r="I110" s="313" t="n"/>
      <c r="J110" s="199" t="inlineStr">
        <is>
          <t>SOLUCIONES INMOBILIARIAS</t>
        </is>
      </c>
      <c r="K110" s="314" t="n">
        <v>13920000</v>
      </c>
      <c r="L110" s="2" t="n">
        <v>45349</v>
      </c>
      <c r="M110" s="170" t="n"/>
      <c r="N110" s="170" t="n">
        <v>3104592285</v>
      </c>
      <c r="O110" s="102" t="inlineStr">
        <is>
          <t>Santiago Duque Salazar</t>
        </is>
      </c>
      <c r="P110" s="52" t="inlineStr">
        <is>
          <t>santiagoduque@solucionesinmobiliariassas.com</t>
        </is>
      </c>
    </row>
    <row r="111">
      <c r="B111" s="170" t="n">
        <v>100</v>
      </c>
      <c r="C111" s="199" t="inlineStr">
        <is>
          <t>COTIZACION DE LOS DISEÑOS DE PROTECCIÓN CONTRA INCENDIOS Y SEGURIDAD HUMANA PARA EL PROYECTO MALL CANTARRANA</t>
        </is>
      </c>
      <c r="D111" s="312" t="n"/>
      <c r="E111" s="312" t="n"/>
      <c r="F111" s="312" t="n"/>
      <c r="G111" s="312" t="n"/>
      <c r="H111" s="312" t="n"/>
      <c r="I111" s="313" t="n"/>
      <c r="J111" s="199" t="inlineStr">
        <is>
          <t>ACEIS</t>
        </is>
      </c>
      <c r="K111" s="314" t="n">
        <v>10650000</v>
      </c>
      <c r="L111" s="2" t="n">
        <v>45349</v>
      </c>
      <c r="M111" s="170" t="n"/>
      <c r="N111" s="170" t="n">
        <v>3243173083</v>
      </c>
      <c r="O111" s="102" t="inlineStr">
        <is>
          <t>Maria Teresa Lopez Gomez</t>
        </is>
      </c>
      <c r="P111" s="52" t="inlineStr">
        <is>
          <t>directora.activos@aceis.com.co</t>
        </is>
      </c>
    </row>
    <row r="112">
      <c r="B112" s="170" t="n">
        <v>101</v>
      </c>
      <c r="C112" s="199" t="inlineStr">
        <is>
          <t>COTIZACION DEL DISEÑO DE EXTINCIÓN DE INCENDIOS PARA EL PROYECTO BODEGA 144 LA TROJA</t>
        </is>
      </c>
      <c r="D112" s="312" t="n"/>
      <c r="E112" s="312" t="n"/>
      <c r="F112" s="312" t="n"/>
      <c r="G112" s="312" t="n"/>
      <c r="H112" s="312" t="n"/>
      <c r="I112" s="313" t="n"/>
      <c r="J112" s="199" t="n"/>
      <c r="K112" s="314" t="n"/>
      <c r="L112" s="2" t="n">
        <v>45350</v>
      </c>
      <c r="M112" s="2" t="n"/>
      <c r="N112" s="170" t="n"/>
      <c r="O112" s="102" t="inlineStr">
        <is>
          <t xml:space="preserve"> Guillermo Reyes</t>
        </is>
      </c>
      <c r="P112" s="52" t="n"/>
    </row>
    <row r="113">
      <c r="B113" s="170" t="n">
        <v>102</v>
      </c>
      <c r="C113" s="199" t="inlineStr">
        <is>
          <t>COTIZACION DE LOS DISEÑOS DE PROTECCIÓN CONTRA INCENDIOS Y SEGURIDAD HUMANA PARA EL PROYECTO UNIDAD RESIDENCIAL DON MATIAS</t>
        </is>
      </c>
      <c r="D113" s="312" t="n"/>
      <c r="E113" s="312" t="n"/>
      <c r="F113" s="312" t="n"/>
      <c r="G113" s="312" t="n"/>
      <c r="H113" s="312" t="n"/>
      <c r="I113" s="313" t="n"/>
      <c r="J113" s="199" t="inlineStr">
        <is>
          <t>JUAN CAMILO MONTOYA</t>
        </is>
      </c>
      <c r="K113" s="314" t="n">
        <v>11920000</v>
      </c>
      <c r="L113" s="2" t="n">
        <v>45350</v>
      </c>
      <c r="M113" s="170" t="n"/>
      <c r="N113" s="170" t="inlineStr">
        <is>
          <t>313 5822072</t>
        </is>
      </c>
      <c r="O113" s="102" t="inlineStr">
        <is>
          <t>Juan Camilo Montoya Jiménez</t>
        </is>
      </c>
      <c r="P113" s="52" t="inlineStr">
        <is>
          <t>juan.montoyahidro@gmail.com</t>
        </is>
      </c>
    </row>
    <row r="114">
      <c r="B114" s="170" t="n">
        <v>103</v>
      </c>
      <c r="C114" s="199" t="inlineStr">
        <is>
          <t>COTIZACION DE LOS DISEÑOS DE PROTECCIÓN CONTRA INCENDIOS Y SEGURIDAD HUMANA PARA EL PROYECTO MADEROS</t>
        </is>
      </c>
      <c r="D114" s="312" t="n"/>
      <c r="E114" s="312" t="n"/>
      <c r="F114" s="312" t="n"/>
      <c r="G114" s="312" t="n"/>
      <c r="H114" s="312" t="n"/>
      <c r="I114" s="313" t="n"/>
      <c r="J114" s="199" t="inlineStr">
        <is>
          <t>SOCLUCIONES CIVILES</t>
        </is>
      </c>
      <c r="K114" s="314" t="n">
        <v>21320000</v>
      </c>
      <c r="L114" s="2" t="n">
        <v>45351</v>
      </c>
      <c r="M114" s="170" t="n"/>
      <c r="N114" s="170" t="n"/>
      <c r="O114" s="102" t="inlineStr">
        <is>
          <t>Nicolás Álvarez Vélez</t>
        </is>
      </c>
      <c r="P114" s="52" t="inlineStr">
        <is>
          <t>nalvarez@solciviles.com</t>
        </is>
      </c>
    </row>
    <row r="115">
      <c r="B115" s="170" t="n">
        <v>104</v>
      </c>
      <c r="C115" s="199" t="inlineStr">
        <is>
          <t>COTIZACION DEL DISEÑO DE EXTINCIÓN DE INCENDIOS PARA EL PROYECTO BODEGA S 117 Y 118</t>
        </is>
      </c>
      <c r="D115" s="312" t="n"/>
      <c r="E115" s="312" t="n"/>
      <c r="F115" s="312" t="n"/>
      <c r="G115" s="312" t="n"/>
      <c r="H115" s="312" t="n"/>
      <c r="I115" s="313" t="n"/>
      <c r="J115" s="199" t="inlineStr">
        <is>
          <t>Rodrigo Flórez Guevara</t>
        </is>
      </c>
      <c r="K115" s="314" t="n">
        <v>13550000</v>
      </c>
      <c r="L115" s="2" t="n">
        <v>45351</v>
      </c>
      <c r="M115" s="170" t="n"/>
      <c r="N115" s="170" t="n">
        <v>3007867789</v>
      </c>
      <c r="O115" s="103" t="inlineStr">
        <is>
          <t>Rodrigo Flórez Guevara</t>
        </is>
      </c>
      <c r="P115" s="52" t="inlineStr">
        <is>
          <t>jesus3933@hotmail.com</t>
        </is>
      </c>
    </row>
    <row r="116">
      <c r="B116" s="170" t="n">
        <v>105</v>
      </c>
      <c r="C116" s="246" t="inlineStr">
        <is>
          <t>COTIZACION DE LA ACTUALIZACION DEL SISTEMA DE ROCIADORES PARA EL PROYECTO PLANTA YUMBO SKC</t>
        </is>
      </c>
      <c r="D116" s="312" t="n"/>
      <c r="E116" s="312" t="n"/>
      <c r="F116" s="312" t="n"/>
      <c r="G116" s="312" t="n"/>
      <c r="H116" s="312" t="n"/>
      <c r="I116" s="313" t="n"/>
      <c r="J116" s="199" t="inlineStr">
        <is>
          <t>JM Ingenieria</t>
        </is>
      </c>
      <c r="K116" s="314" t="n">
        <v>9970000</v>
      </c>
      <c r="L116" s="2" t="n">
        <v>45348</v>
      </c>
      <c r="M116" s="170" t="n"/>
      <c r="N116" s="170" t="n"/>
      <c r="O116" s="102" t="inlineStr">
        <is>
          <t>Joam Moreno</t>
        </is>
      </c>
      <c r="P116" s="52" t="inlineStr">
        <is>
          <t xml:space="preserve"> gerencia@jmingenieriatotal.com.co</t>
        </is>
      </c>
    </row>
    <row r="117" ht="15" customHeight="1">
      <c r="B117" s="170" t="n">
        <v>106</v>
      </c>
      <c r="C117" s="233" t="inlineStr">
        <is>
          <t>COTIZACION LISTADO DE MATERIALES - CAMINO DEL VIENTO</t>
        </is>
      </c>
      <c r="D117" s="312" t="n"/>
      <c r="E117" s="312" t="n"/>
      <c r="F117" s="312" t="n"/>
      <c r="G117" s="312" t="n"/>
      <c r="H117" s="312" t="n"/>
      <c r="I117" s="313" t="n"/>
      <c r="J117" s="199" t="inlineStr">
        <is>
          <t>Bienes y Bienes</t>
        </is>
      </c>
      <c r="K117" s="314" t="n">
        <v>1250000</v>
      </c>
      <c r="L117" s="2" t="n">
        <v>45352</v>
      </c>
      <c r="M117" s="170" t="n"/>
      <c r="N117" s="170" t="inlineStr">
        <is>
          <t>(604) 311 - 8500</t>
        </is>
      </c>
      <c r="O117" s="103" t="inlineStr">
        <is>
          <t>Johanna Rojas Vera</t>
        </is>
      </c>
      <c r="P117" s="52" t="inlineStr">
        <is>
          <t>johana.rojas@bienesybienes.com.co</t>
        </is>
      </c>
    </row>
    <row r="118">
      <c r="B118" s="170" t="n">
        <v>107</v>
      </c>
      <c r="C118" s="199" t="inlineStr">
        <is>
          <t>COTIZACION DEL DISEÑO DE DETECCIÓN DE INCENDIOS - SEDE ADMINISTRATIVA COLEGIO ALEMAN</t>
        </is>
      </c>
      <c r="D118" s="312" t="n"/>
      <c r="E118" s="312" t="n"/>
      <c r="F118" s="312" t="n"/>
      <c r="G118" s="312" t="n"/>
      <c r="H118" s="312" t="n"/>
      <c r="I118" s="313" t="n"/>
      <c r="J118" s="199" t="inlineStr">
        <is>
          <t>COINSI</t>
        </is>
      </c>
      <c r="K118" s="314" t="n">
        <v>2950000</v>
      </c>
      <c r="L118" s="2" t="n">
        <v>45352</v>
      </c>
      <c r="M118" s="170" t="n"/>
      <c r="N118" s="170" t="n">
        <v>3117208541</v>
      </c>
      <c r="O118" s="102" t="inlineStr">
        <is>
          <t>Sergio Rodriguez</t>
        </is>
      </c>
      <c r="P118" s="52" t="inlineStr">
        <is>
          <t>diseno4@gyd.com.co</t>
        </is>
      </c>
    </row>
    <row r="119">
      <c r="B119" s="170" t="n">
        <v>108</v>
      </c>
      <c r="C119" s="199" t="inlineStr">
        <is>
          <t>COTIZACIÓN DEL LEVANTAMIENTO, CÁLCULOS Y DISEÑOS PARA LA SELECCIÓN DE UN SISTEMA DE BOMBEO DE EXTINCIÓN DE INCNEIDOS PARA SAN PEDRO PLAZA</t>
        </is>
      </c>
      <c r="D119" s="312" t="n"/>
      <c r="E119" s="312" t="n"/>
      <c r="F119" s="312" t="n"/>
      <c r="G119" s="312" t="n"/>
      <c r="H119" s="312" t="n"/>
      <c r="I119" s="313" t="n"/>
      <c r="J119" s="199" t="inlineStr">
        <is>
          <t>SPCI</t>
        </is>
      </c>
      <c r="K119" s="314" t="n">
        <v>25000000</v>
      </c>
      <c r="L119" s="2" t="n">
        <v>45355</v>
      </c>
      <c r="M119" s="170" t="n"/>
      <c r="N119" s="170" t="inlineStr">
        <is>
          <t xml:space="preserve"> 310 468 0508</t>
        </is>
      </c>
      <c r="O119" s="102" t="inlineStr">
        <is>
          <t>Juan Pablo Grajales Gómez</t>
        </is>
      </c>
      <c r="P119" s="52" t="inlineStr">
        <is>
          <t>juan.grajales@spci.com.co</t>
        </is>
      </c>
    </row>
    <row r="120" ht="15" customHeight="1">
      <c r="B120" s="170" t="n">
        <v>109</v>
      </c>
      <c r="C120" s="199" t="inlineStr">
        <is>
          <t>COTIZACION DEL ANÁLISIS DE SEGURIDAD HUMANA PARA EL PROYECTO BELLY CARGO</t>
        </is>
      </c>
      <c r="D120" s="312" t="n"/>
      <c r="E120" s="312" t="n"/>
      <c r="F120" s="312" t="n"/>
      <c r="G120" s="312" t="n"/>
      <c r="H120" s="312" t="n"/>
      <c r="I120" s="313" t="n"/>
      <c r="J120" s="199" t="inlineStr">
        <is>
          <t>CONCONCRETO</t>
        </is>
      </c>
      <c r="K120" s="314" t="n">
        <v>6270000</v>
      </c>
      <c r="L120" s="2" t="n">
        <v>45355</v>
      </c>
      <c r="M120" s="170" t="n"/>
      <c r="N120" s="170" t="inlineStr">
        <is>
          <t>300 3675022</t>
        </is>
      </c>
      <c r="O120" s="102" t="inlineStr">
        <is>
          <t xml:space="preserve"> Andres Restrepo Escobar</t>
        </is>
      </c>
      <c r="P120" s="52" t="inlineStr">
        <is>
          <t xml:space="preserve"> arestrepoe@conconcreto.com</t>
        </is>
      </c>
    </row>
    <row r="121" ht="15" customHeight="1">
      <c r="B121" s="170" t="n">
        <v>110</v>
      </c>
      <c r="C121" s="199" t="inlineStr">
        <is>
          <t>COTIZACION DEL DISEÑO DE EXTINCIÓN DE INCENDIOS PARA EL PROYECTO BODEGA DE AÑEJAMIENTO</t>
        </is>
      </c>
      <c r="D121" s="312" t="n"/>
      <c r="E121" s="312" t="n"/>
      <c r="F121" s="312" t="n"/>
      <c r="G121" s="312" t="n"/>
      <c r="H121" s="312" t="n"/>
      <c r="I121" s="313" t="n"/>
      <c r="J121" s="199" t="inlineStr">
        <is>
          <t>SPCI</t>
        </is>
      </c>
      <c r="K121" s="314" t="n">
        <v>18950000</v>
      </c>
      <c r="L121" s="2" t="n">
        <v>45355</v>
      </c>
      <c r="M121" s="170" t="n"/>
      <c r="N121" s="170" t="n">
        <v>3104680508</v>
      </c>
      <c r="O121" s="102" t="inlineStr">
        <is>
          <t xml:space="preserve"> Juan Pablo Grajales Gomez </t>
        </is>
      </c>
      <c r="P121" s="52" t="inlineStr">
        <is>
          <t>juan.grajales@spci.com.co</t>
        </is>
      </c>
    </row>
    <row r="122">
      <c r="B122" s="49" t="n">
        <v>111</v>
      </c>
      <c r="C122" s="254" t="inlineStr">
        <is>
          <t>COTIZACION DEL ANÁLISIS DE SEGURIDAD HUMANA PARA EL PROYECTO CARGO</t>
        </is>
      </c>
      <c r="D122" s="312" t="n"/>
      <c r="E122" s="312" t="n"/>
      <c r="F122" s="312" t="n"/>
      <c r="G122" s="312" t="n"/>
      <c r="H122" s="312" t="n"/>
      <c r="I122" s="313" t="n"/>
      <c r="J122" s="254" t="inlineStr">
        <is>
          <t>CONCONCRETO</t>
        </is>
      </c>
      <c r="K122" s="330" t="inlineStr">
        <is>
          <t>ESTA NO VA</t>
        </is>
      </c>
      <c r="L122" s="100" t="n">
        <v>45355</v>
      </c>
      <c r="M122" s="49" t="n"/>
      <c r="N122" s="49" t="inlineStr">
        <is>
          <t>300 3675022</t>
        </is>
      </c>
      <c r="O122" s="106" t="inlineStr">
        <is>
          <t xml:space="preserve"> Andres Restrepo Escobar</t>
        </is>
      </c>
      <c r="P122" s="101" t="inlineStr">
        <is>
          <t xml:space="preserve"> arestrepoe@conconcreto.com</t>
        </is>
      </c>
    </row>
    <row r="123">
      <c r="B123" s="170" t="n">
        <v>112</v>
      </c>
      <c r="C123" s="199" t="inlineStr">
        <is>
          <t>COTIZACION DEL ANÁLISIS DE SEGURIDAD HUMANA PARA EL PROYECTO CITAG</t>
        </is>
      </c>
      <c r="D123" s="312" t="n"/>
      <c r="E123" s="312" t="n"/>
      <c r="F123" s="312" t="n"/>
      <c r="G123" s="312" t="n"/>
      <c r="H123" s="312" t="n"/>
      <c r="I123" s="313" t="n"/>
      <c r="J123" s="199" t="inlineStr">
        <is>
          <t>CONCONCRETO</t>
        </is>
      </c>
      <c r="K123" s="314" t="n">
        <v>3950000</v>
      </c>
      <c r="L123" s="2" t="n">
        <v>45355</v>
      </c>
      <c r="M123" s="170" t="n"/>
      <c r="N123" s="170" t="inlineStr">
        <is>
          <t>300 3675022</t>
        </is>
      </c>
      <c r="O123" s="102" t="inlineStr">
        <is>
          <t xml:space="preserve"> Andres Restrepo Escobar</t>
        </is>
      </c>
      <c r="P123" s="52" t="inlineStr">
        <is>
          <t xml:space="preserve"> arestrepoe@conconcreto.com</t>
        </is>
      </c>
    </row>
    <row r="124">
      <c r="B124" s="170" t="n">
        <v>113</v>
      </c>
      <c r="C124" s="199" t="inlineStr">
        <is>
          <t>COTIZACION DE LOS DISEÑOS DE PROTECCIÓN CONTRA INCENDIOS Y SEGURIDAD HUMANA PARA EL PROYECTO CITY M</t>
        </is>
      </c>
      <c r="D124" s="312" t="n"/>
      <c r="E124" s="312" t="n"/>
      <c r="F124" s="312" t="n"/>
      <c r="G124" s="312" t="n"/>
      <c r="H124" s="312" t="n"/>
      <c r="I124" s="313" t="n"/>
      <c r="J124" s="199" t="inlineStr">
        <is>
          <t>GO INGENIERIA</t>
        </is>
      </c>
      <c r="K124" s="314" t="n">
        <v>19940000</v>
      </c>
      <c r="L124" s="2" t="n">
        <v>45355</v>
      </c>
      <c r="M124" s="170" t="n"/>
      <c r="N124" s="170" t="inlineStr">
        <is>
          <t>310 5104288</t>
        </is>
      </c>
      <c r="O124" s="102" t="inlineStr">
        <is>
          <t>Christian Gañan Ibarra</t>
        </is>
      </c>
      <c r="P124" s="52" t="inlineStr">
        <is>
          <t>goingenieriaysoluciones@gmail.com</t>
        </is>
      </c>
    </row>
    <row r="125">
      <c r="B125" s="170" t="n">
        <v>114</v>
      </c>
      <c r="C125" s="199" t="inlineStr">
        <is>
          <t>COTIZACION DE LOS DISEÑOS DE PROTECCIÓN CONTRA INCENDIOS Y SEGURIDAD HUMANA PARA EL PROYECTO PLANTA DE MADERA</t>
        </is>
      </c>
      <c r="D125" s="312" t="n"/>
      <c r="E125" s="312" t="n"/>
      <c r="F125" s="312" t="n"/>
      <c r="G125" s="312" t="n"/>
      <c r="H125" s="312" t="n"/>
      <c r="I125" s="313" t="n"/>
      <c r="J125" s="199" t="inlineStr">
        <is>
          <t>PROJECT&amp; SOLUTIONS</t>
        </is>
      </c>
      <c r="K125" s="314" t="n">
        <v>16930000</v>
      </c>
      <c r="L125" s="2" t="n">
        <v>45357</v>
      </c>
      <c r="M125" s="170" t="n"/>
      <c r="N125" s="170" t="inlineStr">
        <is>
          <t>311 3079477</t>
        </is>
      </c>
      <c r="O125" s="102" t="inlineStr">
        <is>
          <t>Sebastian Lopez Duque</t>
        </is>
      </c>
      <c r="P125" s="52" t="inlineStr">
        <is>
          <t>gerencia@projectsolutions.com.co</t>
        </is>
      </c>
    </row>
    <row r="126" ht="15" customHeight="1">
      <c r="B126" s="170" t="n">
        <v>115</v>
      </c>
      <c r="C126" s="199" t="inlineStr">
        <is>
          <t>COTIZACION DE LOS DISEÑOS DE PROTECCIÓN CONTRA INCENDIOS Y SEGURIDAD HUMANA PARA EL PROYECTO EDIFICIO MULTIFAMILIAR</t>
        </is>
      </c>
      <c r="D126" s="312" t="n"/>
      <c r="E126" s="312" t="n"/>
      <c r="F126" s="312" t="n"/>
      <c r="G126" s="312" t="n"/>
      <c r="H126" s="312" t="n"/>
      <c r="I126" s="313" t="n"/>
      <c r="J126" s="199" t="inlineStr">
        <is>
          <t>GO INGENIERIA</t>
        </is>
      </c>
      <c r="K126" s="314" t="n">
        <v>11920000</v>
      </c>
      <c r="L126" s="2" t="n">
        <v>45355</v>
      </c>
      <c r="M126" s="170" t="n"/>
      <c r="N126" s="170" t="inlineStr">
        <is>
          <t>310 5104288</t>
        </is>
      </c>
      <c r="O126" s="102" t="inlineStr">
        <is>
          <t>Christian Gañan Ibarra</t>
        </is>
      </c>
      <c r="P126" s="52" t="inlineStr">
        <is>
          <t>goingenieriaysoluciones@gmail.com</t>
        </is>
      </c>
    </row>
    <row r="127">
      <c r="B127" s="170" t="n">
        <v>116</v>
      </c>
      <c r="C127" s="199" t="inlineStr">
        <is>
          <t>COTIZACION DEL DISEÑO DE EXTINCIÓN DE INCENDIOS PARA EL PROYECTO SMART IBAGUÉ</t>
        </is>
      </c>
      <c r="D127" s="312" t="n"/>
      <c r="E127" s="312" t="n"/>
      <c r="F127" s="312" t="n"/>
      <c r="G127" s="312" t="n"/>
      <c r="H127" s="312" t="n"/>
      <c r="I127" s="313" t="n"/>
      <c r="J127" s="199" t="inlineStr">
        <is>
          <t>PICSO</t>
        </is>
      </c>
      <c r="K127" s="314" t="n">
        <v>3000000</v>
      </c>
      <c r="L127" s="2" t="n">
        <v>45356</v>
      </c>
      <c r="M127" s="2" t="n"/>
      <c r="N127" s="170" t="inlineStr">
        <is>
          <t>301 7340763</t>
        </is>
      </c>
      <c r="O127" s="102" t="inlineStr">
        <is>
          <t>Ernesto Castrillón</t>
        </is>
      </c>
      <c r="P127" s="52" t="n"/>
    </row>
    <row r="128">
      <c r="B128" s="170" t="n">
        <v>117</v>
      </c>
      <c r="C128" s="199" t="inlineStr">
        <is>
          <t>COTIZACION DE LOS DISEÑOS DE PROTECCIÓN CONTRA INCENDIOS PARA EL PROYECTO HUACAL PARQUE LOGISTICO E INDUSTRIAL</t>
        </is>
      </c>
      <c r="D128" s="312" t="n"/>
      <c r="E128" s="312" t="n"/>
      <c r="F128" s="312" t="n"/>
      <c r="G128" s="312" t="n"/>
      <c r="H128" s="312" t="n"/>
      <c r="I128" s="313" t="n"/>
      <c r="J128" s="199" t="inlineStr">
        <is>
          <t>JOMARK</t>
        </is>
      </c>
      <c r="K128" s="314" t="n">
        <v>13790000</v>
      </c>
      <c r="L128" s="2" t="n">
        <v>45359</v>
      </c>
      <c r="M128" s="2" t="n"/>
      <c r="N128" s="170" t="n">
        <v>3194913179</v>
      </c>
      <c r="O128" s="103" t="inlineStr">
        <is>
          <t>Carlos Almanya Patiño</t>
        </is>
      </c>
      <c r="P128" s="52" t="inlineStr">
        <is>
          <t>calmanya@jomarkseguridad.com</t>
        </is>
      </c>
    </row>
    <row r="129">
      <c r="B129" s="170" t="n">
        <v>118</v>
      </c>
      <c r="C129" s="199" t="inlineStr">
        <is>
          <t>COTIZACION DEL ANÁLISIS DE SEGURIDAD HUMANA PARA EL PROYECTO EDIFICIO DE LA POLICIA</t>
        </is>
      </c>
      <c r="D129" s="312" t="n"/>
      <c r="E129" s="312" t="n"/>
      <c r="F129" s="312" t="n"/>
      <c r="G129" s="312" t="n"/>
      <c r="H129" s="312" t="n"/>
      <c r="I129" s="313" t="n"/>
      <c r="J129" s="199" t="inlineStr">
        <is>
          <t>CONCONCRETO</t>
        </is>
      </c>
      <c r="K129" s="314" t="n">
        <v>4260000</v>
      </c>
      <c r="L129" s="2" t="n">
        <v>45357</v>
      </c>
      <c r="M129" s="170" t="n"/>
      <c r="N129" s="170" t="inlineStr">
        <is>
          <t>300 3675022</t>
        </is>
      </c>
      <c r="O129" s="102" t="inlineStr">
        <is>
          <t xml:space="preserve"> Andres Restrepo Escobar</t>
        </is>
      </c>
      <c r="P129" s="52" t="inlineStr">
        <is>
          <t xml:space="preserve"> arestrepoe@conconcreto.com</t>
        </is>
      </c>
    </row>
    <row r="130" ht="15" customHeight="1">
      <c r="B130" s="170" t="n">
        <v>119</v>
      </c>
      <c r="C130" s="199" t="inlineStr">
        <is>
          <t>COTIZACION DE LOS DISEÑOS DE PROTECCIÓN CONTRA INCENDIOS Y SEGURIDAD HUMANA PARA EL PROYECTO CENTRO CULTURAL DE GUARNE</t>
        </is>
      </c>
      <c r="D130" s="312" t="n"/>
      <c r="E130" s="312" t="n"/>
      <c r="F130" s="312" t="n"/>
      <c r="G130" s="312" t="n"/>
      <c r="H130" s="312" t="n"/>
      <c r="I130" s="313" t="n"/>
      <c r="J130" s="199" t="inlineStr">
        <is>
          <t>GO INGENIERIA</t>
        </is>
      </c>
      <c r="K130" s="314" t="n">
        <v>12670000</v>
      </c>
      <c r="L130" s="2" t="n">
        <v>45357</v>
      </c>
      <c r="M130" s="170" t="n"/>
      <c r="N130" s="170" t="inlineStr">
        <is>
          <t xml:space="preserve"> 320 6330465</t>
        </is>
      </c>
      <c r="O130" s="103" t="inlineStr">
        <is>
          <t>Sebastián Ospina</t>
        </is>
      </c>
      <c r="P130" s="52" t="inlineStr">
        <is>
          <t>goingenieriaysoluciones@gmail.com</t>
        </is>
      </c>
    </row>
    <row r="131">
      <c r="B131" s="170" t="n">
        <v>120</v>
      </c>
      <c r="C131" s="246" t="inlineStr">
        <is>
          <t xml:space="preserve">COTIZACION DE LOS DISEÑOS DE PROTECCIÓN CONTRA INCENDIOS PARA EL PROYECTO SENDEROS DE CIMARRONAS ETAPA 3B
</t>
        </is>
      </c>
      <c r="D131" s="312" t="n"/>
      <c r="E131" s="312" t="n"/>
      <c r="F131" s="312" t="n"/>
      <c r="G131" s="312" t="n"/>
      <c r="H131" s="312" t="n"/>
      <c r="I131" s="313" t="n"/>
      <c r="J131" s="199" t="inlineStr">
        <is>
          <t>Detectar Systems</t>
        </is>
      </c>
      <c r="K131" s="317" t="n">
        <v>8850000</v>
      </c>
      <c r="L131" s="2" t="n">
        <v>45357</v>
      </c>
      <c r="M131" s="170" t="n"/>
      <c r="N131" s="170" t="inlineStr">
        <is>
          <t>301 5421412</t>
        </is>
      </c>
      <c r="O131" s="102" t="inlineStr">
        <is>
          <t>Juan Santiago Londoño Quiceno</t>
        </is>
      </c>
      <c r="P131" s="52" t="inlineStr">
        <is>
          <t>detectarsystems@gmail.com</t>
        </is>
      </c>
    </row>
    <row r="132">
      <c r="B132" s="170" t="n">
        <v>121</v>
      </c>
      <c r="C132" s="199" t="inlineStr">
        <is>
          <t>COTIZACION DE LOS DISEÑOS DE PROTECCIÓN CONTRA INCENDIOS Y SEGURIDAD HUMANA PARA EL PROYECTO ESCUELA Y CLINICA VETERINARIA</t>
        </is>
      </c>
      <c r="D132" s="312" t="n"/>
      <c r="E132" s="312" t="n"/>
      <c r="F132" s="312" t="n"/>
      <c r="G132" s="312" t="n"/>
      <c r="H132" s="312" t="n"/>
      <c r="I132" s="313" t="n"/>
      <c r="J132" s="199" t="inlineStr">
        <is>
          <t>GERENCIA INTEGRAL</t>
        </is>
      </c>
      <c r="K132" s="314" t="n">
        <v>14950000</v>
      </c>
      <c r="L132" s="2" t="n">
        <v>44638</v>
      </c>
      <c r="M132" s="2" t="n"/>
      <c r="N132" s="170" t="n">
        <v>3122967935</v>
      </c>
      <c r="O132" s="102" t="inlineStr">
        <is>
          <t>María Teresa López</t>
        </is>
      </c>
      <c r="P132" s="52" t="inlineStr">
        <is>
          <t>mlopez@hdgerenciaintegral.com</t>
        </is>
      </c>
    </row>
    <row r="133" ht="15" customHeight="1">
      <c r="B133" s="170" t="n">
        <v>122</v>
      </c>
      <c r="C133" s="199" t="inlineStr">
        <is>
          <t>COTIZACION DE LOS DISEÑOS DE PROTECCIÓN CONTRA INCENDIOS Y SEGURIDAD HUMANA PARA EL PROYECTO SUPERMERCADO LA VAQUITA BELLO</t>
        </is>
      </c>
      <c r="D133" s="312" t="n"/>
      <c r="E133" s="312" t="n"/>
      <c r="F133" s="312" t="n"/>
      <c r="G133" s="312" t="n"/>
      <c r="H133" s="312" t="n"/>
      <c r="I133" s="313" t="n"/>
      <c r="J133" s="199" t="inlineStr">
        <is>
          <t>supermercados La Vaquita</t>
        </is>
      </c>
      <c r="K133" s="314" t="n">
        <v>19310000</v>
      </c>
      <c r="L133" s="2" t="n">
        <v>45357</v>
      </c>
      <c r="M133" s="2" t="n"/>
      <c r="N133" s="170" t="inlineStr">
        <is>
          <t>315 3834119</t>
        </is>
      </c>
      <c r="O133" s="102" t="inlineStr">
        <is>
          <t>Héctor Arcila</t>
        </is>
      </c>
      <c r="P133" s="52" t="n"/>
    </row>
    <row r="134">
      <c r="B134" s="170" t="n">
        <v>123</v>
      </c>
      <c r="C134" s="199" t="inlineStr">
        <is>
          <t>COTIZACION DE LOS DISEÑOS DE PROTECCIÓN CONTRA INCENDIOS Y SEGURIDAD HUMANA PARA EL PROYECTO HOTEL BONSAI URBAN 826</t>
        </is>
      </c>
      <c r="D134" s="312" t="n"/>
      <c r="E134" s="312" t="n"/>
      <c r="F134" s="312" t="n"/>
      <c r="G134" s="312" t="n"/>
      <c r="H134" s="312" t="n"/>
      <c r="I134" s="313" t="n"/>
      <c r="J134" s="199" t="inlineStr">
        <is>
          <t>MENSULA</t>
        </is>
      </c>
      <c r="K134" s="314" t="n">
        <v>11950000</v>
      </c>
      <c r="L134" s="2" t="n">
        <v>45358</v>
      </c>
      <c r="M134" s="170" t="n"/>
      <c r="N134" s="170" t="inlineStr">
        <is>
          <t xml:space="preserve">300 864 37 10 </t>
        </is>
      </c>
      <c r="O134" s="102" t="inlineStr">
        <is>
          <t>Cristina Palacio Pérez</t>
        </is>
      </c>
      <c r="P134" s="52" t="inlineStr">
        <is>
          <t>cristinapalacio@mensulaingenieros.com</t>
        </is>
      </c>
    </row>
    <row r="135">
      <c r="B135" s="170" t="n">
        <v>124</v>
      </c>
      <c r="C135" s="246" t="inlineStr">
        <is>
          <t>COTIZACIÓN CONSULTORÍA HORA INGENIERÍA PROTECCIÓN CONTRA INCENDIOS</t>
        </is>
      </c>
      <c r="D135" s="312" t="n"/>
      <c r="E135" s="312" t="n"/>
      <c r="F135" s="312" t="n"/>
      <c r="G135" s="312" t="n"/>
      <c r="H135" s="312" t="n"/>
      <c r="I135" s="313" t="n"/>
      <c r="J135" s="199" t="inlineStr">
        <is>
          <t>Seriinco</t>
        </is>
      </c>
      <c r="K135" s="314" t="n">
        <v>200000</v>
      </c>
      <c r="L135" s="2" t="n">
        <v>45330</v>
      </c>
      <c r="M135" s="170" t="n"/>
      <c r="N135" s="170" t="n">
        <v>3113391008</v>
      </c>
      <c r="O135" s="103" t="inlineStr">
        <is>
          <t>Carlos Henao</t>
        </is>
      </c>
      <c r="P135" s="52" t="inlineStr">
        <is>
          <t>carlos.henao@seriinco.com</t>
        </is>
      </c>
    </row>
    <row r="136">
      <c r="B136" s="170" t="n">
        <v>125</v>
      </c>
      <c r="C136" s="247" t="inlineStr">
        <is>
          <t>COTIZACION DE LOS DISEÑOS DE SEGURIDAD HUMANA Y PROTECCIÓN CONTRA INCENDIOS - THE CORNER</t>
        </is>
      </c>
      <c r="D136" s="312" t="n"/>
      <c r="E136" s="312" t="n"/>
      <c r="F136" s="312" t="n"/>
      <c r="G136" s="312" t="n"/>
      <c r="H136" s="312" t="n"/>
      <c r="I136" s="313" t="n"/>
      <c r="J136" s="199" t="inlineStr">
        <is>
          <t>MENSULA</t>
        </is>
      </c>
      <c r="K136" s="314" t="n">
        <v>16950000</v>
      </c>
      <c r="L136" s="2" t="n">
        <v>45360</v>
      </c>
      <c r="M136" s="170" t="n"/>
      <c r="N136" s="170" t="inlineStr">
        <is>
          <t>300 864 37 10</t>
        </is>
      </c>
      <c r="O136" s="103" t="inlineStr">
        <is>
          <t>Cristina Palacio Pérez</t>
        </is>
      </c>
      <c r="P136" s="52" t="inlineStr">
        <is>
          <t>cristinapalacio@mensulaingenieros.com</t>
        </is>
      </c>
    </row>
    <row r="137" ht="14.4" customHeight="1">
      <c r="B137" s="170" t="n">
        <v>126</v>
      </c>
      <c r="C137" s="247" t="inlineStr">
        <is>
          <t xml:space="preserve">
COTIZACION DE LOS DISEÑOS DE PROTECCIÓN CONTRA INCENDIOS Y SEGURIDAD HUMANA PARA EL PROYECTO LEONARDO DAVINCI</t>
        </is>
      </c>
      <c r="D137" s="312" t="n"/>
      <c r="E137" s="312" t="n"/>
      <c r="F137" s="312" t="n"/>
      <c r="G137" s="312" t="n"/>
      <c r="H137" s="312" t="n"/>
      <c r="I137" s="313" t="n"/>
      <c r="J137" s="199" t="inlineStr">
        <is>
          <t>Pablo Guarin</t>
        </is>
      </c>
      <c r="K137" s="314" t="n">
        <v>7530000</v>
      </c>
      <c r="L137" s="2" t="n">
        <v>45362</v>
      </c>
      <c r="M137" s="2" t="n"/>
      <c r="N137" s="170" t="inlineStr">
        <is>
          <t>313 6590363</t>
        </is>
      </c>
      <c r="O137" s="103" t="inlineStr">
        <is>
          <t>Pablo Guarin</t>
        </is>
      </c>
      <c r="P137" s="52" t="n"/>
    </row>
    <row r="138">
      <c r="B138" s="170" t="n">
        <v>127</v>
      </c>
      <c r="C138" s="246" t="inlineStr">
        <is>
          <t xml:space="preserve">COTIZACION DEL DISEÑO DE DETECCIÓN DE INCENDIOS PARA EL PROYECTO PLANTA OPERAR- LA RECETTA CALI
</t>
        </is>
      </c>
      <c r="D138" s="312" t="n"/>
      <c r="E138" s="312" t="n"/>
      <c r="F138" s="312" t="n"/>
      <c r="G138" s="312" t="n"/>
      <c r="H138" s="312" t="n"/>
      <c r="I138" s="313" t="n"/>
      <c r="J138" s="199" t="inlineStr">
        <is>
          <t>SPCI</t>
        </is>
      </c>
      <c r="K138" s="314" t="n">
        <v>12540000</v>
      </c>
      <c r="L138" s="2" t="n">
        <v>45362</v>
      </c>
      <c r="M138" s="170" t="n"/>
      <c r="N138" s="170" t="n">
        <v>3104165783</v>
      </c>
      <c r="O138" s="102" t="inlineStr">
        <is>
          <t>Cristiam Gustavo Mondragon</t>
        </is>
      </c>
      <c r="P138" s="52" t="inlineStr">
        <is>
          <t>dir.tecnico@spci.com.co</t>
        </is>
      </c>
    </row>
    <row r="139">
      <c r="B139" s="170" t="n">
        <v>128</v>
      </c>
      <c r="C139" s="246" t="inlineStr">
        <is>
          <t>COTIZACION DEL DISEÑO DE EXTINCIÓN DE INCENDIOS PARA EL PROYECTO GIMNASIOS DE 1200 M2</t>
        </is>
      </c>
      <c r="D139" s="312" t="n"/>
      <c r="E139" s="312" t="n"/>
      <c r="F139" s="312" t="n"/>
      <c r="G139" s="312" t="n"/>
      <c r="H139" s="312" t="n"/>
      <c r="I139" s="313" t="n"/>
      <c r="J139" s="199" t="inlineStr">
        <is>
          <t>Hidraulica y montajes</t>
        </is>
      </c>
      <c r="K139" s="314" t="n">
        <v>3800000</v>
      </c>
      <c r="L139" s="2" t="n">
        <v>45362</v>
      </c>
      <c r="M139" s="170" t="n"/>
      <c r="N139" s="170" t="inlineStr">
        <is>
          <t>301 4487912</t>
        </is>
      </c>
      <c r="O139" s="102" t="inlineStr">
        <is>
          <t>Evelin Rojas</t>
        </is>
      </c>
      <c r="P139" s="52" t="inlineStr">
        <is>
          <t>hidraulicaymontajes@gmail.com</t>
        </is>
      </c>
    </row>
    <row r="140">
      <c r="B140" s="170" t="n">
        <v>129</v>
      </c>
      <c r="C140" s="246" t="inlineStr">
        <is>
          <t xml:space="preserve">COTIZACION DEL ANÁLISIS DE SEGURIDAD HUMANA PARA EL PROYECTO BODEGA HA BICICLETAS
</t>
        </is>
      </c>
      <c r="D140" s="312" t="n"/>
      <c r="E140" s="312" t="n"/>
      <c r="F140" s="312" t="n"/>
      <c r="G140" s="312" t="n"/>
      <c r="H140" s="312" t="n"/>
      <c r="I140" s="313" t="n"/>
      <c r="J140" s="199" t="inlineStr">
        <is>
          <t>CONCONCRETO</t>
        </is>
      </c>
      <c r="K140" s="314" t="n">
        <v>1500000</v>
      </c>
      <c r="L140" s="2" t="n">
        <v>45362</v>
      </c>
      <c r="M140" s="2" t="n"/>
      <c r="N140" s="170" t="n">
        <v>3003404902</v>
      </c>
      <c r="O140" s="102" t="inlineStr">
        <is>
          <t>Pilar Arango Restrepo</t>
        </is>
      </c>
      <c r="P140" s="52" t="inlineStr">
        <is>
          <t xml:space="preserve">parangor@conconcreto.com </t>
        </is>
      </c>
    </row>
    <row r="141">
      <c r="B141" s="170" t="n">
        <v>130</v>
      </c>
      <c r="C141" s="246" t="inlineStr">
        <is>
          <t>COTIZACION DE LOS DISEÑOS DE PROTECCIÓN CONTRA INCENDIOS Y SEGURIDAD HUMANA PARA EL PROYECTO MALL COMERCIAL NATAL</t>
        </is>
      </c>
      <c r="D141" s="312" t="n"/>
      <c r="E141" s="312" t="n"/>
      <c r="F141" s="312" t="n"/>
      <c r="G141" s="312" t="n"/>
      <c r="H141" s="312" t="n"/>
      <c r="I141" s="313" t="n"/>
      <c r="J141" s="199" t="inlineStr">
        <is>
          <t>RRP</t>
        </is>
      </c>
      <c r="K141" s="314" t="n">
        <v>10670000</v>
      </c>
      <c r="L141" s="2" t="n">
        <v>45362</v>
      </c>
      <c r="M141" s="2" t="n"/>
      <c r="N141" s="170" t="n"/>
      <c r="O141" s="102" t="inlineStr">
        <is>
          <t>Daniel Andrés Restrepo Ríos</t>
        </is>
      </c>
      <c r="P141" s="52" t="inlineStr">
        <is>
          <t>danielrestrepo0804@gmail.com</t>
        </is>
      </c>
    </row>
    <row r="142">
      <c r="B142" s="170" t="n">
        <v>131</v>
      </c>
      <c r="C142" s="199" t="inlineStr">
        <is>
          <t>COTIZACION DEL DISEÑO DE DETECCIÓN DE INCENDIOS PARA EL PROYECTO TERMILENIO TEXTILES</t>
        </is>
      </c>
      <c r="D142" s="312" t="n"/>
      <c r="E142" s="312" t="n"/>
      <c r="F142" s="312" t="n"/>
      <c r="G142" s="312" t="n"/>
      <c r="H142" s="312" t="n"/>
      <c r="I142" s="313" t="n"/>
      <c r="J142" s="199" t="inlineStr">
        <is>
          <t>SPCI</t>
        </is>
      </c>
      <c r="K142" s="314" t="n">
        <v>6900000</v>
      </c>
      <c r="L142" s="2" t="n">
        <v>45369</v>
      </c>
      <c r="M142" s="2" t="n"/>
      <c r="N142" s="170" t="n">
        <v>3104165783</v>
      </c>
      <c r="O142" s="102" t="inlineStr">
        <is>
          <t>Cristiam Gustavo Mondragon</t>
        </is>
      </c>
      <c r="P142" s="52" t="inlineStr">
        <is>
          <t>dir.tecnico@spci.com.co</t>
        </is>
      </c>
    </row>
    <row r="143">
      <c r="B143" s="170" t="n">
        <v>132</v>
      </c>
      <c r="C143" s="233" t="inlineStr">
        <is>
          <t>DISEÑOS COMPLEMENTO RETAIL - LOCAL SANTA FE</t>
        </is>
      </c>
      <c r="D143" s="312" t="n"/>
      <c r="E143" s="312" t="n"/>
      <c r="F143" s="312" t="n"/>
      <c r="G143" s="312" t="n"/>
      <c r="H143" s="312" t="n"/>
      <c r="I143" s="313" t="n"/>
      <c r="J143" s="199" t="inlineStr">
        <is>
          <t>COMPLEMENTO RETAIL</t>
        </is>
      </c>
      <c r="K143" s="314" t="n">
        <v>1450000</v>
      </c>
      <c r="L143" s="2" t="n">
        <v>45364</v>
      </c>
      <c r="M143" s="170" t="n"/>
      <c r="N143" s="170" t="n"/>
      <c r="O143" s="102" t="inlineStr">
        <is>
          <t>Santiago Merizalde</t>
        </is>
      </c>
      <c r="P143" s="52" t="inlineStr">
        <is>
          <t>proyectos@complementoretail.com</t>
        </is>
      </c>
    </row>
    <row r="144">
      <c r="B144" s="170" t="n">
        <v>133</v>
      </c>
      <c r="C144" s="199" t="inlineStr">
        <is>
          <t>COTIZACION DEL DISEÑO DE EXTINCIÓN DE INCENDIOS PARA EL PROYECTO LEONARDO DAVINCI</t>
        </is>
      </c>
      <c r="D144" s="312" t="n"/>
      <c r="E144" s="312" t="n"/>
      <c r="F144" s="312" t="n"/>
      <c r="G144" s="312" t="n"/>
      <c r="H144" s="312" t="n"/>
      <c r="I144" s="313" t="n"/>
      <c r="J144" s="199" t="inlineStr">
        <is>
          <t>Pablo Guarin</t>
        </is>
      </c>
      <c r="K144" s="314" t="n">
        <v>3140000</v>
      </c>
      <c r="L144" s="2" t="n">
        <v>45364</v>
      </c>
      <c r="M144" s="2" t="n"/>
      <c r="N144" s="170" t="inlineStr">
        <is>
          <t>313 6590363</t>
        </is>
      </c>
      <c r="O144" s="103" t="inlineStr">
        <is>
          <t>Pablo Guarin</t>
        </is>
      </c>
      <c r="P144" s="52" t="n"/>
    </row>
    <row r="145">
      <c r="B145" s="170" t="n">
        <v>134</v>
      </c>
      <c r="C145" s="199" t="inlineStr">
        <is>
          <t>COTIZACION DEL ANÁLISIS DE SEGURIDAD HUMANA PARA EL PROYECTO CRUCE</t>
        </is>
      </c>
      <c r="D145" s="312" t="n"/>
      <c r="E145" s="312" t="n"/>
      <c r="F145" s="312" t="n"/>
      <c r="G145" s="312" t="n"/>
      <c r="H145" s="312" t="n"/>
      <c r="I145" s="313" t="n"/>
      <c r="J145" s="199" t="inlineStr">
        <is>
          <t>I CRUCE</t>
        </is>
      </c>
      <c r="K145" s="314" t="n">
        <v>2550000</v>
      </c>
      <c r="L145" s="2" t="n">
        <v>45364</v>
      </c>
      <c r="M145" s="170" t="n"/>
      <c r="N145" s="170" t="n">
        <v>3147005714</v>
      </c>
      <c r="O145" s="102" t="inlineStr">
        <is>
          <t>Juan Manuel SERRANO</t>
        </is>
      </c>
      <c r="P145" s="52" t="inlineStr">
        <is>
          <t>jmaserrano@gmail.com</t>
        </is>
      </c>
    </row>
    <row r="146">
      <c r="B146" s="170" t="n">
        <v>135</v>
      </c>
      <c r="C146" s="199" t="inlineStr">
        <is>
          <t>COTIZACION DEL DISEÑO DE EXTINCIÓN DE INCENDIOS PARA EL PROYECTO LA CASTELLANA</t>
        </is>
      </c>
      <c r="D146" s="312" t="n"/>
      <c r="E146" s="312" t="n"/>
      <c r="F146" s="312" t="n"/>
      <c r="G146" s="312" t="n"/>
      <c r="H146" s="312" t="n"/>
      <c r="I146" s="313" t="n"/>
      <c r="J146" s="199" t="inlineStr">
        <is>
          <t>FIRE MARSHAL</t>
        </is>
      </c>
      <c r="K146" s="314" t="n">
        <v>7500000</v>
      </c>
      <c r="L146" s="2" t="n">
        <v>45364</v>
      </c>
      <c r="M146" s="170" t="n"/>
      <c r="N146" s="170" t="n">
        <v>3224188478</v>
      </c>
      <c r="O146" s="102" t="inlineStr">
        <is>
          <t>Andrea Nuñez</t>
        </is>
      </c>
      <c r="P146" s="52" t="inlineStr">
        <is>
          <t>andreanunez@firemarshal.com.co</t>
        </is>
      </c>
    </row>
    <row r="147">
      <c r="B147" s="170" t="n">
        <v>136</v>
      </c>
      <c r="C147" s="199" t="inlineStr">
        <is>
          <t xml:space="preserve">COTIZACION DE LOS DISEÑOS DE PROTECCIÓN CONTRA INCENDIOS Y SEGURIDAD HUMANA PARA EL PROYECTO TORRE ALCALÁ </t>
        </is>
      </c>
      <c r="D147" s="312" t="n"/>
      <c r="E147" s="312" t="n"/>
      <c r="F147" s="312" t="n"/>
      <c r="G147" s="312" t="n"/>
      <c r="H147" s="312" t="n"/>
      <c r="I147" s="313" t="n"/>
      <c r="J147" s="199" t="inlineStr">
        <is>
          <t>FIRE PROTECTION</t>
        </is>
      </c>
      <c r="K147" s="314" t="n">
        <v>7530000</v>
      </c>
      <c r="L147" s="2" t="n">
        <v>45364</v>
      </c>
      <c r="M147" s="170" t="n"/>
      <c r="N147" s="170" t="n">
        <v>3108227462</v>
      </c>
      <c r="O147" s="102" t="inlineStr">
        <is>
          <t>alvaro manosalva</t>
        </is>
      </c>
      <c r="P147" s="52" t="inlineStr">
        <is>
          <t>alvaromanosalva@sfiregroup.com</t>
        </is>
      </c>
    </row>
    <row r="148">
      <c r="B148" s="170" t="n">
        <v>137</v>
      </c>
      <c r="C148" s="199" t="inlineStr">
        <is>
          <t>COTIZACION DEL DISEÑO DE EXTINCIÓN DE INCENDIOS PARA EL PROYECTO CENTRO DE DISTRIBUCION EXPOFARO</t>
        </is>
      </c>
      <c r="D148" s="312" t="n"/>
      <c r="E148" s="312" t="n"/>
      <c r="F148" s="312" t="n"/>
      <c r="G148" s="312" t="n"/>
      <c r="H148" s="312" t="n"/>
      <c r="I148" s="313" t="n"/>
      <c r="J148" s="199" t="inlineStr">
        <is>
          <t>Detectar Systems</t>
        </is>
      </c>
      <c r="K148" s="314" t="n">
        <v>18850000</v>
      </c>
      <c r="L148" s="2" t="n">
        <v>45365</v>
      </c>
      <c r="M148" s="170" t="n"/>
      <c r="N148" s="170" t="inlineStr">
        <is>
          <t>301 5421412</t>
        </is>
      </c>
      <c r="O148" s="103" t="inlineStr">
        <is>
          <t>Juan Santiago Londoño Quiceno.</t>
        </is>
      </c>
      <c r="P148" s="52" t="inlineStr">
        <is>
          <t>detectarsystems@gmail.com</t>
        </is>
      </c>
    </row>
    <row r="149">
      <c r="B149" s="170" t="n">
        <v>138</v>
      </c>
      <c r="C149" s="199" t="inlineStr">
        <is>
          <t>COTIZACION DE LOS DISEÑOS DE PROTECCIÓN CONTRA INCENDIOS Y SEGURIDAD HUMANA PARA EL PROYECTO MINERATTO ETAPA 1</t>
        </is>
      </c>
      <c r="D149" s="312" t="n"/>
      <c r="E149" s="312" t="n"/>
      <c r="F149" s="312" t="n"/>
      <c r="G149" s="312" t="n"/>
      <c r="H149" s="312" t="n"/>
      <c r="I149" s="313" t="n"/>
      <c r="J149" s="199" t="inlineStr">
        <is>
          <t>A3 Consulting</t>
        </is>
      </c>
      <c r="K149" s="314" t="n">
        <v>28410000</v>
      </c>
      <c r="L149" s="2" t="n">
        <v>45365</v>
      </c>
      <c r="M149" s="170" t="n"/>
      <c r="N149" s="170" t="inlineStr">
        <is>
          <t>314 6326920</t>
        </is>
      </c>
      <c r="O149" s="102" t="inlineStr">
        <is>
          <t>Mateo Montoya Villegas</t>
        </is>
      </c>
      <c r="P149" s="52" t="inlineStr">
        <is>
          <t>mateo@a3consulting.com.co</t>
        </is>
      </c>
    </row>
    <row r="150">
      <c r="B150" s="170" t="n">
        <v>139</v>
      </c>
      <c r="C150" s="199" t="inlineStr">
        <is>
          <t>COTIZACION DE LOS DISEÑOS DE PROTECCIÓN CONTRA INCENDIOS Y SEGURIDAD HUMANA PARA EL PROYECTO ENSENEDA TORRE 4</t>
        </is>
      </c>
      <c r="D150" s="312" t="n"/>
      <c r="E150" s="312" t="n"/>
      <c r="F150" s="312" t="n"/>
      <c r="G150" s="312" t="n"/>
      <c r="H150" s="312" t="n"/>
      <c r="I150" s="313" t="n"/>
      <c r="J150" s="199" t="inlineStr">
        <is>
          <t>Bienes y Bienes</t>
        </is>
      </c>
      <c r="K150" s="314" t="n">
        <v>7450000</v>
      </c>
      <c r="L150" s="2" t="n">
        <v>45365</v>
      </c>
      <c r="M150" s="170" t="n"/>
      <c r="N150" s="170" t="inlineStr">
        <is>
          <t>321 838 59 65</t>
        </is>
      </c>
      <c r="O150" s="102" t="inlineStr">
        <is>
          <t>Ana Catalina Ramirez Zapata</t>
        </is>
      </c>
      <c r="P150" s="52" t="inlineStr">
        <is>
          <t>ana.ramirez@bienesybienes.com.co</t>
        </is>
      </c>
    </row>
    <row r="151">
      <c r="B151" s="170" t="n">
        <v>140</v>
      </c>
      <c r="C151" s="233" t="inlineStr">
        <is>
          <t>COTIZACION DE LOS DISEÑOS DE PROTECCIÓN CONTRA INCENDIOS Y SEGURIDAD HUMANA PARA EL PROYECTO MONTEBONITO APARTAMENTOS</t>
        </is>
      </c>
      <c r="D151" s="312" t="n"/>
      <c r="E151" s="312" t="n"/>
      <c r="F151" s="312" t="n"/>
      <c r="G151" s="312" t="n"/>
      <c r="H151" s="312" t="n"/>
      <c r="I151" s="313" t="n"/>
      <c r="J151" s="199" t="inlineStr">
        <is>
          <t>Asul SAS</t>
        </is>
      </c>
      <c r="K151" s="314" t="n">
        <v>11950000</v>
      </c>
      <c r="L151" s="2" t="n">
        <v>45365</v>
      </c>
      <c r="M151" s="2" t="n"/>
      <c r="N151" s="170" t="inlineStr">
        <is>
          <t>3122945722.</t>
        </is>
      </c>
      <c r="O151" s="102" t="inlineStr">
        <is>
          <t>Jennifer Morales Gonzalez</t>
        </is>
      </c>
      <c r="P151" s="52" t="inlineStr">
        <is>
          <t>jennifer.morales@asul.co</t>
        </is>
      </c>
    </row>
    <row r="152">
      <c r="B152" s="170" t="n">
        <v>141</v>
      </c>
      <c r="C152" s="199" t="inlineStr">
        <is>
          <t>COTIZACION DEL DISEÑO DE EXTINCIÓN DE INCENDIOS PARA EL PROYECTO NIRVANA</t>
        </is>
      </c>
      <c r="D152" s="312" t="n"/>
      <c r="E152" s="312" t="n"/>
      <c r="F152" s="312" t="n"/>
      <c r="G152" s="312" t="n"/>
      <c r="H152" s="312" t="n"/>
      <c r="I152" s="313" t="n"/>
      <c r="J152" s="199" t="inlineStr">
        <is>
          <t>CELESTE Y PIEDRA</t>
        </is>
      </c>
      <c r="K152" s="314" t="n">
        <v>15450000</v>
      </c>
      <c r="L152" s="2" t="n">
        <v>45366</v>
      </c>
      <c r="M152" s="2" t="n"/>
      <c r="N152" s="170" t="inlineStr">
        <is>
          <t>310 3790580</t>
        </is>
      </c>
      <c r="O152" s="102" t="inlineStr">
        <is>
          <t>José Fernando Vargas</t>
        </is>
      </c>
      <c r="P152" s="52" t="inlineStr">
        <is>
          <t>jose.vargas@celesteypiedra.com</t>
        </is>
      </c>
    </row>
    <row r="153">
      <c r="B153" s="170" t="n">
        <v>142</v>
      </c>
      <c r="C153" s="246" t="inlineStr">
        <is>
          <t xml:space="preserve">COTIZACION DEL DISEÑO DE DETECCIÓN DE INCENDIOS PARA EL PROYECTO GRANJA SOLAR
</t>
        </is>
      </c>
      <c r="D153" s="312" t="n"/>
      <c r="E153" s="312" t="n"/>
      <c r="F153" s="312" t="n"/>
      <c r="G153" s="312" t="n"/>
      <c r="H153" s="312" t="n"/>
      <c r="I153" s="313" t="n"/>
      <c r="J153" s="199" t="inlineStr">
        <is>
          <t>FIRE MARSHAL</t>
        </is>
      </c>
      <c r="K153" s="314" t="n">
        <v>950000</v>
      </c>
      <c r="L153" s="2" t="n">
        <v>45366</v>
      </c>
      <c r="M153" s="170" t="n"/>
      <c r="N153" s="170" t="n">
        <v>3155852559</v>
      </c>
      <c r="O153" s="102" t="inlineStr">
        <is>
          <t>Jose Manuel Maya</t>
        </is>
      </c>
      <c r="P153" s="52" t="inlineStr">
        <is>
          <t>josemaya@firemarshal.com.co</t>
        </is>
      </c>
    </row>
    <row r="154">
      <c r="B154" s="170" t="n">
        <v>143</v>
      </c>
      <c r="C154" s="247" t="inlineStr">
        <is>
          <t xml:space="preserve">
COTIZACION DE LOS DISEÑOS DE PROTECCIÓN CONTRA INCENDIOS Y SEGURIDAD HUMANA PARA EL PROYECTO LEONARDO DAVINCI</t>
        </is>
      </c>
      <c r="D154" s="312" t="n"/>
      <c r="E154" s="312" t="n"/>
      <c r="F154" s="312" t="n"/>
      <c r="G154" s="312" t="n"/>
      <c r="H154" s="312" t="n"/>
      <c r="I154" s="313" t="n"/>
      <c r="J154" s="199" t="inlineStr">
        <is>
          <t>GO INGENIERÍA Y SOLUCIONES</t>
        </is>
      </c>
      <c r="K154" s="314" t="n">
        <v>7530000</v>
      </c>
      <c r="L154" s="2" t="n">
        <v>45362</v>
      </c>
      <c r="M154" s="2" t="n"/>
      <c r="N154" s="170" t="inlineStr">
        <is>
          <t>310 5104288</t>
        </is>
      </c>
      <c r="O154" s="103" t="inlineStr">
        <is>
          <t xml:space="preserve">Cristian Gañan </t>
        </is>
      </c>
      <c r="P154" s="52" t="n"/>
    </row>
    <row r="155">
      <c r="B155" s="170" t="n">
        <v>144</v>
      </c>
      <c r="C155" s="246" t="inlineStr">
        <is>
          <t xml:space="preserve">COTIZACION DE LOS DISEÑOS DE PROTECCIÓN CONTRA INCENDIOS Y SEGURIDAD HUMANA PARA EL PROYECTO MONTECARLO
</t>
        </is>
      </c>
      <c r="D155" s="312" t="n"/>
      <c r="E155" s="312" t="n"/>
      <c r="F155" s="312" t="n"/>
      <c r="G155" s="312" t="n"/>
      <c r="H155" s="312" t="n"/>
      <c r="I155" s="313" t="n"/>
      <c r="J155" s="199" t="inlineStr">
        <is>
          <t>EDYFICA</t>
        </is>
      </c>
      <c r="K155" s="314" t="n">
        <v>5330000</v>
      </c>
      <c r="L155" s="2" t="n">
        <v>45369</v>
      </c>
      <c r="M155" s="170" t="n"/>
      <c r="N155" s="170" t="n">
        <v>3104057513</v>
      </c>
      <c r="O155" s="103" t="inlineStr">
        <is>
          <t>Claudia Ramirez</t>
        </is>
      </c>
      <c r="P155" s="52" t="inlineStr">
        <is>
          <t>claudia.ramirez@edyfica.co</t>
        </is>
      </c>
    </row>
    <row r="156">
      <c r="B156" s="170" t="n">
        <v>145</v>
      </c>
      <c r="C156" s="199" t="inlineStr">
        <is>
          <t>COTIZACION DEL LEVANTAMIENTO ARQUITECTÓNICO Y DISEÑO DE DETECCIÓN DE INCENDIOS - METIC</t>
        </is>
      </c>
      <c r="D156" s="312" t="n"/>
      <c r="E156" s="312" t="n"/>
      <c r="F156" s="312" t="n"/>
      <c r="G156" s="312" t="n"/>
      <c r="H156" s="312" t="n"/>
      <c r="I156" s="313" t="n"/>
      <c r="J156" s="199" t="inlineStr">
        <is>
          <t>METIC</t>
        </is>
      </c>
      <c r="K156" s="314" t="n">
        <v>3370000</v>
      </c>
      <c r="L156" s="2" t="n">
        <v>45369</v>
      </c>
      <c r="M156" s="170" t="n"/>
      <c r="N156" s="170" t="n"/>
      <c r="O156" s="102" t="inlineStr">
        <is>
          <t>Maria Eugenia Garces Cardona</t>
        </is>
      </c>
      <c r="P156" s="52" t="n"/>
    </row>
    <row r="157">
      <c r="B157" s="170" t="n">
        <v>146</v>
      </c>
      <c r="C157" s="246" t="inlineStr">
        <is>
          <t xml:space="preserve">COTIZACION DE LOS DISEÑOS DE PROTECCIÓN CONTRA INCENDIOS PARA EL PROYECTO SCI MOLINO 4
</t>
        </is>
      </c>
      <c r="D157" s="312" t="n"/>
      <c r="E157" s="312" t="n"/>
      <c r="F157" s="312" t="n"/>
      <c r="G157" s="312" t="n"/>
      <c r="H157" s="312" t="n"/>
      <c r="I157" s="313" t="n"/>
      <c r="J157" s="199" t="inlineStr">
        <is>
          <t>JM Ingenieria</t>
        </is>
      </c>
      <c r="K157" s="314" t="n">
        <v>29950000</v>
      </c>
      <c r="L157" s="2" t="n">
        <v>45370</v>
      </c>
      <c r="M157" s="170" t="n"/>
      <c r="N157" s="170" t="n">
        <v>3045641392</v>
      </c>
      <c r="O157" s="102" t="inlineStr">
        <is>
          <t>Johan Alexis Moreno Valencia</t>
        </is>
      </c>
      <c r="P157" s="52" t="inlineStr">
        <is>
          <t>gerencia@jmingenieriatotal.com.co</t>
        </is>
      </c>
    </row>
    <row r="158">
      <c r="B158" s="170" t="n">
        <v>147</v>
      </c>
      <c r="C158" s="233" t="inlineStr">
        <is>
          <t>COTIZACIÓN REVISIÓN DE DISEÑOS Y SELECCIÓN DE PROVEEDOR SISTEMA DETECCIÓN DE INCENDIOS CITAANDINA</t>
        </is>
      </c>
      <c r="D158" s="312" t="n"/>
      <c r="E158" s="312" t="n"/>
      <c r="F158" s="312" t="n"/>
      <c r="G158" s="312" t="n"/>
      <c r="H158" s="312" t="n"/>
      <c r="I158" s="313" t="n"/>
      <c r="J158" s="199" t="inlineStr">
        <is>
          <t>FIRE MARSHAL</t>
        </is>
      </c>
      <c r="K158" s="314" t="n">
        <v>3750000</v>
      </c>
      <c r="L158" s="2" t="n">
        <v>45370</v>
      </c>
      <c r="M158" s="2" t="n"/>
      <c r="N158" s="170" t="n">
        <v>3155852559</v>
      </c>
      <c r="O158" s="102" t="inlineStr">
        <is>
          <t>Jose Manuel Maya</t>
        </is>
      </c>
      <c r="P158" s="52" t="inlineStr">
        <is>
          <t>josemaya@firemarshal.com.co</t>
        </is>
      </c>
    </row>
    <row r="159">
      <c r="B159" s="170" t="n">
        <v>148</v>
      </c>
      <c r="C159" s="199" t="inlineStr">
        <is>
          <t>COTIZACION DEL ANÁLISIS DE SEGURIDAD HUMANA PARA EL PROYECTO SCI MOLINO 4</t>
        </is>
      </c>
      <c r="D159" s="312" t="n"/>
      <c r="E159" s="312" t="n"/>
      <c r="F159" s="312" t="n"/>
      <c r="G159" s="312" t="n"/>
      <c r="H159" s="312" t="n"/>
      <c r="I159" s="313" t="n"/>
      <c r="J159" s="199" t="inlineStr">
        <is>
          <t>JM Ingenieria</t>
        </is>
      </c>
      <c r="K159" s="314" t="n">
        <v>6250000</v>
      </c>
      <c r="L159" s="2" t="n">
        <v>45371</v>
      </c>
      <c r="M159" s="170" t="n"/>
      <c r="N159" s="170" t="n">
        <v>3045641392</v>
      </c>
      <c r="O159" s="102" t="inlineStr">
        <is>
          <t>Johan Alexis Moreno Valencia</t>
        </is>
      </c>
      <c r="P159" s="52" t="inlineStr">
        <is>
          <t>gerencia@jmingenieriatotal.com.co</t>
        </is>
      </c>
    </row>
    <row r="160">
      <c r="B160" s="170" t="n">
        <v>149</v>
      </c>
      <c r="C160" s="246" t="inlineStr">
        <is>
          <t xml:space="preserve">COTIZACION DEL DISEÑO DE EXTINCIÓN DE INCENDIOS PARA EL PROYECTO SERVIENTREGA
</t>
        </is>
      </c>
      <c r="D160" s="312" t="n"/>
      <c r="E160" s="312" t="n"/>
      <c r="F160" s="312" t="n"/>
      <c r="G160" s="312" t="n"/>
      <c r="H160" s="312" t="n"/>
      <c r="I160" s="313" t="n"/>
      <c r="J160" s="199" t="inlineStr">
        <is>
          <t>Securetec</t>
        </is>
      </c>
      <c r="K160" s="314" t="n">
        <v>3350000</v>
      </c>
      <c r="L160" s="2" t="n">
        <v>45371</v>
      </c>
      <c r="M160" s="170" t="n"/>
      <c r="N160" s="170" t="n">
        <v>3014111727</v>
      </c>
      <c r="O160" s="102" t="inlineStr">
        <is>
          <t>Juan David Camacho</t>
        </is>
      </c>
      <c r="P160" s="52" t="inlineStr">
        <is>
          <t>ascomercial2@securetec.com.co</t>
        </is>
      </c>
    </row>
    <row r="161">
      <c r="B161" s="170" t="n">
        <v>150</v>
      </c>
      <c r="C161" s="199" t="inlineStr">
        <is>
          <t>COTIZACION DE LA REVISIÓN DE SEGURIDAD HUMANA Y PROTECCIÓN CONTRA INCENDIOS PARA CLÍNICA INFANTIL CLUB NOEL</t>
        </is>
      </c>
      <c r="D161" s="312" t="n"/>
      <c r="E161" s="312" t="n"/>
      <c r="F161" s="312" t="n"/>
      <c r="G161" s="312" t="n"/>
      <c r="H161" s="312" t="n"/>
      <c r="I161" s="313" t="n"/>
      <c r="J161" s="199" t="inlineStr">
        <is>
          <t>Jhon Ocampo Arquitectura</t>
        </is>
      </c>
      <c r="K161" s="314" t="n">
        <v>7500000</v>
      </c>
      <c r="L161" s="2" t="n">
        <v>45371</v>
      </c>
      <c r="M161" s="170" t="n"/>
      <c r="N161" s="170" t="n">
        <v>3108214070</v>
      </c>
      <c r="O161" s="102" t="inlineStr">
        <is>
          <t>Jhon Ocampo</t>
        </is>
      </c>
      <c r="P161" s="52" t="n"/>
    </row>
    <row r="162">
      <c r="B162" s="170" t="n">
        <v>151</v>
      </c>
      <c r="C162" s="199" t="inlineStr">
        <is>
          <t>COTIZACION DEL ANÁLISIS DE SEGURIDAD HUMANA POR DESEMPEÑO - LA ESQUINA DEL HUECO</t>
        </is>
      </c>
      <c r="D162" s="312" t="n"/>
      <c r="E162" s="312" t="n"/>
      <c r="F162" s="312" t="n"/>
      <c r="G162" s="312" t="n"/>
      <c r="H162" s="312" t="n"/>
      <c r="I162" s="313" t="n"/>
      <c r="J162" s="199" t="inlineStr">
        <is>
          <t>Clara Inés López</t>
        </is>
      </c>
      <c r="K162" s="314" t="n">
        <v>24950000</v>
      </c>
      <c r="L162" s="2" t="n">
        <v>45372</v>
      </c>
      <c r="M162" s="170" t="n"/>
      <c r="N162" s="170" t="inlineStr">
        <is>
          <t>300 6194323</t>
        </is>
      </c>
      <c r="O162" s="102" t="inlineStr">
        <is>
          <t>Ines Lopez de Mesa</t>
        </is>
      </c>
      <c r="P162" s="52" t="inlineStr">
        <is>
          <t>obraesquinadelhueco@gmail.com</t>
        </is>
      </c>
    </row>
    <row r="163">
      <c r="B163" s="170" t="n">
        <v>152</v>
      </c>
      <c r="C163" s="199" t="inlineStr">
        <is>
          <t>COTIZACION DEL DISEÑO DE DETECCIÓN DE INCENDIOS PARA EL PROYECTO ONE PLAZA</t>
        </is>
      </c>
      <c r="D163" s="312" t="n"/>
      <c r="E163" s="312" t="n"/>
      <c r="F163" s="312" t="n"/>
      <c r="G163" s="312" t="n"/>
      <c r="H163" s="312" t="n"/>
      <c r="I163" s="313" t="n"/>
      <c r="J163" s="199" t="inlineStr">
        <is>
          <t>GENIUS SPORT</t>
        </is>
      </c>
      <c r="K163" s="314" t="n">
        <v>2950000</v>
      </c>
      <c r="L163" s="2" t="n">
        <v>45383</v>
      </c>
      <c r="M163" s="2" t="n"/>
      <c r="N163" s="170" t="n">
        <v>3042636421</v>
      </c>
      <c r="O163" s="103" t="inlineStr">
        <is>
          <t xml:space="preserve">Luisa Renteria Sanchez </t>
        </is>
      </c>
      <c r="P163" s="52" t="inlineStr">
        <is>
          <t>luisa.renteria@geniussports.com</t>
        </is>
      </c>
    </row>
    <row r="164">
      <c r="B164" s="170" t="n">
        <v>153</v>
      </c>
      <c r="C164" s="248" t="inlineStr">
        <is>
          <t xml:space="preserve">COTIZACION DE LOS DISEÑOS DE PROTECCIÓN CONTRA INCENDIOS Y SEGURIDAD HUMANA PARA EL PROYECTO ECO HOTEL EL ENCANTO
</t>
        </is>
      </c>
      <c r="D164" s="312" t="n"/>
      <c r="E164" s="312" t="n"/>
      <c r="F164" s="312" t="n"/>
      <c r="G164" s="312" t="n"/>
      <c r="H164" s="312" t="n"/>
      <c r="I164" s="313" t="n"/>
      <c r="J164" s="199" t="inlineStr">
        <is>
          <t>Vivenciarte Arquitectura</t>
        </is>
      </c>
      <c r="K164" s="314" t="n">
        <v>10950000</v>
      </c>
      <c r="L164" s="2" t="n">
        <v>45383</v>
      </c>
      <c r="M164" s="170" t="n"/>
      <c r="N164" s="170" t="n">
        <v>3053738993</v>
      </c>
      <c r="O164" s="78" t="inlineStr">
        <is>
          <t>Camilo Zapata Piedrahita</t>
        </is>
      </c>
      <c r="P164" s="107" t="inlineStr">
        <is>
          <t>camiloz@vivenciartearquitectura.com</t>
        </is>
      </c>
    </row>
    <row r="165">
      <c r="B165" s="170" t="n">
        <v>154</v>
      </c>
      <c r="C165" s="199" t="inlineStr">
        <is>
          <t>COTIZACION DEL ANÁLISIS DE SEGURIDAD HUMANA PARA EL PROYECTO PATIO EL GACO</t>
        </is>
      </c>
      <c r="D165" s="312" t="n"/>
      <c r="E165" s="312" t="n"/>
      <c r="F165" s="312" t="n"/>
      <c r="G165" s="312" t="n"/>
      <c r="H165" s="312" t="n"/>
      <c r="I165" s="313" t="n"/>
      <c r="J165" s="199" t="inlineStr">
        <is>
          <t>CONCONCRETO</t>
        </is>
      </c>
      <c r="K165" s="314" t="n">
        <v>7530000</v>
      </c>
      <c r="L165" s="2" t="n">
        <v>45386</v>
      </c>
      <c r="M165" s="170" t="n"/>
      <c r="N165" s="170" t="n">
        <v>3103232340</v>
      </c>
      <c r="O165" s="102" t="inlineStr">
        <is>
          <t xml:space="preserve">Sandra Maria Correa Bonnet </t>
        </is>
      </c>
      <c r="P165" s="52" t="inlineStr">
        <is>
          <t>scorreab@conconcreto.com</t>
        </is>
      </c>
    </row>
    <row r="166">
      <c r="B166" s="170" t="n">
        <v>155</v>
      </c>
      <c r="C166" s="246" t="inlineStr">
        <is>
          <t>COTIZACION DEL ANÁLISIS DE SEGURIDAD HUMANA PARA EL PROYECTO PATIO CORREDOR VERDE</t>
        </is>
      </c>
      <c r="D166" s="312" t="n"/>
      <c r="E166" s="312" t="n"/>
      <c r="F166" s="312" t="n"/>
      <c r="G166" s="312" t="n"/>
      <c r="H166" s="312" t="n"/>
      <c r="I166" s="313" t="n"/>
      <c r="J166" s="199" t="inlineStr">
        <is>
          <t>CONCONCRETO</t>
        </is>
      </c>
      <c r="K166" s="314" t="n">
        <v>11290000</v>
      </c>
      <c r="L166" s="2" t="n">
        <v>45386</v>
      </c>
      <c r="M166" s="170" t="n"/>
      <c r="N166" s="170" t="n">
        <v>3103232340</v>
      </c>
      <c r="O166" s="102" t="inlineStr">
        <is>
          <t xml:space="preserve">Sandra Maria Correa Bonnet </t>
        </is>
      </c>
      <c r="P166" s="52" t="inlineStr">
        <is>
          <t>scorreab@conconcreto.com</t>
        </is>
      </c>
    </row>
    <row r="167" ht="15" customHeight="1">
      <c r="B167" s="170" t="n">
        <v>156</v>
      </c>
      <c r="C167" s="199" t="inlineStr">
        <is>
          <t xml:space="preserve">
COTIZACION DEL DISEÑO DE EXTINCIÓN DE INCENDIOS PARA EL PROYECTO CC PUNTO CLAVE</t>
        </is>
      </c>
      <c r="D167" s="312" t="n"/>
      <c r="E167" s="312" t="n"/>
      <c r="F167" s="312" t="n"/>
      <c r="G167" s="312" t="n"/>
      <c r="H167" s="312" t="n"/>
      <c r="I167" s="313" t="n"/>
      <c r="J167" s="199" t="inlineStr">
        <is>
          <t>Securetec</t>
        </is>
      </c>
      <c r="K167" s="314" t="n">
        <v>24950000</v>
      </c>
      <c r="L167" s="2" t="n">
        <v>45384</v>
      </c>
      <c r="M167" s="2" t="n"/>
      <c r="N167" s="170" t="n">
        <v>3014111727</v>
      </c>
      <c r="O167" s="102" t="inlineStr">
        <is>
          <t>Julian David Camacho</t>
        </is>
      </c>
      <c r="P167" s="52" t="inlineStr">
        <is>
          <t>ascomercial2@securetec.com.co</t>
        </is>
      </c>
    </row>
    <row r="168">
      <c r="B168" s="170" t="n">
        <v>157</v>
      </c>
      <c r="C168" s="246" t="inlineStr">
        <is>
          <t>COTIZACION DE LOS DISEÑOS DE PROTECCIÓN CONTRA INCENDIOS Y SEGURIDAD HUMANA PARA EL PROYECTO COMERCIO VAYÚH</t>
        </is>
      </c>
      <c r="D168" s="312" t="n"/>
      <c r="E168" s="312" t="n"/>
      <c r="F168" s="312" t="n"/>
      <c r="G168" s="312" t="n"/>
      <c r="H168" s="312" t="n"/>
      <c r="I168" s="313" t="n"/>
      <c r="J168" s="235" t="inlineStr">
        <is>
          <t>Contex</t>
        </is>
      </c>
      <c r="K168" s="314" t="n"/>
      <c r="L168" s="2" t="n">
        <v>45384</v>
      </c>
      <c r="M168" s="170" t="n"/>
      <c r="N168" s="170" t="n">
        <v>3183484307</v>
      </c>
      <c r="O168" s="102" t="inlineStr">
        <is>
          <t>Daniel Ceballos Sanchez</t>
        </is>
      </c>
      <c r="P168" s="52" t="inlineStr">
        <is>
          <t>eceballos@contex.com.co</t>
        </is>
      </c>
    </row>
    <row r="169">
      <c r="B169" s="170" t="n">
        <v>158</v>
      </c>
      <c r="C169" s="199" t="inlineStr">
        <is>
          <t>COTIZACION DEL DISEÑO DE EXTINCIÓN DE INCENDIOS PARA EL PROYECTO PLANTA TEXTIL</t>
        </is>
      </c>
      <c r="D169" s="312" t="n"/>
      <c r="E169" s="312" t="n"/>
      <c r="F169" s="312" t="n"/>
      <c r="G169" s="312" t="n"/>
      <c r="H169" s="312" t="n"/>
      <c r="I169" s="313" t="n"/>
      <c r="J169" s="199" t="inlineStr">
        <is>
          <t>Securetec</t>
        </is>
      </c>
      <c r="K169" s="314" t="n">
        <v>18950000</v>
      </c>
      <c r="L169" s="2" t="n">
        <v>45384</v>
      </c>
      <c r="M169" s="2" t="n"/>
      <c r="N169" s="170" t="n">
        <v>3206678830</v>
      </c>
      <c r="O169" s="102" t="inlineStr">
        <is>
          <t>Jhonny A Castro</t>
        </is>
      </c>
      <c r="P169" s="52" t="inlineStr">
        <is>
          <t>dirproyectos@securetec.com.co</t>
        </is>
      </c>
    </row>
    <row r="170">
      <c r="B170" s="170" t="n">
        <v>159</v>
      </c>
      <c r="C170" s="199" t="inlineStr">
        <is>
          <t>COTIZACION DE LOS DISEÑOS DE PROTECCIÓN CONTRA INCENDIOS PARA EL PROYECTO C.C SAN DIEGO</t>
        </is>
      </c>
      <c r="D170" s="312" t="n"/>
      <c r="E170" s="312" t="n"/>
      <c r="F170" s="312" t="n"/>
      <c r="G170" s="312" t="n"/>
      <c r="H170" s="312" t="n"/>
      <c r="I170" s="313" t="n"/>
      <c r="J170" s="199" t="inlineStr">
        <is>
          <t>Securetec</t>
        </is>
      </c>
      <c r="K170" s="314" t="n">
        <v>49850000</v>
      </c>
      <c r="L170" s="2" t="n">
        <v>45384</v>
      </c>
      <c r="M170" s="2" t="n"/>
      <c r="N170" s="170" t="n">
        <v>3206678830</v>
      </c>
      <c r="O170" s="102" t="inlineStr">
        <is>
          <t>Jhonny A Castro</t>
        </is>
      </c>
      <c r="P170" s="52" t="inlineStr">
        <is>
          <t>dirproyectos@securetec.com.co</t>
        </is>
      </c>
    </row>
    <row r="171">
      <c r="B171" s="170" t="n">
        <v>160</v>
      </c>
      <c r="C171" s="199" t="inlineStr">
        <is>
          <t>COTIZACION DE LOS DISEÑOS DE PROTECCIÓN CONTRA INCENDIOS - PLANTA ENSAMBLE MAGNETRÓN</t>
        </is>
      </c>
      <c r="D171" s="312" t="n"/>
      <c r="E171" s="312" t="n"/>
      <c r="F171" s="312" t="n"/>
      <c r="G171" s="312" t="n"/>
      <c r="H171" s="312" t="n"/>
      <c r="I171" s="313" t="n"/>
      <c r="J171" s="199" t="inlineStr">
        <is>
          <t>SPCI</t>
        </is>
      </c>
      <c r="K171" s="314" t="n">
        <v>29600000</v>
      </c>
      <c r="L171" s="2" t="n">
        <v>45384</v>
      </c>
      <c r="M171" s="170" t="n"/>
      <c r="N171" s="170" t="n">
        <v>3104165783</v>
      </c>
      <c r="O171" s="103" t="inlineStr">
        <is>
          <t xml:space="preserve"> Cristiam Gustavo Mondragon </t>
        </is>
      </c>
      <c r="P171" s="52" t="inlineStr">
        <is>
          <t>dir.tecnico@spci.com.co</t>
        </is>
      </c>
    </row>
    <row r="172">
      <c r="B172" s="170" t="n">
        <v>161</v>
      </c>
      <c r="C172" s="199" t="inlineStr">
        <is>
          <t xml:space="preserve">
COTIZACION DEL DISEÑO DE EXTINCIÓN DE INCENDIOS PARA EL PROYECTO CC PUNTO CLAVE</t>
        </is>
      </c>
      <c r="D172" s="312" t="n"/>
      <c r="E172" s="312" t="n"/>
      <c r="F172" s="312" t="n"/>
      <c r="G172" s="312" t="n"/>
      <c r="H172" s="312" t="n"/>
      <c r="I172" s="313" t="n"/>
      <c r="J172" s="199" t="inlineStr">
        <is>
          <t>CC Punto Clave</t>
        </is>
      </c>
      <c r="K172" s="314" t="n">
        <v>24950000</v>
      </c>
      <c r="L172" s="2" t="n">
        <v>45384</v>
      </c>
      <c r="M172" s="2" t="n"/>
      <c r="N172" s="170" t="inlineStr">
        <is>
          <t xml:space="preserve">319 4184493 </t>
        </is>
      </c>
      <c r="O172" s="102" t="inlineStr">
        <is>
          <t>Oscar Carvajal</t>
        </is>
      </c>
      <c r="P172" s="52" t="n"/>
    </row>
    <row r="173">
      <c r="B173" s="170" t="n">
        <v>162</v>
      </c>
      <c r="C173" s="233" t="inlineStr">
        <is>
          <t>COTIZACION DE LOS DISEÑOS DE PROTECCIÓN CONTRA INCENDIOS PARA EL PROYECTO OBRA VILLA REAL</t>
        </is>
      </c>
      <c r="D173" s="312" t="n"/>
      <c r="E173" s="312" t="n"/>
      <c r="F173" s="312" t="n"/>
      <c r="G173" s="312" t="n"/>
      <c r="H173" s="312" t="n"/>
      <c r="I173" s="313" t="n"/>
      <c r="J173" s="199" t="inlineStr">
        <is>
          <t xml:space="preserve"> Inmobiliaria y Constructora SAN JOSE SAS</t>
        </is>
      </c>
      <c r="K173" s="314" t="n"/>
      <c r="L173" s="2" t="n">
        <v>45385</v>
      </c>
      <c r="M173" s="170" t="n"/>
      <c r="N173" s="170" t="n">
        <v>3105476693</v>
      </c>
      <c r="O173" s="102" t="inlineStr">
        <is>
          <t>Sergio Tabares</t>
        </is>
      </c>
      <c r="P173" s="52" t="inlineStr">
        <is>
          <t>inmobiliariayconstructorasj@gmail.com</t>
        </is>
      </c>
    </row>
    <row r="174">
      <c r="B174" s="170" t="n">
        <v>163</v>
      </c>
      <c r="C174" s="233" t="inlineStr">
        <is>
          <t>COTIZACION DEL ANÁLISIS DE SEGURIDAD HUMANA PARA EL PROYECTO ENSENEDA TORRE 3</t>
        </is>
      </c>
      <c r="D174" s="312" t="n"/>
      <c r="E174" s="312" t="n"/>
      <c r="F174" s="312" t="n"/>
      <c r="G174" s="312" t="n"/>
      <c r="H174" s="312" t="n"/>
      <c r="I174" s="313" t="n"/>
      <c r="J174" s="199" t="inlineStr">
        <is>
          <t>Bienes y Bienes</t>
        </is>
      </c>
      <c r="K174" s="314" t="n">
        <v>1550000</v>
      </c>
      <c r="L174" s="2" t="n">
        <v>45385</v>
      </c>
      <c r="M174" s="170" t="n"/>
      <c r="N174" s="170" t="inlineStr">
        <is>
          <t xml:space="preserve"> (604) 311 8500</t>
        </is>
      </c>
      <c r="O174" s="102" t="inlineStr">
        <is>
          <t>Johana Rojas Vera</t>
        </is>
      </c>
      <c r="P174" s="52" t="inlineStr">
        <is>
          <t>johana.rojas@bienesybienes.com.co</t>
        </is>
      </c>
    </row>
    <row r="175" ht="15" customHeight="1">
      <c r="B175" s="170" t="n">
        <v>164</v>
      </c>
      <c r="C175" s="233" t="inlineStr">
        <is>
          <t>COTIZACION DEL ANÁLISIS DE SEGURIDAD HUMANA PARA EL PROYECTO VIVIENDA BOSSCATTA</t>
        </is>
      </c>
      <c r="D175" s="312" t="n"/>
      <c r="E175" s="312" t="n"/>
      <c r="F175" s="312" t="n"/>
      <c r="G175" s="312" t="n"/>
      <c r="H175" s="312" t="n"/>
      <c r="I175" s="313" t="n"/>
      <c r="J175" s="199" t="inlineStr">
        <is>
          <t>CONCONCRETO</t>
        </is>
      </c>
      <c r="K175" s="314" t="n">
        <v>5640000</v>
      </c>
      <c r="L175" s="2" t="n">
        <v>45386</v>
      </c>
      <c r="M175" s="170" t="n"/>
      <c r="N175" s="170" t="n">
        <v>3148721400</v>
      </c>
      <c r="O175" s="102" t="inlineStr">
        <is>
          <t>Adriana Agudelo López</t>
        </is>
      </c>
      <c r="P175" s="52" t="inlineStr">
        <is>
          <t>aagudelol@conconcreto.com</t>
        </is>
      </c>
    </row>
    <row r="176" ht="15" customHeight="1">
      <c r="B176" s="170" t="n">
        <v>165</v>
      </c>
      <c r="C176" s="246" t="inlineStr">
        <is>
          <t>COTIZACION DE LOS DISEÑOS DE SEGURIDAD HUMANA Y PROTECCIÓN CONTRA INCENDIOS - PROYECTO SERRANIA CAMPESTRE</t>
        </is>
      </c>
      <c r="D176" s="312" t="n"/>
      <c r="E176" s="312" t="n"/>
      <c r="F176" s="312" t="n"/>
      <c r="G176" s="312" t="n"/>
      <c r="H176" s="312" t="n"/>
      <c r="I176" s="313" t="n"/>
      <c r="J176" s="199" t="inlineStr">
        <is>
          <t>OBRAIN</t>
        </is>
      </c>
      <c r="K176" s="314" t="n">
        <v>36000000</v>
      </c>
      <c r="L176" s="2" t="n">
        <v>45385</v>
      </c>
      <c r="M176" s="170" t="n"/>
      <c r="N176" s="170" t="inlineStr">
        <is>
          <t>314 4118147</t>
        </is>
      </c>
      <c r="O176" s="102" t="inlineStr">
        <is>
          <t>Héctor Tamayo</t>
        </is>
      </c>
      <c r="P176" s="52" t="inlineStr">
        <is>
          <t>GERENCIA@obrain.co</t>
        </is>
      </c>
    </row>
    <row r="177">
      <c r="B177" s="170" t="n">
        <v>166</v>
      </c>
      <c r="C177" s="199" t="inlineStr">
        <is>
          <t>COTIZACION DE LOS DISEÑOS DE PROTECCIÓN CONTRA INCENDIOS PARA EL PROYECTO PARUSIA</t>
        </is>
      </c>
      <c r="D177" s="312" t="n"/>
      <c r="E177" s="312" t="n"/>
      <c r="F177" s="312" t="n"/>
      <c r="G177" s="312" t="n"/>
      <c r="H177" s="312" t="n"/>
      <c r="I177" s="313" t="n"/>
      <c r="J177" s="235" t="inlineStr">
        <is>
          <t>Javier</t>
        </is>
      </c>
      <c r="K177" s="314" t="n">
        <v>4980000</v>
      </c>
      <c r="L177" s="2" t="n">
        <v>45385</v>
      </c>
      <c r="M177" s="2" t="n"/>
      <c r="N177" s="170" t="inlineStr">
        <is>
          <t xml:space="preserve"> 301 4521301</t>
        </is>
      </c>
      <c r="O177" s="102" t="n"/>
      <c r="P177" s="52" t="n"/>
    </row>
    <row r="178">
      <c r="B178" s="170" t="n">
        <v>167</v>
      </c>
      <c r="C178" s="233" t="inlineStr">
        <is>
          <t xml:space="preserve">COTIZACION DEL REDISEÑO DE SEGURIDAD HUMANA - CONTREE TORRE 2 </t>
        </is>
      </c>
      <c r="D178" s="312" t="n"/>
      <c r="E178" s="312" t="n"/>
      <c r="F178" s="312" t="n"/>
      <c r="G178" s="312" t="n"/>
      <c r="H178" s="312" t="n"/>
      <c r="I178" s="313" t="n"/>
      <c r="J178" s="199" t="inlineStr">
        <is>
          <t>CONCONCRETO</t>
        </is>
      </c>
      <c r="K178" s="314" t="n">
        <v>1300000</v>
      </c>
      <c r="L178" s="2" t="n">
        <v>45387</v>
      </c>
      <c r="M178" s="170" t="n"/>
      <c r="N178" s="170" t="n">
        <v>3148721400</v>
      </c>
      <c r="O178" s="103" t="inlineStr">
        <is>
          <t>Adriana Agudelo López</t>
        </is>
      </c>
      <c r="P178" s="52" t="inlineStr">
        <is>
          <t>aagudelol@conconcreto.com</t>
        </is>
      </c>
    </row>
    <row r="179" ht="15" customHeight="1">
      <c r="B179" s="170" t="n">
        <v>168</v>
      </c>
      <c r="C179" s="199" t="inlineStr">
        <is>
          <t xml:space="preserve">
COTIZACION DEL DISEÑO DE EXTINCIÓN DE INCENDIOS PARA EL PROYECTO CC PUNTO CLAVE</t>
        </is>
      </c>
      <c r="D179" s="312" t="n"/>
      <c r="E179" s="312" t="n"/>
      <c r="F179" s="312" t="n"/>
      <c r="G179" s="312" t="n"/>
      <c r="H179" s="312" t="n"/>
      <c r="I179" s="313" t="n"/>
      <c r="J179" s="199" t="inlineStr">
        <is>
          <t>Securetec</t>
        </is>
      </c>
      <c r="K179" s="314" t="n">
        <v>12000000</v>
      </c>
      <c r="L179" s="2" t="n">
        <v>45384</v>
      </c>
      <c r="M179" s="2" t="n"/>
      <c r="N179" s="170" t="n">
        <v>3014111727</v>
      </c>
      <c r="O179" s="102" t="inlineStr">
        <is>
          <t>Julian David Camacho</t>
        </is>
      </c>
      <c r="P179" s="52" t="inlineStr">
        <is>
          <t>ascomercial2@securetec.com.co</t>
        </is>
      </c>
    </row>
    <row r="180">
      <c r="B180" s="170" t="n">
        <v>169</v>
      </c>
      <c r="C180" s="199" t="inlineStr">
        <is>
          <t>COTIZACION DEL DISEÑO DE EXTINCIÓN DE INCENDIOS PARA EL PROYECTO AYUDAS DIAGNOSTICAS DE SURA</t>
        </is>
      </c>
      <c r="D180" s="312" t="n"/>
      <c r="E180" s="312" t="n"/>
      <c r="F180" s="312" t="n"/>
      <c r="G180" s="312" t="n"/>
      <c r="H180" s="312" t="n"/>
      <c r="I180" s="313" t="n"/>
      <c r="J180" s="235" t="inlineStr">
        <is>
          <t>SPCI</t>
        </is>
      </c>
      <c r="K180" s="314" t="n">
        <v>8400000</v>
      </c>
      <c r="L180" s="2" t="n">
        <v>45390</v>
      </c>
      <c r="M180" s="170" t="n"/>
      <c r="N180" s="170" t="n">
        <v>3104165783</v>
      </c>
      <c r="O180" s="102" t="inlineStr">
        <is>
          <t>Cristiam Gustavo Mondragon</t>
        </is>
      </c>
      <c r="P180" s="52" t="inlineStr">
        <is>
          <t>dir.tecnico@spci.com.co</t>
        </is>
      </c>
    </row>
    <row r="181">
      <c r="B181" s="170" t="n">
        <v>170</v>
      </c>
      <c r="C181" s="246" t="inlineStr">
        <is>
          <t xml:space="preserve">COTIZACION DEL DISEÑO DE EXTINCIÓN DE INCENDIOS PARA EL PROYECTO HOTEL MEGAPOLIS SAN BLAS, PANAMÁ
</t>
        </is>
      </c>
      <c r="D181" s="312" t="n"/>
      <c r="E181" s="312" t="n"/>
      <c r="F181" s="312" t="n"/>
      <c r="G181" s="312" t="n"/>
      <c r="H181" s="312" t="n"/>
      <c r="I181" s="313" t="n"/>
      <c r="J181" s="199" t="inlineStr">
        <is>
          <t>Hidro F Salinas</t>
        </is>
      </c>
      <c r="K181" s="314" t="n">
        <v>69950000</v>
      </c>
      <c r="L181" s="2" t="n">
        <v>45391</v>
      </c>
      <c r="M181" s="170" t="n"/>
      <c r="N181" s="170" t="inlineStr">
        <is>
          <t>(310) 413 98 21</t>
        </is>
      </c>
      <c r="O181" s="102" t="inlineStr">
        <is>
          <t>Carolina Volkmar</t>
        </is>
      </c>
      <c r="P181" s="52" t="inlineStr">
        <is>
          <t>carolina@hidrofsalinas.com</t>
        </is>
      </c>
    </row>
    <row r="182">
      <c r="B182" s="170" t="n">
        <v>171</v>
      </c>
      <c r="C182" s="233" t="inlineStr">
        <is>
          <t>COTIZACION DE LOS DISEÑOS DE PROTECCIÓN CONTRA INCENDIOS PARA EL PROYECTO WEST QUIMICA</t>
        </is>
      </c>
      <c r="D182" s="312" t="n"/>
      <c r="E182" s="312" t="n"/>
      <c r="F182" s="312" t="n"/>
      <c r="G182" s="312" t="n"/>
      <c r="H182" s="312" t="n"/>
      <c r="I182" s="313" t="n"/>
      <c r="J182" s="199" t="inlineStr">
        <is>
          <t>Securetec</t>
        </is>
      </c>
      <c r="K182" s="314" t="n">
        <v>15050000</v>
      </c>
      <c r="L182" s="2" t="n">
        <v>45391</v>
      </c>
      <c r="M182" s="170" t="n"/>
      <c r="N182" s="170" t="n">
        <v>3014111727</v>
      </c>
      <c r="O182" s="102" t="inlineStr">
        <is>
          <t>Julian David Camacho</t>
        </is>
      </c>
      <c r="P182" s="52" t="inlineStr">
        <is>
          <t>ascomercial2@securetec.com.co</t>
        </is>
      </c>
    </row>
    <row r="183">
      <c r="B183" s="170" t="n">
        <v>172</v>
      </c>
      <c r="C183" s="199" t="inlineStr">
        <is>
          <t>COTIZACION DE LOS DISEÑOS DE PROTECCIÓN CONTRA INCENDIOS PARA EL PROYECTO LOCAL-GIMNASIO</t>
        </is>
      </c>
      <c r="D183" s="312" t="n"/>
      <c r="E183" s="312" t="n"/>
      <c r="F183" s="312" t="n"/>
      <c r="G183" s="312" t="n"/>
      <c r="H183" s="312" t="n"/>
      <c r="I183" s="313" t="n"/>
      <c r="J183" s="199" t="inlineStr">
        <is>
          <t>CONTEX</t>
        </is>
      </c>
      <c r="K183" s="314" t="n">
        <v>2950000</v>
      </c>
      <c r="L183" s="2" t="n">
        <v>45391</v>
      </c>
      <c r="M183" s="170" t="n"/>
      <c r="N183" s="170" t="n">
        <v>3183484307</v>
      </c>
      <c r="O183" s="102" t="inlineStr">
        <is>
          <t xml:space="preserve"> Elkin Daniel Ceballos</t>
        </is>
      </c>
      <c r="P183" s="52" t="inlineStr">
        <is>
          <t>eceballos@contex.com.co</t>
        </is>
      </c>
    </row>
    <row r="184">
      <c r="B184" s="170" t="n">
        <v>173</v>
      </c>
      <c r="C184" s="233" t="inlineStr">
        <is>
          <t>COTIZACIÓN REVISIÓN DE DISEÑOS Y SELECCIÓN DE PROVEEDOR SISTEMA DETECCIÓN DE INCENDIOS CITAANDINA</t>
        </is>
      </c>
      <c r="D184" s="312" t="n"/>
      <c r="E184" s="312" t="n"/>
      <c r="F184" s="312" t="n"/>
      <c r="G184" s="312" t="n"/>
      <c r="H184" s="312" t="n"/>
      <c r="I184" s="313" t="n"/>
      <c r="J184" s="199" t="inlineStr">
        <is>
          <t>FIRE MARSHAL</t>
        </is>
      </c>
      <c r="K184" s="314" t="n">
        <v>3250000</v>
      </c>
      <c r="L184" s="2" t="n">
        <v>45392</v>
      </c>
      <c r="M184" s="2" t="n"/>
      <c r="N184" s="170" t="n">
        <v>3155852559</v>
      </c>
      <c r="O184" s="102" t="inlineStr">
        <is>
          <t>Jose Manuel Maya</t>
        </is>
      </c>
      <c r="P184" s="52" t="inlineStr">
        <is>
          <t>josemaya@firemarshal.com.co</t>
        </is>
      </c>
    </row>
    <row r="185">
      <c r="B185" s="170" t="n">
        <v>174</v>
      </c>
      <c r="C185" s="199" t="inlineStr">
        <is>
          <t>COTIZACION DEL ANÁLISIS DE SEGURIDAD HUMANA PARA EL PROYECTO HOTEL BARRIO CONQUISTADORES</t>
        </is>
      </c>
      <c r="D185" s="312" t="n"/>
      <c r="E185" s="312" t="n"/>
      <c r="F185" s="312" t="n"/>
      <c r="G185" s="312" t="n"/>
      <c r="H185" s="312" t="n"/>
      <c r="I185" s="313" t="n"/>
      <c r="J185" s="199" t="inlineStr">
        <is>
          <t>Grupo Vertical SAS</t>
        </is>
      </c>
      <c r="K185" s="314" t="n">
        <v>4350000</v>
      </c>
      <c r="L185" s="2" t="n">
        <v>45392</v>
      </c>
      <c r="M185" s="170" t="n"/>
      <c r="N185" s="170" t="n">
        <v>3015407313</v>
      </c>
      <c r="O185" s="102" t="inlineStr">
        <is>
          <t>Hector Mauricio Gomez</t>
        </is>
      </c>
      <c r="P185" s="52" t="inlineStr">
        <is>
          <t>directordeobra2024@gmail.com</t>
        </is>
      </c>
    </row>
    <row r="186">
      <c r="B186" s="170" t="n">
        <v>175</v>
      </c>
      <c r="C186" s="199" t="inlineStr">
        <is>
          <t>COTIZACION DE LOS DISEÑOS DE PROTECCIÓN CONTRA INCENDIOS Y SEGURIDAD HUMANA PARA EL PROYECTO EDIFICIO BETANIA</t>
        </is>
      </c>
      <c r="D186" s="312" t="n"/>
      <c r="E186" s="312" t="n"/>
      <c r="F186" s="312" t="n"/>
      <c r="G186" s="312" t="n"/>
      <c r="H186" s="312" t="n"/>
      <c r="I186" s="313" t="n"/>
      <c r="J186" s="199" t="inlineStr">
        <is>
          <t>Juliana Cardona</t>
        </is>
      </c>
      <c r="K186" s="314" t="n">
        <v>14450000</v>
      </c>
      <c r="L186" s="2" t="n">
        <v>45392</v>
      </c>
      <c r="M186" s="2" t="n"/>
      <c r="N186" s="170" t="inlineStr">
        <is>
          <t>311 6406639</t>
        </is>
      </c>
      <c r="O186" s="102" t="inlineStr">
        <is>
          <t xml:space="preserve"> Juliana Cardona</t>
        </is>
      </c>
      <c r="P186" s="52" t="inlineStr">
        <is>
          <t>Julicardonab15@gmail.com</t>
        </is>
      </c>
    </row>
    <row r="187" ht="15" customHeight="1">
      <c r="B187" s="170" t="n">
        <v>176</v>
      </c>
      <c r="C187" s="233" t="inlineStr">
        <is>
          <t>COTIZACION DEL DISEÑO DE SOPORTERÍA SISMORESISTENTE PARA RISERS - JOHNSON &amp; JOHNSON CALI</t>
        </is>
      </c>
      <c r="D187" s="312" t="n"/>
      <c r="E187" s="312" t="n"/>
      <c r="F187" s="312" t="n"/>
      <c r="G187" s="312" t="n"/>
      <c r="H187" s="312" t="n"/>
      <c r="I187" s="313" t="n"/>
      <c r="J187" s="199" t="inlineStr">
        <is>
          <t>JOHNSON &amp; JOHNSON</t>
        </is>
      </c>
      <c r="K187" s="314" t="n">
        <v>21150000</v>
      </c>
      <c r="L187" s="2" t="n">
        <v>45392</v>
      </c>
      <c r="M187" s="170" t="n"/>
      <c r="N187" s="170" t="n">
        <v>3187346703</v>
      </c>
      <c r="O187" s="102" t="inlineStr">
        <is>
          <t>Jorge Edward Lopez</t>
        </is>
      </c>
      <c r="P187" s="52" t="inlineStr">
        <is>
          <t>jlopezv3@kenvue.com</t>
        </is>
      </c>
    </row>
    <row r="188" ht="15" customHeight="1">
      <c r="B188" s="170" t="n">
        <v>177</v>
      </c>
      <c r="C188" s="199" t="inlineStr">
        <is>
          <t>COTIZACION DEL RE-DISEÑO DE EXTINCIÓN DE INCENDIOS - BLOQUE BACHILLERATO COLEGIO LA SALLE</t>
        </is>
      </c>
      <c r="D188" s="312" t="n"/>
      <c r="E188" s="312" t="n"/>
      <c r="F188" s="312" t="n"/>
      <c r="G188" s="312" t="n"/>
      <c r="H188" s="312" t="n"/>
      <c r="I188" s="313" t="n"/>
      <c r="J188" s="199" t="inlineStr">
        <is>
          <t>CONDISEÑO</t>
        </is>
      </c>
      <c r="K188" s="314" t="inlineStr">
        <is>
          <t>VARIABLE</t>
        </is>
      </c>
      <c r="L188" s="2" t="n">
        <v>45393</v>
      </c>
      <c r="M188" s="170" t="n"/>
      <c r="N188" s="170" t="n">
        <v>3175594091</v>
      </c>
      <c r="O188" s="103" t="inlineStr">
        <is>
          <t>Nakary Garcia Romero</t>
        </is>
      </c>
      <c r="P188" s="52" t="inlineStr">
        <is>
          <t>n.garcia@condiseno.co</t>
        </is>
      </c>
    </row>
    <row r="189">
      <c r="B189" s="170" t="n">
        <v>178</v>
      </c>
      <c r="C189" s="233" t="inlineStr">
        <is>
          <t xml:space="preserve">COTIZACION DE LOS DISEÑOS DE PROTECCIÓN CONTRA INCENDIOS Y SEGURIDAD HUMANA PARA EL PROYECTO HOTEL LAURELES BY BLUES
</t>
        </is>
      </c>
      <c r="D189" s="312" t="n"/>
      <c r="E189" s="312" t="n"/>
      <c r="F189" s="312" t="n"/>
      <c r="G189" s="312" t="n"/>
      <c r="H189" s="312" t="n"/>
      <c r="I189" s="313" t="n"/>
      <c r="J189" s="199" t="inlineStr">
        <is>
          <t>Soluciones Integrales Emergent</t>
        </is>
      </c>
      <c r="K189" s="314" t="n">
        <v>15650000</v>
      </c>
      <c r="L189" s="2" t="n">
        <v>45393</v>
      </c>
      <c r="M189" s="170" t="n"/>
      <c r="N189" s="170" t="n"/>
      <c r="O189" s="102" t="inlineStr">
        <is>
          <t>Laura Duque</t>
        </is>
      </c>
      <c r="P189" s="52" t="inlineStr">
        <is>
          <t>lduque@emergentslnes.com.co</t>
        </is>
      </c>
    </row>
    <row r="190">
      <c r="B190" s="170" t="n">
        <v>179</v>
      </c>
      <c r="C190" s="246" t="inlineStr">
        <is>
          <t xml:space="preserve">COTIZACION DE LOS DISEÑOS DE PROTECCIÓN CONTRA INCENDIOS PARA EL PROYECTO QUIALITY CENTER-BODEGA APIX
</t>
        </is>
      </c>
      <c r="D190" s="312" t="n"/>
      <c r="E190" s="312" t="n"/>
      <c r="F190" s="312" t="n"/>
      <c r="G190" s="312" t="n"/>
      <c r="H190" s="312" t="n"/>
      <c r="I190" s="313" t="n"/>
      <c r="J190" s="199" t="inlineStr">
        <is>
          <t>Berince</t>
        </is>
      </c>
      <c r="K190" s="314" t="n">
        <v>19950000</v>
      </c>
      <c r="L190" s="2" t="n">
        <v>45394</v>
      </c>
      <c r="M190" s="170" t="n"/>
      <c r="N190" s="170" t="inlineStr">
        <is>
          <t>320 6720793</t>
        </is>
      </c>
      <c r="O190" s="102" t="inlineStr">
        <is>
          <t>Cristina Lamb</t>
        </is>
      </c>
      <c r="P190" s="52" t="inlineStr">
        <is>
          <t>berincesas@gmail.com</t>
        </is>
      </c>
    </row>
    <row r="191">
      <c r="B191" s="170" t="n">
        <v>180</v>
      </c>
      <c r="C191" s="199" t="inlineStr">
        <is>
          <t>COTIZACION DEL DISEÑO DE DETECCIÓN DE INCENDIOS PARA EL PROYECTO EDIFICIO GUATAPE</t>
        </is>
      </c>
      <c r="D191" s="312" t="n"/>
      <c r="E191" s="312" t="n"/>
      <c r="F191" s="312" t="n"/>
      <c r="G191" s="312" t="n"/>
      <c r="H191" s="312" t="n"/>
      <c r="I191" s="313" t="n"/>
      <c r="J191" s="199" t="inlineStr">
        <is>
          <t>Verlimpio</t>
        </is>
      </c>
      <c r="K191" s="314" t="n">
        <v>1250000</v>
      </c>
      <c r="L191" s="2" t="n">
        <v>45394</v>
      </c>
      <c r="M191" s="170" t="n"/>
      <c r="N191" s="170" t="n">
        <v>3503090723</v>
      </c>
      <c r="O191" s="102" t="inlineStr">
        <is>
          <t xml:space="preserve">Santiago Duque Hoyos </t>
        </is>
      </c>
      <c r="P191" s="52" t="inlineStr">
        <is>
          <t>ventas@verlimpio.com</t>
        </is>
      </c>
    </row>
    <row r="192">
      <c r="B192" s="170" t="n">
        <v>181</v>
      </c>
      <c r="C192" s="199" t="inlineStr">
        <is>
          <t>COTIZACION DE LOS DISEÑOS DE PROTECCIÓN CONTRA INCENDIOS Y SEGURIDAD HUMANA PARA EL PROYECTO THE ANTHI GALLERIE HOTEL</t>
        </is>
      </c>
      <c r="D192" s="312" t="n"/>
      <c r="E192" s="312" t="n"/>
      <c r="F192" s="312" t="n"/>
      <c r="G192" s="312" t="n"/>
      <c r="H192" s="312" t="n"/>
      <c r="I192" s="313" t="n"/>
      <c r="J192" s="199" t="inlineStr">
        <is>
          <t>Soluciones Integrales Emergent</t>
        </is>
      </c>
      <c r="K192" s="314" t="n">
        <v>24650000</v>
      </c>
      <c r="L192" s="2" t="n">
        <v>45398</v>
      </c>
      <c r="M192" s="170" t="n"/>
      <c r="N192" s="170" t="n"/>
      <c r="O192" s="102" t="inlineStr">
        <is>
          <t>Laura Duque</t>
        </is>
      </c>
      <c r="P192" s="52" t="inlineStr">
        <is>
          <t>lduque@emergentslnes.com.co</t>
        </is>
      </c>
    </row>
    <row r="193">
      <c r="B193" s="170" t="n">
        <v>182</v>
      </c>
      <c r="C193" s="199" t="inlineStr">
        <is>
          <t>COTIZACION DE LOS DISEÑOS DE PROTECCIÓN CONTRA INCENDIOS Y SEGURIDAD HUMANA PARA EL PROYECTO EDIFICIO BETANIA</t>
        </is>
      </c>
      <c r="D193" s="312" t="n"/>
      <c r="E193" s="312" t="n"/>
      <c r="F193" s="312" t="n"/>
      <c r="G193" s="312" t="n"/>
      <c r="H193" s="312" t="n"/>
      <c r="I193" s="313" t="n"/>
      <c r="J193" s="199" t="inlineStr">
        <is>
          <t>Soluciones Integrales Emergent</t>
        </is>
      </c>
      <c r="K193" s="314" t="n">
        <v>14450000</v>
      </c>
      <c r="L193" s="2" t="n">
        <v>45398</v>
      </c>
      <c r="M193" s="170" t="n"/>
      <c r="N193" s="170" t="n"/>
      <c r="O193" s="102" t="inlineStr">
        <is>
          <t>Laura Duque</t>
        </is>
      </c>
      <c r="P193" s="52" t="inlineStr">
        <is>
          <t>lduque@emergentslnes.com.co</t>
        </is>
      </c>
    </row>
    <row r="194">
      <c r="B194" s="170" t="n">
        <v>183</v>
      </c>
      <c r="C194" s="199" t="inlineStr">
        <is>
          <t>COTIZACION DEL ANÁLISIS DE SEGURIDAD HUMANA PARA EL PROYECTO OFICINAS LIBERTY</t>
        </is>
      </c>
      <c r="D194" s="312" t="n"/>
      <c r="E194" s="312" t="n"/>
      <c r="F194" s="312" t="n"/>
      <c r="G194" s="312" t="n"/>
      <c r="H194" s="312" t="n"/>
      <c r="I194" s="313" t="n"/>
      <c r="J194" s="199" t="inlineStr">
        <is>
          <t>Studio Sur</t>
        </is>
      </c>
      <c r="K194" s="314" t="n">
        <v>1500000</v>
      </c>
      <c r="L194" s="2" t="n">
        <v>45398</v>
      </c>
      <c r="M194" s="2" t="n"/>
      <c r="N194" s="170" t="n"/>
      <c r="O194" s="102" t="inlineStr">
        <is>
          <t>Liliana Gutierrez</t>
        </is>
      </c>
      <c r="P194" s="52" t="inlineStr">
        <is>
          <t>liliana.gutierrez@studiosur.net</t>
        </is>
      </c>
    </row>
    <row r="195">
      <c r="B195" s="170" t="n">
        <v>184</v>
      </c>
      <c r="C195" s="199" t="inlineStr">
        <is>
          <t>COTIZACION DE LOS DISEÑOS DE PROTECCIÓN CONTRA INCENDIOS Y SEGURIDAD HUMANA PARA EL PROYECTO EDIFICIO GUATAPE RESIDENCIAL R2</t>
        </is>
      </c>
      <c r="D195" s="312" t="n"/>
      <c r="E195" s="312" t="n"/>
      <c r="F195" s="312" t="n"/>
      <c r="G195" s="312" t="n"/>
      <c r="H195" s="312" t="n"/>
      <c r="I195" s="313" t="n"/>
      <c r="J195" s="199" t="inlineStr">
        <is>
          <t>Verlimpio</t>
        </is>
      </c>
      <c r="K195" s="314" t="n">
        <v>3950000</v>
      </c>
      <c r="L195" s="2" t="n">
        <v>45398</v>
      </c>
      <c r="M195" s="170" t="n"/>
      <c r="N195" s="170" t="n">
        <v>3503090723</v>
      </c>
      <c r="O195" s="102" t="inlineStr">
        <is>
          <t xml:space="preserve">Santiago Duque Hoyos </t>
        </is>
      </c>
      <c r="P195" s="52" t="inlineStr">
        <is>
          <t>ventas@verlimpio.com</t>
        </is>
      </c>
    </row>
    <row r="196">
      <c r="B196" s="170" t="n">
        <v>185</v>
      </c>
      <c r="C196" s="246" t="inlineStr">
        <is>
          <t>COTIZACION DE LOS DISEÑOS DE PROTECCIÓN CONTRA INCENDIOS Y SEGURIDAD HUMANA PARA EL PROYECTO CARPINELO MULTIFAMILY ETAPAS 3A Y 3B</t>
        </is>
      </c>
      <c r="D196" s="312" t="n"/>
      <c r="E196" s="312" t="n"/>
      <c r="F196" s="312" t="n"/>
      <c r="G196" s="312" t="n"/>
      <c r="H196" s="312" t="n"/>
      <c r="I196" s="313" t="n"/>
      <c r="J196" s="199" t="inlineStr">
        <is>
          <t>Coninsa</t>
        </is>
      </c>
      <c r="K196" s="314" t="n">
        <v>12420000</v>
      </c>
      <c r="L196" s="2" t="n">
        <v>45398</v>
      </c>
      <c r="M196" s="2" t="n"/>
      <c r="N196" s="170" t="inlineStr">
        <is>
          <t>300 6194323</t>
        </is>
      </c>
      <c r="O196" s="102" t="inlineStr">
        <is>
          <t xml:space="preserve"> Clara Ines Mesa Lopez de Mesa</t>
        </is>
      </c>
      <c r="P196" s="52" t="inlineStr">
        <is>
          <t>cmesa@coninsa.co</t>
        </is>
      </c>
    </row>
    <row r="197">
      <c r="B197" s="170" t="n">
        <v>186</v>
      </c>
      <c r="C197" s="199" t="inlineStr">
        <is>
          <t>COTIZACION DE LOS DISEÑOS DE PROTECCIÓN CONTRA INCENDIOS PARA EL PROYECTO AREA DATACENTER Y CUARTO DE UPS</t>
        </is>
      </c>
      <c r="D197" s="312" t="n"/>
      <c r="E197" s="312" t="n"/>
      <c r="F197" s="312" t="n"/>
      <c r="G197" s="312" t="n"/>
      <c r="H197" s="312" t="n"/>
      <c r="I197" s="313" t="n"/>
      <c r="J197" s="199" t="inlineStr">
        <is>
          <t>Coinsi</t>
        </is>
      </c>
      <c r="K197" s="314" t="n">
        <v>7500000</v>
      </c>
      <c r="L197" s="2" t="n">
        <v>45399</v>
      </c>
      <c r="M197" s="170" t="n"/>
      <c r="N197" s="170" t="n"/>
      <c r="O197" s="102" t="inlineStr">
        <is>
          <t>SergiSergio Rodriguez</t>
        </is>
      </c>
      <c r="P197" s="52" t="inlineStr">
        <is>
          <t>diseno4@gyd.com.co</t>
        </is>
      </c>
    </row>
    <row r="198">
      <c r="B198" s="170" t="n">
        <v>187</v>
      </c>
      <c r="C198" s="199" t="inlineStr">
        <is>
          <t>COTIZACION DE LOS DISEÑOS DE PROTECCIÓN CONTRA INCENDIOS Y SEGURIDAD HUMANA PARA EL PROYECTO URBIT GARDEN</t>
        </is>
      </c>
      <c r="D198" s="312" t="n"/>
      <c r="E198" s="312" t="n"/>
      <c r="F198" s="312" t="n"/>
      <c r="G198" s="312" t="n"/>
      <c r="H198" s="312" t="n"/>
      <c r="I198" s="313" t="n"/>
      <c r="J198" s="199" t="inlineStr">
        <is>
          <t>Asesorias Balbin</t>
        </is>
      </c>
      <c r="K198" s="314" t="n">
        <v>13000000</v>
      </c>
      <c r="L198" s="2" t="n">
        <v>45399</v>
      </c>
      <c r="M198" s="170" t="n"/>
      <c r="N198" s="170" t="n">
        <v>3127463275</v>
      </c>
      <c r="O198" s="102" t="inlineStr">
        <is>
          <t>Santiago Cardona</t>
        </is>
      </c>
      <c r="P198" s="52" t="inlineStr">
        <is>
          <t>santi.car9@hotmail.com</t>
        </is>
      </c>
    </row>
    <row r="199">
      <c r="B199" s="170" t="n">
        <v>188</v>
      </c>
      <c r="C199" s="199" t="inlineStr">
        <is>
          <t>COTIZACION DE LOS DISEÑOS DE PROTECCIÓN CONTRA INCENDIOS Y SEGURIDAD HUMANA PARA EL PROYECTO CALLE JARDIN LAURELES</t>
        </is>
      </c>
      <c r="D199" s="312" t="n"/>
      <c r="E199" s="312" t="n"/>
      <c r="F199" s="312" t="n"/>
      <c r="G199" s="312" t="n"/>
      <c r="H199" s="312" t="n"/>
      <c r="I199" s="313" t="n"/>
      <c r="J199" s="199" t="inlineStr">
        <is>
          <t>Sebastián Vásquez</t>
        </is>
      </c>
      <c r="K199" s="314" t="inlineStr">
        <is>
          <t>variable</t>
        </is>
      </c>
      <c r="L199" s="2" t="n">
        <v>45399</v>
      </c>
      <c r="M199" s="170" t="n"/>
      <c r="N199" s="170" t="n"/>
      <c r="O199" s="102" t="inlineStr">
        <is>
          <t>Sebastián Vásquez</t>
        </is>
      </c>
      <c r="P199" s="52" t="n"/>
    </row>
    <row r="200">
      <c r="B200" s="170" t="n">
        <v>189</v>
      </c>
      <c r="C200" s="246" t="inlineStr">
        <is>
          <t xml:space="preserve">COTIZACION DEL ANÁLISIS DE SEGURIDAD HUMANA PARA EL PROYECTO LOTE LA AMERICA FERRINI
</t>
        </is>
      </c>
      <c r="D200" s="312" t="n"/>
      <c r="E200" s="312" t="n"/>
      <c r="F200" s="312" t="n"/>
      <c r="G200" s="312" t="n"/>
      <c r="H200" s="312" t="n"/>
      <c r="I200" s="313" t="n"/>
      <c r="J200" s="199" t="inlineStr">
        <is>
          <t>Progressa</t>
        </is>
      </c>
      <c r="K200" s="314" t="n">
        <v>3500000</v>
      </c>
      <c r="L200" s="2" t="n">
        <v>45400</v>
      </c>
      <c r="M200" s="170" t="n"/>
      <c r="N200" s="170" t="inlineStr">
        <is>
          <t xml:space="preserve"> 316 5793596</t>
        </is>
      </c>
      <c r="O200" s="103" t="inlineStr">
        <is>
          <t>Carlos Saldarriaga</t>
        </is>
      </c>
      <c r="P200" s="52" t="inlineStr">
        <is>
          <t xml:space="preserve">casaldarriaga@ces.edu.co </t>
        </is>
      </c>
    </row>
    <row r="201">
      <c r="B201" s="170" t="n">
        <v>190</v>
      </c>
      <c r="C201" s="199" t="inlineStr">
        <is>
          <t>COTIZACION DE LOS DISEÑOS DE PROTECCIÓN CONTRA INCENDIOS - EDIFICIO RESIDENCIAL GUATAPÉ</t>
        </is>
      </c>
      <c r="D201" s="312" t="n"/>
      <c r="E201" s="312" t="n"/>
      <c r="F201" s="312" t="n"/>
      <c r="G201" s="312" t="n"/>
      <c r="H201" s="312" t="n"/>
      <c r="I201" s="313" t="n"/>
      <c r="J201" s="199" t="inlineStr">
        <is>
          <t>Verlimpio</t>
        </is>
      </c>
      <c r="K201" s="314" t="n">
        <v>2500000</v>
      </c>
      <c r="L201" s="2" t="n">
        <v>45401</v>
      </c>
      <c r="M201" s="170" t="n"/>
      <c r="N201" s="170" t="n">
        <v>3503090723</v>
      </c>
      <c r="O201" s="102" t="inlineStr">
        <is>
          <t xml:space="preserve">Santiago Duque Hoyos </t>
        </is>
      </c>
      <c r="P201" s="52" t="inlineStr">
        <is>
          <t>ventas@verlimpio.com</t>
        </is>
      </c>
    </row>
    <row r="202">
      <c r="B202" s="170" t="n">
        <v>191</v>
      </c>
      <c r="C202" s="199" t="inlineStr">
        <is>
          <t>COTIZACION DEL DISEÑO DE DETECCIÓN DE INCENDIOS PARA EL PROYECTO PLANTA CASA DE TOROS AUTOMOTRIZ</t>
        </is>
      </c>
      <c r="D202" s="312" t="n"/>
      <c r="E202" s="312" t="n"/>
      <c r="F202" s="312" t="n"/>
      <c r="G202" s="312" t="n"/>
      <c r="H202" s="312" t="n"/>
      <c r="I202" s="313" t="n"/>
      <c r="J202" s="199" t="inlineStr">
        <is>
          <t>SPCI</t>
        </is>
      </c>
      <c r="K202" s="314" t="n">
        <v>4390000</v>
      </c>
      <c r="L202" s="2" t="n">
        <v>45405</v>
      </c>
      <c r="M202" s="170" t="n"/>
      <c r="N202" s="170" t="inlineStr">
        <is>
          <t>310 4165783</t>
        </is>
      </c>
      <c r="O202" s="103" t="inlineStr">
        <is>
          <t xml:space="preserve"> Cristiam Gustavo Mondragon</t>
        </is>
      </c>
      <c r="P202" s="52" t="inlineStr">
        <is>
          <t>dir.tecnico@spci.com.co</t>
        </is>
      </c>
    </row>
    <row r="203">
      <c r="B203" s="170" t="n">
        <v>192</v>
      </c>
      <c r="C203" s="199" t="inlineStr">
        <is>
          <t>COTIZACION DEL ANÁLISIS DE SEGURIDAD HUMANA PARA EL PROYECTO OFICINAS CORPORATIVAS</t>
        </is>
      </c>
      <c r="D203" s="312" t="n"/>
      <c r="E203" s="312" t="n"/>
      <c r="F203" s="312" t="n"/>
      <c r="G203" s="312" t="n"/>
      <c r="H203" s="312" t="n"/>
      <c r="I203" s="313" t="n"/>
      <c r="J203" s="199" t="inlineStr">
        <is>
          <t>C3 Construcciones y Contratos SAS</t>
        </is>
      </c>
      <c r="K203" s="314" t="n">
        <v>3150000</v>
      </c>
      <c r="L203" s="2" t="n">
        <v>45404</v>
      </c>
      <c r="M203" s="2" t="n"/>
      <c r="N203" s="170" t="inlineStr">
        <is>
          <t xml:space="preserve">311-305-73-71 </t>
        </is>
      </c>
      <c r="O203" s="102" t="inlineStr">
        <is>
          <t>Yazmin Sorely Ceballos</t>
        </is>
      </c>
      <c r="P203" s="52" t="inlineStr">
        <is>
          <t xml:space="preserve"> proyectovatia@c3construcciones.com </t>
        </is>
      </c>
    </row>
    <row r="204" ht="15" customHeight="1">
      <c r="B204" s="170" t="n">
        <v>193</v>
      </c>
      <c r="C204" s="199" t="inlineStr">
        <is>
          <t xml:space="preserve">COTIZACION DEL DISEÑO DE EXTINCIÓN DE INCENDIOS PARA EL PROYECTO PLANTA BARRANQUILLA
</t>
        </is>
      </c>
      <c r="D204" s="312" t="n"/>
      <c r="E204" s="312" t="n"/>
      <c r="F204" s="312" t="n"/>
      <c r="G204" s="312" t="n"/>
      <c r="H204" s="312" t="n"/>
      <c r="I204" s="313" t="n"/>
      <c r="J204" s="199" t="inlineStr">
        <is>
          <t>Good Group</t>
        </is>
      </c>
      <c r="K204" s="314" t="n">
        <v>39400000</v>
      </c>
      <c r="L204" s="2" t="n">
        <v>45404</v>
      </c>
      <c r="M204" s="170" t="n"/>
      <c r="N204" s="170" t="n">
        <v>3134451063</v>
      </c>
      <c r="O204" s="78" t="inlineStr">
        <is>
          <t>Juan Jose Monsalve</t>
        </is>
      </c>
      <c r="P204" s="52" t="inlineStr">
        <is>
          <t>dir.proyectos@goodgroup.com.co</t>
        </is>
      </c>
    </row>
    <row r="205">
      <c r="B205" s="170" t="n">
        <v>194</v>
      </c>
      <c r="C205" s="199" t="inlineStr">
        <is>
          <t>COTIZACION DE LOS DISEÑOS DE PROTECCIÓN CONTRA INCENDIOS Y SEGURIDAD HUMANA PARA EL PROYECTO HOTEL MALL DEL ESTE</t>
        </is>
      </c>
      <c r="D205" s="312" t="n"/>
      <c r="E205" s="312" t="n"/>
      <c r="F205" s="312" t="n"/>
      <c r="G205" s="312" t="n"/>
      <c r="H205" s="312" t="n"/>
      <c r="I205" s="313" t="n"/>
      <c r="J205" s="199" t="inlineStr">
        <is>
          <t>Convel</t>
        </is>
      </c>
      <c r="K205" s="314" t="n">
        <v>28950000</v>
      </c>
      <c r="L205" s="2" t="n">
        <v>45404</v>
      </c>
      <c r="M205" s="170" t="n"/>
      <c r="N205" s="170" t="n">
        <v>3137337587</v>
      </c>
      <c r="O205" s="102" t="inlineStr">
        <is>
          <t>Juan Carlos Naranjo</t>
        </is>
      </c>
      <c r="P205" s="52" t="inlineStr">
        <is>
          <t>juannaranjo@convel.co</t>
        </is>
      </c>
    </row>
    <row r="206">
      <c r="B206" s="170" t="n">
        <v>195</v>
      </c>
      <c r="C206" s="199" t="inlineStr">
        <is>
          <t>COTIZACION DE LOS DISEÑOS DE PROTECCIÓN CONTRA INCENDIOS Y SEGURIDAD HUMANA PARA EL PROYECTO HOTEL PREMIUM PLAZA</t>
        </is>
      </c>
      <c r="D206" s="312" t="n"/>
      <c r="E206" s="312" t="n"/>
      <c r="F206" s="312" t="n"/>
      <c r="G206" s="312" t="n"/>
      <c r="H206" s="312" t="n"/>
      <c r="I206" s="313" t="n"/>
      <c r="J206" s="199" t="inlineStr">
        <is>
          <t>Convel</t>
        </is>
      </c>
      <c r="K206" s="314" t="n">
        <v>32950000</v>
      </c>
      <c r="L206" s="2" t="n">
        <v>45404</v>
      </c>
      <c r="M206" s="170" t="n"/>
      <c r="N206" s="170" t="n">
        <v>3137337587</v>
      </c>
      <c r="O206" s="102" t="inlineStr">
        <is>
          <t>Juan Carlos Naranjo</t>
        </is>
      </c>
      <c r="P206" s="52" t="inlineStr">
        <is>
          <t>juannaranjo@convel.co</t>
        </is>
      </c>
    </row>
    <row r="207">
      <c r="B207" s="170" t="n">
        <v>196</v>
      </c>
      <c r="C207" s="199" t="inlineStr">
        <is>
          <t>COTIZACION DEL DISEÑO DE EXTINCIÓN DE INCENDIOS PARA EL PROYECTO HOTEL BANBÚ</t>
        </is>
      </c>
      <c r="D207" s="312" t="n"/>
      <c r="E207" s="312" t="n"/>
      <c r="F207" s="312" t="n"/>
      <c r="G207" s="312" t="n"/>
      <c r="H207" s="312" t="n"/>
      <c r="I207" s="313" t="n"/>
      <c r="J207" s="199" t="inlineStr">
        <is>
          <t xml:space="preserve"> Juan David Ochoa</t>
        </is>
      </c>
      <c r="K207" s="314" t="n">
        <v>1500000</v>
      </c>
      <c r="L207" s="2" t="n">
        <v>45405</v>
      </c>
      <c r="M207" s="170" t="n"/>
      <c r="N207" s="170" t="n">
        <v>3206823955</v>
      </c>
      <c r="O207" s="102" t="inlineStr">
        <is>
          <t xml:space="preserve"> Juan David Ochoa</t>
        </is>
      </c>
      <c r="P207" s="52" t="n"/>
    </row>
    <row r="208" ht="15" customHeight="1">
      <c r="B208" s="170" t="n">
        <v>197</v>
      </c>
      <c r="C208" s="199" t="inlineStr">
        <is>
          <t>COTIZACION DEL DISEÑO DE EXTINCIÓN DE INCENDIOS PARA EL PROYECTO MOSAICO VILLA CENTRAL</t>
        </is>
      </c>
      <c r="D208" s="312" t="n"/>
      <c r="E208" s="312" t="n"/>
      <c r="F208" s="312" t="n"/>
      <c r="G208" s="312" t="n"/>
      <c r="H208" s="312" t="n"/>
      <c r="I208" s="313" t="n"/>
      <c r="J208" s="199" t="inlineStr">
        <is>
          <t>Hidro F Salinas</t>
        </is>
      </c>
      <c r="K208" s="314" t="n">
        <v>16950000</v>
      </c>
      <c r="L208" s="2" t="n">
        <v>45405</v>
      </c>
      <c r="M208" s="170" t="n"/>
      <c r="N208" s="170" t="n">
        <v>3104139821</v>
      </c>
      <c r="O208" s="102" t="inlineStr">
        <is>
          <t>Carolina Volkmar</t>
        </is>
      </c>
      <c r="P208" s="52" t="inlineStr">
        <is>
          <t>carolina@hidrofsalinas.com</t>
        </is>
      </c>
    </row>
    <row r="209">
      <c r="B209" s="170" t="n">
        <v>198</v>
      </c>
      <c r="C209" s="199" t="inlineStr">
        <is>
          <t xml:space="preserve">COTIZACION DE LOS DISEÑOS DE DETECCIÓN DE INCENDIOS Y SEGURIDAD HUMANA PARA EL PROYECTO TIERRA LINDA DE LAS ROSAS
</t>
        </is>
      </c>
      <c r="D209" s="312" t="n"/>
      <c r="E209" s="312" t="n"/>
      <c r="F209" s="312" t="n"/>
      <c r="G209" s="312" t="n"/>
      <c r="H209" s="312" t="n"/>
      <c r="I209" s="313" t="n"/>
      <c r="J209" s="199" t="inlineStr">
        <is>
          <t>FIRE MARSHAL</t>
        </is>
      </c>
      <c r="K209" s="314" t="n">
        <v>8950000</v>
      </c>
      <c r="L209" s="2" t="n">
        <v>45406</v>
      </c>
      <c r="M209" s="170" t="n"/>
      <c r="N209" s="170" t="n"/>
      <c r="O209" s="102" t="inlineStr">
        <is>
          <t>José Manuel Maya</t>
        </is>
      </c>
      <c r="P209" s="52" t="inlineStr">
        <is>
          <t>josemaya@firemarshal.com.co</t>
        </is>
      </c>
    </row>
    <row r="210">
      <c r="B210" s="170" t="n">
        <v>199</v>
      </c>
      <c r="C210" s="199" t="inlineStr">
        <is>
          <t>COTIZACION DE LOS DISEÑOS DE PROTECCIÓN CONTRA INCENDIOS Y SEGURIDAD HUMANA PARA EL PROYECTO EMPACADORA WAKATE Y LIMÓN</t>
        </is>
      </c>
      <c r="D210" s="312" t="n"/>
      <c r="E210" s="312" t="n"/>
      <c r="F210" s="312" t="n"/>
      <c r="G210" s="312" t="n"/>
      <c r="H210" s="312" t="n"/>
      <c r="I210" s="313" t="n"/>
      <c r="J210" s="199" t="inlineStr">
        <is>
          <t>INTERVE</t>
        </is>
      </c>
      <c r="K210" s="314" t="n">
        <v>59550000</v>
      </c>
      <c r="L210" s="2" t="n">
        <v>45407</v>
      </c>
      <c r="M210" s="170" t="n"/>
      <c r="N210" s="170" t="n">
        <v>3207978185</v>
      </c>
      <c r="O210" s="102" t="inlineStr">
        <is>
          <t>Luis Felipe Valderrama</t>
        </is>
      </c>
      <c r="P210" s="52" t="inlineStr">
        <is>
          <t>lfvalderrama@interve.co</t>
        </is>
      </c>
    </row>
    <row r="211">
      <c r="B211" s="170" t="n">
        <v>200</v>
      </c>
      <c r="C211" s="199" t="inlineStr">
        <is>
          <t>COTIZACION DE LOS DISEÑOS DE PROTECCIÓN CONTRA INCENDIOS Y SEGURIDAD HUMANA PARA EL PROYECTO MALL BOSQUE VERDE</t>
        </is>
      </c>
      <c r="D211" s="312" t="n"/>
      <c r="E211" s="312" t="n"/>
      <c r="F211" s="312" t="n"/>
      <c r="G211" s="312" t="n"/>
      <c r="H211" s="312" t="n"/>
      <c r="I211" s="313" t="n"/>
      <c r="J211" s="199" t="inlineStr">
        <is>
          <t>FCR</t>
        </is>
      </c>
      <c r="K211" s="314" t="n">
        <v>15920000</v>
      </c>
      <c r="L211" s="2" t="n">
        <v>45407</v>
      </c>
      <c r="M211" s="170" t="n"/>
      <c r="N211" s="170" t="inlineStr">
        <is>
          <t>310 5304562</t>
        </is>
      </c>
      <c r="O211" s="102" t="inlineStr">
        <is>
          <t xml:space="preserve">Vanessa Zapata </t>
        </is>
      </c>
      <c r="P211" s="52" t="inlineStr">
        <is>
          <t>vanessazapata.fcr@gmail.com</t>
        </is>
      </c>
    </row>
    <row r="212" ht="15" customHeight="1">
      <c r="B212" s="170" t="n">
        <v>201</v>
      </c>
      <c r="C212" s="199" t="inlineStr">
        <is>
          <t>COTIZACION DE LOS DISEÑOS DE PROTECCIÓN CONTRA INCENDIOS PARA EL PROYECTO MONA MINAS</t>
        </is>
      </c>
      <c r="D212" s="312" t="n"/>
      <c r="E212" s="312" t="n"/>
      <c r="F212" s="312" t="n"/>
      <c r="G212" s="312" t="n"/>
      <c r="H212" s="312" t="n"/>
      <c r="I212" s="313" t="n"/>
      <c r="J212" s="199" t="inlineStr">
        <is>
          <t>SPCI</t>
        </is>
      </c>
      <c r="K212" s="314" t="n">
        <v>5640000</v>
      </c>
      <c r="L212" s="2" t="n">
        <v>45407</v>
      </c>
      <c r="M212" s="170" t="n"/>
      <c r="N212" s="170" t="n">
        <v>3137546144</v>
      </c>
      <c r="O212" s="102" t="inlineStr">
        <is>
          <t xml:space="preserve"> Juan Camilo Quintero Bedoya</t>
        </is>
      </c>
      <c r="P212" s="52" t="inlineStr">
        <is>
          <t>camilo.quintero@spci.com.co</t>
        </is>
      </c>
    </row>
    <row r="213">
      <c r="B213" s="170" t="n">
        <v>202</v>
      </c>
      <c r="C213" s="199" t="inlineStr">
        <is>
          <t>COTIZACION DE LOS DISEÑOS DE PROTECCIÓN CONTRA INCENDIOS PARA EL PROYECTO LA BOLERA CC MAYORCA</t>
        </is>
      </c>
      <c r="D213" s="312" t="n"/>
      <c r="E213" s="312" t="n"/>
      <c r="F213" s="312" t="n"/>
      <c r="G213" s="312" t="n"/>
      <c r="H213" s="312" t="n"/>
      <c r="I213" s="313" t="n"/>
      <c r="J213" s="199" t="inlineStr">
        <is>
          <t>RCI Montajes</t>
        </is>
      </c>
      <c r="K213" s="314" t="n">
        <v>2650000</v>
      </c>
      <c r="L213" s="2" t="n">
        <v>45411</v>
      </c>
      <c r="M213" s="170" t="n"/>
      <c r="N213" s="170" t="inlineStr">
        <is>
          <t>304 3729342</t>
        </is>
      </c>
      <c r="O213" s="102" t="inlineStr">
        <is>
          <t>Santiago Cardona Zapata</t>
        </is>
      </c>
      <c r="P213" s="52" t="inlineStr">
        <is>
          <t>proyectos1@rcimontajes.co</t>
        </is>
      </c>
    </row>
    <row r="214">
      <c r="B214" s="170" t="n">
        <v>203</v>
      </c>
      <c r="C214" s="199" t="inlineStr">
        <is>
          <t xml:space="preserve">COTIZACION DEL DISEÑO DE DETECCIÓN DE INCENDIOS PARA EL PROYECTO ECO HOTEL EL ENCANTO </t>
        </is>
      </c>
      <c r="D214" s="312" t="n"/>
      <c r="E214" s="312" t="n"/>
      <c r="F214" s="312" t="n"/>
      <c r="G214" s="312" t="n"/>
      <c r="H214" s="312" t="n"/>
      <c r="I214" s="313" t="n"/>
      <c r="J214" s="199" t="inlineStr">
        <is>
          <t>JOMARK</t>
        </is>
      </c>
      <c r="K214" s="314" t="n">
        <v>3750000</v>
      </c>
      <c r="L214" s="2" t="n">
        <v>45411</v>
      </c>
      <c r="M214" s="170" t="n"/>
      <c r="N214" s="170" t="n">
        <v>3194913179</v>
      </c>
      <c r="O214" s="102" t="inlineStr">
        <is>
          <t xml:space="preserve">Carlos Almanya Patiño </t>
        </is>
      </c>
      <c r="P214" s="52" t="inlineStr">
        <is>
          <t>calmanya@jomarkseguridad.com</t>
        </is>
      </c>
    </row>
    <row r="215">
      <c r="B215" s="170" t="n">
        <v>204</v>
      </c>
      <c r="C215" s="233" t="inlineStr">
        <is>
          <t>COTIZACION DE LOS DISEÑOS DE PROTECCIÓN CONTRA INCENDIOS PARA EL PROYECTO SOLAR FOTOVOLTAICO -FABRICA NESTLÉ</t>
        </is>
      </c>
      <c r="D215" s="312" t="n"/>
      <c r="E215" s="312" t="n"/>
      <c r="F215" s="312" t="n"/>
      <c r="G215" s="312" t="n"/>
      <c r="H215" s="312" t="n"/>
      <c r="I215" s="313" t="n"/>
      <c r="J215" s="199" t="inlineStr">
        <is>
          <t xml:space="preserve">Cristhian Pérez </t>
        </is>
      </c>
      <c r="K215" s="314" t="n">
        <v>13900000</v>
      </c>
      <c r="L215" s="2" t="n">
        <v>45411</v>
      </c>
      <c r="M215" s="170" t="n"/>
      <c r="N215" s="170" t="n">
        <v>3218762242</v>
      </c>
      <c r="O215" s="102" t="inlineStr">
        <is>
          <t xml:space="preserve">Cristihan Andrés Pérez Escobar </t>
        </is>
      </c>
      <c r="P215" s="52" t="inlineStr">
        <is>
          <t>cristihan@solenium.co</t>
        </is>
      </c>
    </row>
    <row r="216">
      <c r="B216" s="170" t="n">
        <v>205</v>
      </c>
      <c r="C216" s="199" t="inlineStr">
        <is>
          <t>COTIZACION DEL DISEÑO DE DETECCIÓN DE INCENDIOS PARA EL PROYECTO PAPELES DEL CAUCA</t>
        </is>
      </c>
      <c r="D216" s="312" t="n"/>
      <c r="E216" s="312" t="n"/>
      <c r="F216" s="312" t="n"/>
      <c r="G216" s="312" t="n"/>
      <c r="H216" s="312" t="n"/>
      <c r="I216" s="313" t="n"/>
      <c r="J216" s="199" t="inlineStr">
        <is>
          <t>Seriinco</t>
        </is>
      </c>
      <c r="K216" s="314" t="n">
        <v>1880000</v>
      </c>
      <c r="L216" s="2" t="n">
        <v>45411</v>
      </c>
      <c r="M216" s="2" t="n"/>
      <c r="N216" s="170" t="n">
        <v>3116460496</v>
      </c>
      <c r="O216" s="102" t="inlineStr">
        <is>
          <t xml:space="preserve"> Francisco Unda</t>
        </is>
      </c>
      <c r="P216" s="52" t="inlineStr">
        <is>
          <t>francisco.unda@seriinco.com</t>
        </is>
      </c>
    </row>
    <row r="217">
      <c r="B217" s="170" t="n">
        <v>206</v>
      </c>
      <c r="C217" s="233" t="inlineStr">
        <is>
          <t xml:space="preserve">COTIZACION DE LOS DISEÑOS DE PROTECCIÓN CONTRA INCENDIOS PARA EL PROYECTO TORRE FÁTIMA
</t>
        </is>
      </c>
      <c r="D217" s="312" t="n"/>
      <c r="E217" s="312" t="n"/>
      <c r="F217" s="312" t="n"/>
      <c r="G217" s="312" t="n"/>
      <c r="H217" s="312" t="n"/>
      <c r="I217" s="313" t="n"/>
      <c r="J217" s="199" t="inlineStr">
        <is>
          <t>Ivadama Constructores</t>
        </is>
      </c>
      <c r="K217" s="314" t="n">
        <v>16940000</v>
      </c>
      <c r="L217" s="2" t="n">
        <v>45412</v>
      </c>
      <c r="M217" s="170" t="n"/>
      <c r="N217" s="170" t="inlineStr">
        <is>
          <t>301 2142568</t>
        </is>
      </c>
      <c r="O217" s="102" t="inlineStr">
        <is>
          <t>David León</t>
        </is>
      </c>
      <c r="P217" s="52" t="n"/>
    </row>
    <row r="218">
      <c r="B218" s="170" t="n">
        <v>207</v>
      </c>
      <c r="C218" s="199" t="inlineStr">
        <is>
          <t xml:space="preserve">COTIZACION DEL DISEÑO DE EXTINCIÓN DE INCENDIOS PARA EL PROYECTO DYREFOR </t>
        </is>
      </c>
      <c r="D218" s="312" t="n"/>
      <c r="E218" s="312" t="n"/>
      <c r="F218" s="312" t="n"/>
      <c r="G218" s="312" t="n"/>
      <c r="H218" s="312" t="n"/>
      <c r="I218" s="313" t="n"/>
      <c r="J218" s="199" t="inlineStr">
        <is>
          <t>DRYREFOR S.A.S</t>
        </is>
      </c>
      <c r="K218" s="314" t="n">
        <v>2500000</v>
      </c>
      <c r="L218" s="2" t="n">
        <v>45412</v>
      </c>
      <c r="M218" s="170" t="n"/>
      <c r="N218" s="170" t="n"/>
      <c r="O218" s="102" t="inlineStr">
        <is>
          <t>Deisy Gómez</t>
        </is>
      </c>
      <c r="P218" s="52" t="inlineStr">
        <is>
          <t>aux.proyectos@dryrefor.com</t>
        </is>
      </c>
    </row>
    <row r="219">
      <c r="B219" s="170" t="n">
        <v>208</v>
      </c>
      <c r="C219" s="199" t="inlineStr">
        <is>
          <t>COTIZACION DEL DISEÑO DE EXTINCIÓN DE INCENDIOS PARA EL PROYECTO PROCIVIL</t>
        </is>
      </c>
      <c r="D219" s="312" t="n"/>
      <c r="E219" s="312" t="n"/>
      <c r="F219" s="312" t="n"/>
      <c r="G219" s="312" t="n"/>
      <c r="H219" s="312" t="n"/>
      <c r="I219" s="313" t="n"/>
      <c r="J219" s="199" t="inlineStr">
        <is>
          <t>Soluciones integrales Emergent</t>
        </is>
      </c>
      <c r="K219" s="314" t="n">
        <v>9950000</v>
      </c>
      <c r="L219" s="2" t="n">
        <v>45412</v>
      </c>
      <c r="M219" s="2" t="n"/>
      <c r="N219" s="170" t="n"/>
      <c r="O219" s="102" t="inlineStr">
        <is>
          <t xml:space="preserve">Laura Duque </t>
        </is>
      </c>
      <c r="P219" s="52" t="inlineStr">
        <is>
          <t>lduque@emergentslnes.com.co</t>
        </is>
      </c>
    </row>
    <row r="220">
      <c r="B220" s="170" t="n">
        <v>209</v>
      </c>
      <c r="C220" s="199" t="inlineStr">
        <is>
          <t>COTIZACION DE LOS DISEÑOS DE PROTECCIÓN CONTRA INCENDIOS Y SEGURIDAD HUMANA PARA EL PROYECTO EMPACADORA WAKATE Y LIMÓN</t>
        </is>
      </c>
      <c r="D220" s="312" t="n"/>
      <c r="E220" s="312" t="n"/>
      <c r="F220" s="312" t="n"/>
      <c r="G220" s="312" t="n"/>
      <c r="H220" s="312" t="n"/>
      <c r="I220" s="313" t="n"/>
      <c r="J220" s="199" t="inlineStr">
        <is>
          <t>SPCI</t>
        </is>
      </c>
      <c r="K220" s="314" t="n">
        <v>59550000</v>
      </c>
      <c r="L220" s="2" t="n">
        <v>45405</v>
      </c>
      <c r="M220" s="170" t="n"/>
      <c r="N220" s="170" t="inlineStr">
        <is>
          <t>310 4165783</t>
        </is>
      </c>
      <c r="O220" s="103" t="inlineStr">
        <is>
          <t xml:space="preserve"> Cristiam Gustavo Mondragon</t>
        </is>
      </c>
      <c r="P220" s="52" t="inlineStr">
        <is>
          <t>dir.tecnico@spci.com.co</t>
        </is>
      </c>
    </row>
    <row r="221">
      <c r="B221" s="170" t="n">
        <v>210</v>
      </c>
      <c r="C221" s="199" t="inlineStr">
        <is>
          <t>COTIZACION DEL ANÁLISIS DE SEGURIDAD HUMANA PARA EL PROYECTO CLINICA DEL ROSARIO DEL CENTRO</t>
        </is>
      </c>
      <c r="D221" s="312" t="n"/>
      <c r="E221" s="312" t="n"/>
      <c r="F221" s="312" t="n"/>
      <c r="G221" s="312" t="n"/>
      <c r="H221" s="312" t="n"/>
      <c r="I221" s="313" t="n"/>
      <c r="J221" s="199" t="inlineStr">
        <is>
          <t>CLINICA DEL ROSARIO</t>
        </is>
      </c>
      <c r="K221" s="314" t="n">
        <v>8150000</v>
      </c>
      <c r="L221" s="2" t="n">
        <v>45414</v>
      </c>
      <c r="M221" s="170" t="n"/>
      <c r="N221" s="170" t="inlineStr">
        <is>
          <t>300 4610230</t>
        </is>
      </c>
      <c r="O221" s="102" t="inlineStr">
        <is>
          <t>Juan David Velez Herrera</t>
        </is>
      </c>
      <c r="P221" s="52" t="inlineStr">
        <is>
          <t>proyectos@clinicaelrosario.com</t>
        </is>
      </c>
    </row>
    <row r="222">
      <c r="B222" s="170" t="n">
        <v>211</v>
      </c>
      <c r="C222" s="199" t="inlineStr">
        <is>
          <t>COTIZACION DE LOS DISEÑOS DE PROTECCIÓN CONTRA INCENDIOS Y SEGURIDAD HUMANA PARA EL PROYECTO CLINICA DEL COUNTRY</t>
        </is>
      </c>
      <c r="D222" s="312" t="n"/>
      <c r="E222" s="312" t="n"/>
      <c r="F222" s="312" t="n"/>
      <c r="G222" s="312" t="n"/>
      <c r="H222" s="312" t="n"/>
      <c r="I222" s="313" t="n"/>
      <c r="J222" s="199" t="inlineStr">
        <is>
          <t>CONDISEÑO</t>
        </is>
      </c>
      <c r="K222" s="314" t="n">
        <v>21950000</v>
      </c>
      <c r="L222" s="2" t="n">
        <v>45415</v>
      </c>
      <c r="M222" s="2" t="n"/>
      <c r="N222" s="170" t="n">
        <v>6042664893</v>
      </c>
      <c r="O222" s="102" t="inlineStr">
        <is>
          <t>Nakary Garcia Romero</t>
        </is>
      </c>
      <c r="P222" s="52" t="inlineStr">
        <is>
          <t>n.garcia@condiseno.co</t>
        </is>
      </c>
    </row>
    <row r="223">
      <c r="B223" s="170" t="n">
        <v>212</v>
      </c>
      <c r="C223" s="199" t="inlineStr">
        <is>
          <t>COTIZACION DE LOS DISEÑOS DE PROTECCIÓN CONTRA INCENDIOS PARA EL PROYECTO OFICINAS AVOPAK</t>
        </is>
      </c>
      <c r="D223" s="312" t="n"/>
      <c r="E223" s="312" t="n"/>
      <c r="F223" s="312" t="n"/>
      <c r="G223" s="312" t="n"/>
      <c r="H223" s="312" t="n"/>
      <c r="I223" s="313" t="n"/>
      <c r="J223" s="199" t="inlineStr">
        <is>
          <t>SPCI</t>
        </is>
      </c>
      <c r="K223" s="328" t="n">
        <v>4760000</v>
      </c>
      <c r="L223" s="2" t="n">
        <v>45415</v>
      </c>
      <c r="M223" s="170" t="n"/>
      <c r="N223" s="170" t="n">
        <v>3104165783</v>
      </c>
      <c r="O223" s="102" t="inlineStr">
        <is>
          <t xml:space="preserve"> Cristiam Gustavo Mondragon</t>
        </is>
      </c>
      <c r="P223" s="52" t="inlineStr">
        <is>
          <t>dir.tecnico@spci.com.co</t>
        </is>
      </c>
    </row>
    <row r="224">
      <c r="B224" s="170" t="n">
        <v>213</v>
      </c>
      <c r="C224" s="199" t="inlineStr">
        <is>
          <t xml:space="preserve">COTIZACION DEL ANÁLISIS DE SEGURIDAD HUMANA PARA EL PROYECTO GOOGLE
</t>
        </is>
      </c>
      <c r="D224" s="312" t="n"/>
      <c r="E224" s="312" t="n"/>
      <c r="F224" s="312" t="n"/>
      <c r="G224" s="312" t="n"/>
      <c r="H224" s="312" t="n"/>
      <c r="I224" s="313" t="n"/>
      <c r="J224" s="199" t="inlineStr">
        <is>
          <t>STUDIOSUR</t>
        </is>
      </c>
      <c r="K224" s="314" t="n">
        <v>3150000</v>
      </c>
      <c r="L224" s="2" t="n">
        <v>45415</v>
      </c>
      <c r="M224" s="170" t="n"/>
      <c r="N224" s="170" t="n">
        <v>6012357612</v>
      </c>
      <c r="O224" s="102" t="inlineStr">
        <is>
          <t>Laura Arias</t>
        </is>
      </c>
      <c r="P224" s="52" t="inlineStr">
        <is>
          <t>laura.arias@studiosur.net</t>
        </is>
      </c>
    </row>
    <row r="225">
      <c r="B225" s="170" t="n">
        <v>214</v>
      </c>
      <c r="C225" s="199" t="inlineStr">
        <is>
          <t>COTIZACION DE LOS DISEÑOS DE SEGURIDAD HUMANA Y PROTECCIÓN CONTRA INCENDIOS - PROYECTO RIBERO</t>
        </is>
      </c>
      <c r="D225" s="312" t="n"/>
      <c r="E225" s="312" t="n"/>
      <c r="F225" s="312" t="n"/>
      <c r="G225" s="312" t="n"/>
      <c r="H225" s="312" t="n"/>
      <c r="I225" s="313" t="n"/>
      <c r="J225" s="199" t="inlineStr">
        <is>
          <t>FCR</t>
        </is>
      </c>
      <c r="K225" s="314" t="n">
        <v>25240000</v>
      </c>
      <c r="L225" s="2" t="n">
        <v>45418</v>
      </c>
      <c r="M225" s="170" t="n"/>
      <c r="N225" s="170" t="inlineStr">
        <is>
          <t>310 5304562</t>
        </is>
      </c>
      <c r="O225" s="102" t="inlineStr">
        <is>
          <t xml:space="preserve">Vanessa Zapata </t>
        </is>
      </c>
      <c r="P225" s="52" t="inlineStr">
        <is>
          <t>vanessazapata.fcr@gmail.com</t>
        </is>
      </c>
    </row>
    <row r="226">
      <c r="B226" s="170" t="n">
        <v>215</v>
      </c>
      <c r="C226" s="199" t="inlineStr">
        <is>
          <t>COTIZACION DE LOS DISEÑOS DE DETECCIÓN DE INCENDIOS Y SEGURIDAD HUMANA PARA EL PROYECTO RIMEIRA</t>
        </is>
      </c>
      <c r="D226" s="312" t="n"/>
      <c r="E226" s="312" t="n"/>
      <c r="F226" s="312" t="n"/>
      <c r="G226" s="312" t="n"/>
      <c r="H226" s="312" t="n"/>
      <c r="I226" s="313" t="n"/>
      <c r="J226" s="199" t="inlineStr">
        <is>
          <t>Coninsa</t>
        </is>
      </c>
      <c r="K226" s="314" t="inlineStr">
        <is>
          <t>Variable</t>
        </is>
      </c>
      <c r="L226" s="2" t="n">
        <v>45419</v>
      </c>
      <c r="M226" s="170" t="n"/>
      <c r="N226" s="170" t="inlineStr">
        <is>
          <t>315 5264386</t>
        </is>
      </c>
      <c r="O226" s="102" t="inlineStr">
        <is>
          <t xml:space="preserve"> Yuliana Tamayo Zapata </t>
        </is>
      </c>
      <c r="P226" s="52" t="inlineStr">
        <is>
          <t>ytamayo@coninsa.co</t>
        </is>
      </c>
    </row>
    <row r="227">
      <c r="B227" s="170" t="n">
        <v>216</v>
      </c>
      <c r="C227" s="199" t="inlineStr">
        <is>
          <t>COTIZACION DEL DISEÑO DE DETECCIÓN DE INCENDIOS PARA EL PROYECTO SEDES NUEVAS SMART</t>
        </is>
      </c>
      <c r="D227" s="312" t="n"/>
      <c r="E227" s="312" t="n"/>
      <c r="F227" s="312" t="n"/>
      <c r="G227" s="312" t="n"/>
      <c r="H227" s="312" t="n"/>
      <c r="I227" s="313" t="n"/>
      <c r="J227" s="199" t="inlineStr">
        <is>
          <t>Smart idiomas</t>
        </is>
      </c>
      <c r="K227" s="314" t="n">
        <v>6400000</v>
      </c>
      <c r="L227" s="2" t="n">
        <v>45418</v>
      </c>
      <c r="M227" s="170" t="n"/>
      <c r="N227" s="170" t="inlineStr">
        <is>
          <t>2102484 Ext 1175</t>
        </is>
      </c>
      <c r="O227" s="102" t="inlineStr">
        <is>
          <t>Mariana Acuña Beltran</t>
        </is>
      </c>
      <c r="P227" s="52" t="inlineStr">
        <is>
          <t>analistacompras@smart.edu.co</t>
        </is>
      </c>
    </row>
    <row r="228" ht="15" customHeight="1">
      <c r="B228" s="170" t="n">
        <v>217</v>
      </c>
      <c r="C228" s="199" t="inlineStr">
        <is>
          <t>COTIZACION DEL DISEÑO DE EXTINCIÓN DE INCENDIOS PARA EL PROYECTO LA RESISTENCIA</t>
        </is>
      </c>
      <c r="D228" s="312" t="n"/>
      <c r="E228" s="312" t="n"/>
      <c r="F228" s="312" t="n"/>
      <c r="G228" s="312" t="n"/>
      <c r="H228" s="312" t="n"/>
      <c r="I228" s="313" t="n"/>
      <c r="J228" s="199" t="inlineStr">
        <is>
          <t>Hidro F Salinas</t>
        </is>
      </c>
      <c r="K228" s="314" t="n">
        <v>23750000</v>
      </c>
      <c r="L228" s="2" t="n">
        <v>45418</v>
      </c>
      <c r="M228" s="170" t="n"/>
      <c r="N228" s="170" t="inlineStr">
        <is>
          <t>(310) 413 98 21</t>
        </is>
      </c>
      <c r="O228" s="102" t="inlineStr">
        <is>
          <t xml:space="preserve">Carolina Volkmar </t>
        </is>
      </c>
      <c r="P228" s="52" t="inlineStr">
        <is>
          <t>carolina@hidrofsalinas.com</t>
        </is>
      </c>
    </row>
    <row r="229">
      <c r="B229" s="170" t="n">
        <v>218</v>
      </c>
      <c r="C229" s="199" t="inlineStr">
        <is>
          <t>COTIZACION DE LOS DISEÑOS DE PROTECCIÓN CONTRA INCENDIOS Y SEGURIDAD HUMANA PARA EL PROYECTO MALL COMERCIAL</t>
        </is>
      </c>
      <c r="D229" s="312" t="n"/>
      <c r="E229" s="312" t="n"/>
      <c r="F229" s="312" t="n"/>
      <c r="G229" s="312" t="n"/>
      <c r="H229" s="312" t="n"/>
      <c r="I229" s="313" t="n"/>
      <c r="J229" s="235" t="inlineStr">
        <is>
          <t>Mario Osorio</t>
        </is>
      </c>
      <c r="K229" s="314" t="n"/>
      <c r="L229" s="2" t="n">
        <v>45419</v>
      </c>
      <c r="M229" s="2" t="n"/>
      <c r="N229" s="170" t="inlineStr">
        <is>
          <t xml:space="preserve"> 311 3866315</t>
        </is>
      </c>
      <c r="O229" s="102" t="inlineStr">
        <is>
          <t>Mario Osorio</t>
        </is>
      </c>
      <c r="P229" s="52" t="n"/>
    </row>
    <row r="230">
      <c r="B230" s="170" t="n">
        <v>219</v>
      </c>
      <c r="C230" s="233" t="inlineStr">
        <is>
          <t>COTIZACION DE LOS DISEÑOS DE PROTECCIÓN CONTRA INCENDIOS Y SEGURIDAD HUMANA PARA EL PROYECTO COLINAS DE SANTA ANA</t>
        </is>
      </c>
      <c r="D230" s="312" t="n"/>
      <c r="E230" s="312" t="n"/>
      <c r="F230" s="312" t="n"/>
      <c r="G230" s="312" t="n"/>
      <c r="H230" s="312" t="n"/>
      <c r="I230" s="313" t="n"/>
      <c r="J230" s="199" t="inlineStr">
        <is>
          <t>Julian Martinez Perez</t>
        </is>
      </c>
      <c r="K230" s="314" t="n">
        <v>5950000</v>
      </c>
      <c r="L230" s="2" t="n">
        <v>45419</v>
      </c>
      <c r="M230" s="170" t="n"/>
      <c r="N230" s="170" t="n">
        <v>3105028191</v>
      </c>
      <c r="O230" s="102" t="inlineStr">
        <is>
          <t>Julian Martinez Perez</t>
        </is>
      </c>
      <c r="P230" s="52" t="inlineStr">
        <is>
          <t>julianmartinezp99@gmail.com</t>
        </is>
      </c>
    </row>
    <row r="231">
      <c r="B231" s="170" t="n">
        <v>220</v>
      </c>
      <c r="C231" s="199" t="inlineStr">
        <is>
          <t>COTIZACION DEL DISEÑO DE EXTINCIÓN DE INCENDIOS PARA EL PROYECTO DISCOTECA -POBLADO</t>
        </is>
      </c>
      <c r="D231" s="312" t="n"/>
      <c r="E231" s="312" t="n"/>
      <c r="F231" s="312" t="n"/>
      <c r="G231" s="312" t="n"/>
      <c r="H231" s="312" t="n"/>
      <c r="I231" s="313" t="n"/>
      <c r="J231" s="199" t="inlineStr">
        <is>
          <t>SPCI</t>
        </is>
      </c>
      <c r="K231" s="314" t="n">
        <v>6270000</v>
      </c>
      <c r="L231" s="2" t="n">
        <v>45422</v>
      </c>
      <c r="M231" s="170" t="n"/>
      <c r="N231" s="170" t="n">
        <v>3104165783</v>
      </c>
      <c r="O231" s="102" t="inlineStr">
        <is>
          <t>Cristiam Gustavo Mondragon</t>
        </is>
      </c>
      <c r="P231" s="82" t="inlineStr">
        <is>
          <t>dir.tecnico@spci.com.co</t>
        </is>
      </c>
    </row>
    <row r="232">
      <c r="B232" s="170" t="n">
        <v>221</v>
      </c>
      <c r="C232" s="199" t="inlineStr">
        <is>
          <t>COTIZACION DEL DISEÑO DE DETECCIÓN DE INCENDIOS PARA EL PROYECTO SHELL</t>
        </is>
      </c>
      <c r="D232" s="312" t="n"/>
      <c r="E232" s="312" t="n"/>
      <c r="F232" s="312" t="n"/>
      <c r="G232" s="312" t="n"/>
      <c r="H232" s="312" t="n"/>
      <c r="I232" s="313" t="n"/>
      <c r="J232" s="199" t="inlineStr">
        <is>
          <t>FIRE PROTECTION</t>
        </is>
      </c>
      <c r="K232" s="314" t="inlineStr">
        <is>
          <t>No se presentó</t>
        </is>
      </c>
      <c r="L232" s="2" t="n">
        <v>45421</v>
      </c>
      <c r="M232" s="170" t="n"/>
      <c r="N232" s="170" t="n">
        <v>3108227462</v>
      </c>
      <c r="O232" s="102" t="inlineStr">
        <is>
          <t>alvaro manosalva</t>
        </is>
      </c>
      <c r="P232" s="52" t="inlineStr">
        <is>
          <t>alvaromanosalva@sfiregroup.com</t>
        </is>
      </c>
    </row>
    <row r="233">
      <c r="B233" s="170" t="n">
        <v>222</v>
      </c>
      <c r="C233" s="246" t="inlineStr">
        <is>
          <t xml:space="preserve">COTIZACION DEL DISEÑO DE EXTINCIÓN DE INCENDIOS PARA EL PROYECTO BODEGA ORANGE BLOQUE 2, 3 Y 4
</t>
        </is>
      </c>
      <c r="D233" s="312" t="n"/>
      <c r="E233" s="312" t="n"/>
      <c r="F233" s="312" t="n"/>
      <c r="G233" s="312" t="n"/>
      <c r="H233" s="312" t="n"/>
      <c r="I233" s="313" t="n"/>
      <c r="J233" s="199" t="inlineStr">
        <is>
          <t>Prosoma</t>
        </is>
      </c>
      <c r="K233" s="328" t="n">
        <v>3950000</v>
      </c>
      <c r="L233" s="2" t="n">
        <v>45427</v>
      </c>
      <c r="M233" s="170" t="n"/>
      <c r="N233" s="170" t="n">
        <v>3147537411</v>
      </c>
      <c r="O233" s="102" t="inlineStr">
        <is>
          <t>Adolfo Flores Cossio</t>
        </is>
      </c>
      <c r="P233" s="82" t="inlineStr">
        <is>
          <t>proyectos@prosoma.com.co</t>
        </is>
      </c>
    </row>
    <row r="234">
      <c r="B234" s="170" t="n">
        <v>223</v>
      </c>
      <c r="C234" s="246" t="inlineStr">
        <is>
          <t xml:space="preserve">COTIZACION DEL DISEÑO DE DETECCIÓN DE INCENDIOS PARA EL PROYECTO PLANTA ELECTROCONTROL GIRARDOTA
</t>
        </is>
      </c>
      <c r="D234" s="312" t="n"/>
      <c r="E234" s="312" t="n"/>
      <c r="F234" s="312" t="n"/>
      <c r="G234" s="312" t="n"/>
      <c r="H234" s="312" t="n"/>
      <c r="I234" s="313" t="n"/>
      <c r="J234" s="199" t="inlineStr">
        <is>
          <t>Seriinco</t>
        </is>
      </c>
      <c r="K234" s="314" t="n">
        <v>9910000</v>
      </c>
      <c r="L234" s="2" t="n">
        <v>45422</v>
      </c>
      <c r="M234" s="170" t="n"/>
      <c r="N234" s="170" t="n">
        <v>3116460496</v>
      </c>
      <c r="O234" s="102" t="inlineStr">
        <is>
          <t>Francisco Jose Unda</t>
        </is>
      </c>
      <c r="P234" s="52" t="inlineStr">
        <is>
          <t>francisco.unda@seriinco.com</t>
        </is>
      </c>
    </row>
    <row r="235">
      <c r="B235" s="170" t="n">
        <v>224</v>
      </c>
      <c r="C235" s="233" t="inlineStr">
        <is>
          <t>COTIZACION DE LOS DISEÑOS DE PROTECCIÓN CONTRA INCENDIOS Y SEGURIDAD HUMANA PARA EL PROYECTO PARQUE RESIDENCIAL NUEVO HORIZONTE</t>
        </is>
      </c>
      <c r="D235" s="312" t="n"/>
      <c r="E235" s="312" t="n"/>
      <c r="F235" s="312" t="n"/>
      <c r="G235" s="312" t="n"/>
      <c r="H235" s="312" t="n"/>
      <c r="I235" s="313" t="n"/>
      <c r="J235" s="199" t="inlineStr">
        <is>
          <t>G4 Proyectos</t>
        </is>
      </c>
      <c r="K235" s="314" t="n">
        <v>11920000</v>
      </c>
      <c r="L235" s="2" t="n">
        <v>45427</v>
      </c>
      <c r="M235" s="170" t="n"/>
      <c r="N235" s="170" t="n">
        <v>3052501777</v>
      </c>
      <c r="O235" s="102" t="inlineStr">
        <is>
          <t xml:space="preserve">Steven Maya </t>
        </is>
      </c>
      <c r="P235" s="52" t="inlineStr">
        <is>
          <t>coordinadorproyectos1@g4ingenieros.com</t>
        </is>
      </c>
    </row>
    <row r="236">
      <c r="B236" s="170" t="n">
        <v>225</v>
      </c>
      <c r="C236" s="233" t="inlineStr">
        <is>
          <t>COTIZACION DE LOS DISEÑOS DE PROTECCIÓN CONTRA INCENDIOS PARA EL PROYECTO PISO 24</t>
        </is>
      </c>
      <c r="D236" s="312" t="n"/>
      <c r="E236" s="312" t="n"/>
      <c r="F236" s="312" t="n"/>
      <c r="G236" s="312" t="n"/>
      <c r="H236" s="312" t="n"/>
      <c r="I236" s="313" t="n"/>
      <c r="J236" s="199" t="inlineStr">
        <is>
          <t>SPCI</t>
        </is>
      </c>
      <c r="K236" s="314" t="n"/>
      <c r="L236" s="2" t="n">
        <v>45422</v>
      </c>
      <c r="M236" s="2" t="n"/>
      <c r="N236" s="170" t="n">
        <v>3214826168</v>
      </c>
      <c r="O236" s="102" t="inlineStr">
        <is>
          <t>Lorena Toro Perez</t>
        </is>
      </c>
      <c r="P236" s="52" t="inlineStr">
        <is>
          <t>licitaciones@spci.com.co</t>
        </is>
      </c>
    </row>
    <row r="237" ht="15" customHeight="1">
      <c r="B237" s="170" t="n">
        <v>226</v>
      </c>
      <c r="C237" s="246" t="inlineStr">
        <is>
          <t>COTIZACION DEL DISEÑO DE EXTINCIÓN DE INCENDIOS PARA EL PROYECTO EPSA COMODISIMO SEDE ITAGUI</t>
        </is>
      </c>
      <c r="D237" s="312" t="n"/>
      <c r="E237" s="312" t="n"/>
      <c r="F237" s="312" t="n"/>
      <c r="G237" s="312" t="n"/>
      <c r="H237" s="312" t="n"/>
      <c r="I237" s="313" t="n"/>
      <c r="J237" s="199" t="inlineStr">
        <is>
          <t>Securetec</t>
        </is>
      </c>
      <c r="K237" s="314" t="n">
        <v>12950000</v>
      </c>
      <c r="L237" s="2" t="n">
        <v>45422</v>
      </c>
      <c r="M237" s="170" t="n"/>
      <c r="N237" s="170" t="n"/>
      <c r="O237" s="103" t="inlineStr">
        <is>
          <t>Juan David Camacho</t>
        </is>
      </c>
      <c r="P237" s="52" t="inlineStr">
        <is>
          <t>ascomercial2@securetec.com.co</t>
        </is>
      </c>
    </row>
    <row r="238" ht="15" customHeight="1">
      <c r="B238" s="170" t="n">
        <v>227</v>
      </c>
      <c r="C238" s="199" t="inlineStr">
        <is>
          <t>COTIZACION DEL DISEÑO DE DETECCIÓN DE INCENDIOS PARA EL PROYECTO CORPAUL</t>
        </is>
      </c>
      <c r="D238" s="312" t="n"/>
      <c r="E238" s="312" t="n"/>
      <c r="F238" s="312" t="n"/>
      <c r="G238" s="312" t="n"/>
      <c r="H238" s="312" t="n"/>
      <c r="I238" s="313" t="n"/>
      <c r="J238" s="199" t="inlineStr">
        <is>
          <t>Seriinco</t>
        </is>
      </c>
      <c r="K238" s="314" t="n">
        <v>4000000</v>
      </c>
      <c r="L238" s="2" t="n">
        <v>45426</v>
      </c>
      <c r="M238" s="170" t="n"/>
      <c r="N238" s="170" t="n">
        <v>3006560510</v>
      </c>
      <c r="O238" s="102" t="inlineStr">
        <is>
          <t xml:space="preserve">Johnnatan Duque </t>
        </is>
      </c>
      <c r="P238" s="52" t="inlineStr">
        <is>
          <t>johnnatan.duque@seriinco.com</t>
        </is>
      </c>
    </row>
    <row r="239">
      <c r="B239" s="170" t="n">
        <v>228</v>
      </c>
      <c r="C239" s="233" t="inlineStr">
        <is>
          <t xml:space="preserve">COTIZACION DEL ANÁLISIS DE SEGURIDAD HUMANA PARA EL PROYECTO VIVIENDA CONTREE CASATROPOL
</t>
        </is>
      </c>
      <c r="D239" s="312" t="n"/>
      <c r="E239" s="312" t="n"/>
      <c r="F239" s="312" t="n"/>
      <c r="G239" s="312" t="n"/>
      <c r="H239" s="312" t="n"/>
      <c r="I239" s="313" t="n"/>
      <c r="J239" s="199" t="inlineStr">
        <is>
          <t>CONCONCRETO</t>
        </is>
      </c>
      <c r="K239" s="314" t="n">
        <v>6000000</v>
      </c>
      <c r="L239" s="2" t="n">
        <v>45427</v>
      </c>
      <c r="M239" s="170" t="n"/>
      <c r="N239" s="170" t="n">
        <v>3148721400</v>
      </c>
      <c r="O239" s="103" t="inlineStr">
        <is>
          <t xml:space="preserve"> Adriana Agudelo López </t>
        </is>
      </c>
      <c r="P239" s="52" t="inlineStr">
        <is>
          <t>aagudelol@conconcreto.com</t>
        </is>
      </c>
    </row>
    <row r="240">
      <c r="B240" s="170" t="n">
        <v>229</v>
      </c>
      <c r="C240" s="246" t="inlineStr">
        <is>
          <t xml:space="preserve">COTIZACION DEL DISEÑO DE EXTINCIÓN DE INCENDIOS PARA EL PROYECTO TODOEN ARTES VIVA ENVIGADO
</t>
        </is>
      </c>
      <c r="D240" s="312" t="n"/>
      <c r="E240" s="312" t="n"/>
      <c r="F240" s="312" t="n"/>
      <c r="G240" s="312" t="n"/>
      <c r="H240" s="312" t="n"/>
      <c r="I240" s="313" t="n"/>
      <c r="J240" s="199" t="inlineStr">
        <is>
          <t xml:space="preserve">Detectar Systems </t>
        </is>
      </c>
      <c r="K240" s="314" t="n">
        <v>2350000</v>
      </c>
      <c r="L240" s="2" t="n">
        <v>45427</v>
      </c>
      <c r="M240" s="170" t="n"/>
      <c r="N240" s="81" t="n"/>
      <c r="O240" s="102" t="inlineStr">
        <is>
          <t>Juan Santiago Londoño Quiceno</t>
        </is>
      </c>
      <c r="P240" s="52" t="inlineStr">
        <is>
          <t>detectarsystems@gmail.com</t>
        </is>
      </c>
    </row>
    <row r="241">
      <c r="B241" s="170" t="n">
        <v>230</v>
      </c>
      <c r="C241" s="246" t="inlineStr">
        <is>
          <t xml:space="preserve">COTIZACION DEL DISEÑO DE EXTINCIÓN DE INCENDIOS PARA EL PROYECTO OFICINA LEMONT
</t>
        </is>
      </c>
      <c r="D241" s="312" t="n"/>
      <c r="E241" s="312" t="n"/>
      <c r="F241" s="312" t="n"/>
      <c r="G241" s="312" t="n"/>
      <c r="H241" s="312" t="n"/>
      <c r="I241" s="313" t="n"/>
      <c r="J241" s="199" t="inlineStr">
        <is>
          <t>SPCI</t>
        </is>
      </c>
      <c r="K241" s="314" t="n">
        <v>1500000</v>
      </c>
      <c r="L241" s="2" t="n">
        <v>45427</v>
      </c>
      <c r="M241" s="170" t="n"/>
      <c r="N241" s="170" t="n">
        <v>3104165783</v>
      </c>
      <c r="O241" s="103" t="inlineStr">
        <is>
          <t>Cristiam Gustavo Mondragon</t>
        </is>
      </c>
      <c r="P241" s="52" t="inlineStr">
        <is>
          <t>dir.tecnico@spci.com.co</t>
        </is>
      </c>
    </row>
    <row r="242">
      <c r="B242" s="170" t="n">
        <v>231</v>
      </c>
      <c r="C242" s="199" t="inlineStr">
        <is>
          <t>COTIZACION DE LOS DISEÑOS DE PROTECCIÓN CONTRA INCENDIOS PARA EL PROYECTO FASE 3 OKIANUS</t>
        </is>
      </c>
      <c r="D242" s="312" t="n"/>
      <c r="E242" s="312" t="n"/>
      <c r="F242" s="312" t="n"/>
      <c r="G242" s="312" t="n"/>
      <c r="H242" s="312" t="n"/>
      <c r="I242" s="313" t="n"/>
      <c r="J242" s="199" t="inlineStr">
        <is>
          <t>COLGAS</t>
        </is>
      </c>
      <c r="K242" s="314" t="n">
        <v>69800000</v>
      </c>
      <c r="L242" s="2" t="n">
        <v>45432</v>
      </c>
      <c r="M242" s="170" t="n"/>
      <c r="N242" s="170" t="n">
        <v>3102059905</v>
      </c>
      <c r="O242" s="103" t="inlineStr">
        <is>
          <t xml:space="preserve">
Wilmer Alexander Chirivi Pinzon</t>
        </is>
      </c>
      <c r="P242" s="52" t="inlineStr">
        <is>
          <t>wilmer.chirivi@colgas.com</t>
        </is>
      </c>
    </row>
    <row r="243">
      <c r="B243" s="170" t="n">
        <v>232</v>
      </c>
      <c r="C243" s="199" t="inlineStr">
        <is>
          <t>COTIZACION DE LOS DISEÑOS DE PROTECCIÓN CONTRA INCENDIOS Y SEGURIDAD HUMANA PARA EL PROYECTO SENA CALATRAVA CDMC</t>
        </is>
      </c>
      <c r="D243" s="312" t="n"/>
      <c r="E243" s="312" t="n"/>
      <c r="F243" s="312" t="n"/>
      <c r="G243" s="312" t="n"/>
      <c r="H243" s="312" t="n"/>
      <c r="I243" s="313" t="n"/>
      <c r="J243" s="199" t="inlineStr">
        <is>
          <t>Coinsi</t>
        </is>
      </c>
      <c r="K243" s="314" t="n">
        <v>11950000</v>
      </c>
      <c r="L243" s="2" t="n">
        <v>45429</v>
      </c>
      <c r="M243" s="170" t="n"/>
      <c r="N243" s="170" t="n">
        <v>3117208541</v>
      </c>
      <c r="O243" s="102" t="inlineStr">
        <is>
          <t xml:space="preserve"> Sergio Rodriguez</t>
        </is>
      </c>
      <c r="P243" s="52" t="inlineStr">
        <is>
          <t>diseno4@gyd.com.co</t>
        </is>
      </c>
    </row>
    <row r="244">
      <c r="B244" s="170" t="n">
        <v>233</v>
      </c>
      <c r="C244" s="233" t="inlineStr">
        <is>
          <t>COTIZACION DE LOS DISEÑOS DE PROTECCIÓN CONTRA INCENDIOS PARA EL PROYECTO AYURÁ CENTER 3</t>
        </is>
      </c>
      <c r="D244" s="312" t="n"/>
      <c r="E244" s="312" t="n"/>
      <c r="F244" s="312" t="n"/>
      <c r="G244" s="312" t="n"/>
      <c r="H244" s="312" t="n"/>
      <c r="I244" s="313" t="n"/>
      <c r="J244" s="199" t="inlineStr">
        <is>
          <t>TIP INTERVENTORIA</t>
        </is>
      </c>
      <c r="K244" s="314" t="inlineStr">
        <is>
          <t>Variable</t>
        </is>
      </c>
      <c r="L244" s="2" t="n">
        <v>45429</v>
      </c>
      <c r="M244" s="170" t="n"/>
      <c r="N244" s="170" t="n">
        <v>3122579593</v>
      </c>
      <c r="O244" s="102" t="inlineStr">
        <is>
          <t>Pubenza Aristizabal Uribe</t>
        </is>
      </c>
      <c r="P244" s="52" t="inlineStr">
        <is>
          <t>pubenza@tipinterventoria.com</t>
        </is>
      </c>
    </row>
    <row r="245" ht="15" customHeight="1">
      <c r="B245" s="170" t="n">
        <v>234</v>
      </c>
      <c r="C245" s="233" t="inlineStr">
        <is>
          <t>COTIZACION DEL DISEÑO DE EXTINCIÓN DE INCENDIOS - HELIPUERTO</t>
        </is>
      </c>
      <c r="D245" s="312" t="n"/>
      <c r="E245" s="312" t="n"/>
      <c r="F245" s="312" t="n"/>
      <c r="G245" s="312" t="n"/>
      <c r="H245" s="312" t="n"/>
      <c r="I245" s="313" t="n"/>
      <c r="J245" s="199" t="inlineStr">
        <is>
          <t>SECURETEC</t>
        </is>
      </c>
      <c r="K245" s="314" t="n">
        <v>8750000</v>
      </c>
      <c r="L245" s="2" t="n">
        <v>45432</v>
      </c>
      <c r="M245" s="2" t="n"/>
      <c r="N245" s="170" t="n">
        <v>3206678830</v>
      </c>
      <c r="O245" s="102" t="inlineStr">
        <is>
          <t>Jhonny A Castro</t>
        </is>
      </c>
      <c r="P245" s="52" t="inlineStr">
        <is>
          <t>dirproyectos@securetec.com.co</t>
        </is>
      </c>
    </row>
    <row r="246">
      <c r="B246" s="170" t="n">
        <v>235</v>
      </c>
      <c r="C246" s="199" t="inlineStr">
        <is>
          <t>COTIZACION DE LOS DISEÑOS DE SEGURIDAD HUMANA Y PROTECCIÓN CONTRA INCENDIOS - LOTE GEF</t>
        </is>
      </c>
      <c r="D246" s="312" t="n"/>
      <c r="E246" s="312" t="n"/>
      <c r="F246" s="312" t="n"/>
      <c r="G246" s="312" t="n"/>
      <c r="H246" s="312" t="n"/>
      <c r="I246" s="313" t="n"/>
      <c r="J246" s="199" t="inlineStr">
        <is>
          <t>MUROS Y TECHOS</t>
        </is>
      </c>
      <c r="K246" s="314" t="n">
        <v>29950000</v>
      </c>
      <c r="L246" s="2" t="n">
        <v>45432</v>
      </c>
      <c r="M246" s="170" t="n"/>
      <c r="N246" s="170" t="inlineStr">
        <is>
          <t>604 444 4337</t>
        </is>
      </c>
      <c r="O246" s="103" t="inlineStr">
        <is>
          <t>Andrés White Narváez</t>
        </is>
      </c>
      <c r="P246" s="52" t="inlineStr">
        <is>
          <t>awhite@mt.com.co</t>
        </is>
      </c>
    </row>
    <row r="247">
      <c r="B247" s="170" t="n">
        <v>236</v>
      </c>
      <c r="C247" s="233" t="inlineStr">
        <is>
          <t>COTIZACION DE LAS PRUEBAS DE FLUJO PARA LOS SISTEMAS DE CONEXIONES DE MANGUERA DE EXTINCIÓN DE INCENDIOS - TORRES 2 Y 3 LA RIVIERE</t>
        </is>
      </c>
      <c r="D247" s="312" t="n"/>
      <c r="E247" s="312" t="n"/>
      <c r="F247" s="312" t="n"/>
      <c r="G247" s="312" t="n"/>
      <c r="H247" s="312" t="n"/>
      <c r="I247" s="313" t="n"/>
      <c r="J247" s="199" t="inlineStr">
        <is>
          <t>Coninsa</t>
        </is>
      </c>
      <c r="K247" s="314" t="n">
        <v>11600000</v>
      </c>
      <c r="L247" s="2" t="n">
        <v>45436</v>
      </c>
      <c r="M247" s="170" t="n"/>
      <c r="N247" s="170" t="inlineStr">
        <is>
          <t>300 2779146</t>
        </is>
      </c>
      <c r="O247" s="102" t="inlineStr">
        <is>
          <t>Julieth Barrientos</t>
        </is>
      </c>
      <c r="P247" s="52" t="n"/>
    </row>
    <row r="248" ht="15" customHeight="1">
      <c r="B248" s="170" t="n">
        <v>237</v>
      </c>
      <c r="C248" s="233" t="inlineStr">
        <is>
          <t>COTIZACION DE LOS DISEÑOS DE PROTECCIÓN CONTRA INCENDIOS - COLSANITAS USAQUEN 1800 M2</t>
        </is>
      </c>
      <c r="D248" s="312" t="n"/>
      <c r="E248" s="312" t="n"/>
      <c r="F248" s="312" t="n"/>
      <c r="G248" s="312" t="n"/>
      <c r="H248" s="312" t="n"/>
      <c r="I248" s="313" t="n"/>
      <c r="J248" s="199" t="inlineStr">
        <is>
          <t>Condiseño</t>
        </is>
      </c>
      <c r="K248" s="314" t="n">
        <v>14930000</v>
      </c>
      <c r="L248" s="2" t="n">
        <v>45439</v>
      </c>
      <c r="M248" s="170" t="n"/>
      <c r="N248" s="170" t="n">
        <v>3175594091</v>
      </c>
      <c r="O248" s="102" t="inlineStr">
        <is>
          <t>Nakary Garcia Romero</t>
        </is>
      </c>
      <c r="P248" s="52" t="inlineStr">
        <is>
          <t>n.garcia@condiseno.co</t>
        </is>
      </c>
    </row>
    <row r="249">
      <c r="B249" s="170" t="n">
        <v>238</v>
      </c>
      <c r="C249" s="246" t="inlineStr">
        <is>
          <t>COTIZACION DEL DISEÑO DE EXTINCIÓN DE INCENDIOS PARA EL PROYECTO UNIVERSIDAD PASCUAL BRAVO</t>
        </is>
      </c>
      <c r="D249" s="312" t="n"/>
      <c r="E249" s="312" t="n"/>
      <c r="F249" s="312" t="n"/>
      <c r="G249" s="312" t="n"/>
      <c r="H249" s="312" t="n"/>
      <c r="I249" s="313" t="n"/>
      <c r="J249" s="199" t="inlineStr">
        <is>
          <t>Securetec</t>
        </is>
      </c>
      <c r="K249" s="314" t="n">
        <v>71200000</v>
      </c>
      <c r="L249" s="2" t="n">
        <v>45439</v>
      </c>
      <c r="M249" s="170" t="n"/>
      <c r="N249" s="170" t="n">
        <v>3014111727</v>
      </c>
      <c r="O249" s="102" t="inlineStr">
        <is>
          <t>Julian David Camacho</t>
        </is>
      </c>
      <c r="P249" s="52" t="inlineStr">
        <is>
          <t>ascomercial2@securetec.com.co</t>
        </is>
      </c>
    </row>
    <row r="250">
      <c r="B250" s="170" t="n">
        <v>239</v>
      </c>
      <c r="C250" s="199" t="inlineStr">
        <is>
          <t>COTIZACION DEL LEVANTAMIENTO Y ELABORACIÓN DE PLANOS BÁSICOS - TERMILENIO TEXTILES</t>
        </is>
      </c>
      <c r="D250" s="312" t="n"/>
      <c r="E250" s="312" t="n"/>
      <c r="F250" s="312" t="n"/>
      <c r="G250" s="312" t="n"/>
      <c r="H250" s="312" t="n"/>
      <c r="I250" s="313" t="n"/>
      <c r="J250" s="199" t="inlineStr">
        <is>
          <t>SPCI</t>
        </is>
      </c>
      <c r="K250" s="314" t="n">
        <v>2200000</v>
      </c>
      <c r="L250" s="2" t="n">
        <v>45439</v>
      </c>
      <c r="M250" s="170" t="n"/>
      <c r="N250" s="170" t="n">
        <v>3104165783</v>
      </c>
      <c r="O250" s="102" t="inlineStr">
        <is>
          <t>Cristiam Gustavo Mondragon</t>
        </is>
      </c>
      <c r="P250" s="82" t="inlineStr">
        <is>
          <t>dir.tecnico@spci.com.co</t>
        </is>
      </c>
    </row>
    <row r="251">
      <c r="B251" s="170" t="n">
        <v>240</v>
      </c>
      <c r="C251" s="199" t="inlineStr">
        <is>
          <t>COTIZACION DE LOS DISEÑOS DE PROTECCIÓN CONTRA INCENDIOS - CENTRAL HIDROELÉCTRICA LA HERRADURA</t>
        </is>
      </c>
      <c r="D251" s="312" t="n"/>
      <c r="E251" s="312" t="n"/>
      <c r="F251" s="312" t="n"/>
      <c r="G251" s="312" t="n"/>
      <c r="H251" s="312" t="n"/>
      <c r="I251" s="313" t="n"/>
      <c r="J251" s="199" t="inlineStr">
        <is>
          <t>SPCI</t>
        </is>
      </c>
      <c r="K251" s="314" t="n">
        <v>19950000</v>
      </c>
      <c r="L251" s="2" t="n">
        <v>45439</v>
      </c>
      <c r="M251" s="170" t="n"/>
      <c r="N251" s="170" t="n">
        <v>3104165783</v>
      </c>
      <c r="O251" s="102" t="inlineStr">
        <is>
          <t>Cristiam Gustavo Mondragon</t>
        </is>
      </c>
      <c r="P251" s="82" t="inlineStr">
        <is>
          <t>dir.tecnico@spci.com.co</t>
        </is>
      </c>
    </row>
    <row r="252">
      <c r="B252" s="170" t="n">
        <v>241</v>
      </c>
      <c r="C252" s="246" t="inlineStr">
        <is>
          <t xml:space="preserve">COTIZACION DEL ANÁLISIS DE SEGURIDAD HUMANA PARA EL PROYECTO CI CONQUISTADORES
</t>
        </is>
      </c>
      <c r="D252" s="312" t="n"/>
      <c r="E252" s="312" t="n"/>
      <c r="F252" s="312" t="n"/>
      <c r="G252" s="312" t="n"/>
      <c r="H252" s="312" t="n"/>
      <c r="I252" s="313" t="n"/>
      <c r="J252" s="199" t="inlineStr">
        <is>
          <t>Jhon Ocampo Arquitectura</t>
        </is>
      </c>
      <c r="K252" s="314" t="n">
        <v>1950000</v>
      </c>
      <c r="L252" s="2" t="n">
        <v>45440</v>
      </c>
      <c r="M252" s="170" t="n"/>
      <c r="N252" s="170" t="n">
        <v>3108214070</v>
      </c>
      <c r="O252" s="102" t="inlineStr">
        <is>
          <t>Jhon Ocampo</t>
        </is>
      </c>
      <c r="P252" s="52" t="n"/>
    </row>
    <row r="253">
      <c r="B253" s="170" t="n">
        <v>242</v>
      </c>
      <c r="C253" s="233" t="inlineStr">
        <is>
          <t xml:space="preserve">COTIZACION DE LOS DISEÑOS DE PROTECCIÓN CONTRA INCENDIOS Y SEGURIDAD HUMANA PARA EL PROYECTO AUDITORIO Y TEATRO SAN DIEGO
</t>
        </is>
      </c>
      <c r="D253" s="312" t="n"/>
      <c r="E253" s="312" t="n"/>
      <c r="F253" s="312" t="n"/>
      <c r="G253" s="312" t="n"/>
      <c r="H253" s="312" t="n"/>
      <c r="I253" s="313" t="n"/>
      <c r="J253" s="199" t="inlineStr">
        <is>
          <t>STUDIO SUR</t>
        </is>
      </c>
      <c r="K253" s="314" t="n">
        <v>11350000</v>
      </c>
      <c r="L253" s="2" t="n">
        <v>45440</v>
      </c>
      <c r="M253" s="170" t="n"/>
      <c r="N253" s="170" t="inlineStr">
        <is>
          <t>313 4669894</t>
        </is>
      </c>
      <c r="O253" s="102" t="inlineStr">
        <is>
          <t>Andrea Sanchez</t>
        </is>
      </c>
      <c r="P253" s="52" t="inlineStr">
        <is>
          <t>andrea.sanchez@studiosur.net</t>
        </is>
      </c>
    </row>
    <row r="254">
      <c r="B254" s="170" t="n">
        <v>243</v>
      </c>
      <c r="C254" s="199" t="inlineStr">
        <is>
          <t>COTIZACION DE LOS DISEÑOS DE EXTINCIÓN DE INCENDIOS Y SEGURIDAD HUMANA PARA EL PROYECTO EL RETIRO</t>
        </is>
      </c>
      <c r="D254" s="312" t="n"/>
      <c r="E254" s="312" t="n"/>
      <c r="F254" s="312" t="n"/>
      <c r="G254" s="312" t="n"/>
      <c r="H254" s="312" t="n"/>
      <c r="I254" s="313" t="n"/>
      <c r="J254" s="199" t="inlineStr">
        <is>
          <t>IS CIVILES</t>
        </is>
      </c>
      <c r="K254" s="314" t="n">
        <v>10150000</v>
      </c>
      <c r="L254" s="2" t="n">
        <v>45442</v>
      </c>
      <c r="M254" s="170" t="n"/>
      <c r="N254" s="170" t="n">
        <v>3143624300</v>
      </c>
      <c r="O254" s="102" t="inlineStr">
        <is>
          <t xml:space="preserve">Heder Alvarez Cardozo </t>
        </is>
      </c>
      <c r="P254" s="52" t="inlineStr">
        <is>
          <t>heder.cardozo@isciviles.com.co</t>
        </is>
      </c>
    </row>
    <row r="255">
      <c r="B255" s="170" t="n">
        <v>244</v>
      </c>
      <c r="C255" s="199" t="inlineStr">
        <is>
          <t>COTIZACION DE LOS DISEÑOS DE EXTINCIÓN DE INCENDIOS Y SEGURIDAD HUMANA PARA EL PROYECTO HOTEL BENIMINAL</t>
        </is>
      </c>
      <c r="D255" s="312" t="n"/>
      <c r="E255" s="312" t="n"/>
      <c r="F255" s="312" t="n"/>
      <c r="G255" s="312" t="n"/>
      <c r="H255" s="312" t="n"/>
      <c r="I255" s="313" t="n"/>
      <c r="J255" s="199" t="inlineStr">
        <is>
          <t>IS CIVILES</t>
        </is>
      </c>
      <c r="K255" s="314" t="n">
        <v>11550000</v>
      </c>
      <c r="L255" s="2" t="n">
        <v>45442</v>
      </c>
      <c r="M255" s="170" t="n"/>
      <c r="N255" s="170" t="n">
        <v>3143624300</v>
      </c>
      <c r="O255" s="102" t="inlineStr">
        <is>
          <t xml:space="preserve">Heder Alvarez Cardozo </t>
        </is>
      </c>
      <c r="P255" s="52" t="inlineStr">
        <is>
          <t>heder.cardozo@isciviles.com.co</t>
        </is>
      </c>
    </row>
    <row r="256">
      <c r="B256" s="170" t="n">
        <v>245</v>
      </c>
      <c r="C256" s="246" t="inlineStr">
        <is>
          <t>COTIZACION DE LOS DISEÑOS DE PROTECCIÓN CONTRA INCENDIOS - ÁREAS NUEVAS INTECPLAST</t>
        </is>
      </c>
      <c r="D256" s="312" t="n"/>
      <c r="E256" s="312" t="n"/>
      <c r="F256" s="312" t="n"/>
      <c r="G256" s="312" t="n"/>
      <c r="H256" s="312" t="n"/>
      <c r="I256" s="313" t="n"/>
      <c r="J256" s="199" t="inlineStr">
        <is>
          <t>Intecplast</t>
        </is>
      </c>
      <c r="K256" s="314" t="n">
        <v>24950000</v>
      </c>
      <c r="L256" s="2" t="n">
        <v>45443</v>
      </c>
      <c r="M256" s="2" t="n"/>
      <c r="N256" s="170" t="inlineStr">
        <is>
          <t>314 3620415</t>
        </is>
      </c>
      <c r="O256" s="103" t="inlineStr">
        <is>
          <t>Sebastián</t>
        </is>
      </c>
      <c r="P256" s="52" t="inlineStr">
        <is>
          <t>analistaambiental@intecplast.com.co</t>
        </is>
      </c>
    </row>
    <row r="257">
      <c r="B257" s="170" t="n">
        <v>246</v>
      </c>
      <c r="C257" s="199" t="inlineStr">
        <is>
          <t>COTIZACION DEL PLAN MAESTRO DE PROTECCIÓN CONTRA INCENDIOS - ÁREAS ANTIGUAS INTECPLAST</t>
        </is>
      </c>
      <c r="D257" s="312" t="n"/>
      <c r="E257" s="312" t="n"/>
      <c r="F257" s="312" t="n"/>
      <c r="G257" s="312" t="n"/>
      <c r="H257" s="312" t="n"/>
      <c r="I257" s="313" t="n"/>
      <c r="J257" s="199" t="inlineStr">
        <is>
          <t>Intecplast</t>
        </is>
      </c>
      <c r="K257" s="314" t="n">
        <v>12950000</v>
      </c>
      <c r="L257" s="2" t="n">
        <v>45443</v>
      </c>
      <c r="M257" s="170" t="n"/>
      <c r="N257" s="170" t="inlineStr">
        <is>
          <t>314 3620415</t>
        </is>
      </c>
      <c r="O257" s="103" t="inlineStr">
        <is>
          <t>Sebastián</t>
        </is>
      </c>
      <c r="P257" s="52" t="inlineStr">
        <is>
          <t>analistaambiental@intecplast.com.co</t>
        </is>
      </c>
    </row>
    <row r="258">
      <c r="B258" s="170" t="n">
        <v>247</v>
      </c>
      <c r="C258" s="199" t="inlineStr">
        <is>
          <t>COTIZACION DEL DISEÑO DE DETECCIÓN DE INCENDIOS PARA EL PROYECTO PLANTA DE POLIMEROS FORMACOL</t>
        </is>
      </c>
      <c r="D258" s="312" t="n"/>
      <c r="E258" s="312" t="n"/>
      <c r="F258" s="312" t="n"/>
      <c r="G258" s="312" t="n"/>
      <c r="H258" s="312" t="n"/>
      <c r="I258" s="313" t="n"/>
      <c r="J258" s="199" t="inlineStr">
        <is>
          <t>SECURETEC</t>
        </is>
      </c>
      <c r="K258" s="314" t="n">
        <v>9850000</v>
      </c>
      <c r="L258" s="2" t="n">
        <v>45443</v>
      </c>
      <c r="M258" s="2" t="n"/>
      <c r="N258" s="170" t="n">
        <v>3014111727</v>
      </c>
      <c r="O258" s="102" t="inlineStr">
        <is>
          <t>Julian David Camacho</t>
        </is>
      </c>
      <c r="P258" s="52" t="inlineStr">
        <is>
          <t>ascomercial2@securetec.com.co</t>
        </is>
      </c>
    </row>
    <row r="259">
      <c r="B259" s="170" t="n">
        <v>248</v>
      </c>
      <c r="C259" s="199" t="inlineStr">
        <is>
          <t>COTIZACION DE LOS REDISEÑOS DE SEGURIDAD HUMANA Y PROTECCIÓN CONTRA INCENDIOS - CALMO</t>
        </is>
      </c>
      <c r="D259" s="312" t="n"/>
      <c r="E259" s="312" t="n"/>
      <c r="F259" s="312" t="n"/>
      <c r="G259" s="312" t="n"/>
      <c r="H259" s="312" t="n"/>
      <c r="I259" s="313" t="n"/>
      <c r="J259" s="199" t="inlineStr">
        <is>
          <t>PROYECTOS URBANOS</t>
        </is>
      </c>
      <c r="K259" s="314" t="n">
        <v>11950000</v>
      </c>
      <c r="L259" s="2" t="n">
        <v>45447</v>
      </c>
      <c r="M259" s="170" t="n"/>
      <c r="N259" s="170" t="n"/>
      <c r="O259" s="103" t="inlineStr">
        <is>
          <t>Angela Fatt Naranjo</t>
        </is>
      </c>
      <c r="P259" s="52" t="inlineStr">
        <is>
          <t>afatt@proyectosurbanos.com.co</t>
        </is>
      </c>
    </row>
    <row r="260">
      <c r="B260" s="170" t="n">
        <v>249</v>
      </c>
      <c r="C260" s="199" t="inlineStr">
        <is>
          <t>COTIZACION DEL DISEÑO DE DETECCIÓN DE INCENDIOS PARA EL PROYECTO BODEGA PERPETUO SOCORRO</t>
        </is>
      </c>
      <c r="D260" s="312" t="n"/>
      <c r="E260" s="312" t="n"/>
      <c r="F260" s="312" t="n"/>
      <c r="G260" s="312" t="n"/>
      <c r="H260" s="312" t="n"/>
      <c r="I260" s="313" t="n"/>
      <c r="J260" s="199" t="inlineStr">
        <is>
          <t xml:space="preserve">Detectar Systems </t>
        </is>
      </c>
      <c r="K260" s="314" t="n">
        <v>6000000</v>
      </c>
      <c r="L260" s="2" t="n">
        <v>45447</v>
      </c>
      <c r="M260" s="170" t="n"/>
      <c r="N260" s="170" t="n">
        <v>3015421412</v>
      </c>
      <c r="O260" s="102" t="inlineStr">
        <is>
          <t>Juan Santiago Londoño</t>
        </is>
      </c>
      <c r="P260" s="52" t="inlineStr">
        <is>
          <t>detectarsystems@gmail.com</t>
        </is>
      </c>
    </row>
    <row r="261">
      <c r="B261" s="170" t="n">
        <v>250</v>
      </c>
      <c r="C261" s="199" t="inlineStr">
        <is>
          <t>COTIZACION DEL ANÁLISIS DE SEGURIDAD HUMANA PARA EL PROYECTO CARCELARIO</t>
        </is>
      </c>
      <c r="D261" s="312" t="n"/>
      <c r="E261" s="312" t="n"/>
      <c r="F261" s="312" t="n"/>
      <c r="G261" s="312" t="n"/>
      <c r="H261" s="312" t="n"/>
      <c r="I261" s="313" t="n"/>
      <c r="J261" s="199" t="inlineStr">
        <is>
          <t>CONCONCRETO</t>
        </is>
      </c>
      <c r="K261" s="314" t="n">
        <v>13080000</v>
      </c>
      <c r="L261" s="2" t="n">
        <v>45447</v>
      </c>
      <c r="M261" s="170" t="n"/>
      <c r="N261" s="170" t="inlineStr">
        <is>
          <t>300 656 3981</t>
        </is>
      </c>
      <c r="O261" s="102" t="inlineStr">
        <is>
          <t xml:space="preserve"> Martha Milena Hernández Marín</t>
        </is>
      </c>
      <c r="P261" s="52" t="inlineStr">
        <is>
          <t>mhernandezm@conconcreto.com</t>
        </is>
      </c>
    </row>
    <row r="262">
      <c r="B262" s="170" t="n">
        <v>251</v>
      </c>
      <c r="C262" s="246" t="inlineStr">
        <is>
          <t xml:space="preserve">COTIZACION DE LOS DISEÑOS DE PROTECCIÓN CONTRA INCENDIOS Y SEGURIDAD HUMANA PARA EL PROYECTO REDISEÑO SILVESTRA
</t>
        </is>
      </c>
      <c r="D262" s="312" t="n"/>
      <c r="E262" s="312" t="n"/>
      <c r="F262" s="312" t="n"/>
      <c r="G262" s="312" t="n"/>
      <c r="H262" s="312" t="n"/>
      <c r="I262" s="313" t="n"/>
      <c r="J262" s="199" t="inlineStr">
        <is>
          <t>Bienes y Bienes</t>
        </is>
      </c>
      <c r="K262" s="314" t="n">
        <v>12050000</v>
      </c>
      <c r="L262" s="2" t="n">
        <v>45448</v>
      </c>
      <c r="M262" s="170" t="n"/>
      <c r="N262" s="170" t="inlineStr">
        <is>
          <t>320 770 99 78</t>
        </is>
      </c>
      <c r="O262" s="102" t="inlineStr">
        <is>
          <t>Johner Alejandro Payares Arango</t>
        </is>
      </c>
      <c r="P262" s="52" t="inlineStr">
        <is>
          <t>johner.payares@bienesybienes.com.co</t>
        </is>
      </c>
    </row>
    <row r="263">
      <c r="B263" s="170" t="n">
        <v>252</v>
      </c>
      <c r="C263" s="199" t="inlineStr">
        <is>
          <t>COTIZACION DEL DISEÑO DE DETECCIÓN DE INCENDIOS PARA EL PROYECTO VETERINARIA METVET</t>
        </is>
      </c>
      <c r="D263" s="312" t="n"/>
      <c r="E263" s="312" t="n"/>
      <c r="F263" s="312" t="n"/>
      <c r="G263" s="312" t="n"/>
      <c r="H263" s="312" t="n"/>
      <c r="I263" s="313" t="n"/>
      <c r="J263" s="199" t="inlineStr">
        <is>
          <t>Jeison Mejia</t>
        </is>
      </c>
      <c r="K263" s="314" t="n">
        <v>2500000</v>
      </c>
      <c r="L263" s="2" t="n">
        <v>45448</v>
      </c>
      <c r="M263" s="170" t="n"/>
      <c r="N263" s="170" t="inlineStr">
        <is>
          <t xml:space="preserve"> 301 3396017</t>
        </is>
      </c>
      <c r="O263" s="103" t="n"/>
      <c r="P263" s="52" t="n"/>
    </row>
    <row r="264">
      <c r="B264" s="170" t="n">
        <v>253</v>
      </c>
      <c r="C264" s="199" t="inlineStr">
        <is>
          <t>COTIZACION DEL ANÁLISIS DE SEGURIDAD HUMANA PARA EL PROYECTO UNIVERSIAD EAN</t>
        </is>
      </c>
      <c r="D264" s="312" t="n"/>
      <c r="E264" s="312" t="n"/>
      <c r="F264" s="312" t="n"/>
      <c r="G264" s="312" t="n"/>
      <c r="H264" s="312" t="n"/>
      <c r="I264" s="313" t="n"/>
      <c r="J264" s="199" t="inlineStr">
        <is>
          <t>STUDIO SUR</t>
        </is>
      </c>
      <c r="K264" s="314" t="n">
        <v>7550000</v>
      </c>
      <c r="L264" s="2" t="n">
        <v>45448</v>
      </c>
      <c r="M264" s="170" t="n"/>
      <c r="N264" s="57" t="n"/>
      <c r="O264" s="102" t="inlineStr">
        <is>
          <t>Laura Arias</t>
        </is>
      </c>
      <c r="P264" s="52" t="inlineStr">
        <is>
          <t>laura.arias@studiosur.net</t>
        </is>
      </c>
    </row>
    <row r="265">
      <c r="B265" s="170" t="n">
        <v>254</v>
      </c>
      <c r="C265" s="246" t="inlineStr">
        <is>
          <t xml:space="preserve">COTIZACION DEL ANÁLISIS DE SEGURIDAD HUMANA PARA EL PROYECTO PERSONERIA MEDELLIN
</t>
        </is>
      </c>
      <c r="D265" s="312" t="n"/>
      <c r="E265" s="312" t="n"/>
      <c r="F265" s="312" t="n"/>
      <c r="G265" s="312" t="n"/>
      <c r="H265" s="312" t="n"/>
      <c r="I265" s="313" t="n"/>
      <c r="J265" s="199" t="inlineStr">
        <is>
          <t>Securetec</t>
        </is>
      </c>
      <c r="K265" s="314" t="n">
        <v>3150000</v>
      </c>
      <c r="L265" s="2" t="n">
        <v>45449</v>
      </c>
      <c r="M265" s="170" t="n"/>
      <c r="N265" s="170" t="n">
        <v>3206678830</v>
      </c>
      <c r="O265" s="102" t="inlineStr">
        <is>
          <t>Jhonny A Castro</t>
        </is>
      </c>
      <c r="P265" s="52" t="inlineStr">
        <is>
          <t>dirproyectos@securetec.com.co</t>
        </is>
      </c>
    </row>
    <row r="266">
      <c r="B266" s="170" t="n">
        <v>255</v>
      </c>
      <c r="C266" s="199" t="inlineStr">
        <is>
          <t>COTIZACION DE LOS DISEÑOS DE PROTECCIÓN CONTRA INCENDIOS Y SEGURIDAD HUMANA PARA EL PROYECTO CLINICA APARTADO</t>
        </is>
      </c>
      <c r="D266" s="312" t="n"/>
      <c r="E266" s="312" t="n"/>
      <c r="F266" s="312" t="n"/>
      <c r="G266" s="312" t="n"/>
      <c r="H266" s="312" t="n"/>
      <c r="I266" s="313" t="n"/>
      <c r="J266" s="199" t="inlineStr">
        <is>
          <t>INGE10</t>
        </is>
      </c>
      <c r="K266" s="314" t="n">
        <v>32950000</v>
      </c>
      <c r="L266" s="2" t="n">
        <v>45449</v>
      </c>
      <c r="M266" s="170" t="n"/>
      <c r="N266" s="170" t="inlineStr">
        <is>
          <t>311 3007958</t>
        </is>
      </c>
      <c r="O266" s="102" t="inlineStr">
        <is>
          <t>Daniel Botero</t>
        </is>
      </c>
      <c r="P266" s="52" t="inlineStr">
        <is>
          <t>ingenieria@inge10.com</t>
        </is>
      </c>
    </row>
    <row r="267" ht="15" customHeight="1">
      <c r="B267" s="170" t="n">
        <v>256</v>
      </c>
      <c r="C267" s="199" t="inlineStr">
        <is>
          <t>COTIZACION DE LOS DISEÑOS DE SEGURIDAD HUMANA Y PROTECCIÓN CONTRA INCENDIOS - FEDERAL</t>
        </is>
      </c>
      <c r="D267" s="312" t="n"/>
      <c r="E267" s="312" t="n"/>
      <c r="F267" s="312" t="n"/>
      <c r="G267" s="312" t="n"/>
      <c r="H267" s="312" t="n"/>
      <c r="I267" s="313" t="n"/>
      <c r="J267" s="199" t="inlineStr">
        <is>
          <t>Seriinco</t>
        </is>
      </c>
      <c r="K267" s="314" t="n">
        <v>27600000</v>
      </c>
      <c r="L267" s="2" t="n">
        <v>45449</v>
      </c>
      <c r="M267" s="170" t="n"/>
      <c r="N267" s="170" t="n">
        <v>3113391008</v>
      </c>
      <c r="O267" s="103" t="inlineStr">
        <is>
          <t>Carlos Henao</t>
        </is>
      </c>
      <c r="P267" s="52" t="inlineStr">
        <is>
          <t>carlos.henao@seriinco.com</t>
        </is>
      </c>
    </row>
    <row r="268">
      <c r="B268" s="170" t="n">
        <v>257</v>
      </c>
      <c r="C268" s="199" t="inlineStr">
        <is>
          <t xml:space="preserve">COTIZACION ÁREAS CLASIFICADAS - PROYECTOBODEGA PARA ALMACENAMIENTO DE CAFE </t>
        </is>
      </c>
      <c r="D268" s="312" t="n"/>
      <c r="E268" s="312" t="n"/>
      <c r="F268" s="312" t="n"/>
      <c r="G268" s="312" t="n"/>
      <c r="H268" s="312" t="n"/>
      <c r="I268" s="313" t="n"/>
      <c r="J268" s="199" t="inlineStr">
        <is>
          <t>Seriinco</t>
        </is>
      </c>
      <c r="K268" s="314" t="n">
        <v>9550000</v>
      </c>
      <c r="L268" s="2" t="n">
        <v>45449</v>
      </c>
      <c r="M268" s="170" t="n"/>
      <c r="N268" s="170" t="n">
        <v>3113391008</v>
      </c>
      <c r="O268" s="103" t="inlineStr">
        <is>
          <t>Carlos Henao</t>
        </is>
      </c>
      <c r="P268" s="52" t="inlineStr">
        <is>
          <t>carlos.henao@seriinco.com</t>
        </is>
      </c>
    </row>
    <row r="269">
      <c r="B269" s="170" t="n">
        <v>258</v>
      </c>
      <c r="C269" s="269" t="inlineStr">
        <is>
          <t>COTIZACION DE LOS DISEÑOS DE PROTECCIÓN CONTRA INCENDIOS Y SEGURIDAD HUMANA PARA EL PROYECTO EDIFICIO BELEN</t>
        </is>
      </c>
      <c r="D269" s="312" t="n"/>
      <c r="E269" s="312" t="n"/>
      <c r="F269" s="312" t="n"/>
      <c r="G269" s="312" t="n"/>
      <c r="H269" s="312" t="n"/>
      <c r="I269" s="313" t="n"/>
      <c r="J269" s="199" t="inlineStr">
        <is>
          <t>Laura Restrepo</t>
        </is>
      </c>
      <c r="K269" s="314" t="n">
        <v>5650000</v>
      </c>
      <c r="L269" s="2" t="n">
        <v>45449</v>
      </c>
      <c r="M269" s="2" t="n"/>
      <c r="N269" s="170" t="n"/>
      <c r="O269" s="102" t="inlineStr">
        <is>
          <t>Laura Restrepo</t>
        </is>
      </c>
      <c r="P269" s="52" t="inlineStr">
        <is>
          <t>laura.rpo19@gmail.com</t>
        </is>
      </c>
    </row>
    <row r="270">
      <c r="B270" s="170" t="n">
        <v>259</v>
      </c>
      <c r="C270" s="252" t="inlineStr">
        <is>
          <t xml:space="preserve">COTIZACION DE LOS DISEÑOS DE PROTECCIÓN CONTRA INCENDIOS Y SEGURIDAD HUMANA PARA EL PROYECTO HOTEL KLOK
</t>
        </is>
      </c>
      <c r="D270" s="312" t="n"/>
      <c r="E270" s="312" t="n"/>
      <c r="F270" s="312" t="n"/>
      <c r="G270" s="312" t="n"/>
      <c r="H270" s="312" t="n"/>
      <c r="I270" s="313" t="n"/>
      <c r="J270" s="231" t="inlineStr">
        <is>
          <t>Geovanny Diaz Ramírez</t>
        </is>
      </c>
      <c r="K270" s="314" t="n">
        <v>20950000</v>
      </c>
      <c r="L270" s="2" t="n">
        <v>45450</v>
      </c>
      <c r="M270" s="170" t="n"/>
      <c r="N270" s="170" t="inlineStr">
        <is>
          <t>310 821 2609</t>
        </is>
      </c>
      <c r="O270" s="103" t="inlineStr">
        <is>
          <t>Geovanny Diaz Ramírez</t>
        </is>
      </c>
      <c r="P270" s="52" t="inlineStr">
        <is>
          <t>geodr.182@hotmail.com</t>
        </is>
      </c>
    </row>
    <row r="271">
      <c r="B271" s="170" t="n">
        <v>260</v>
      </c>
      <c r="C271" s="199" t="inlineStr">
        <is>
          <t>COTIZACION DEL ANÁLISIS DE SEGURIDAD HUMANA PARA EL PROYECTO CLINICA DEL COUNTRY</t>
        </is>
      </c>
      <c r="D271" s="312" t="n"/>
      <c r="E271" s="312" t="n"/>
      <c r="F271" s="312" t="n"/>
      <c r="G271" s="312" t="n"/>
      <c r="H271" s="312" t="n"/>
      <c r="I271" s="313" t="n"/>
      <c r="J271" s="199" t="inlineStr">
        <is>
          <t>Jhon Ocampo arquitectura</t>
        </is>
      </c>
      <c r="K271" s="314" t="n">
        <v>9400000</v>
      </c>
      <c r="L271" s="2" t="n">
        <v>45450</v>
      </c>
      <c r="M271" s="170" t="n"/>
      <c r="N271" s="170" t="n">
        <v>3108214070</v>
      </c>
      <c r="O271" s="102" t="inlineStr">
        <is>
          <t>Jhon Ocampo</t>
        </is>
      </c>
      <c r="P271" s="52" t="inlineStr">
        <is>
          <t>Jhonocampoarq@gmail.com</t>
        </is>
      </c>
    </row>
    <row r="272">
      <c r="B272" s="170" t="n">
        <v>261</v>
      </c>
      <c r="C272" s="199" t="inlineStr">
        <is>
          <t>COTIZACION DEL ANÁLISIS DE SEGURIDAD HUMANA PARA EL PROYECTO CLINICA DEL COUNTRY UMI</t>
        </is>
      </c>
      <c r="D272" s="312" t="n"/>
      <c r="E272" s="312" t="n"/>
      <c r="F272" s="312" t="n"/>
      <c r="G272" s="312" t="n"/>
      <c r="H272" s="312" t="n"/>
      <c r="I272" s="313" t="n"/>
      <c r="J272" s="199" t="inlineStr">
        <is>
          <t>Jhon Ocampo arquitectura</t>
        </is>
      </c>
      <c r="K272" s="314" t="n">
        <v>4390000</v>
      </c>
      <c r="L272" s="2" t="n">
        <v>45450</v>
      </c>
      <c r="M272" s="170" t="n"/>
      <c r="N272" s="170" t="n">
        <v>3108214070</v>
      </c>
      <c r="O272" s="102" t="inlineStr">
        <is>
          <t>Jhon Ocampo</t>
        </is>
      </c>
      <c r="P272" s="52" t="inlineStr">
        <is>
          <t>Jhonocampoarq@gmail.com</t>
        </is>
      </c>
    </row>
    <row r="273">
      <c r="B273" s="170" t="n">
        <v>262</v>
      </c>
      <c r="C273" s="199" t="inlineStr">
        <is>
          <t>COTIZACION DEL ANÁLISIS DE SEGURIDAD HUMANA PARA EL PROYECTO CLINICA LA COLINA</t>
        </is>
      </c>
      <c r="D273" s="312" t="n"/>
      <c r="E273" s="312" t="n"/>
      <c r="F273" s="312" t="n"/>
      <c r="G273" s="312" t="n"/>
      <c r="H273" s="312" t="n"/>
      <c r="I273" s="313" t="n"/>
      <c r="J273" s="199" t="inlineStr">
        <is>
          <t>Jhon Ocampo arquitectura</t>
        </is>
      </c>
      <c r="K273" s="314" t="n">
        <v>8400000</v>
      </c>
      <c r="L273" s="2" t="n">
        <v>45450</v>
      </c>
      <c r="M273" s="170" t="n"/>
      <c r="N273" s="170" t="n">
        <v>3108214070</v>
      </c>
      <c r="O273" s="102" t="inlineStr">
        <is>
          <t>Jhon Ocampo</t>
        </is>
      </c>
      <c r="P273" s="52" t="inlineStr">
        <is>
          <t>Jhonocampoarq@gmail.com</t>
        </is>
      </c>
    </row>
    <row r="274">
      <c r="B274" s="170" t="n">
        <v>263</v>
      </c>
      <c r="C274" s="199" t="inlineStr">
        <is>
          <t>COTIZACION DEL ANÁLISIS DE SEGURIDAD HUMANA PARA EL PROYECTO PANDA PAN</t>
        </is>
      </c>
      <c r="D274" s="312" t="n"/>
      <c r="E274" s="312" t="n"/>
      <c r="F274" s="312" t="n"/>
      <c r="G274" s="312" t="n"/>
      <c r="H274" s="312" t="n"/>
      <c r="I274" s="313" t="n"/>
      <c r="J274" s="199" t="inlineStr">
        <is>
          <t>Progressa</t>
        </is>
      </c>
      <c r="K274" s="314" t="n">
        <v>7950000</v>
      </c>
      <c r="L274" s="2" t="n">
        <v>45450</v>
      </c>
      <c r="M274" s="170" t="n"/>
      <c r="N274" s="170" t="inlineStr">
        <is>
          <t>311 9684</t>
        </is>
      </c>
      <c r="O274" s="102" t="inlineStr">
        <is>
          <t xml:space="preserve">Sandra Milena Sanchez </t>
        </is>
      </c>
      <c r="P274" s="52" t="inlineStr">
        <is>
          <t>sandras@progressa.com.co</t>
        </is>
      </c>
    </row>
    <row r="275" ht="15" customHeight="1">
      <c r="B275" s="170" t="n">
        <v>264</v>
      </c>
      <c r="C275" s="199" t="inlineStr">
        <is>
          <t xml:space="preserve">
COTIZACION DEL ANÁLISIS DE SEGURIDAD HUMANA PARA EL PROYECTO PINTURAS PRIME</t>
        </is>
      </c>
      <c r="D275" s="312" t="n"/>
      <c r="E275" s="312" t="n"/>
      <c r="F275" s="312" t="n"/>
      <c r="G275" s="312" t="n"/>
      <c r="H275" s="312" t="n"/>
      <c r="I275" s="313" t="n"/>
      <c r="J275" s="199" t="inlineStr">
        <is>
          <t>Progressa</t>
        </is>
      </c>
      <c r="K275" s="314" t="n">
        <v>5950000</v>
      </c>
      <c r="L275" s="2" t="n">
        <v>45450</v>
      </c>
      <c r="M275" s="170" t="n"/>
      <c r="N275" s="170" t="inlineStr">
        <is>
          <t>311 9684</t>
        </is>
      </c>
      <c r="O275" s="102" t="inlineStr">
        <is>
          <t xml:space="preserve">Sandra Milena Sanchez </t>
        </is>
      </c>
      <c r="P275" s="52" t="inlineStr">
        <is>
          <t>sandras@progressa.com.co</t>
        </is>
      </c>
    </row>
    <row r="276">
      <c r="B276" s="170" t="n">
        <v>265</v>
      </c>
      <c r="C276" s="199" t="inlineStr">
        <is>
          <t>COTIZACION DEL ANÁLISIS DE SEGURIDAD HUMANA - EDIFICIO PMT SMURTFIT KAPPA</t>
        </is>
      </c>
      <c r="D276" s="312" t="n"/>
      <c r="E276" s="312" t="n"/>
      <c r="F276" s="312" t="n"/>
      <c r="G276" s="312" t="n"/>
      <c r="H276" s="312" t="n"/>
      <c r="I276" s="313" t="n"/>
      <c r="J276" s="199" t="inlineStr">
        <is>
          <t>Conconcreto</t>
        </is>
      </c>
      <c r="K276" s="314" t="n">
        <v>3540000</v>
      </c>
      <c r="L276" s="2" t="n">
        <v>45450</v>
      </c>
      <c r="M276" s="170" t="n"/>
      <c r="N276" s="170" t="n">
        <v>3146844810</v>
      </c>
      <c r="O276" s="103" t="inlineStr">
        <is>
          <t>Ana María Torres</t>
        </is>
      </c>
      <c r="P276" s="52" t="inlineStr">
        <is>
          <t>amtorres@conconcreto.com</t>
        </is>
      </c>
    </row>
    <row r="277">
      <c r="B277" s="170" t="n">
        <v>266</v>
      </c>
      <c r="C277" s="199" t="inlineStr">
        <is>
          <t>COTIZACION DEL ANÁLISIS DE SEGURIDAD HUMANA - EDIFICIO CCM SMURTFIT KAPPA</t>
        </is>
      </c>
      <c r="D277" s="312" t="n"/>
      <c r="E277" s="312" t="n"/>
      <c r="F277" s="312" t="n"/>
      <c r="G277" s="312" t="n"/>
      <c r="H277" s="312" t="n"/>
      <c r="I277" s="313" t="n"/>
      <c r="J277" s="199" t="inlineStr">
        <is>
          <t>Conconcreto</t>
        </is>
      </c>
      <c r="K277" s="314" t="n">
        <v>4670000</v>
      </c>
      <c r="L277" s="2" t="n">
        <v>45450</v>
      </c>
      <c r="M277" s="170" t="n"/>
      <c r="N277" s="170" t="n">
        <v>3146844810</v>
      </c>
      <c r="O277" s="103" t="inlineStr">
        <is>
          <t>Ana María Torres</t>
        </is>
      </c>
      <c r="P277" s="52" t="inlineStr">
        <is>
          <t>amtorres@conconcreto.com</t>
        </is>
      </c>
    </row>
    <row r="278">
      <c r="B278" s="170" t="n">
        <v>267</v>
      </c>
      <c r="C278" s="199" t="inlineStr">
        <is>
          <t>COTIZACION DE LOS DISEÑOS DE PROTECCIÓN CONTRA INCENDIOS Y SEGURIDAD HUMANA PARA EL PROYECTO PINNOT</t>
        </is>
      </c>
      <c r="D278" s="312" t="n"/>
      <c r="E278" s="312" t="n"/>
      <c r="F278" s="312" t="n"/>
      <c r="G278" s="312" t="n"/>
      <c r="H278" s="312" t="n"/>
      <c r="I278" s="313" t="n"/>
      <c r="J278" s="199" t="inlineStr">
        <is>
          <t>Arquitectura y Concreto</t>
        </is>
      </c>
      <c r="K278" s="314" t="n">
        <v>31950000</v>
      </c>
      <c r="L278" s="2" t="n">
        <v>45454</v>
      </c>
      <c r="M278" s="170" t="n"/>
      <c r="N278" s="170" t="n">
        <v>3127218621</v>
      </c>
      <c r="O278" s="102" t="inlineStr">
        <is>
          <t xml:space="preserve">ROBINSON MARULANDA GUARIN </t>
        </is>
      </c>
      <c r="P278" s="52" t="inlineStr">
        <is>
          <t>robinsonmarulanda@arquitecturayconcreto.com</t>
        </is>
      </c>
    </row>
    <row r="279">
      <c r="B279" s="170" t="n">
        <v>268</v>
      </c>
      <c r="C279" s="199" t="inlineStr">
        <is>
          <t>COTIZACION DE LOS DISEÑOS DE SEGURIDAD HUMANA Y PROTECCIÓN CONTRA INCENDIOS - PROYECTO LOTE FLORIDA VIVIENDA</t>
        </is>
      </c>
      <c r="D279" s="312" t="n"/>
      <c r="E279" s="312" t="n"/>
      <c r="F279" s="312" t="n"/>
      <c r="G279" s="312" t="n"/>
      <c r="H279" s="312" t="n"/>
      <c r="I279" s="313" t="n"/>
      <c r="J279" s="199" t="inlineStr">
        <is>
          <t>Coninsa</t>
        </is>
      </c>
      <c r="K279" s="314" t="inlineStr">
        <is>
          <t>variable</t>
        </is>
      </c>
      <c r="L279" s="2" t="n">
        <v>45455</v>
      </c>
      <c r="M279" s="170" t="n"/>
      <c r="N279" s="170" t="inlineStr">
        <is>
          <t>300 6194323</t>
        </is>
      </c>
      <c r="O279" s="102" t="inlineStr">
        <is>
          <t xml:space="preserve"> Clara Ines Mesa Lopez de Mesa</t>
        </is>
      </c>
      <c r="P279" s="52" t="inlineStr">
        <is>
          <t>cmesa@coninsa.co</t>
        </is>
      </c>
    </row>
    <row r="280">
      <c r="B280" s="170" t="n">
        <v>269</v>
      </c>
      <c r="C280" s="199" t="inlineStr">
        <is>
          <t>COTIZACION DEL DISEÑO DE EXTINCIÓN DE INCENDIOS - PROYECTO PUERTO NAVAL CARTAGENA</t>
        </is>
      </c>
      <c r="D280" s="312" t="n"/>
      <c r="E280" s="312" t="n"/>
      <c r="F280" s="312" t="n"/>
      <c r="G280" s="312" t="n"/>
      <c r="H280" s="312" t="n"/>
      <c r="I280" s="313" t="n"/>
      <c r="J280" s="199" t="inlineStr">
        <is>
          <t>Seriinco</t>
        </is>
      </c>
      <c r="K280" s="314" t="inlineStr">
        <is>
          <t>No se presentaron</t>
        </is>
      </c>
      <c r="L280" s="2" t="n">
        <v>45455</v>
      </c>
      <c r="M280" s="170" t="n"/>
      <c r="N280" s="170" t="n">
        <v>3113391008</v>
      </c>
      <c r="O280" s="103" t="inlineStr">
        <is>
          <t>Carlos Henao</t>
        </is>
      </c>
      <c r="P280" s="52" t="inlineStr">
        <is>
          <t>carlos.henao@seriinco.com</t>
        </is>
      </c>
    </row>
    <row r="281">
      <c r="B281" s="170" t="n">
        <v>270</v>
      </c>
      <c r="C281" s="199" t="inlineStr">
        <is>
          <t>COTIZACION DEL DIAGNÓSTICO Y ANÁLISIS DE SEGURIDAD HUMANA PARA EL PROYECTO CLINICA DEL COUNTRY TRES SEDES</t>
        </is>
      </c>
      <c r="D281" s="312" t="n"/>
      <c r="E281" s="312" t="n"/>
      <c r="F281" s="312" t="n"/>
      <c r="G281" s="312" t="n"/>
      <c r="H281" s="312" t="n"/>
      <c r="I281" s="313" t="n"/>
      <c r="J281" s="199" t="inlineStr">
        <is>
          <t>Jhon Ocampo arquitectura</t>
        </is>
      </c>
      <c r="K281" s="314" t="n">
        <v>18950000</v>
      </c>
      <c r="L281" s="2" t="n">
        <v>45454</v>
      </c>
      <c r="M281" s="170" t="n"/>
      <c r="N281" s="170" t="n">
        <v>3108214070</v>
      </c>
      <c r="O281" s="102" t="inlineStr">
        <is>
          <t>Jhon Ocampo</t>
        </is>
      </c>
      <c r="P281" s="52" t="inlineStr">
        <is>
          <t>Jhonocampoarq@gmail.com</t>
        </is>
      </c>
    </row>
    <row r="282">
      <c r="B282" s="170" t="n">
        <v>271</v>
      </c>
      <c r="C282" s="199" t="inlineStr">
        <is>
          <t>COTIZACION DEL ANÁLISIS DE SEGURIDAD HUMANA - EDIFICIOS PMT Y CCM SMURTFIT KAPPA</t>
        </is>
      </c>
      <c r="D282" s="312" t="n"/>
      <c r="E282" s="312" t="n"/>
      <c r="F282" s="312" t="n"/>
      <c r="G282" s="312" t="n"/>
      <c r="H282" s="312" t="n"/>
      <c r="I282" s="313" t="n"/>
      <c r="J282" s="199" t="inlineStr">
        <is>
          <t>Conconcreto</t>
        </is>
      </c>
      <c r="K282" s="314" t="n">
        <v>8210000</v>
      </c>
      <c r="L282" s="2" t="n">
        <v>45454</v>
      </c>
      <c r="M282" s="170" t="n"/>
      <c r="N282" s="170" t="n">
        <v>3146844810</v>
      </c>
      <c r="O282" s="103" t="inlineStr">
        <is>
          <t>Ana María Torres</t>
        </is>
      </c>
      <c r="P282" s="52" t="inlineStr">
        <is>
          <t>amtorres@conconcreto.com</t>
        </is>
      </c>
    </row>
    <row r="283">
      <c r="B283" s="170" t="n">
        <v>272</v>
      </c>
      <c r="C283" s="199" t="inlineStr">
        <is>
          <t>COTIZACION DE LOS DISEÑOS DE PROTECCIÓN CONTRA INCENDIOS PARA EL PROYECTO BANCOLOMBIA VIVA WAJIIRA</t>
        </is>
      </c>
      <c r="D283" s="312" t="n"/>
      <c r="E283" s="312" t="n"/>
      <c r="F283" s="312" t="n"/>
      <c r="G283" s="312" t="n"/>
      <c r="H283" s="312" t="n"/>
      <c r="I283" s="313" t="n"/>
      <c r="J283" s="199" t="inlineStr">
        <is>
          <t>Esteban Perez</t>
        </is>
      </c>
      <c r="K283" s="314" t="n">
        <v>1950000</v>
      </c>
      <c r="L283" s="2" t="n">
        <v>45455</v>
      </c>
      <c r="M283" s="170" t="n"/>
      <c r="N283" s="170" t="inlineStr">
        <is>
          <t>316 7417025</t>
        </is>
      </c>
      <c r="O283" s="102" t="inlineStr">
        <is>
          <t>Esteban Pérez Betancur</t>
        </is>
      </c>
      <c r="P283" s="52" t="inlineStr">
        <is>
          <t>escapeto28@gmail.com</t>
        </is>
      </c>
    </row>
    <row r="284">
      <c r="B284" s="170" t="n">
        <v>273</v>
      </c>
      <c r="C284" s="246" t="inlineStr">
        <is>
          <t xml:space="preserve">COTIZACION DE LOS RE-DISEÑOS DE PROTECCIÓN CONTRA INCENDIOS PARA EL PROYECTO FRUTOS VERDES TORRE 10
</t>
        </is>
      </c>
      <c r="D284" s="312" t="n"/>
      <c r="E284" s="312" t="n"/>
      <c r="F284" s="312" t="n"/>
      <c r="G284" s="312" t="n"/>
      <c r="H284" s="312" t="n"/>
      <c r="I284" s="313" t="n"/>
      <c r="J284" s="199" t="inlineStr">
        <is>
          <t>Conintel</t>
        </is>
      </c>
      <c r="K284" s="314" t="n">
        <v>3950000</v>
      </c>
      <c r="L284" s="2" t="n">
        <v>45456</v>
      </c>
      <c r="M284" s="170" t="n"/>
      <c r="N284" s="170" t="inlineStr">
        <is>
          <t>313 7163567</t>
        </is>
      </c>
      <c r="O284" s="103" t="inlineStr">
        <is>
          <t>David Fernando Cardona</t>
        </is>
      </c>
      <c r="P284" s="52" t="inlineStr">
        <is>
          <t>coordinacion@conintel.com.co</t>
        </is>
      </c>
    </row>
    <row r="285">
      <c r="B285" s="170" t="n">
        <v>274</v>
      </c>
      <c r="C285" s="199" t="inlineStr">
        <is>
          <t>COTIZACION DE LOS DISEÑOS DE PROTECCIÓN CONTRA INCENDIOS PARA EL PROYECTO CAV FLORA AREA METROPOLINATA</t>
        </is>
      </c>
      <c r="D285" s="312" t="n"/>
      <c r="E285" s="312" t="n"/>
      <c r="F285" s="312" t="n"/>
      <c r="G285" s="312" t="n"/>
      <c r="H285" s="312" t="n"/>
      <c r="I285" s="313" t="n"/>
      <c r="J285" s="199" t="inlineStr">
        <is>
          <t>PROJECT&amp; SOLUTIONS</t>
        </is>
      </c>
      <c r="K285" s="314" t="n">
        <v>8780000</v>
      </c>
      <c r="L285" s="2" t="n">
        <v>45457</v>
      </c>
      <c r="M285" s="170" t="n"/>
      <c r="N285" s="170" t="inlineStr">
        <is>
          <t>311 3079477</t>
        </is>
      </c>
      <c r="O285" s="102" t="inlineStr">
        <is>
          <t>Sebastian Lopez Duque</t>
        </is>
      </c>
      <c r="P285" s="52" t="inlineStr">
        <is>
          <t>gerencia@projectsolutions.com.co</t>
        </is>
      </c>
    </row>
    <row r="286" ht="15" customHeight="1">
      <c r="B286" s="170" t="n">
        <v>275</v>
      </c>
      <c r="C286" s="199" t="inlineStr">
        <is>
          <t>COTIZACION DEL DISEÑO DE DETECCIÓN DE INCENDIOS PARA EL PROYECTO CUARTOS GENERADORES SANTA MARTA</t>
        </is>
      </c>
      <c r="D286" s="312" t="n"/>
      <c r="E286" s="312" t="n"/>
      <c r="F286" s="312" t="n"/>
      <c r="G286" s="312" t="n"/>
      <c r="H286" s="312" t="n"/>
      <c r="I286" s="313" t="n"/>
      <c r="J286" s="199" t="inlineStr">
        <is>
          <t>IEB</t>
        </is>
      </c>
      <c r="K286" s="314" t="n">
        <v>14950000</v>
      </c>
      <c r="L286" s="2" t="n">
        <v>45456</v>
      </c>
      <c r="M286" s="170" t="n"/>
      <c r="N286" s="170" t="n"/>
      <c r="O286" s="102" t="inlineStr">
        <is>
          <t>Paula Montoya</t>
        </is>
      </c>
      <c r="P286" s="52" t="inlineStr">
        <is>
          <t>paula.montoya@ieb.co</t>
        </is>
      </c>
    </row>
    <row r="287" ht="15" customHeight="1">
      <c r="B287" s="170" t="n">
        <v>276</v>
      </c>
      <c r="C287" s="199" t="inlineStr">
        <is>
          <t>COTIZACION DEL DISEÑO DE ANÁLISIS DE POLVOS - ARROZ FEDERAL</t>
        </is>
      </c>
      <c r="D287" s="312" t="n"/>
      <c r="E287" s="312" t="n"/>
      <c r="F287" s="312" t="n"/>
      <c r="G287" s="312" t="n"/>
      <c r="H287" s="312" t="n"/>
      <c r="I287" s="313" t="n"/>
      <c r="J287" s="199" t="inlineStr">
        <is>
          <t>Seriinco</t>
        </is>
      </c>
      <c r="K287" s="314" t="n">
        <v>20500000</v>
      </c>
      <c r="L287" s="2" t="n">
        <v>45457</v>
      </c>
      <c r="M287" s="170" t="n"/>
      <c r="N287" s="170" t="n">
        <v>3113391008</v>
      </c>
      <c r="O287" s="103" t="inlineStr">
        <is>
          <t>Carlos Henao</t>
        </is>
      </c>
      <c r="P287" s="52" t="inlineStr">
        <is>
          <t>carlos.henao@seriinco.com</t>
        </is>
      </c>
    </row>
    <row r="288" ht="15" customHeight="1">
      <c r="B288" s="170" t="n">
        <v>277</v>
      </c>
      <c r="C288" s="199" t="inlineStr">
        <is>
          <t>COTIZACION DE LOS DISEÑOS DE PROTECCIÓN CONTRA INCENDIOS Y SEGURIDAD HUMANA PARA EL PROYECTO BODEGA POSTOBON</t>
        </is>
      </c>
      <c r="D288" s="312" t="n"/>
      <c r="E288" s="312" t="n"/>
      <c r="F288" s="312" t="n"/>
      <c r="G288" s="312" t="n"/>
      <c r="H288" s="312" t="n"/>
      <c r="I288" s="313" t="n"/>
      <c r="J288" s="199" t="inlineStr">
        <is>
          <t>SOCOMES</t>
        </is>
      </c>
      <c r="K288" s="314" t="n">
        <v>13800000</v>
      </c>
      <c r="L288" s="2" t="n">
        <v>45457</v>
      </c>
      <c r="M288" s="170" t="n"/>
      <c r="N288" s="170" t="n">
        <v>3137851941</v>
      </c>
      <c r="O288" s="102" t="inlineStr">
        <is>
          <t>David Lopera medina</t>
        </is>
      </c>
      <c r="P288" s="52" t="inlineStr">
        <is>
          <t>david.lopera@socomes.com</t>
        </is>
      </c>
    </row>
    <row r="289" ht="15" customHeight="1">
      <c r="B289" s="170" t="n">
        <v>278</v>
      </c>
      <c r="C289" s="199" t="inlineStr">
        <is>
          <t>COTIZACION DE LOS DISEÑOS DE PROTECCIÓN CONTRA INCENDIOS Y SEGURIDAD HUMANA PARA EL PROYECTO GUATAPURI ETAPA 1</t>
        </is>
      </c>
      <c r="D289" s="312" t="n"/>
      <c r="E289" s="312" t="n"/>
      <c r="F289" s="312" t="n"/>
      <c r="G289" s="312" t="n"/>
      <c r="H289" s="312" t="n"/>
      <c r="I289" s="313" t="n"/>
      <c r="J289" s="199" t="inlineStr">
        <is>
          <t>Acierto Inmobiliario</t>
        </is>
      </c>
      <c r="K289" s="314" t="n">
        <v>24970000</v>
      </c>
      <c r="L289" s="2" t="n">
        <v>45457</v>
      </c>
      <c r="M289" s="170" t="n"/>
      <c r="N289" s="170" t="inlineStr">
        <is>
          <t>310 4963403</t>
        </is>
      </c>
      <c r="O289" s="102" t="inlineStr">
        <is>
          <t>John Gomez</t>
        </is>
      </c>
      <c r="P289" s="52" t="inlineStr">
        <is>
          <t>jgomez@acierto.com.co</t>
        </is>
      </c>
    </row>
    <row r="290" ht="15" customHeight="1">
      <c r="B290" s="170" t="n">
        <v>279</v>
      </c>
      <c r="C290" s="199" t="inlineStr">
        <is>
          <t xml:space="preserve">
COTIZACION DE LOS DISEÑOS DE PROTECCIÓN CONTRA INCENDIOS Y SEGURIDAD HUMANA PARA EL PROYECTO MOKANA
</t>
        </is>
      </c>
      <c r="D290" s="312" t="n"/>
      <c r="E290" s="312" t="n"/>
      <c r="F290" s="312" t="n"/>
      <c r="G290" s="312" t="n"/>
      <c r="H290" s="312" t="n"/>
      <c r="I290" s="313" t="n"/>
      <c r="J290" s="199" t="inlineStr">
        <is>
          <t>Arquitectura y Concreto</t>
        </is>
      </c>
      <c r="K290" s="314" t="n">
        <v>23950000</v>
      </c>
      <c r="L290" s="2" t="n">
        <v>45461</v>
      </c>
      <c r="M290" s="170" t="n"/>
      <c r="N290" s="170" t="n">
        <v>3162439535</v>
      </c>
      <c r="O290" s="102" t="inlineStr">
        <is>
          <t>Sebastian Ochoa Gomez</t>
        </is>
      </c>
      <c r="P290" s="52" t="n"/>
    </row>
    <row r="291">
      <c r="B291" s="170" t="n">
        <v>280</v>
      </c>
      <c r="C291" s="199" t="inlineStr">
        <is>
          <t>COTIZACION DE LOS DISEÑOS DE PROTECCIÓN CONTRA INCENDIOS PARA EL PROYECTO AMAREY</t>
        </is>
      </c>
      <c r="D291" s="312" t="n"/>
      <c r="E291" s="312" t="n"/>
      <c r="F291" s="312" t="n"/>
      <c r="G291" s="312" t="n"/>
      <c r="H291" s="312" t="n"/>
      <c r="I291" s="313" t="n"/>
      <c r="J291" s="199" t="inlineStr">
        <is>
          <t>SPCI</t>
        </is>
      </c>
      <c r="K291" s="314" t="n">
        <v>9990000</v>
      </c>
      <c r="L291" s="2" t="n">
        <v>45461</v>
      </c>
      <c r="M291" s="170" t="n"/>
      <c r="N291" s="170" t="n">
        <v>3104165783</v>
      </c>
      <c r="O291" s="102" t="inlineStr">
        <is>
          <t>Cristiam Gustavo Mondragon</t>
        </is>
      </c>
      <c r="P291" s="82" t="inlineStr">
        <is>
          <t>dir.tecnico@spci.com.co</t>
        </is>
      </c>
    </row>
    <row r="292">
      <c r="B292" s="170" t="n">
        <v>281</v>
      </c>
      <c r="C292" s="233" t="inlineStr">
        <is>
          <t>COTIZACION DEL DISEÑO DE EXTINCIÓN DE INCENDIOS PARA EL PROYECTO PLANTA AMONIACO</t>
        </is>
      </c>
      <c r="D292" s="312" t="n"/>
      <c r="E292" s="312" t="n"/>
      <c r="F292" s="312" t="n"/>
      <c r="G292" s="312" t="n"/>
      <c r="H292" s="312" t="n"/>
      <c r="I292" s="313" t="n"/>
      <c r="J292" s="199" t="inlineStr">
        <is>
          <t>SPCI</t>
        </is>
      </c>
      <c r="K292" s="314" t="n">
        <v>14950000</v>
      </c>
      <c r="L292" s="2" t="n">
        <v>45463</v>
      </c>
      <c r="M292" s="2" t="n"/>
      <c r="N292" s="170" t="n">
        <v>3104165783</v>
      </c>
      <c r="O292" s="102" t="inlineStr">
        <is>
          <t>Cristiam Gustavo Mondragon</t>
        </is>
      </c>
      <c r="P292" s="82" t="inlineStr">
        <is>
          <t>dir.tecnico@spci.com.co</t>
        </is>
      </c>
    </row>
    <row r="293">
      <c r="B293" s="170" t="n">
        <v>282</v>
      </c>
      <c r="C293" s="199" t="inlineStr">
        <is>
          <t>COTIZACION DEL DISEÑO DE EXTINCIÓN DE INCENDIOS PARA EL PROYECTO CARTAMA LEMONT OF. 9965</t>
        </is>
      </c>
      <c r="D293" s="312" t="n"/>
      <c r="E293" s="312" t="n"/>
      <c r="F293" s="312" t="n"/>
      <c r="G293" s="312" t="n"/>
      <c r="H293" s="312" t="n"/>
      <c r="I293" s="313" t="n"/>
      <c r="J293" s="199" t="inlineStr">
        <is>
          <t>SPCI</t>
        </is>
      </c>
      <c r="K293" s="314" t="n">
        <v>1500000</v>
      </c>
      <c r="L293" s="2" t="n">
        <v>45464</v>
      </c>
      <c r="M293" s="2" t="n"/>
      <c r="N293" s="170" t="n">
        <v>3104165783</v>
      </c>
      <c r="O293" s="102" t="inlineStr">
        <is>
          <t>Cristiam Gustavo Mondragon</t>
        </is>
      </c>
      <c r="P293" s="82" t="inlineStr">
        <is>
          <t>dir.tecnico@spci.com.co</t>
        </is>
      </c>
    </row>
    <row r="294">
      <c r="B294" s="170" t="n">
        <v>283</v>
      </c>
      <c r="C294" s="246" t="inlineStr">
        <is>
          <t xml:space="preserve">COTIZACION DEL DISEÑO DE EXTINCIÓN DE INCENDIOS PARA EL PROYECTO ALMACENAJE DE LUBRICANTES
</t>
        </is>
      </c>
      <c r="D294" s="312" t="n"/>
      <c r="E294" s="312" t="n"/>
      <c r="F294" s="312" t="n"/>
      <c r="G294" s="312" t="n"/>
      <c r="H294" s="312" t="n"/>
      <c r="I294" s="313" t="n"/>
      <c r="J294" s="199" t="inlineStr">
        <is>
          <t xml:space="preserve">Fire Protection Solutions Group </t>
        </is>
      </c>
      <c r="K294" s="314" t="n">
        <v>3950</v>
      </c>
      <c r="L294" s="2" t="n">
        <v>45464</v>
      </c>
      <c r="M294" s="170" t="n"/>
      <c r="N294" s="170" t="n">
        <v>3108227462</v>
      </c>
      <c r="O294" s="102" t="inlineStr">
        <is>
          <t>Alvaro Manosalva</t>
        </is>
      </c>
      <c r="P294" s="52" t="inlineStr">
        <is>
          <t>alvaromanosalva@sfiregroup.com</t>
        </is>
      </c>
    </row>
    <row r="295">
      <c r="B295" s="170" t="n">
        <v>284</v>
      </c>
      <c r="C295" s="246" t="inlineStr">
        <is>
          <t xml:space="preserve">COTIZACION DEL DISEÑO DE EXTINCIÓN DE INCENDIOS PARA EL PROYECTO PLANTA DE ALMACEN DE ALCOHOLES
</t>
        </is>
      </c>
      <c r="D295" s="312" t="n"/>
      <c r="E295" s="312" t="n"/>
      <c r="F295" s="312" t="n"/>
      <c r="G295" s="312" t="n"/>
      <c r="H295" s="312" t="n"/>
      <c r="I295" s="313" t="n"/>
      <c r="J295" s="199" t="inlineStr">
        <is>
          <t xml:space="preserve">Fire Protection Solutions Group </t>
        </is>
      </c>
      <c r="K295" s="314" t="n">
        <v>3550</v>
      </c>
      <c r="L295" s="2" t="n">
        <v>45464</v>
      </c>
      <c r="M295" s="170" t="n"/>
      <c r="N295" s="170" t="n">
        <v>3108227462</v>
      </c>
      <c r="O295" s="102" t="inlineStr">
        <is>
          <t>Alvaro Manosalva</t>
        </is>
      </c>
      <c r="P295" s="52" t="inlineStr">
        <is>
          <t>alvaromanosalva@sfiregroup.com</t>
        </is>
      </c>
    </row>
    <row r="296" ht="15" customHeight="1">
      <c r="B296" s="170" t="n">
        <v>285</v>
      </c>
      <c r="C296" s="246" t="inlineStr">
        <is>
          <t>COTIZACION DEL DISEÑO DE DETECCIÓN DE INCENDIOS PARA EL PROYECTO MIRADOR DEL VALLE COPACABANA</t>
        </is>
      </c>
      <c r="D296" s="312" t="n"/>
      <c r="E296" s="312" t="n"/>
      <c r="F296" s="312" t="n"/>
      <c r="G296" s="312" t="n"/>
      <c r="H296" s="312" t="n"/>
      <c r="I296" s="313" t="n"/>
      <c r="J296" s="199" t="inlineStr">
        <is>
          <t>Constru HG</t>
        </is>
      </c>
      <c r="K296" s="314" t="n">
        <v>2950000</v>
      </c>
      <c r="L296" s="2" t="n">
        <v>45467</v>
      </c>
      <c r="M296" s="170" t="n"/>
      <c r="N296" s="170" t="n"/>
      <c r="O296" s="103" t="inlineStr">
        <is>
          <t>filiberto hincapie</t>
        </is>
      </c>
      <c r="P296" s="52" t="inlineStr">
        <is>
          <t>constru.hg@gmail.com</t>
        </is>
      </c>
    </row>
    <row r="297">
      <c r="B297" s="170" t="n">
        <v>286</v>
      </c>
      <c r="C297" s="199" t="inlineStr">
        <is>
          <t>COTIZACION DE LOS DISEÑOS DE PROTECCIÓN CONTRA INCENDIOS PARA EL PROYECTO RAD-COL</t>
        </is>
      </c>
      <c r="D297" s="312" t="n"/>
      <c r="E297" s="312" t="n"/>
      <c r="F297" s="312" t="n"/>
      <c r="G297" s="312" t="n"/>
      <c r="H297" s="312" t="n"/>
      <c r="I297" s="313" t="n"/>
      <c r="J297" s="199" t="inlineStr">
        <is>
          <t>Good Group</t>
        </is>
      </c>
      <c r="K297" s="314" t="inlineStr">
        <is>
          <t>No se presentaron</t>
        </is>
      </c>
      <c r="L297" s="2" t="n">
        <v>45467</v>
      </c>
      <c r="M297" s="170" t="n"/>
      <c r="N297" s="170" t="n"/>
      <c r="O297" s="102" t="inlineStr">
        <is>
          <t>Deisy Duque</t>
        </is>
      </c>
      <c r="P297" s="52" t="inlineStr">
        <is>
          <t>operaciones@goodgroup.com.co</t>
        </is>
      </c>
    </row>
    <row r="298">
      <c r="B298" s="170" t="n">
        <v>287</v>
      </c>
      <c r="C298" s="199" t="inlineStr">
        <is>
          <t>COTIZACION DE LA REVISIÓN DE LOS DISEÑOS DE EXTINCIÓN DE INCENDIOS - PROYECTO PLAZA MERCADO AMAGÁ</t>
        </is>
      </c>
      <c r="D298" s="312" t="n"/>
      <c r="E298" s="312" t="n"/>
      <c r="F298" s="312" t="n"/>
      <c r="G298" s="312" t="n"/>
      <c r="H298" s="312" t="n"/>
      <c r="I298" s="313" t="n"/>
      <c r="J298" s="199" t="inlineStr">
        <is>
          <t>SPCI</t>
        </is>
      </c>
      <c r="K298" s="314" t="n">
        <v>2900000</v>
      </c>
      <c r="L298" s="2" t="n">
        <v>45467</v>
      </c>
      <c r="M298" s="170" t="n"/>
      <c r="N298" s="170" t="inlineStr">
        <is>
          <t xml:space="preserve"> 310 468 0508</t>
        </is>
      </c>
      <c r="O298" s="102" t="inlineStr">
        <is>
          <t>Juan Pablo Grajales Gómez</t>
        </is>
      </c>
      <c r="P298" s="52" t="inlineStr">
        <is>
          <t>juan.grajales@spci.com.co</t>
        </is>
      </c>
    </row>
    <row r="299">
      <c r="B299" s="170" t="n">
        <v>288</v>
      </c>
      <c r="C299" s="199" t="inlineStr">
        <is>
          <t>COTIZACION DEL DISEÑO DE DETECCIÓN DE INCENDIOS PARA EL PROYECTO BODEGA DISTRIFULL</t>
        </is>
      </c>
      <c r="D299" s="312" t="n"/>
      <c r="E299" s="312" t="n"/>
      <c r="F299" s="312" t="n"/>
      <c r="G299" s="312" t="n"/>
      <c r="H299" s="312" t="n"/>
      <c r="I299" s="313" t="n"/>
      <c r="J299" s="199" t="inlineStr">
        <is>
          <t>SPCI</t>
        </is>
      </c>
      <c r="K299" s="314" t="n">
        <v>8800000</v>
      </c>
      <c r="L299" s="2" t="n">
        <v>45467</v>
      </c>
      <c r="M299" s="170" t="n"/>
      <c r="N299" s="170" t="inlineStr">
        <is>
          <t xml:space="preserve"> 310 468 0508</t>
        </is>
      </c>
      <c r="O299" s="102" t="inlineStr">
        <is>
          <t>Juan Pablo Grajales Gómez</t>
        </is>
      </c>
      <c r="P299" s="52" t="inlineStr">
        <is>
          <t>juan.grajales@spci.com.co</t>
        </is>
      </c>
    </row>
    <row r="300">
      <c r="B300" s="170" t="n">
        <v>289</v>
      </c>
      <c r="C300" s="233" t="inlineStr">
        <is>
          <t>COTIZACION DE LOS DISEÑOS DE PROTECCIÓN CONTRA INCENDIOS Y SEGURIDAD HUMANA PARA EL PROYECTO HOTEL BEMINIMA</t>
        </is>
      </c>
      <c r="D300" s="312" t="n"/>
      <c r="E300" s="312" t="n"/>
      <c r="F300" s="312" t="n"/>
      <c r="G300" s="312" t="n"/>
      <c r="H300" s="312" t="n"/>
      <c r="I300" s="313" t="n"/>
      <c r="J300" s="199" t="inlineStr">
        <is>
          <t>IS CIVILES</t>
        </is>
      </c>
      <c r="K300" s="314" t="n">
        <v>12250000</v>
      </c>
      <c r="L300" s="2" t="n">
        <v>45467</v>
      </c>
      <c r="M300" s="170" t="n"/>
      <c r="N300" s="170" t="n">
        <v>3143624300</v>
      </c>
      <c r="O300" s="103" t="inlineStr">
        <is>
          <t xml:space="preserve">Heder Alvarez Cardozo </t>
        </is>
      </c>
      <c r="P300" s="98" t="inlineStr">
        <is>
          <t>heder.cardozo@isciviles.com.co</t>
        </is>
      </c>
    </row>
    <row r="301">
      <c r="B301" s="170" t="n">
        <v>290</v>
      </c>
      <c r="C301" s="246" t="inlineStr">
        <is>
          <t xml:space="preserve">COTIZACION DE LOS DISEÑOS DE PROTECCIÓN CONTRA INCENDIOS Y SEGURIDAD HUMANA PARA EL PROYECTO EDIFICIO FAROLITO
</t>
        </is>
      </c>
      <c r="D301" s="312" t="n"/>
      <c r="E301" s="312" t="n"/>
      <c r="F301" s="312" t="n"/>
      <c r="G301" s="312" t="n"/>
      <c r="H301" s="312" t="n"/>
      <c r="I301" s="313" t="n"/>
      <c r="J301" s="199" t="inlineStr">
        <is>
          <t>Go Ingenieria</t>
        </is>
      </c>
      <c r="K301" s="314" t="n">
        <v>11960000</v>
      </c>
      <c r="L301" s="2" t="n">
        <v>45467</v>
      </c>
      <c r="M301" s="2" t="n"/>
      <c r="N301" s="170" t="inlineStr">
        <is>
          <t>310 5104288</t>
        </is>
      </c>
      <c r="O301" s="103" t="inlineStr">
        <is>
          <t xml:space="preserve">Cristian Gañan </t>
        </is>
      </c>
      <c r="P301" s="52" t="n"/>
    </row>
    <row r="302">
      <c r="B302" s="170" t="n">
        <v>291</v>
      </c>
      <c r="C302" s="233" t="inlineStr">
        <is>
          <t>COTIZACION DEL DISEÑO DE DETECCIÓN DE INCENDIOS PARA EL PROYECTO PLANTA DE ALMACEN DE ALCOHOLES DE RON HNOS BERMUDEZ</t>
        </is>
      </c>
      <c r="D302" s="312" t="n"/>
      <c r="E302" s="312" t="n"/>
      <c r="F302" s="312" t="n"/>
      <c r="G302" s="312" t="n"/>
      <c r="H302" s="312" t="n"/>
      <c r="I302" s="313" t="n"/>
      <c r="J302" s="199" t="inlineStr">
        <is>
          <t xml:space="preserve">Fire Protection Solutions Group </t>
        </is>
      </c>
      <c r="K302" s="314" t="inlineStr">
        <is>
          <t>No se presentaron</t>
        </is>
      </c>
      <c r="L302" s="2" t="n">
        <v>45467</v>
      </c>
      <c r="M302" s="170" t="n"/>
      <c r="N302" s="170" t="n">
        <v>3108227462</v>
      </c>
      <c r="O302" s="102" t="inlineStr">
        <is>
          <t>Alvaro Manosalva</t>
        </is>
      </c>
      <c r="P302" s="52" t="inlineStr">
        <is>
          <t>alvaromanosalva@sfiregroup.com</t>
        </is>
      </c>
    </row>
    <row r="303">
      <c r="B303" s="170" t="n">
        <v>292</v>
      </c>
      <c r="C303" s="246" t="inlineStr">
        <is>
          <t>COTIZACION DEL DISEÑO DE DETECCIÓN DE INCENDIOS PARA EL PROYECTO PLANTA DE ALMACENAMIENTO DE LUBRICANTES</t>
        </is>
      </c>
      <c r="D303" s="312" t="n"/>
      <c r="E303" s="312" t="n"/>
      <c r="F303" s="312" t="n"/>
      <c r="G303" s="312" t="n"/>
      <c r="H303" s="312" t="n"/>
      <c r="I303" s="313" t="n"/>
      <c r="J303" s="199" t="inlineStr">
        <is>
          <t xml:space="preserve">Fire Protection Solutions Group </t>
        </is>
      </c>
      <c r="K303" s="314" t="inlineStr">
        <is>
          <t>No se presentaron</t>
        </is>
      </c>
      <c r="L303" s="2" t="n">
        <v>45467</v>
      </c>
      <c r="M303" s="2" t="n"/>
      <c r="N303" s="170" t="n">
        <v>3108227462</v>
      </c>
      <c r="O303" s="102" t="inlineStr">
        <is>
          <t>Alvaro Manosalva</t>
        </is>
      </c>
      <c r="P303" s="52" t="inlineStr">
        <is>
          <t>alvaromanosalva@sfiregroup.com</t>
        </is>
      </c>
    </row>
    <row r="304">
      <c r="B304" s="170" t="n">
        <v>293</v>
      </c>
      <c r="C304" s="199" t="inlineStr">
        <is>
          <t>COTIZACION DEL ANÁLISIS DE SEGURIDAD HUMANA PARA EL PROYECTO AEROPUERTOS SM &amp; RH</t>
        </is>
      </c>
      <c r="D304" s="312" t="n"/>
      <c r="E304" s="312" t="n"/>
      <c r="F304" s="312" t="n"/>
      <c r="G304" s="312" t="n"/>
      <c r="H304" s="312" t="n"/>
      <c r="I304" s="313" t="n"/>
      <c r="J304" s="199" t="inlineStr">
        <is>
          <t>CONCONCRETO</t>
        </is>
      </c>
      <c r="K304" s="314" t="n">
        <v>32900000</v>
      </c>
      <c r="L304" s="2" t="n">
        <v>45467</v>
      </c>
      <c r="M304" s="170" t="n"/>
      <c r="N304" s="170" t="n">
        <v>3147345799</v>
      </c>
      <c r="O304" s="103" t="inlineStr">
        <is>
          <t>Julian Mora Osorio</t>
        </is>
      </c>
      <c r="P304" s="52" t="inlineStr">
        <is>
          <t>jmorao@conconcreto.com</t>
        </is>
      </c>
    </row>
    <row r="305">
      <c r="B305" s="170" t="n">
        <v>294</v>
      </c>
      <c r="C305" s="199" t="inlineStr">
        <is>
          <t>COTIZACION DE LOS DISEÑOS DE PROTECCIÓN CONTRA INCENDIOS Y SEGURIDAD HUMANA PARA EL PROYECTO BODEGA PASTEUR ITAGUI</t>
        </is>
      </c>
      <c r="D305" s="312" t="n"/>
      <c r="E305" s="312" t="n"/>
      <c r="F305" s="312" t="n"/>
      <c r="G305" s="312" t="n"/>
      <c r="H305" s="312" t="n"/>
      <c r="I305" s="313" t="n"/>
      <c r="J305" s="199" t="inlineStr">
        <is>
          <t>SOCOMES</t>
        </is>
      </c>
      <c r="K305" s="314" t="n">
        <v>19950000</v>
      </c>
      <c r="L305" s="2" t="n">
        <v>45468</v>
      </c>
      <c r="M305" s="170" t="n"/>
      <c r="N305" s="170" t="n">
        <v>3137851941</v>
      </c>
      <c r="O305" s="102" t="inlineStr">
        <is>
          <t>David Lopera medina</t>
        </is>
      </c>
      <c r="P305" s="52" t="inlineStr">
        <is>
          <t>david.lopera@socomes.com</t>
        </is>
      </c>
    </row>
    <row r="306">
      <c r="B306" s="170" t="n">
        <v>295</v>
      </c>
      <c r="C306" s="199" t="inlineStr">
        <is>
          <t>COTIZACION DE LOS DISEÑOS DE PROTECCIÓN CONTRA INCENDIOS PARA EL PROYECTO MANE</t>
        </is>
      </c>
      <c r="D306" s="312" t="n"/>
      <c r="E306" s="312" t="n"/>
      <c r="F306" s="312" t="n"/>
      <c r="G306" s="312" t="n"/>
      <c r="H306" s="312" t="n"/>
      <c r="I306" s="313" t="n"/>
      <c r="J306" s="199" t="inlineStr">
        <is>
          <t>SOCOMES</t>
        </is>
      </c>
      <c r="K306" s="314" t="n"/>
      <c r="L306" s="2" t="n">
        <v>45468</v>
      </c>
      <c r="M306" s="170" t="n"/>
      <c r="N306" s="170" t="n">
        <v>3137851941</v>
      </c>
      <c r="O306" s="102" t="inlineStr">
        <is>
          <t>David Lopera medina</t>
        </is>
      </c>
      <c r="P306" s="52" t="inlineStr">
        <is>
          <t>david.lopera@socomes.com</t>
        </is>
      </c>
    </row>
    <row r="307">
      <c r="B307" s="170" t="n">
        <v>296</v>
      </c>
      <c r="C307" s="233" t="inlineStr">
        <is>
          <t>COTIZACION DE LOS DISEÑOS DE PROTECCIÓN CONTRA INCENDIOS PARA EL PROYECTO PLANTA DE TRANSFORMADORES</t>
        </is>
      </c>
      <c r="D307" s="312" t="n"/>
      <c r="E307" s="312" t="n"/>
      <c r="F307" s="312" t="n"/>
      <c r="G307" s="312" t="n"/>
      <c r="H307" s="312" t="n"/>
      <c r="I307" s="313" t="n"/>
      <c r="J307" s="199" t="inlineStr">
        <is>
          <t>Planta de copacabana Gea</t>
        </is>
      </c>
      <c r="K307" s="314" t="n">
        <v>23450000</v>
      </c>
      <c r="L307" s="2" t="n">
        <v>45468</v>
      </c>
      <c r="M307" s="170" t="n"/>
      <c r="N307" s="170" t="n"/>
      <c r="O307" s="103" t="inlineStr">
        <is>
          <t>Milton C Gutierrez</t>
        </is>
      </c>
      <c r="P307" s="52" t="inlineStr">
        <is>
          <t>plantacopagea@gmail.com</t>
        </is>
      </c>
    </row>
    <row r="308">
      <c r="B308" s="170" t="n">
        <v>297</v>
      </c>
      <c r="C308" s="233" t="inlineStr">
        <is>
          <t>COTIZACION DEL ANÁLISIS DE SEGURIDAD HUMANA PARA EL PROYECTO AMPLIACION AEROPUERTO INTERNACIONAL RAFAEL NUÑEZ CARTAGENA</t>
        </is>
      </c>
      <c r="D308" s="312" t="n"/>
      <c r="E308" s="312" t="n"/>
      <c r="F308" s="312" t="n"/>
      <c r="G308" s="312" t="n"/>
      <c r="H308" s="312" t="n"/>
      <c r="I308" s="313" t="n"/>
      <c r="J308" s="199" t="inlineStr">
        <is>
          <t>CONSORCIO CONSTRUCTOR NUEVA CARTAGENA</t>
        </is>
      </c>
      <c r="K308" s="314" t="n"/>
      <c r="L308" s="2" t="n">
        <v>45469</v>
      </c>
      <c r="M308" s="170" t="n"/>
      <c r="N308" s="170" t="n">
        <v>3116490600</v>
      </c>
      <c r="O308" s="102" t="inlineStr">
        <is>
          <t>Juan Carlos Torres Botero</t>
        </is>
      </c>
      <c r="P308" s="52" t="inlineStr">
        <is>
          <t>coordisenos@consorcioccnc.com.co</t>
        </is>
      </c>
    </row>
    <row r="309">
      <c r="B309" s="170" t="n">
        <v>298</v>
      </c>
      <c r="C309" s="246" t="inlineStr">
        <is>
          <t xml:space="preserve">COTIZACION DE LOS DISEÑOS DE PROTECCIÓN CONTRA INCENDIOS PARA EL PROYECTO 5 BODEGAS COPACABANA
</t>
        </is>
      </c>
      <c r="D309" s="312" t="n"/>
      <c r="E309" s="312" t="n"/>
      <c r="F309" s="312" t="n"/>
      <c r="G309" s="312" t="n"/>
      <c r="H309" s="312" t="n"/>
      <c r="I309" s="313" t="n"/>
      <c r="J309" s="199" t="inlineStr">
        <is>
          <t>SPCI</t>
        </is>
      </c>
      <c r="K309" s="314" t="inlineStr">
        <is>
          <t>Variable</t>
        </is>
      </c>
      <c r="L309" s="2" t="n">
        <v>45471</v>
      </c>
      <c r="M309" s="170" t="n"/>
      <c r="N309" s="170" t="n">
        <v>3103898043</v>
      </c>
      <c r="O309" s="103" t="inlineStr">
        <is>
          <t>Mauricio Gutierrez Bohorquez</t>
        </is>
      </c>
      <c r="P309" s="52" t="inlineStr">
        <is>
          <t>mauricio.gutierrez@spci.com.co</t>
        </is>
      </c>
    </row>
    <row r="310">
      <c r="B310" s="170" t="n">
        <v>299</v>
      </c>
      <c r="C310" s="199" t="inlineStr">
        <is>
          <t>COTIZACION DE LOS DISEÑOS DE PROTECCIÓN CONTRA INCENDIOS PARA EL PROYECTO PLANTA NESTLE DOS QUEBRADAS</t>
        </is>
      </c>
      <c r="D310" s="312" t="n"/>
      <c r="E310" s="312" t="n"/>
      <c r="F310" s="312" t="n"/>
      <c r="G310" s="312" t="n"/>
      <c r="H310" s="312" t="n"/>
      <c r="I310" s="313" t="n"/>
      <c r="J310" s="199" t="inlineStr">
        <is>
          <t>COINSI</t>
        </is>
      </c>
      <c r="K310" s="314" t="n">
        <v>37950000</v>
      </c>
      <c r="L310" s="2" t="n">
        <v>45469</v>
      </c>
      <c r="M310" s="170" t="n"/>
      <c r="N310" s="170" t="n">
        <v>3117208541</v>
      </c>
      <c r="O310" s="102" t="inlineStr">
        <is>
          <t>Sergio A. Rodriguez</t>
        </is>
      </c>
      <c r="P310" s="52" t="inlineStr">
        <is>
          <t>diseno4@gyd.com.co</t>
        </is>
      </c>
    </row>
    <row r="311">
      <c r="B311" s="170" t="n">
        <v>300</v>
      </c>
      <c r="C311" s="199" t="inlineStr">
        <is>
          <t>COTIZACION DEL DISEÑO DE EXTINCIÓN DE INCENDIOS PARA EL PROYECTO LOCAL ALKOMPRAR BUCARAMANGA</t>
        </is>
      </c>
      <c r="D311" s="312" t="n"/>
      <c r="E311" s="312" t="n"/>
      <c r="F311" s="312" t="n"/>
      <c r="G311" s="312" t="n"/>
      <c r="H311" s="312" t="n"/>
      <c r="I311" s="313" t="n"/>
      <c r="J311" s="199" t="inlineStr">
        <is>
          <t>SOCOMES</t>
        </is>
      </c>
      <c r="K311" s="314" t="n">
        <v>4390000</v>
      </c>
      <c r="L311" s="2" t="n">
        <v>45469</v>
      </c>
      <c r="M311" s="170" t="n"/>
      <c r="N311" s="170" t="n">
        <v>3137851941</v>
      </c>
      <c r="O311" s="102" t="inlineStr">
        <is>
          <t>David Lopera medina</t>
        </is>
      </c>
      <c r="P311" s="98" t="inlineStr">
        <is>
          <t>david.lopera@socomes.com</t>
        </is>
      </c>
    </row>
    <row r="312">
      <c r="B312" s="170" t="n">
        <v>301</v>
      </c>
      <c r="C312" s="200" t="inlineStr">
        <is>
          <t>COTIZACION DEL DISEÑO DE EXTINCIÓN DE INCENDIOS PARA EL PROYECTO AUTECO CARTAGENA</t>
        </is>
      </c>
      <c r="D312" s="312" t="n"/>
      <c r="E312" s="312" t="n"/>
      <c r="F312" s="312" t="n"/>
      <c r="G312" s="312" t="n"/>
      <c r="H312" s="312" t="n"/>
      <c r="I312" s="312" t="n"/>
      <c r="J312" s="199" t="inlineStr">
        <is>
          <t>prosoma</t>
        </is>
      </c>
      <c r="K312" s="314" t="n">
        <v>11290000</v>
      </c>
      <c r="L312" s="2" t="n">
        <v>45476</v>
      </c>
      <c r="M312" s="6" t="n"/>
      <c r="N312" s="170" t="n">
        <v>3147537411</v>
      </c>
      <c r="O312" s="102" t="inlineStr">
        <is>
          <t>Adolfo Flores Cossio</t>
        </is>
      </c>
      <c r="P312" s="52" t="inlineStr">
        <is>
          <t>proyectos@prosoma.com.co</t>
        </is>
      </c>
    </row>
    <row r="313" ht="15" customHeight="1">
      <c r="B313" s="170" t="n">
        <v>302</v>
      </c>
      <c r="C313" s="233" t="inlineStr">
        <is>
          <t>COTIZACION DE LOS DISEÑOS DE PROTECCIÓN CONTRA INCENDIOS Y SEGURIDAD HUMANA PARA EL PROYECTO LOTE CASA AZUL</t>
        </is>
      </c>
      <c r="D313" s="312" t="n"/>
      <c r="E313" s="312" t="n"/>
      <c r="F313" s="312" t="n"/>
      <c r="G313" s="312" t="n"/>
      <c r="H313" s="312" t="n"/>
      <c r="I313" s="313" t="n"/>
      <c r="J313" s="199" t="inlineStr">
        <is>
          <t>Arquitectura y Concreto</t>
        </is>
      </c>
      <c r="K313" s="314" t="n"/>
      <c r="L313" s="2" t="n">
        <v>45476</v>
      </c>
      <c r="M313" s="170" t="n"/>
      <c r="N313" s="170" t="n">
        <v>3127218621</v>
      </c>
      <c r="O313" s="103" t="inlineStr">
        <is>
          <t xml:space="preserve">Robinson Marulanda Guarin </t>
        </is>
      </c>
      <c r="P313" s="52" t="inlineStr">
        <is>
          <t>robinsonmarulanda@arquitecturayconcreto.com</t>
        </is>
      </c>
    </row>
    <row r="314">
      <c r="B314" s="170" t="n">
        <v>303</v>
      </c>
      <c r="C314" s="233" t="inlineStr">
        <is>
          <t>COTIZACION DE LOS DISEÑOS DE EXTINCIÓN DE INCENDIOS Y SEGURIDAD HUMANA PARA EL PROYECTO VIS GUAYACANES</t>
        </is>
      </c>
      <c r="D314" s="312" t="n"/>
      <c r="E314" s="312" t="n"/>
      <c r="F314" s="312" t="n"/>
      <c r="G314" s="312" t="n"/>
      <c r="H314" s="312" t="n"/>
      <c r="I314" s="313" t="n"/>
      <c r="J314" s="199" t="inlineStr">
        <is>
          <t>SPCI</t>
        </is>
      </c>
      <c r="K314" s="314" t="n">
        <v>11920000</v>
      </c>
      <c r="L314" s="2" t="n">
        <v>45476</v>
      </c>
      <c r="M314" s="170" t="n"/>
      <c r="N314" s="170" t="n">
        <v>3104165783</v>
      </c>
      <c r="O314" s="102" t="inlineStr">
        <is>
          <t>Cristiam Gustavo Mondragon</t>
        </is>
      </c>
      <c r="P314" s="82" t="inlineStr">
        <is>
          <t>dir.tecnico@spci.com.co</t>
        </is>
      </c>
    </row>
    <row r="315">
      <c r="B315" s="170" t="n">
        <v>304</v>
      </c>
      <c r="C315" s="233" t="inlineStr">
        <is>
          <t xml:space="preserve">COTIZACION DE LOS DISEÑOS DE PROTECCIÓN CONTRA INCENDIOS PARA EL PROYECTO BODEGA 78 Y 79 PORTO
</t>
        </is>
      </c>
      <c r="D315" s="312" t="n"/>
      <c r="E315" s="312" t="n"/>
      <c r="F315" s="312" t="n"/>
      <c r="G315" s="312" t="n"/>
      <c r="H315" s="312" t="n"/>
      <c r="I315" s="313" t="n"/>
      <c r="J315" s="235" t="inlineStr">
        <is>
          <t>David Duque</t>
        </is>
      </c>
      <c r="K315" s="314" t="n">
        <v>9410000</v>
      </c>
      <c r="L315" s="2" t="n">
        <v>45476</v>
      </c>
      <c r="M315" s="170" t="n"/>
      <c r="N315" s="170" t="inlineStr">
        <is>
          <t>322 6861576</t>
        </is>
      </c>
      <c r="O315" s="103" t="n"/>
      <c r="P315" s="52" t="n"/>
    </row>
    <row r="316">
      <c r="B316" s="170" t="n">
        <v>305</v>
      </c>
      <c r="C316" s="246" t="inlineStr">
        <is>
          <t xml:space="preserve">COTIZACION DE LOS DISEÑOS DE PROTECCIÓN CONTRA INCENDIOS Y SEGURIDAD HUMANA PARA EL PROYECTO SELVATICO
</t>
        </is>
      </c>
      <c r="D316" s="312" t="n"/>
      <c r="E316" s="312" t="n"/>
      <c r="F316" s="312" t="n"/>
      <c r="G316" s="312" t="n"/>
      <c r="H316" s="312" t="n"/>
      <c r="I316" s="313" t="n"/>
      <c r="J316" s="199" t="inlineStr">
        <is>
          <t>David Duque</t>
        </is>
      </c>
      <c r="K316" s="314" t="n">
        <v>16940000</v>
      </c>
      <c r="L316" s="2" t="n">
        <v>45476</v>
      </c>
      <c r="M316" s="170" t="n"/>
      <c r="N316" s="170" t="inlineStr">
        <is>
          <t>322 6861576</t>
        </is>
      </c>
      <c r="O316" s="102" t="n"/>
      <c r="P316" s="52" t="n"/>
    </row>
    <row r="317">
      <c r="B317" s="170" t="n">
        <v>306</v>
      </c>
      <c r="C317" s="246" t="inlineStr">
        <is>
          <t>COTIZACION DE LOS DISEÑOS DE PROTECCIÓN CONTRA INCENDIOS Y SEGURIDAD HUMANA PARA EL PROYECTO M-LIVING</t>
        </is>
      </c>
      <c r="D317" s="312" t="n"/>
      <c r="E317" s="312" t="n"/>
      <c r="F317" s="312" t="n"/>
      <c r="G317" s="312" t="n"/>
      <c r="H317" s="312" t="n"/>
      <c r="I317" s="313" t="n"/>
      <c r="J317" s="199" t="inlineStr">
        <is>
          <t>SPCI</t>
        </is>
      </c>
      <c r="K317" s="314" t="n">
        <v>24850000</v>
      </c>
      <c r="L317" s="2" t="n">
        <v>45477</v>
      </c>
      <c r="M317" s="170" t="n"/>
      <c r="N317" s="170" t="n">
        <v>3104165783</v>
      </c>
      <c r="O317" s="102" t="inlineStr">
        <is>
          <t>Cristiam Gustavo Mondragon</t>
        </is>
      </c>
      <c r="P317" s="82" t="inlineStr">
        <is>
          <t>dir.tecnico@spci.com.co</t>
        </is>
      </c>
    </row>
    <row r="318" ht="15" customHeight="1">
      <c r="B318" s="170" t="n">
        <v>307</v>
      </c>
      <c r="C318" s="246" t="inlineStr">
        <is>
          <t>COTIZACION DE LOS DISEÑOS DE PROTECCIÓN CONTRA INCENDIOS Y SEGURIDAD HUMANA PARA EL PROYECTO M-LIVING</t>
        </is>
      </c>
      <c r="D318" s="312" t="n"/>
      <c r="E318" s="312" t="n"/>
      <c r="F318" s="312" t="n"/>
      <c r="G318" s="312" t="n"/>
      <c r="H318" s="312" t="n"/>
      <c r="I318" s="313" t="n"/>
      <c r="J318" s="199" t="inlineStr">
        <is>
          <t>MUROS Y TECHOS</t>
        </is>
      </c>
      <c r="K318" s="314" t="n">
        <v>24950000</v>
      </c>
      <c r="L318" s="2" t="n">
        <v>45477</v>
      </c>
      <c r="M318" s="170" t="n"/>
      <c r="N318" s="170" t="n">
        <v>3216206984</v>
      </c>
      <c r="O318" s="102" t="inlineStr">
        <is>
          <t>Nidia Zuluaga</t>
        </is>
      </c>
      <c r="P318" s="52" t="inlineStr">
        <is>
          <t>nidiazuluaga@mt.com.co</t>
        </is>
      </c>
    </row>
    <row r="319">
      <c r="B319" s="170" t="n">
        <v>308</v>
      </c>
      <c r="C319" s="199" t="inlineStr">
        <is>
          <t>COTIZACION DEL DISEÑO DE EXTINCIÓN DE INCENDIOS PARA EL PROYECTO RESIDENCIAL SAN JOAQUIN MEDELLIN</t>
        </is>
      </c>
      <c r="D319" s="312" t="n"/>
      <c r="E319" s="312" t="n"/>
      <c r="F319" s="312" t="n"/>
      <c r="G319" s="312" t="n"/>
      <c r="H319" s="312" t="n"/>
      <c r="I319" s="313" t="n"/>
      <c r="J319" s="199" t="inlineStr">
        <is>
          <t>SPCI</t>
        </is>
      </c>
      <c r="K319" s="314" t="n">
        <v>2890000</v>
      </c>
      <c r="L319" s="2" t="n">
        <v>45477</v>
      </c>
      <c r="M319" s="170" t="n"/>
      <c r="N319" s="170" t="n">
        <v>3104165783</v>
      </c>
      <c r="O319" s="102" t="inlineStr">
        <is>
          <t>Cristiam Gustavo Mondragon</t>
        </is>
      </c>
      <c r="P319" s="82" t="inlineStr">
        <is>
          <t>dir.tecnico@spci.com.co</t>
        </is>
      </c>
    </row>
    <row r="320">
      <c r="B320" s="170" t="n">
        <v>309</v>
      </c>
      <c r="C320" s="233" t="inlineStr">
        <is>
          <t>COTIZACION DE LOS DISEÑOS DE PROTECCIÓN CONTRA INCENDIOS Y SEGURIDAD HUMANA PARA EL PROYECTO BODEGA CONINGEARK</t>
        </is>
      </c>
      <c r="D320" s="312" t="n"/>
      <c r="E320" s="312" t="n"/>
      <c r="F320" s="312" t="n"/>
      <c r="G320" s="312" t="n"/>
      <c r="H320" s="312" t="n"/>
      <c r="I320" s="313" t="n"/>
      <c r="J320" s="199" t="inlineStr">
        <is>
          <t>Coningeark</t>
        </is>
      </c>
      <c r="K320" s="314" t="n">
        <v>13900000</v>
      </c>
      <c r="L320" s="2" t="n">
        <v>45477</v>
      </c>
      <c r="M320" s="2" t="n"/>
      <c r="N320" s="170" t="n"/>
      <c r="O320" s="103" t="inlineStr">
        <is>
          <t xml:space="preserve">Brayan Agudelo </t>
        </is>
      </c>
      <c r="P320" s="52" t="inlineStr">
        <is>
          <t>bryanstvn22@gmail.com</t>
        </is>
      </c>
    </row>
    <row r="321">
      <c r="B321" s="170" t="n">
        <v>310</v>
      </c>
      <c r="C321" s="199" t="inlineStr">
        <is>
          <t>COTIZACION DE LOS DISEÑOS DE PROTECCIÓN CONTRA INCENDIOS Y SEGURIDAD HUMANA PARA EL PROYECTO EDIFICIO 8 PISOS</t>
        </is>
      </c>
      <c r="D321" s="312" t="n"/>
      <c r="E321" s="312" t="n"/>
      <c r="F321" s="312" t="n"/>
      <c r="G321" s="312" t="n"/>
      <c r="H321" s="312" t="n"/>
      <c r="I321" s="313" t="n"/>
      <c r="J321" s="199" t="inlineStr">
        <is>
          <t>David Duque</t>
        </is>
      </c>
      <c r="K321" s="314" t="n">
        <v>11920000</v>
      </c>
      <c r="L321" s="2" t="n">
        <v>45477</v>
      </c>
      <c r="M321" s="170" t="n"/>
      <c r="N321" s="170" t="inlineStr">
        <is>
          <t>322 6861576</t>
        </is>
      </c>
      <c r="O321" s="103" t="n"/>
      <c r="P321" s="52" t="n"/>
    </row>
    <row r="322">
      <c r="B322" s="170" t="n">
        <v>311</v>
      </c>
      <c r="C322" s="246" t="inlineStr">
        <is>
          <t>COTIZACION DEL DISEÑO DE DETECCIÓN DE INCENDIOS PARA EL PROYECTO PLANTAS PREBEL</t>
        </is>
      </c>
      <c r="D322" s="312" t="n"/>
      <c r="E322" s="312" t="n"/>
      <c r="F322" s="312" t="n"/>
      <c r="G322" s="312" t="n"/>
      <c r="H322" s="312" t="n"/>
      <c r="I322" s="313" t="n"/>
      <c r="J322" s="199" t="inlineStr">
        <is>
          <t>FIRE MARSHAL</t>
        </is>
      </c>
      <c r="K322" s="314" t="n">
        <v>9950000</v>
      </c>
      <c r="L322" s="2" t="n">
        <v>45478</v>
      </c>
      <c r="M322" s="170" t="n"/>
      <c r="N322" s="170" t="n">
        <v>3155852559</v>
      </c>
      <c r="O322" s="102" t="inlineStr">
        <is>
          <t>Jose Manuel Maya</t>
        </is>
      </c>
      <c r="P322" s="52" t="inlineStr">
        <is>
          <t>josemaya@firemarshal.com.co</t>
        </is>
      </c>
    </row>
    <row r="323">
      <c r="B323" s="170" t="n">
        <v>312</v>
      </c>
      <c r="C323" s="199" t="inlineStr">
        <is>
          <t>COTIZACION DE LOS DISEÑOS DE PROTECCIÓN CONTRA INCENDIOS Y SEGURIDAD HUMANA PARA EL PROYECTO HOTEL LAGOA</t>
        </is>
      </c>
      <c r="D323" s="312" t="n"/>
      <c r="E323" s="312" t="n"/>
      <c r="F323" s="312" t="n"/>
      <c r="G323" s="312" t="n"/>
      <c r="H323" s="312" t="n"/>
      <c r="I323" s="313" t="n"/>
      <c r="J323" s="199" t="inlineStr">
        <is>
          <t>Loop Proyectos Inmobiliarios</t>
        </is>
      </c>
      <c r="K323" s="314" t="n">
        <v>6900000</v>
      </c>
      <c r="L323" s="2" t="n">
        <v>45489</v>
      </c>
      <c r="M323" s="170" t="n"/>
      <c r="N323" s="170" t="n"/>
      <c r="O323" s="103" t="inlineStr">
        <is>
          <t>Andres Parra Duque</t>
        </is>
      </c>
      <c r="P323" s="52" t="inlineStr">
        <is>
          <t>a.parra@viveloop.com</t>
        </is>
      </c>
    </row>
    <row r="324">
      <c r="B324" s="170" t="n">
        <v>313</v>
      </c>
      <c r="C324" s="199" t="inlineStr">
        <is>
          <t>COTIZACION DEL ANÁLISIS DE SEGURIDAD HUMANA PARA EL PROYECTO ALMACEN DE CADENA</t>
        </is>
      </c>
      <c r="D324" s="312" t="n"/>
      <c r="E324" s="312" t="n"/>
      <c r="F324" s="312" t="n"/>
      <c r="G324" s="312" t="n"/>
      <c r="H324" s="312" t="n"/>
      <c r="I324" s="313" t="n"/>
      <c r="J324" s="199" t="inlineStr">
        <is>
          <t>Conconcreto</t>
        </is>
      </c>
      <c r="K324" s="314" t="n">
        <v>10540000</v>
      </c>
      <c r="L324" s="2" t="n">
        <v>45478</v>
      </c>
      <c r="M324" s="170" t="n"/>
      <c r="N324" s="170" t="inlineStr">
        <is>
          <t>300 656 3981</t>
        </is>
      </c>
      <c r="O324" s="102" t="inlineStr">
        <is>
          <t>Milena Hernandez</t>
        </is>
      </c>
      <c r="P324" s="52" t="inlineStr">
        <is>
          <t xml:space="preserve"> mhernandezm@conconcreto.com</t>
        </is>
      </c>
    </row>
    <row r="325">
      <c r="B325" s="170" t="n">
        <v>314</v>
      </c>
      <c r="C325" s="199" t="inlineStr">
        <is>
          <t>COTIZACION DEL DISEÑO DE DETECCIÓN DE INCENDIOS PARA EL PROYECTO CLINICA DEL NORTE</t>
        </is>
      </c>
      <c r="D325" s="312" t="n"/>
      <c r="E325" s="312" t="n"/>
      <c r="F325" s="312" t="n"/>
      <c r="G325" s="312" t="n"/>
      <c r="H325" s="312" t="n"/>
      <c r="I325" s="313" t="n"/>
      <c r="J325" s="199" t="inlineStr">
        <is>
          <t>Securetec</t>
        </is>
      </c>
      <c r="K325" s="314" t="n">
        <v>9950000</v>
      </c>
      <c r="L325" s="2" t="n">
        <v>45481</v>
      </c>
      <c r="M325" s="170" t="n"/>
      <c r="N325" s="170" t="n">
        <v>3014111727</v>
      </c>
      <c r="O325" s="102" t="inlineStr">
        <is>
          <t>Julian David Camacho</t>
        </is>
      </c>
      <c r="P325" s="52" t="inlineStr">
        <is>
          <t>ascomercial2@securetec.com.co</t>
        </is>
      </c>
    </row>
    <row r="326">
      <c r="B326" s="170" t="n">
        <v>315</v>
      </c>
      <c r="C326" s="199" t="inlineStr">
        <is>
          <t>COTIZACION DEL DISEÑO DE EXTINCIÓN DE INCENDIOS PARA EL PROYECTO LOCAL SOTANO RIO DEL ESTE</t>
        </is>
      </c>
      <c r="D326" s="312" t="n"/>
      <c r="E326" s="312" t="n"/>
      <c r="F326" s="312" t="n"/>
      <c r="G326" s="312" t="n"/>
      <c r="H326" s="312" t="n"/>
      <c r="I326" s="313" t="n"/>
      <c r="J326" s="199" t="inlineStr">
        <is>
          <t>María Irma Monsalve</t>
        </is>
      </c>
      <c r="K326" s="314" t="n">
        <v>3500000</v>
      </c>
      <c r="L326" s="2" t="n">
        <v>45483</v>
      </c>
      <c r="M326" s="170" t="n"/>
      <c r="N326" s="170" t="inlineStr">
        <is>
          <t>310 2643924</t>
        </is>
      </c>
      <c r="O326" s="103" t="n"/>
      <c r="P326" s="52" t="n"/>
    </row>
    <row r="327">
      <c r="B327" s="170" t="n">
        <v>316</v>
      </c>
      <c r="C327" s="199" t="inlineStr">
        <is>
          <t>COTIZACION DEL JUSTE DEL MODELO Y GENERACIÓN DE CANTIDADES EXTINCIÓN DE INCENDIOS - MINISTERIOS</t>
        </is>
      </c>
      <c r="D327" s="312" t="n"/>
      <c r="E327" s="312" t="n"/>
      <c r="F327" s="312" t="n"/>
      <c r="G327" s="312" t="n"/>
      <c r="H327" s="312" t="n"/>
      <c r="I327" s="313" t="n"/>
      <c r="J327" s="199" t="inlineStr">
        <is>
          <t>FIRE MARSHAL</t>
        </is>
      </c>
      <c r="K327" s="314" t="n">
        <v>5500000</v>
      </c>
      <c r="L327" s="2" t="n">
        <v>45481</v>
      </c>
      <c r="M327" s="2" t="n"/>
      <c r="N327" s="170" t="n">
        <v>3224188478</v>
      </c>
      <c r="O327" s="103" t="inlineStr">
        <is>
          <t>Andrea Núñez</t>
        </is>
      </c>
      <c r="P327" s="52" t="inlineStr">
        <is>
          <t>andreanunez@firemarshal.com.co</t>
        </is>
      </c>
    </row>
    <row r="328">
      <c r="B328" s="170" t="n">
        <v>317</v>
      </c>
      <c r="C328" s="199" t="inlineStr">
        <is>
          <t>COTIZACION DEL ANÁLISIS DE SEGURIDAD HUMANA - EDIFICIO 1592</t>
        </is>
      </c>
      <c r="D328" s="312" t="n"/>
      <c r="E328" s="312" t="n"/>
      <c r="F328" s="312" t="n"/>
      <c r="G328" s="312" t="n"/>
      <c r="H328" s="312" t="n"/>
      <c r="I328" s="313" t="n"/>
      <c r="J328" s="199" t="inlineStr">
        <is>
          <t>EDIFICIO 1592</t>
        </is>
      </c>
      <c r="K328" s="314" t="n">
        <v>5950000</v>
      </c>
      <c r="L328" s="2" t="n">
        <v>45482</v>
      </c>
      <c r="M328" s="170" t="n"/>
      <c r="N328" s="170" t="n">
        <v>3217504190</v>
      </c>
      <c r="O328" s="103" t="inlineStr">
        <is>
          <t>Marco López</t>
        </is>
      </c>
      <c r="P328" s="82" t="inlineStr">
        <is>
          <t>info@cigsismoresistencia.com</t>
        </is>
      </c>
    </row>
    <row r="329">
      <c r="B329" s="170" t="n">
        <v>318</v>
      </c>
      <c r="C329" s="199" t="inlineStr">
        <is>
          <t>COTIZACION DEL DISEÑO DE EXTINCIÓN DE INCENDIOS PARA EL PROYECTO RESIDENCIAL SAN JOAQUIN</t>
        </is>
      </c>
      <c r="D329" s="312" t="n"/>
      <c r="E329" s="312" t="n"/>
      <c r="F329" s="312" t="n"/>
      <c r="G329" s="312" t="n"/>
      <c r="H329" s="312" t="n"/>
      <c r="I329" s="313" t="n"/>
      <c r="J329" s="199" t="inlineStr">
        <is>
          <t>Handerson</t>
        </is>
      </c>
      <c r="K329" s="314" t="n">
        <v>2800000</v>
      </c>
      <c r="L329" s="2" t="n">
        <v>45483</v>
      </c>
      <c r="M329" s="170" t="n"/>
      <c r="N329" s="170" t="n">
        <v>3187163538</v>
      </c>
      <c r="O329" s="102" t="inlineStr">
        <is>
          <t>Handerson Marin</t>
        </is>
      </c>
      <c r="P329" s="82" t="n"/>
    </row>
    <row r="330">
      <c r="B330" s="170" t="n">
        <v>319</v>
      </c>
      <c r="C330" s="199" t="inlineStr">
        <is>
          <t>COTIZACION DEL DISEÑO DE EXTINCIÓN DE INCENDIOS PARA EL PROYECTO LOCAL SOTANO RIO DEL ESTE</t>
        </is>
      </c>
      <c r="D330" s="312" t="n"/>
      <c r="E330" s="312" t="n"/>
      <c r="F330" s="312" t="n"/>
      <c r="G330" s="312" t="n"/>
      <c r="H330" s="312" t="n"/>
      <c r="I330" s="313" t="n"/>
      <c r="J330" s="199" t="inlineStr">
        <is>
          <t>María Irma Monsalve</t>
        </is>
      </c>
      <c r="K330" s="314" t="n">
        <v>3500000</v>
      </c>
      <c r="L330" s="2" t="n">
        <v>45483</v>
      </c>
      <c r="M330" s="2" t="n"/>
      <c r="N330" s="170" t="inlineStr">
        <is>
          <t>310 2643924</t>
        </is>
      </c>
      <c r="O330" s="103" t="inlineStr">
        <is>
          <t>María Irma Monsalve</t>
        </is>
      </c>
      <c r="P330" s="52" t="n"/>
    </row>
    <row r="331">
      <c r="B331" s="170" t="n">
        <v>320</v>
      </c>
      <c r="C331" s="199" t="inlineStr">
        <is>
          <t>COTIZACION DEL DISEÑO DE DETECCIÓN DE INCENDIOS PARA EL PROYECTO 4 VIVAS</t>
        </is>
      </c>
      <c r="D331" s="312" t="n"/>
      <c r="E331" s="312" t="n"/>
      <c r="F331" s="312" t="n"/>
      <c r="G331" s="312" t="n"/>
      <c r="H331" s="312" t="n"/>
      <c r="I331" s="313" t="n"/>
      <c r="J331" s="199" t="inlineStr">
        <is>
          <t>SPCI</t>
        </is>
      </c>
      <c r="K331" s="314" t="n">
        <v>42000000</v>
      </c>
      <c r="L331" s="2" t="n">
        <v>45497</v>
      </c>
      <c r="M331" s="170" t="n"/>
      <c r="N331" s="170" t="n">
        <v>3207253060</v>
      </c>
      <c r="O331" s="103" t="inlineStr">
        <is>
          <t>Hernan Ortiz</t>
        </is>
      </c>
      <c r="P331" s="52" t="inlineStr">
        <is>
          <t>hernan.ortiz@kardinal.com.co</t>
        </is>
      </c>
    </row>
    <row r="332">
      <c r="B332" s="170" t="n">
        <v>321</v>
      </c>
      <c r="C332" s="199" t="inlineStr">
        <is>
          <t>COTIZACION DE LOS DISEÑOS DE PROTECCIÓN CONTRA INCENDIOS Y SEGURIDAD HUMANA PARA EL PROYECTO PABELLON DE EVENTOS CC SAN DIEGO</t>
        </is>
      </c>
      <c r="D332" s="312" t="n"/>
      <c r="E332" s="312" t="n"/>
      <c r="F332" s="312" t="n"/>
      <c r="G332" s="312" t="n"/>
      <c r="H332" s="312" t="n"/>
      <c r="I332" s="313" t="n"/>
      <c r="J332" s="199" t="inlineStr">
        <is>
          <t>ESPIRAL STUDIO</t>
        </is>
      </c>
      <c r="K332" s="314" t="n">
        <v>11350000</v>
      </c>
      <c r="L332" s="2" t="n">
        <v>45484</v>
      </c>
      <c r="M332" s="170" t="n"/>
      <c r="N332" s="170" t="n">
        <v>3176461961</v>
      </c>
      <c r="O332" s="170" t="inlineStr">
        <is>
          <t>Jorge Escobar</t>
        </is>
      </c>
      <c r="P332" s="52" t="inlineStr">
        <is>
          <t>jorge.escobar@espiral.com.co</t>
        </is>
      </c>
    </row>
    <row r="333">
      <c r="B333" s="170" t="n">
        <v>322</v>
      </c>
      <c r="C333" s="199" t="inlineStr">
        <is>
          <t>COTIZACION DE LOS DISEÑOS DE PROTECCIÓN CONTRA INCENDIOS PARA EL PROYECTO PABELLONES DE PLAZA MAYOR</t>
        </is>
      </c>
      <c r="D333" s="312" t="n"/>
      <c r="E333" s="312" t="n"/>
      <c r="F333" s="312" t="n"/>
      <c r="G333" s="312" t="n"/>
      <c r="H333" s="312" t="n"/>
      <c r="I333" s="313" t="n"/>
      <c r="J333" s="199" t="inlineStr">
        <is>
          <t>FP Services SAS</t>
        </is>
      </c>
      <c r="K333" s="314" t="n">
        <v>37450000</v>
      </c>
      <c r="L333" s="2" t="n">
        <v>45484</v>
      </c>
      <c r="M333" s="170" t="n"/>
      <c r="N333" s="170" t="n">
        <v>3104513967</v>
      </c>
      <c r="O333" s="103" t="inlineStr">
        <is>
          <t>Julio Milán Trujillo</t>
        </is>
      </c>
      <c r="P333" s="52" t="inlineStr">
        <is>
          <t>&lt;juliomillan@fpservices.com.co</t>
        </is>
      </c>
    </row>
    <row r="334">
      <c r="B334" s="170" t="n">
        <v>323</v>
      </c>
      <c r="C334" s="246" t="inlineStr">
        <is>
          <t xml:space="preserve">COTIZACION DEL ANÁLISIS DE SEGURIDAD HUMANA PARA EL PROYECTO OFICINAS COMERCIO - COSTA RICA
</t>
        </is>
      </c>
      <c r="D334" s="312" t="n"/>
      <c r="E334" s="312" t="n"/>
      <c r="F334" s="312" t="n"/>
      <c r="G334" s="312" t="n"/>
      <c r="H334" s="312" t="n"/>
      <c r="I334" s="313" t="n"/>
      <c r="J334" s="199" t="inlineStr">
        <is>
          <t>CONCONCRETO</t>
        </is>
      </c>
      <c r="K334" s="314" t="n">
        <v>23950000</v>
      </c>
      <c r="L334" s="2" t="n">
        <v>45488</v>
      </c>
      <c r="M334" s="170" t="n"/>
      <c r="N334" s="170" t="n">
        <v>3147345799</v>
      </c>
      <c r="O334" s="102" t="inlineStr">
        <is>
          <t>Julián Mora Osorio</t>
        </is>
      </c>
      <c r="P334" s="52" t="inlineStr">
        <is>
          <t>jmorao@conconcreto.com</t>
        </is>
      </c>
    </row>
    <row r="335">
      <c r="B335" s="170" t="n">
        <v>324</v>
      </c>
      <c r="C335" s="199" t="inlineStr">
        <is>
          <t>COTIZACION LEVANTAMIENTO DE LOS SISTEMAS EXISTENTES - SUN VALLEY</t>
        </is>
      </c>
      <c r="D335" s="312" t="n"/>
      <c r="E335" s="312" t="n"/>
      <c r="F335" s="312" t="n"/>
      <c r="G335" s="312" t="n"/>
      <c r="H335" s="312" t="n"/>
      <c r="I335" s="313" t="n"/>
      <c r="J335" s="199" t="inlineStr">
        <is>
          <t>SPCI</t>
        </is>
      </c>
      <c r="K335" s="314" t="n">
        <v>1950000</v>
      </c>
      <c r="L335" s="2" t="n">
        <v>45488</v>
      </c>
      <c r="M335" s="170" t="n"/>
      <c r="N335" s="170" t="n">
        <v>3104165783</v>
      </c>
      <c r="O335" s="102" t="inlineStr">
        <is>
          <t>Cristiam Gustavo Mondragon</t>
        </is>
      </c>
      <c r="P335" s="82" t="inlineStr">
        <is>
          <t>dir.tecnico@spci.com.co</t>
        </is>
      </c>
    </row>
    <row r="336">
      <c r="B336" s="170" t="n">
        <v>325</v>
      </c>
      <c r="C336" s="199" t="inlineStr">
        <is>
          <t>COTIZACION DE LOS DISEÑOS DE PROTECCIÓN CONTRA INCENDIOS Y SEGURIDAD HUMANA PARA EL PROYECTO COLIVING ALEJANDRIA</t>
        </is>
      </c>
      <c r="D336" s="312" t="n"/>
      <c r="E336" s="312" t="n"/>
      <c r="F336" s="312" t="n"/>
      <c r="G336" s="312" t="n"/>
      <c r="H336" s="312" t="n"/>
      <c r="I336" s="313" t="n"/>
      <c r="J336" s="199" t="inlineStr">
        <is>
          <t>SPCI</t>
        </is>
      </c>
      <c r="K336" s="314" t="n">
        <v>16930000</v>
      </c>
      <c r="L336" s="2" t="n">
        <v>45489</v>
      </c>
      <c r="M336" s="170" t="n"/>
      <c r="N336" s="170" t="n">
        <v>3104165783</v>
      </c>
      <c r="O336" s="102" t="inlineStr">
        <is>
          <t>Cristiam Gustavo Mondragon</t>
        </is>
      </c>
      <c r="P336" s="82" t="inlineStr">
        <is>
          <t>dir.tecnico@spci.com.co</t>
        </is>
      </c>
    </row>
    <row r="337">
      <c r="B337" s="170" t="n">
        <v>326</v>
      </c>
      <c r="C337" s="246" t="inlineStr">
        <is>
          <t xml:space="preserve">COTIZACION DEL DISEÑO DE EXTINCIÓN DE INCENDIOS PARA EL PROYECTO LEMONT OFICINA
</t>
        </is>
      </c>
      <c r="D337" s="312" t="n"/>
      <c r="E337" s="312" t="n"/>
      <c r="F337" s="312" t="n"/>
      <c r="G337" s="312" t="n"/>
      <c r="H337" s="312" t="n"/>
      <c r="I337" s="313" t="n"/>
      <c r="J337" s="235" t="inlineStr">
        <is>
          <t>SPCI</t>
        </is>
      </c>
      <c r="K337" s="314" t="n">
        <v>1300000</v>
      </c>
      <c r="L337" s="2" t="n">
        <v>45490</v>
      </c>
      <c r="M337" s="170" t="n"/>
      <c r="N337" s="170" t="n">
        <v>3104165783</v>
      </c>
      <c r="O337" s="102" t="inlineStr">
        <is>
          <t>Cristiam Gustavo Mondragon</t>
        </is>
      </c>
      <c r="P337" s="82" t="inlineStr">
        <is>
          <t>dir.tecnico@spci.com.co</t>
        </is>
      </c>
    </row>
    <row r="338">
      <c r="B338" s="170" t="n">
        <v>327</v>
      </c>
      <c r="C338" s="246" t="inlineStr">
        <is>
          <t>COTIZACION DE LOS DISEÑOS DE PROTECCIÓN CONTRA INCENDIOS PARA EL PROYECTO SEDE ADMINISTRATIVA BANCOLOMBIA CALI</t>
        </is>
      </c>
      <c r="D338" s="312" t="n"/>
      <c r="E338" s="312" t="n"/>
      <c r="F338" s="312" t="n"/>
      <c r="G338" s="312" t="n"/>
      <c r="H338" s="312" t="n"/>
      <c r="I338" s="313" t="n"/>
      <c r="J338" s="199" t="inlineStr">
        <is>
          <t>Toroposada</t>
        </is>
      </c>
      <c r="K338" s="314" t="n">
        <v>16200000</v>
      </c>
      <c r="L338" s="2" t="n">
        <v>45489</v>
      </c>
      <c r="M338" s="170" t="n"/>
      <c r="N338" s="172" t="n">
        <v>3006680526</v>
      </c>
      <c r="O338" s="102" t="inlineStr">
        <is>
          <t>Camilo Alvarez Restrepo</t>
        </is>
      </c>
      <c r="P338" s="52" t="inlineStr">
        <is>
          <t>camiloar@toroposada.com</t>
        </is>
      </c>
    </row>
    <row r="339">
      <c r="B339" s="170" t="n">
        <v>328</v>
      </c>
      <c r="C339" s="246" t="inlineStr">
        <is>
          <t>COTIZACION DE LOS DISEÑOS DE PROTECCIÓN CONTRA INCENDIOS PARA EL PROYECTO PLANTA WEST</t>
        </is>
      </c>
      <c r="D339" s="312" t="n"/>
      <c r="E339" s="312" t="n"/>
      <c r="F339" s="312" t="n"/>
      <c r="G339" s="312" t="n"/>
      <c r="H339" s="312" t="n"/>
      <c r="I339" s="313" t="n"/>
      <c r="J339" s="23" t="inlineStr">
        <is>
          <t>Electroquimica Wes SA</t>
        </is>
      </c>
      <c r="K339" s="314" t="n">
        <v>19000000</v>
      </c>
      <c r="L339" s="2" t="n">
        <v>45489</v>
      </c>
      <c r="M339" s="170" t="n"/>
      <c r="N339" s="170" t="n">
        <v>3227013</v>
      </c>
      <c r="O339" s="103" t="inlineStr">
        <is>
          <t>Andrea Sthefania Ramírez Arbeláez</t>
        </is>
      </c>
      <c r="P339" s="52" t="inlineStr">
        <is>
          <t>interventoria@westquimica.com</t>
        </is>
      </c>
    </row>
    <row r="340">
      <c r="B340" s="170" t="n">
        <v>329</v>
      </c>
      <c r="C340" s="199" t="inlineStr">
        <is>
          <t>COTIZACION DEL DISEÑO DE DETECCIÓN DE INCENDIOS PARA EL PROYECTO PLANTA DE SOLLA EN BUGA</t>
        </is>
      </c>
      <c r="D340" s="312" t="n"/>
      <c r="E340" s="312" t="n"/>
      <c r="F340" s="312" t="n"/>
      <c r="G340" s="312" t="n"/>
      <c r="H340" s="312" t="n"/>
      <c r="I340" s="313" t="n"/>
      <c r="J340" s="199" t="inlineStr">
        <is>
          <t>SOLLA</t>
        </is>
      </c>
      <c r="K340" s="314" t="n">
        <v>29950000</v>
      </c>
      <c r="L340" s="2" t="n">
        <v>45498</v>
      </c>
      <c r="M340" s="170" t="n"/>
      <c r="N340" s="170" t="inlineStr">
        <is>
          <t>322 273 66 99</t>
        </is>
      </c>
      <c r="O340" s="102" t="inlineStr">
        <is>
          <t xml:space="preserve">Daniel Ignacio Penagos Caro </t>
        </is>
      </c>
      <c r="P340" s="52" t="inlineStr">
        <is>
          <t>dipenagos@solla.com</t>
        </is>
      </c>
    </row>
    <row r="341">
      <c r="B341" s="170" t="n">
        <v>330</v>
      </c>
      <c r="C341" s="248" t="inlineStr">
        <is>
          <t>COTIZACION DEL DISEÑO DE EXTINCIÓN DE INCENDIOS PARA EL PROYECTO PLANTA DE SOLLA EN BUGA</t>
        </is>
      </c>
      <c r="D341" s="312" t="n"/>
      <c r="E341" s="312" t="n"/>
      <c r="F341" s="312" t="n"/>
      <c r="G341" s="312" t="n"/>
      <c r="H341" s="312" t="n"/>
      <c r="I341" s="313" t="n"/>
      <c r="J341" s="199" t="inlineStr">
        <is>
          <t>SOLLA</t>
        </is>
      </c>
      <c r="K341" s="314" t="n">
        <v>98950000</v>
      </c>
      <c r="L341" s="2" t="n">
        <v>45498</v>
      </c>
      <c r="M341" s="170" t="n"/>
      <c r="N341" s="170" t="inlineStr">
        <is>
          <t>322 273 66 99</t>
        </is>
      </c>
      <c r="O341" s="102" t="inlineStr">
        <is>
          <t xml:space="preserve">Daniel Ignacio Penagos Caro </t>
        </is>
      </c>
      <c r="P341" s="52" t="inlineStr">
        <is>
          <t>dipenagos@solla.com</t>
        </is>
      </c>
    </row>
    <row r="342">
      <c r="B342" s="170" t="n">
        <v>331</v>
      </c>
      <c r="C342" s="199" t="inlineStr">
        <is>
          <t>COTIZACION DE LOS DISEÑOS DE PROTECCIÓN CONTRA INCENDIOS Y SEGURIDAD HUMANA PARA EL PROYECTO CAMPUS UNIVERSITARIO</t>
        </is>
      </c>
      <c r="D342" s="312" t="n"/>
      <c r="E342" s="312" t="n"/>
      <c r="F342" s="312" t="n"/>
      <c r="G342" s="312" t="n"/>
      <c r="H342" s="312" t="n"/>
      <c r="I342" s="313" t="n"/>
      <c r="J342" s="199" t="inlineStr">
        <is>
          <t>AIA</t>
        </is>
      </c>
      <c r="K342" s="314" t="n">
        <v>65940000</v>
      </c>
      <c r="L342" s="2" t="n">
        <v>45492</v>
      </c>
      <c r="M342" s="170" t="n"/>
      <c r="N342" s="170" t="n">
        <v>3006029935</v>
      </c>
      <c r="O342" s="103" t="inlineStr">
        <is>
          <t>Daniel Sosa Moreno</t>
        </is>
      </c>
      <c r="P342" s="52" t="inlineStr">
        <is>
          <t>dsosa@aia.com.co</t>
        </is>
      </c>
    </row>
    <row r="343" ht="15" customHeight="1">
      <c r="B343" s="170" t="n">
        <v>332</v>
      </c>
      <c r="C343" s="199" t="inlineStr">
        <is>
          <t>COTIZACION DE LOS DISEÑOS DE PROTECCIÓN CONTRA INCENDIOS PARA EL PROYECTO AMTEX</t>
        </is>
      </c>
      <c r="D343" s="312" t="n"/>
      <c r="E343" s="312" t="n"/>
      <c r="F343" s="312" t="n"/>
      <c r="G343" s="312" t="n"/>
      <c r="H343" s="312" t="n"/>
      <c r="I343" s="313" t="n"/>
      <c r="J343" s="199" t="inlineStr">
        <is>
          <t>Go ingenieria</t>
        </is>
      </c>
      <c r="K343" s="314" t="n">
        <v>4390000</v>
      </c>
      <c r="L343" s="2" t="n">
        <v>45490</v>
      </c>
      <c r="M343" s="170" t="n"/>
      <c r="N343" s="170" t="inlineStr">
        <is>
          <t>310 5104288</t>
        </is>
      </c>
      <c r="O343" s="102" t="inlineStr">
        <is>
          <t>Christian Gañan Ibarra</t>
        </is>
      </c>
      <c r="P343" s="52" t="inlineStr">
        <is>
          <t>goingenieriaysoluciones@gmail.com</t>
        </is>
      </c>
    </row>
    <row r="344">
      <c r="B344" s="170" t="n">
        <v>333</v>
      </c>
      <c r="C344" s="199" t="inlineStr">
        <is>
          <t>COTIZACION DEL ANÁLISIS DE SEGURIDAD HUMANA PARA EL PROYECTO OBRA MIRADOR DE LA SABANA ZIPAQUIRA</t>
        </is>
      </c>
      <c r="D344" s="312" t="n"/>
      <c r="E344" s="312" t="n"/>
      <c r="F344" s="312" t="n"/>
      <c r="G344" s="312" t="n"/>
      <c r="H344" s="312" t="n"/>
      <c r="I344" s="313" t="n"/>
      <c r="J344" s="199" t="inlineStr">
        <is>
          <t>OTACC</t>
        </is>
      </c>
      <c r="K344" s="314" t="n">
        <v>6270000</v>
      </c>
      <c r="L344" s="2" t="n">
        <v>45490</v>
      </c>
      <c r="M344" s="170" t="n"/>
      <c r="N344" s="170" t="inlineStr">
        <is>
          <t>311 8513812</t>
        </is>
      </c>
      <c r="O344" s="103" t="inlineStr">
        <is>
          <t>Andrés Leonardo Diaz Daza</t>
        </is>
      </c>
      <c r="P344" s="52" t="inlineStr">
        <is>
          <t>aldiaz@otacc.com</t>
        </is>
      </c>
    </row>
    <row r="345">
      <c r="B345" s="170" t="n">
        <v>334</v>
      </c>
      <c r="C345" s="233" t="inlineStr">
        <is>
          <t>COTIZACION DE LOS DISEÑOS DE PROTECCIÓN CONTRA INCENDIOS Y SEGURIDAD HUMANA PARA EL PROYECTO COLEGIO SAGRADA FAMILIA</t>
        </is>
      </c>
      <c r="D345" s="312" t="n"/>
      <c r="E345" s="312" t="n"/>
      <c r="F345" s="312" t="n"/>
      <c r="G345" s="312" t="n"/>
      <c r="H345" s="312" t="n"/>
      <c r="I345" s="313" t="n"/>
      <c r="J345" s="199" t="inlineStr">
        <is>
          <t>Securetec</t>
        </is>
      </c>
      <c r="K345" s="314" t="n">
        <v>15750000</v>
      </c>
      <c r="L345" s="2" t="n">
        <v>45490</v>
      </c>
      <c r="M345" s="170" t="n"/>
      <c r="N345" s="170" t="n">
        <v>3206678830</v>
      </c>
      <c r="O345" s="102" t="inlineStr">
        <is>
          <t>Jhonny A Castro</t>
        </is>
      </c>
      <c r="P345" s="52" t="inlineStr">
        <is>
          <t>dirproyectos@securetec.com.co</t>
        </is>
      </c>
    </row>
    <row r="346">
      <c r="B346" s="170" t="n">
        <v>335</v>
      </c>
      <c r="C346" s="199" t="inlineStr">
        <is>
          <t>COTIZACION DE LOS DISEÑOS DE PROTECCIÓN CONTRA INCENDIOS PARA EL PROYECTO CENTROS DE INTELIGENCIA ARTIFICIAL</t>
        </is>
      </c>
      <c r="D346" s="312" t="n"/>
      <c r="E346" s="312" t="n"/>
      <c r="F346" s="312" t="n"/>
      <c r="G346" s="312" t="n"/>
      <c r="H346" s="312" t="n"/>
      <c r="I346" s="313" t="n"/>
      <c r="J346" s="199" t="inlineStr">
        <is>
          <t>Seriinco</t>
        </is>
      </c>
      <c r="K346" s="314" t="n">
        <v>69990000</v>
      </c>
      <c r="L346" s="2" t="n">
        <v>45493</v>
      </c>
      <c r="M346" s="170" t="n"/>
      <c r="N346" s="170" t="n">
        <v>3113391008</v>
      </c>
      <c r="O346" s="102" t="inlineStr">
        <is>
          <t>Carlos Henao</t>
        </is>
      </c>
      <c r="P346" s="52" t="inlineStr">
        <is>
          <t>carlos.henao@seriinco.com</t>
        </is>
      </c>
    </row>
    <row r="347">
      <c r="B347" s="170" t="n">
        <v>336</v>
      </c>
      <c r="C347" s="199" t="inlineStr">
        <is>
          <t>COTIZACION DEL DISEÑO DE EXTINCIÓN DE INCENDIOS PARA EL PROYECTO FEDERAL</t>
        </is>
      </c>
      <c r="D347" s="312" t="n"/>
      <c r="E347" s="312" t="n"/>
      <c r="F347" s="312" t="n"/>
      <c r="G347" s="312" t="n"/>
      <c r="H347" s="312" t="n"/>
      <c r="I347" s="313" t="n"/>
      <c r="J347" s="199" t="inlineStr">
        <is>
          <t>Seriinco</t>
        </is>
      </c>
      <c r="K347" s="314" t="n">
        <v>15050000</v>
      </c>
      <c r="L347" s="2" t="n">
        <v>45491</v>
      </c>
      <c r="M347" s="170" t="n"/>
      <c r="N347" s="170" t="n">
        <v>3113391008</v>
      </c>
      <c r="O347" s="102" t="inlineStr">
        <is>
          <t>Carlos Henao</t>
        </is>
      </c>
      <c r="P347" s="52" t="inlineStr">
        <is>
          <t>carlos.henao@seriinco.com</t>
        </is>
      </c>
    </row>
    <row r="348">
      <c r="B348" s="170" t="n">
        <v>337</v>
      </c>
      <c r="C348" s="233" t="inlineStr">
        <is>
          <t>COTIZACION DE LOS DISEÑOS DE PROTECCIÓN CONTRA INCENDIOS Y SEGURIDAD HUMANA PARA EL PROYECTO COLEGIO LA SALLE ETAPA 2</t>
        </is>
      </c>
      <c r="D348" s="312" t="n"/>
      <c r="E348" s="312" t="n"/>
      <c r="F348" s="312" t="n"/>
      <c r="G348" s="312" t="n"/>
      <c r="H348" s="312" t="n"/>
      <c r="I348" s="313" t="n"/>
      <c r="J348" s="199" t="inlineStr">
        <is>
          <t>Condiseño</t>
        </is>
      </c>
      <c r="K348" s="314" t="n">
        <v>28970000</v>
      </c>
      <c r="L348" s="2" t="n">
        <v>45492</v>
      </c>
      <c r="M348" s="170" t="n"/>
      <c r="N348" s="170" t="inlineStr">
        <is>
          <t xml:space="preserve">317 5594091 </t>
        </is>
      </c>
      <c r="O348" s="103" t="inlineStr">
        <is>
          <t>Nakary Garcia Romero</t>
        </is>
      </c>
      <c r="P348" s="52" t="inlineStr">
        <is>
          <t>n.garcia@condiseno.co</t>
        </is>
      </c>
    </row>
    <row r="349">
      <c r="B349" s="170" t="n">
        <v>338</v>
      </c>
      <c r="C349" s="199" t="inlineStr">
        <is>
          <t>COTIZACION DEL DISEÑO DE EXTINCIÓN DE INCENDIOS PARA EL PROYECTO BODEGA AUTECO RIONEGRO</t>
        </is>
      </c>
      <c r="D349" s="312" t="n"/>
      <c r="E349" s="312" t="n"/>
      <c r="F349" s="312" t="n"/>
      <c r="G349" s="312" t="n"/>
      <c r="H349" s="312" t="n"/>
      <c r="I349" s="313" t="n"/>
      <c r="J349" s="199" t="inlineStr">
        <is>
          <t>SOCOMES</t>
        </is>
      </c>
      <c r="K349" s="314" t="n">
        <v>26500000</v>
      </c>
      <c r="L349" s="2" t="n">
        <v>45492</v>
      </c>
      <c r="M349" s="170" t="n"/>
      <c r="N349" s="170" t="n">
        <v>3137851941</v>
      </c>
      <c r="O349" s="103" t="inlineStr">
        <is>
          <t>David Lopera medina</t>
        </is>
      </c>
      <c r="P349" s="52" t="inlineStr">
        <is>
          <t>david.lopera@socomes.com</t>
        </is>
      </c>
    </row>
    <row r="350" ht="15" customHeight="1">
      <c r="B350" s="170" t="n">
        <v>339</v>
      </c>
      <c r="C350" s="199" t="inlineStr">
        <is>
          <t>COTIZACION DEL DISEÑO DE EXTINCIÓN DE INCENDIOS PARA EL PROYECTO LA MARINA</t>
        </is>
      </c>
      <c r="D350" s="312" t="n"/>
      <c r="E350" s="312" t="n"/>
      <c r="F350" s="312" t="n"/>
      <c r="G350" s="312" t="n"/>
      <c r="H350" s="312" t="n"/>
      <c r="I350" s="313" t="n"/>
      <c r="J350" s="199" t="inlineStr">
        <is>
          <t>SPCI</t>
        </is>
      </c>
      <c r="K350" s="314" t="n">
        <v>8130000</v>
      </c>
      <c r="L350" s="2" t="n">
        <v>45491</v>
      </c>
      <c r="M350" s="170" t="n"/>
      <c r="N350" s="170" t="n">
        <v>3104165783</v>
      </c>
      <c r="O350" s="103" t="inlineStr">
        <is>
          <t>Cristiam Gustavo Mondragon</t>
        </is>
      </c>
      <c r="P350" s="52" t="inlineStr">
        <is>
          <t>dir.tecnico@spci.com.co</t>
        </is>
      </c>
    </row>
    <row r="351" ht="15" customHeight="1">
      <c r="B351" s="170" t="n">
        <v>340</v>
      </c>
      <c r="C351" s="199" t="inlineStr">
        <is>
          <t>COTIZACION DEL DISEÑO DE DETECCIÓN DE INCENDIOS PARA EL PROYECTO SALA ECOS</t>
        </is>
      </c>
      <c r="D351" s="312" t="n"/>
      <c r="E351" s="312" t="n"/>
      <c r="F351" s="312" t="n"/>
      <c r="G351" s="312" t="n"/>
      <c r="H351" s="312" t="n"/>
      <c r="I351" s="313" t="n"/>
      <c r="J351" s="199" t="inlineStr">
        <is>
          <t>STUDIO SUR</t>
        </is>
      </c>
      <c r="K351" s="314" t="n">
        <v>4350000</v>
      </c>
      <c r="L351" s="2" t="n">
        <v>45491</v>
      </c>
      <c r="M351" s="170" t="n"/>
      <c r="N351" s="57" t="n">
        <v>5712357612</v>
      </c>
      <c r="O351" s="103" t="inlineStr">
        <is>
          <t xml:space="preserve"> Laura Arias</t>
        </is>
      </c>
      <c r="P351" s="52" t="inlineStr">
        <is>
          <t>laura.arias@studiosur.net</t>
        </is>
      </c>
    </row>
    <row r="352">
      <c r="B352" s="170" t="n">
        <v>341</v>
      </c>
      <c r="C352" s="246" t="inlineStr">
        <is>
          <t>COTIZACION DE LOS DISEÑOS DE PROTECCIÓN CONTRA INCENDIOS Y SEGURIDAD HUMANA PARA EL PROYECTO LA PATRICIA SERENITY SENIOR’S CLUB</t>
        </is>
      </c>
      <c r="D352" s="312" t="n"/>
      <c r="E352" s="312" t="n"/>
      <c r="F352" s="312" t="n"/>
      <c r="G352" s="312" t="n"/>
      <c r="H352" s="312" t="n"/>
      <c r="I352" s="313" t="n"/>
      <c r="J352" s="199" t="inlineStr">
        <is>
          <t>COORDI - INTEGRAL</t>
        </is>
      </c>
      <c r="K352" s="314" t="n">
        <v>21990000</v>
      </c>
      <c r="L352" s="2" t="n">
        <v>45493</v>
      </c>
      <c r="M352" s="170" t="n"/>
      <c r="N352" s="170" t="inlineStr">
        <is>
          <t>315 270 36 01</t>
        </is>
      </c>
      <c r="O352" s="102" t="inlineStr">
        <is>
          <t xml:space="preserve"> LUIS FERNANDO MARIN CLAVIJO</t>
        </is>
      </c>
      <c r="P352" s="52" t="inlineStr">
        <is>
          <t>luis.marin@coordi-integral.com.co</t>
        </is>
      </c>
    </row>
    <row r="353">
      <c r="B353" s="170" t="n">
        <v>342</v>
      </c>
      <c r="C353" s="233" t="inlineStr">
        <is>
          <t>COTIZACION DE LOS DISEÑOS DE PROTECCIÓN CONTRA INCENDIOS PARA EL PROYECTO EDIFICIO AMELIE SABANETA</t>
        </is>
      </c>
      <c r="D353" s="312" t="n"/>
      <c r="E353" s="312" t="n"/>
      <c r="F353" s="312" t="n"/>
      <c r="G353" s="312" t="n"/>
      <c r="H353" s="312" t="n"/>
      <c r="I353" s="313" t="n"/>
      <c r="J353" s="199" t="inlineStr">
        <is>
          <t>BM Arquitectura</t>
        </is>
      </c>
      <c r="K353" s="314" t="n">
        <v>6950000</v>
      </c>
      <c r="L353" s="2" t="n">
        <v>45491</v>
      </c>
      <c r="M353" s="170" t="n"/>
      <c r="N353" s="170" t="n">
        <v>3146209756</v>
      </c>
      <c r="O353" s="103" t="inlineStr">
        <is>
          <t>Juan Manuel Beltran</t>
        </is>
      </c>
      <c r="P353" s="82" t="inlineStr">
        <is>
          <t>bmarquitecturayconstruccion@gmail.com</t>
        </is>
      </c>
    </row>
    <row r="354">
      <c r="B354" s="170" t="n">
        <v>343</v>
      </c>
      <c r="C354" s="199" t="inlineStr">
        <is>
          <t>COTIZACION DEL ANÁLISIS DE SEGURIDAD HUMANA - VERDANT</t>
        </is>
      </c>
      <c r="D354" s="312" t="n"/>
      <c r="E354" s="312" t="n"/>
      <c r="F354" s="312" t="n"/>
      <c r="G354" s="312" t="n"/>
      <c r="H354" s="312" t="n"/>
      <c r="I354" s="313" t="n"/>
      <c r="J354" s="199" t="inlineStr">
        <is>
          <t>Melendez</t>
        </is>
      </c>
      <c r="K354" s="314" t="n">
        <v>6550000</v>
      </c>
      <c r="L354" s="2" t="n">
        <v>45491</v>
      </c>
      <c r="M354" s="170" t="n"/>
      <c r="N354" s="170" t="n"/>
      <c r="O354" s="102" t="n"/>
      <c r="P354" s="52" t="n"/>
    </row>
    <row r="355">
      <c r="B355" s="170" t="n">
        <v>344</v>
      </c>
      <c r="C355" s="233" t="inlineStr">
        <is>
          <t>COTIZACION DEL ANÁLISIS DE SEGURIDAD HUMANA - IMPORTEC</t>
        </is>
      </c>
      <c r="D355" s="312" t="n"/>
      <c r="E355" s="312" t="n"/>
      <c r="F355" s="312" t="n"/>
      <c r="G355" s="312" t="n"/>
      <c r="H355" s="312" t="n"/>
      <c r="I355" s="313" t="n"/>
      <c r="J355" s="199" t="inlineStr">
        <is>
          <t>ZFB</t>
        </is>
      </c>
      <c r="K355" s="314" t="n">
        <v>5950000</v>
      </c>
      <c r="L355" s="2" t="n">
        <v>45491</v>
      </c>
      <c r="M355" s="170" t="n"/>
      <c r="N355" s="172" t="n"/>
      <c r="O355" s="102" t="n"/>
      <c r="P355" s="52" t="n"/>
    </row>
    <row r="356">
      <c r="B356" s="170" t="n">
        <v>345</v>
      </c>
      <c r="C356" s="199" t="inlineStr">
        <is>
          <t>COTIZACION DE LOS PLANOS DE SEGURIDAD HUMANA - PROYECTO BODEGA ZONA FRANCA LOTE 117</t>
        </is>
      </c>
      <c r="D356" s="312" t="n"/>
      <c r="E356" s="312" t="n"/>
      <c r="F356" s="312" t="n"/>
      <c r="G356" s="312" t="n"/>
      <c r="H356" s="312" t="n"/>
      <c r="I356" s="313" t="n"/>
      <c r="J356" s="199" t="inlineStr">
        <is>
          <t>FIRE MARSHAL</t>
        </is>
      </c>
      <c r="K356" s="314" t="n">
        <v>2500000</v>
      </c>
      <c r="L356" s="2" t="n">
        <v>45492</v>
      </c>
      <c r="M356" s="170" t="n"/>
      <c r="N356" s="170" t="n">
        <v>3224188478</v>
      </c>
      <c r="O356" s="102" t="inlineStr">
        <is>
          <t>Andrea Nuñez</t>
        </is>
      </c>
      <c r="P356" s="52" t="inlineStr">
        <is>
          <t>andreanunez@firemarshal.com.co</t>
        </is>
      </c>
    </row>
    <row r="357">
      <c r="B357" s="170" t="n">
        <v>346</v>
      </c>
      <c r="C357" s="246" t="inlineStr">
        <is>
          <t xml:space="preserve">COTIZACION DE LOS DISEÑOS DE PROTECCIÓN CONTRA INCENDIOS Y SEGURIDAD HUMANA PARA EL PROYECTO SUCURSALES DIVEMOTOR COLOMBIA
</t>
        </is>
      </c>
      <c r="D357" s="312" t="n"/>
      <c r="E357" s="312" t="n"/>
      <c r="F357" s="312" t="n"/>
      <c r="G357" s="312" t="n"/>
      <c r="H357" s="312" t="n"/>
      <c r="I357" s="313" t="n"/>
      <c r="J357" s="199" t="inlineStr">
        <is>
          <t>Divemotor Colombia S.A.</t>
        </is>
      </c>
      <c r="K357" s="314" t="n">
        <v>16350000</v>
      </c>
      <c r="L357" s="2" t="n">
        <v>45495</v>
      </c>
      <c r="M357" s="2" t="n"/>
      <c r="N357" s="170" t="n">
        <v>3204501343</v>
      </c>
      <c r="O357" s="102" t="inlineStr">
        <is>
          <t>Maria Paula Cortes</t>
        </is>
      </c>
      <c r="P357" s="52" t="inlineStr">
        <is>
          <t>paula.cortes@divemotor.co</t>
        </is>
      </c>
    </row>
    <row r="358" ht="15" customHeight="1">
      <c r="B358" s="170" t="n">
        <v>347</v>
      </c>
      <c r="C358" s="246" t="inlineStr">
        <is>
          <t>COTIZACION DE LOS DISEÑOS DE PROTECCIÓN CONTRA INCENDIOS Y SEGURIDAD HUMANA PARA EL PROYECTO CEDIMED OVIEDO</t>
        </is>
      </c>
      <c r="D358" s="312" t="n"/>
      <c r="E358" s="312" t="n"/>
      <c r="F358" s="312" t="n"/>
      <c r="G358" s="312" t="n"/>
      <c r="H358" s="312" t="n"/>
      <c r="I358" s="313" t="n"/>
      <c r="J358" s="199" t="inlineStr">
        <is>
          <t>SPCI</t>
        </is>
      </c>
      <c r="K358" s="314" t="n">
        <v>8150000</v>
      </c>
      <c r="L358" s="2" t="n">
        <v>45495</v>
      </c>
      <c r="M358" s="170" t="n"/>
      <c r="N358" s="170" t="n">
        <v>3104165783</v>
      </c>
      <c r="O358" s="103" t="inlineStr">
        <is>
          <t>Cristiam Gustavo Mondragon</t>
        </is>
      </c>
      <c r="P358" s="52" t="inlineStr">
        <is>
          <t>dir.tecnico@spci.com.co</t>
        </is>
      </c>
    </row>
    <row r="359" ht="15" customHeight="1">
      <c r="B359" s="170" t="n">
        <v>348</v>
      </c>
      <c r="C359" s="246" t="inlineStr">
        <is>
          <t>COTIZACION DE LOS DISEÑOS DE PROTECCIÓN CONTRA INCENDIOS Y SEGURIDAD HUMANA PARA EL PROYECTO CEDIMED OVIEDO</t>
        </is>
      </c>
      <c r="D359" s="312" t="n"/>
      <c r="E359" s="312" t="n"/>
      <c r="F359" s="312" t="n"/>
      <c r="G359" s="312" t="n"/>
      <c r="H359" s="312" t="n"/>
      <c r="I359" s="313" t="n"/>
      <c r="J359" s="199" t="inlineStr">
        <is>
          <t>interve</t>
        </is>
      </c>
      <c r="K359" s="314" t="n">
        <v>8150000</v>
      </c>
      <c r="L359" s="2" t="n">
        <v>45495</v>
      </c>
      <c r="M359" s="170" t="n"/>
      <c r="N359" s="172" t="n">
        <v>6043523434</v>
      </c>
      <c r="O359" s="102" t="inlineStr">
        <is>
          <t>Martha Lucia Ferrer Botero</t>
        </is>
      </c>
      <c r="P359" s="52" t="inlineStr">
        <is>
          <t>mferrer@interve.co</t>
        </is>
      </c>
    </row>
    <row r="360">
      <c r="B360" s="170" t="n">
        <v>349</v>
      </c>
      <c r="C360" s="246" t="inlineStr">
        <is>
          <t>COTIZACION DEL ANÁLISIS DE SEGURIDAD HUMANA PARA EL PROYECTO TIENDA HOMECENTER</t>
        </is>
      </c>
      <c r="D360" s="312" t="n"/>
      <c r="E360" s="312" t="n"/>
      <c r="F360" s="312" t="n"/>
      <c r="G360" s="312" t="n"/>
      <c r="H360" s="312" t="n"/>
      <c r="I360" s="313" t="n"/>
      <c r="J360" s="199" t="inlineStr">
        <is>
          <t>CONCONCRETO</t>
        </is>
      </c>
      <c r="K360" s="314" t="n">
        <v>8780000</v>
      </c>
      <c r="L360" s="2" t="n">
        <v>45499</v>
      </c>
      <c r="M360" s="170" t="n"/>
      <c r="N360" s="172" t="n"/>
      <c r="O360" s="102" t="inlineStr">
        <is>
          <t>BIMBAU</t>
        </is>
      </c>
      <c r="P360" s="52" t="n"/>
    </row>
    <row r="361" ht="15" customHeight="1">
      <c r="B361" s="170" t="n">
        <v>350</v>
      </c>
      <c r="C361" s="246" t="inlineStr">
        <is>
          <t>COTIZACION DE LOS DISEÑOS DE PROTECCIÓN CONTRA INCENDIOS Y SEGURIDAD HUMANA PARA EL PROYECTO EDIFICIO AMELIE SABANETA</t>
        </is>
      </c>
      <c r="D361" s="312" t="n"/>
      <c r="E361" s="312" t="n"/>
      <c r="F361" s="312" t="n"/>
      <c r="G361" s="312" t="n"/>
      <c r="H361" s="312" t="n"/>
      <c r="I361" s="313" t="n"/>
      <c r="J361" s="199" t="inlineStr">
        <is>
          <t>BM Arquitectura</t>
        </is>
      </c>
      <c r="K361" s="314" t="n">
        <v>6950000</v>
      </c>
      <c r="L361" s="2" t="n">
        <v>45491</v>
      </c>
      <c r="M361" s="170" t="n"/>
      <c r="N361" s="170" t="n">
        <v>3146209756</v>
      </c>
      <c r="O361" s="103" t="inlineStr">
        <is>
          <t>Juan Manuel Beltran</t>
        </is>
      </c>
      <c r="P361" s="82" t="inlineStr">
        <is>
          <t>bmarquitecturayconstruccion@gmail.com</t>
        </is>
      </c>
    </row>
    <row r="362">
      <c r="B362" s="170" t="n">
        <v>351</v>
      </c>
      <c r="C362" s="246" t="inlineStr">
        <is>
          <t xml:space="preserve">COTIZACION DE LOS DISEÑOS DE PROTECCIÓN CONTRA INCENDIOS Y SEGURIDAD HUMANA PARA EL PROYECTO CENTRO DE ENTRETENIMIENTO
</t>
        </is>
      </c>
      <c r="D362" s="312" t="n"/>
      <c r="E362" s="312" t="n"/>
      <c r="F362" s="312" t="n"/>
      <c r="G362" s="312" t="n"/>
      <c r="H362" s="312" t="n"/>
      <c r="I362" s="313" t="n"/>
      <c r="J362" s="199" t="inlineStr">
        <is>
          <t>IS CIVILES</t>
        </is>
      </c>
      <c r="K362" s="314" t="n">
        <v>29650000</v>
      </c>
      <c r="L362" s="2" t="n">
        <v>45496</v>
      </c>
      <c r="M362" s="170" t="n"/>
      <c r="N362" s="170" t="n">
        <v>3143624300</v>
      </c>
      <c r="O362" s="102" t="inlineStr">
        <is>
          <t>Heder Alvarez Cardozo</t>
        </is>
      </c>
      <c r="P362" s="52" t="inlineStr">
        <is>
          <t>heder.cardozo@isciviles.com.co</t>
        </is>
      </c>
    </row>
    <row r="363">
      <c r="B363" s="170" t="n">
        <v>352</v>
      </c>
      <c r="C363" s="233" t="inlineStr">
        <is>
          <t>COTIZACION DE LOS DISEÑOS DE PROTECCIÓN CONTRA INCENDIOS Y SEGURIDAD HUMANA PARA EL PROYECTO ECONOMIA CIRCULAR</t>
        </is>
      </c>
      <c r="D363" s="312" t="n"/>
      <c r="E363" s="312" t="n"/>
      <c r="F363" s="312" t="n"/>
      <c r="G363" s="312" t="n"/>
      <c r="H363" s="312" t="n"/>
      <c r="I363" s="313" t="n"/>
      <c r="J363" s="199" t="inlineStr">
        <is>
          <t>IS CIVILES</t>
        </is>
      </c>
      <c r="K363" s="314" t="n">
        <v>19450000</v>
      </c>
      <c r="L363" s="2" t="n">
        <v>45496</v>
      </c>
      <c r="M363" s="170" t="n"/>
      <c r="N363" s="170" t="n">
        <v>3143624300</v>
      </c>
      <c r="O363" s="102" t="inlineStr">
        <is>
          <t>Heder Alvarez Cardozo</t>
        </is>
      </c>
      <c r="P363" s="52" t="inlineStr">
        <is>
          <t>heder.cardozo@isciviles.com.co</t>
        </is>
      </c>
    </row>
    <row r="364">
      <c r="B364" s="170" t="n">
        <v>353</v>
      </c>
      <c r="C364" s="246" t="inlineStr">
        <is>
          <t>COTIZACION DE LOS DISEÑOS DE PROTECCIÓN CONTRA INCENDIOS PARA EL PROYECTO MALL COMERCIAL BELEN</t>
        </is>
      </c>
      <c r="D364" s="312" t="n"/>
      <c r="E364" s="312" t="n"/>
      <c r="F364" s="312" t="n"/>
      <c r="G364" s="312" t="n"/>
      <c r="H364" s="312" t="n"/>
      <c r="I364" s="313" t="n"/>
      <c r="J364" s="199" t="inlineStr">
        <is>
          <t>Geinner montoya</t>
        </is>
      </c>
      <c r="K364" s="314" t="n">
        <v>9410000</v>
      </c>
      <c r="L364" s="2" t="n">
        <v>45496</v>
      </c>
      <c r="M364" s="170" t="n"/>
      <c r="N364" s="170" t="inlineStr">
        <is>
          <t>304 5950866</t>
        </is>
      </c>
      <c r="O364" s="103" t="inlineStr">
        <is>
          <t>Geinner montoya</t>
        </is>
      </c>
      <c r="P364" s="52" t="inlineStr">
        <is>
          <t>Geinermontoya2015@gmail.com</t>
        </is>
      </c>
    </row>
    <row r="365">
      <c r="B365" s="170" t="n">
        <v>354</v>
      </c>
      <c r="C365" s="246" t="inlineStr">
        <is>
          <t xml:space="preserve">COTIZACION DE LOS DISEÑOS DE PROTECCIÓN CONTRA INCENDIOS PARA EL PROYECTO PLANTA GASCOL SUR
</t>
        </is>
      </c>
      <c r="D365" s="312" t="n"/>
      <c r="E365" s="312" t="n"/>
      <c r="F365" s="312" t="n"/>
      <c r="G365" s="312" t="n"/>
      <c r="H365" s="312" t="n"/>
      <c r="I365" s="313" t="n"/>
      <c r="J365" s="199" t="inlineStr">
        <is>
          <t>SPCI</t>
        </is>
      </c>
      <c r="K365" s="314" t="n">
        <v>90000000</v>
      </c>
      <c r="L365" s="2" t="n">
        <v>45498</v>
      </c>
      <c r="M365" s="170" t="n"/>
      <c r="N365" s="170" t="n">
        <v>3104165783</v>
      </c>
      <c r="O365" s="103" t="inlineStr">
        <is>
          <t>Cristiam Gustavo Mondragon</t>
        </is>
      </c>
      <c r="P365" s="52" t="inlineStr">
        <is>
          <t>dir.tecnico@spci.com.co</t>
        </is>
      </c>
    </row>
    <row r="366">
      <c r="B366" s="170" t="n">
        <v>355</v>
      </c>
      <c r="C366" s="199" t="inlineStr">
        <is>
          <t>COTIZACION DEL DISEÑO DE DETECCIÓN DE INCENDIOS PARA EL PROYECTO PLANTA DE PLASTICOS</t>
        </is>
      </c>
      <c r="D366" s="312" t="n"/>
      <c r="E366" s="312" t="n"/>
      <c r="F366" s="312" t="n"/>
      <c r="G366" s="312" t="n"/>
      <c r="H366" s="312" t="n"/>
      <c r="I366" s="313" t="n"/>
      <c r="J366" s="199" t="inlineStr">
        <is>
          <t>IEB</t>
        </is>
      </c>
      <c r="K366" s="314" t="n">
        <v>11950000</v>
      </c>
      <c r="L366" s="2" t="n">
        <v>45497</v>
      </c>
      <c r="M366" s="170" t="n"/>
      <c r="N366" s="170" t="n">
        <v>6043272</v>
      </c>
      <c r="O366" s="103" t="inlineStr">
        <is>
          <t xml:space="preserve">Daniela Ríos Agudelo </t>
        </is>
      </c>
      <c r="P366" s="52" t="inlineStr">
        <is>
          <t>daniela.rios@ieb.co</t>
        </is>
      </c>
    </row>
    <row r="367">
      <c r="B367" s="170" t="n">
        <v>356</v>
      </c>
      <c r="C367" s="199" t="inlineStr">
        <is>
          <t>COTIZACION DEL DISEÑO DE DETECCIÓN DE INCENDIOS PARA EL PROYECTO TERMONORTE 2</t>
        </is>
      </c>
      <c r="D367" s="312" t="n"/>
      <c r="E367" s="312" t="n"/>
      <c r="F367" s="312" t="n"/>
      <c r="G367" s="312" t="n"/>
      <c r="H367" s="312" t="n"/>
      <c r="I367" s="313" t="n"/>
      <c r="J367" s="199" t="inlineStr">
        <is>
          <t>IEB</t>
        </is>
      </c>
      <c r="K367" s="314" t="n">
        <v>5000000</v>
      </c>
      <c r="L367" s="2" t="n">
        <v>45497</v>
      </c>
      <c r="M367" s="170" t="n"/>
      <c r="N367" s="170" t="n">
        <v>6043272</v>
      </c>
      <c r="O367" s="103" t="inlineStr">
        <is>
          <t xml:space="preserve">Daniela Ríos Agudelo </t>
        </is>
      </c>
      <c r="P367" s="52" t="inlineStr">
        <is>
          <t>daniela.rios@ieb.co</t>
        </is>
      </c>
    </row>
    <row r="368">
      <c r="B368" s="170" t="n">
        <v>357</v>
      </c>
      <c r="C368" s="246" t="inlineStr">
        <is>
          <t xml:space="preserve">COTIZACION DEL DISEÑO DE EXTINCIÓN DE INCENDIOS PARA EL PROYECTO LOCAL COMERCIAL MAYORCA ESTAPA II PISO 9
</t>
        </is>
      </c>
      <c r="D368" s="312" t="n"/>
      <c r="E368" s="312" t="n"/>
      <c r="F368" s="312" t="n"/>
      <c r="G368" s="312" t="n"/>
      <c r="H368" s="312" t="n"/>
      <c r="I368" s="313" t="n"/>
      <c r="J368" s="199" t="inlineStr">
        <is>
          <t>Securetec</t>
        </is>
      </c>
      <c r="K368" s="314" t="n">
        <v>1600000</v>
      </c>
      <c r="L368" s="2" t="n">
        <v>45497</v>
      </c>
      <c r="M368" s="170" t="n"/>
      <c r="N368" s="170" t="n">
        <v>3014111727</v>
      </c>
      <c r="O368" s="103" t="inlineStr">
        <is>
          <t>Julián David Camacho</t>
        </is>
      </c>
      <c r="P368" s="52" t="inlineStr">
        <is>
          <t>ascomercial2@securetec.com.co</t>
        </is>
      </c>
    </row>
    <row r="369">
      <c r="B369" s="170" t="n">
        <v>358</v>
      </c>
      <c r="C369" s="199" t="inlineStr">
        <is>
          <t>COTIZACION DE LOS DISEÑOS DE SEGURIDAD HUMANA Y PROTECCIÓN CONTRA INCENDIOS - EDIFICIO COMERCIAL 12 PISOS</t>
        </is>
      </c>
      <c r="D369" s="312" t="n"/>
      <c r="E369" s="312" t="n"/>
      <c r="F369" s="312" t="n"/>
      <c r="G369" s="312" t="n"/>
      <c r="H369" s="312" t="n"/>
      <c r="I369" s="313" t="n"/>
      <c r="J369" s="199" t="inlineStr">
        <is>
          <t>SUMARIO ARQUITECTURA</t>
        </is>
      </c>
      <c r="K369" s="314" t="n">
        <v>21950000</v>
      </c>
      <c r="L369" s="2" t="n">
        <v>45497</v>
      </c>
      <c r="M369" s="2" t="n"/>
      <c r="N369" s="170" t="inlineStr">
        <is>
          <t>317 2207906</t>
        </is>
      </c>
      <c r="O369" s="170" t="inlineStr">
        <is>
          <t>Cristina Tamayo</t>
        </is>
      </c>
      <c r="P369" s="52" t="inlineStr">
        <is>
          <t>cristina@sumario.co</t>
        </is>
      </c>
    </row>
    <row r="370">
      <c r="B370" s="170" t="n">
        <v>359</v>
      </c>
      <c r="C370" s="199" t="inlineStr">
        <is>
          <t>COTIZACION DEL DISEÑO DE DETECCIÓN DE INCENDIOS PARA EL PROYECTO BONNAVISTA 17</t>
        </is>
      </c>
      <c r="D370" s="312" t="n"/>
      <c r="E370" s="312" t="n"/>
      <c r="F370" s="312" t="n"/>
      <c r="G370" s="312" t="n"/>
      <c r="H370" s="312" t="n"/>
      <c r="I370" s="313" t="n"/>
      <c r="J370" s="199" t="inlineStr">
        <is>
          <t>SUMARIO ARQUITECTURA</t>
        </is>
      </c>
      <c r="K370" s="314" t="n">
        <v>1250000</v>
      </c>
      <c r="L370" s="2" t="n">
        <v>45497</v>
      </c>
      <c r="M370" s="2" t="n"/>
      <c r="N370" s="170" t="inlineStr">
        <is>
          <t>317 2207906</t>
        </is>
      </c>
      <c r="O370" s="170" t="inlineStr">
        <is>
          <t>Cristina Tamayo</t>
        </is>
      </c>
      <c r="P370" s="52" t="inlineStr">
        <is>
          <t>cristina@sumario.co</t>
        </is>
      </c>
    </row>
    <row r="371">
      <c r="B371" s="170" t="n">
        <v>360</v>
      </c>
      <c r="C371" s="199" t="inlineStr">
        <is>
          <t>COTIZACION DE LOS PLANOS DE SEÑALIZACIÓN DE EMERGENCIA Y AYUDA CON DERECHO DE PETICIÓN - PROYECTO PUERTO AZUL</t>
        </is>
      </c>
      <c r="D371" s="312" t="n"/>
      <c r="E371" s="312" t="n"/>
      <c r="F371" s="312" t="n"/>
      <c r="G371" s="312" t="n"/>
      <c r="H371" s="312" t="n"/>
      <c r="I371" s="313" t="n"/>
      <c r="J371" s="199" t="inlineStr">
        <is>
          <t>Conconcreto</t>
        </is>
      </c>
      <c r="K371" s="314" t="n">
        <v>5000000</v>
      </c>
      <c r="L371" s="2" t="n">
        <v>45497</v>
      </c>
      <c r="M371" s="2" t="n"/>
      <c r="N371" s="170" t="n">
        <v>3102615669</v>
      </c>
      <c r="O371" s="103" t="inlineStr">
        <is>
          <t>Claudia Bibiana Carrillo</t>
        </is>
      </c>
      <c r="P371" s="52" t="inlineStr">
        <is>
          <t>ccarrillom@conconcreto.com</t>
        </is>
      </c>
    </row>
    <row r="372">
      <c r="B372" s="170" t="n">
        <v>361</v>
      </c>
      <c r="C372" s="199" t="inlineStr">
        <is>
          <t>COTIZACION DEL ANÁLISIS DE SEGURIDAD HUMANA PARA EL PROYECTO QUIRÁ RESERVADO</t>
        </is>
      </c>
      <c r="D372" s="312" t="n"/>
      <c r="E372" s="312" t="n"/>
      <c r="F372" s="312" t="n"/>
      <c r="G372" s="312" t="n"/>
      <c r="H372" s="312" t="n"/>
      <c r="I372" s="313" t="n"/>
      <c r="J372" s="199" t="inlineStr">
        <is>
          <t>Quirá Proyecto</t>
        </is>
      </c>
      <c r="K372" s="314" t="n">
        <v>7550000</v>
      </c>
      <c r="L372" s="2" t="n">
        <v>45497</v>
      </c>
      <c r="M372" s="170" t="n"/>
      <c r="N372" s="170" t="n">
        <v>3187826824</v>
      </c>
      <c r="O372" s="103" t="inlineStr">
        <is>
          <t>Mateo Estupiñan Arjona</t>
        </is>
      </c>
      <c r="P372" s="52" t="inlineStr">
        <is>
          <t>tecnico@quiraproyecto.com</t>
        </is>
      </c>
    </row>
    <row r="373">
      <c r="B373" s="170" t="n">
        <v>362</v>
      </c>
      <c r="C373" s="199" t="inlineStr">
        <is>
          <t>COTIZACION DEL DISEÑO DE EXTINCIÓN DE INCENDIOS PARA EL PROYECTO PLANTA CASDIQUIM RIONEGRO</t>
        </is>
      </c>
      <c r="D373" s="312" t="n"/>
      <c r="E373" s="312" t="n"/>
      <c r="F373" s="312" t="n"/>
      <c r="G373" s="312" t="n"/>
      <c r="H373" s="312" t="n"/>
      <c r="I373" s="313" t="n"/>
      <c r="J373" s="199" t="inlineStr">
        <is>
          <t>Casdiquim S.A.S.</t>
        </is>
      </c>
      <c r="K373" s="314" t="n">
        <v>24950000</v>
      </c>
      <c r="L373" s="2" t="n">
        <v>45498</v>
      </c>
      <c r="M373" s="170" t="n"/>
      <c r="N373" s="170" t="n">
        <v>3117118994</v>
      </c>
      <c r="O373" s="103" t="inlineStr">
        <is>
          <t>Ana María Garcés A.</t>
        </is>
      </c>
      <c r="P373" s="52" t="inlineStr">
        <is>
          <t>anamariagarces@casdiquim.com.co</t>
        </is>
      </c>
    </row>
    <row r="374">
      <c r="B374" s="170" t="n">
        <v>363</v>
      </c>
      <c r="C374" s="246" t="inlineStr">
        <is>
          <t xml:space="preserve">COTIZACION DE LOS DISEÑOS DE PROTECCIÓN CONTRA INCENDIOS PARA EL PROYECTO CEDIS D1
</t>
        </is>
      </c>
      <c r="D374" s="312" t="n"/>
      <c r="E374" s="312" t="n"/>
      <c r="F374" s="312" t="n"/>
      <c r="G374" s="312" t="n"/>
      <c r="H374" s="312" t="n"/>
      <c r="I374" s="313" t="n"/>
      <c r="J374" s="199" t="inlineStr">
        <is>
          <t>D1</t>
        </is>
      </c>
      <c r="K374" s="314" t="inlineStr">
        <is>
          <t>variable</t>
        </is>
      </c>
      <c r="L374" s="2" t="n">
        <v>45498</v>
      </c>
      <c r="M374" s="170" t="n"/>
      <c r="N374" s="170" t="n">
        <v>2541055</v>
      </c>
      <c r="O374" s="103" t="inlineStr">
        <is>
          <t>Helena Mahecha Ariza</t>
        </is>
      </c>
      <c r="P374" s="52" t="inlineStr">
        <is>
          <t>helena.mahecha@d1.com.co</t>
        </is>
      </c>
    </row>
    <row r="375">
      <c r="B375" s="170" t="n">
        <v>364</v>
      </c>
      <c r="C375" s="246" t="inlineStr">
        <is>
          <t>COTIZACION DEL DISEÑO DE EXTINCIÓN DE INCENDIOS PARA EL PROYECTO PLANTA CASDIQUIM RIONEGRO ZONA RESIDUOS</t>
        </is>
      </c>
      <c r="D375" s="312" t="n"/>
      <c r="E375" s="312" t="n"/>
      <c r="F375" s="312" t="n"/>
      <c r="G375" s="312" t="n"/>
      <c r="H375" s="312" t="n"/>
      <c r="I375" s="313" t="n"/>
      <c r="J375" s="199" t="inlineStr">
        <is>
          <t>Casdiquim S.A.S.</t>
        </is>
      </c>
      <c r="K375" s="314" t="inlineStr">
        <is>
          <t>variable</t>
        </is>
      </c>
      <c r="L375" s="2" t="n">
        <v>45498</v>
      </c>
      <c r="M375" s="170" t="n"/>
      <c r="N375" s="170" t="n">
        <v>3117118994</v>
      </c>
      <c r="O375" s="103" t="inlineStr">
        <is>
          <t>Ana María Garcés A.</t>
        </is>
      </c>
      <c r="P375" s="52" t="inlineStr">
        <is>
          <t>anamariagarces@casdiquim.com.co</t>
        </is>
      </c>
    </row>
    <row r="376">
      <c r="B376" s="170" t="n">
        <v>365</v>
      </c>
      <c r="C376" s="246" t="inlineStr">
        <is>
          <t>COTIZACION DE LOS DISEÑOS DE PROTECCIÓN CONTRA INCENDIOS Y SEGURIDAD HUMANA PARA EL PROYECTO CRISTALLY</t>
        </is>
      </c>
      <c r="D376" s="312" t="n"/>
      <c r="E376" s="312" t="n"/>
      <c r="F376" s="312" t="n"/>
      <c r="G376" s="312" t="n"/>
      <c r="H376" s="312" t="n"/>
      <c r="I376" s="313" t="n"/>
      <c r="J376" s="199" t="inlineStr">
        <is>
          <t>Arquitectura y Concreto</t>
        </is>
      </c>
      <c r="K376" s="314" t="n">
        <v>32950000</v>
      </c>
      <c r="L376" s="2" t="n">
        <v>45498</v>
      </c>
      <c r="M376" s="170" t="n"/>
      <c r="N376" s="170" t="n">
        <v>3162439535</v>
      </c>
      <c r="O376" s="103" t="inlineStr">
        <is>
          <t>Sebastian Ochoa Gomez</t>
        </is>
      </c>
      <c r="P376" s="52" t="inlineStr">
        <is>
          <t>sebastianochoa@arquitecturayconcreto.com</t>
        </is>
      </c>
    </row>
    <row r="377">
      <c r="B377" s="170" t="n">
        <v>366</v>
      </c>
      <c r="C377" s="199" t="inlineStr">
        <is>
          <t>COTIZACION DE LOS DISEÑOS DE PROTECCIÓN CONTRA INCENDIOS Y SEGURIDAD HUMANA PARA EL PROYECTO NEXO</t>
        </is>
      </c>
      <c r="D377" s="312" t="n"/>
      <c r="E377" s="312" t="n"/>
      <c r="F377" s="312" t="n"/>
      <c r="G377" s="312" t="n"/>
      <c r="H377" s="312" t="n"/>
      <c r="I377" s="313" t="n"/>
      <c r="J377" s="199" t="inlineStr">
        <is>
          <t>Arquitectura y Concreto</t>
        </is>
      </c>
      <c r="K377" s="314" t="n">
        <v>37950000</v>
      </c>
      <c r="L377" s="2" t="n">
        <v>45498</v>
      </c>
      <c r="M377" s="170" t="n"/>
      <c r="N377" s="170" t="n">
        <v>3162439535</v>
      </c>
      <c r="O377" s="103" t="inlineStr">
        <is>
          <t>Sebastian Ochoa Gomez</t>
        </is>
      </c>
      <c r="P377" s="52" t="inlineStr">
        <is>
          <t>sebastianochoa@arquitecturayconcreto.com</t>
        </is>
      </c>
    </row>
    <row r="378">
      <c r="B378" s="170" t="n">
        <v>367</v>
      </c>
      <c r="C378" s="199" t="inlineStr">
        <is>
          <t>COTIZACION DEL DISEÑO DE EXTINCIÓN DE INCENDIOS PARA EL PROYECTO EDIFICIO LAURELES</t>
        </is>
      </c>
      <c r="D378" s="312" t="n"/>
      <c r="E378" s="312" t="n"/>
      <c r="F378" s="312" t="n"/>
      <c r="G378" s="312" t="n"/>
      <c r="H378" s="312" t="n"/>
      <c r="I378" s="313" t="n"/>
      <c r="J378" s="199" t="inlineStr">
        <is>
          <t>Arquitectura y Concreto</t>
        </is>
      </c>
      <c r="K378" s="314" t="n">
        <v>8000000</v>
      </c>
      <c r="L378" s="2" t="n">
        <v>45498</v>
      </c>
      <c r="M378" s="170" t="n"/>
      <c r="N378" s="170" t="n">
        <v>3127218621</v>
      </c>
      <c r="O378" s="103" t="inlineStr">
        <is>
          <t>Robinson Marulanda Marin</t>
        </is>
      </c>
      <c r="P378" s="52" t="inlineStr">
        <is>
          <t>robinsonmarulanda@arquitecturayconcreto.com</t>
        </is>
      </c>
    </row>
    <row r="379">
      <c r="B379" s="170" t="n">
        <v>368</v>
      </c>
      <c r="C379" s="246" t="inlineStr">
        <is>
          <t>COTIZACION DE LOS DISEÑOS DE PROTECCIÓN CONTRA INCENDIOS PARA EL PROYECTO FAC</t>
        </is>
      </c>
      <c r="D379" s="312" t="n"/>
      <c r="E379" s="312" t="n"/>
      <c r="F379" s="312" t="n"/>
      <c r="G379" s="312" t="n"/>
      <c r="H379" s="312" t="n"/>
      <c r="I379" s="313" t="n"/>
      <c r="J379" s="199" t="inlineStr">
        <is>
          <t>SPCI</t>
        </is>
      </c>
      <c r="K379" s="314" t="n">
        <v>27600000</v>
      </c>
      <c r="L379" s="2" t="n">
        <v>45504</v>
      </c>
      <c r="M379" s="170" t="n"/>
      <c r="N379" s="170" t="n">
        <v>3104165783</v>
      </c>
      <c r="O379" s="103" t="inlineStr">
        <is>
          <t>Cristiam Gustavo Mondragon</t>
        </is>
      </c>
      <c r="P379" s="52" t="inlineStr">
        <is>
          <t>dir.tecnico@spci.com.co</t>
        </is>
      </c>
    </row>
    <row r="380">
      <c r="B380" s="170" t="n">
        <v>369</v>
      </c>
      <c r="C380" s="246" t="inlineStr">
        <is>
          <t>COTIZACION DEL ANÁLISIS DE SEGURIDAD HUMANA PARA EL PROYECTO CEDI-TRONEX</t>
        </is>
      </c>
      <c r="D380" s="312" t="n"/>
      <c r="E380" s="312" t="n"/>
      <c r="F380" s="312" t="n"/>
      <c r="G380" s="312" t="n"/>
      <c r="H380" s="312" t="n"/>
      <c r="I380" s="313" t="n"/>
      <c r="J380" s="199" t="inlineStr">
        <is>
          <t>CONCONCRETO</t>
        </is>
      </c>
      <c r="K380" s="314" t="n">
        <v>13550000</v>
      </c>
      <c r="L380" s="2" t="n">
        <v>45503</v>
      </c>
      <c r="M380" s="170" t="n"/>
      <c r="N380" s="170" t="inlineStr">
        <is>
          <t>300 3675022</t>
        </is>
      </c>
      <c r="O380" s="103" t="inlineStr">
        <is>
          <t>Andres Restrepo Escobar</t>
        </is>
      </c>
      <c r="P380" s="52" t="inlineStr">
        <is>
          <t>arestrepoe@conconcreto.com</t>
        </is>
      </c>
    </row>
    <row r="381">
      <c r="B381" s="170" t="n">
        <v>370</v>
      </c>
      <c r="C381" s="199" t="inlineStr">
        <is>
          <t>COTIZACION DEL DISEÑO DE EXTINTORES PORTÁTILES CONTRA INCENDIOS - CLUB HOUSE Y RECEPCIÓN PUERTO AZUL</t>
        </is>
      </c>
      <c r="D381" s="312" t="n"/>
      <c r="E381" s="312" t="n"/>
      <c r="F381" s="312" t="n"/>
      <c r="G381" s="312" t="n"/>
      <c r="H381" s="312" t="n"/>
      <c r="I381" s="313" t="n"/>
      <c r="J381" s="199" t="inlineStr">
        <is>
          <t>Conconcreto</t>
        </is>
      </c>
      <c r="K381" s="314" t="n">
        <v>1500000</v>
      </c>
      <c r="L381" s="2" t="n">
        <v>45497</v>
      </c>
      <c r="M381" s="2" t="n"/>
      <c r="N381" s="170" t="n">
        <v>3102615669</v>
      </c>
      <c r="O381" s="103" t="inlineStr">
        <is>
          <t>Claudia Bibiana Carrillo</t>
        </is>
      </c>
      <c r="P381" s="52" t="inlineStr">
        <is>
          <t>ccarrillom@conconcreto.com</t>
        </is>
      </c>
    </row>
    <row r="382">
      <c r="B382" s="170" t="n">
        <v>371</v>
      </c>
      <c r="C382" s="199" t="inlineStr">
        <is>
          <t>COTIZACION DEL DISEÑO DE EXTINCIÓN DE INCENDIOS PARA EL PROYECTO PETROBRAS</t>
        </is>
      </c>
      <c r="D382" s="312" t="n"/>
      <c r="E382" s="312" t="n"/>
      <c r="F382" s="312" t="n"/>
      <c r="G382" s="312" t="n"/>
      <c r="H382" s="312" t="n"/>
      <c r="I382" s="313" t="n"/>
      <c r="J382" s="199" t="inlineStr">
        <is>
          <t>Good group</t>
        </is>
      </c>
      <c r="K382" s="314" t="n">
        <v>5950000</v>
      </c>
      <c r="L382" s="2" t="n">
        <v>45503</v>
      </c>
      <c r="M382" s="170" t="n"/>
      <c r="N382" s="170" t="n">
        <v>3134451063</v>
      </c>
      <c r="O382" s="78" t="inlineStr">
        <is>
          <t>Juan Jose Monsalve</t>
        </is>
      </c>
      <c r="P382" s="52" t="inlineStr">
        <is>
          <t>dir.proyectos@goodgroup.com.co</t>
        </is>
      </c>
    </row>
    <row r="383">
      <c r="B383" s="170" t="n">
        <v>372</v>
      </c>
      <c r="C383" s="199" t="inlineStr">
        <is>
          <t>COTIZACION DEL DISEÑO DE EXTINCIÓN DE INCENDIOS PARA EL PROYECTO SWISSHOTEL</t>
        </is>
      </c>
      <c r="D383" s="312" t="n"/>
      <c r="E383" s="312" t="n"/>
      <c r="F383" s="312" t="n"/>
      <c r="G383" s="312" t="n"/>
      <c r="H383" s="312" t="n"/>
      <c r="I383" s="313" t="n"/>
      <c r="J383" s="199" t="inlineStr">
        <is>
          <t>Arango Arango SAS</t>
        </is>
      </c>
      <c r="K383" s="314" t="n">
        <v>3750000</v>
      </c>
      <c r="L383" s="2" t="n">
        <v>45503</v>
      </c>
      <c r="M383" s="170" t="n"/>
      <c r="N383" s="170" t="inlineStr">
        <is>
          <t>300 3884916</t>
        </is>
      </c>
      <c r="O383" s="103" t="inlineStr">
        <is>
          <t xml:space="preserve">Ana Lucía Naranjo </t>
        </is>
      </c>
      <c r="P383" s="52" t="inlineStr">
        <is>
          <t>analucia@arangoarango.com</t>
        </is>
      </c>
    </row>
    <row r="384">
      <c r="B384" s="170" t="n">
        <v>373</v>
      </c>
      <c r="C384" s="199" t="inlineStr">
        <is>
          <t>COTIZACION DEL ANÁLISIS DE SEGURIDAD HUMANA PARA EL PROYECTO CUARTOS DE DISPOSITIVOS MEDICOS</t>
        </is>
      </c>
      <c r="D384" s="312" t="n"/>
      <c r="E384" s="312" t="n"/>
      <c r="F384" s="312" t="n"/>
      <c r="G384" s="312" t="n"/>
      <c r="H384" s="312" t="n"/>
      <c r="I384" s="313" t="n"/>
      <c r="J384" s="199" t="inlineStr">
        <is>
          <t>CONCONCRETO</t>
        </is>
      </c>
      <c r="K384" s="314" t="n">
        <v>4520000</v>
      </c>
      <c r="L384" s="2" t="n">
        <v>45503</v>
      </c>
      <c r="M384" s="170" t="n"/>
      <c r="N384" s="170" t="inlineStr">
        <is>
          <t>300 656 3981</t>
        </is>
      </c>
      <c r="O384" s="103" t="inlineStr">
        <is>
          <t xml:space="preserve">Martha Milena Hernández Marín </t>
        </is>
      </c>
      <c r="P384" s="52" t="inlineStr">
        <is>
          <t>mhernandezm@conconcreto.com</t>
        </is>
      </c>
    </row>
    <row r="385">
      <c r="B385" s="170" t="n">
        <v>374</v>
      </c>
      <c r="C385" s="233" t="inlineStr">
        <is>
          <t xml:space="preserve">COTIZACION DE LOS DISEÑOS DE PROTECCIÓN CONTRA INCENDIOS Y SEGURIDAD HUMANA PARA EL PROYECTO MALL SANTA CLARA
</t>
        </is>
      </c>
      <c r="D385" s="312" t="n"/>
      <c r="E385" s="312" t="n"/>
      <c r="F385" s="312" t="n"/>
      <c r="G385" s="312" t="n"/>
      <c r="H385" s="312" t="n"/>
      <c r="I385" s="313" t="n"/>
      <c r="J385" s="199" t="inlineStr">
        <is>
          <t>Arquitectura y Concreto</t>
        </is>
      </c>
      <c r="K385" s="314" t="n">
        <v>59950000</v>
      </c>
      <c r="L385" s="2" t="n">
        <v>45504</v>
      </c>
      <c r="M385" s="170" t="n"/>
      <c r="N385" s="170" t="n">
        <v>3127218621</v>
      </c>
      <c r="O385" s="103" t="inlineStr">
        <is>
          <t>Robinson Marulanda Marin</t>
        </is>
      </c>
      <c r="P385" s="52" t="inlineStr">
        <is>
          <t>robinsonmarulanda@arquitecturayconcreto.com</t>
        </is>
      </c>
    </row>
    <row r="386">
      <c r="B386" s="170" t="n">
        <v>375</v>
      </c>
      <c r="C386" s="199" t="inlineStr">
        <is>
          <t>COTIZACION DE LOS DISEÑOS DE PROTECCIÓN CONTRA INCENDIOS PARA EL PROYECTO CENTRO DE TECNOLOGIA PRAXAIR</t>
        </is>
      </c>
      <c r="D386" s="312" t="n"/>
      <c r="E386" s="312" t="n"/>
      <c r="F386" s="312" t="n"/>
      <c r="G386" s="312" t="n"/>
      <c r="H386" s="312" t="n"/>
      <c r="I386" s="313" t="n"/>
      <c r="J386" s="199" t="inlineStr">
        <is>
          <t>SPCI</t>
        </is>
      </c>
      <c r="K386" s="314" t="n">
        <v>27600000</v>
      </c>
      <c r="L386" s="2" t="n">
        <v>45506</v>
      </c>
      <c r="M386" s="170" t="n"/>
      <c r="N386" s="172" t="n">
        <v>3103898043</v>
      </c>
      <c r="O386" s="102" t="inlineStr">
        <is>
          <t xml:space="preserve"> Mauricio Gutierrez Bohorquez</t>
        </is>
      </c>
      <c r="P386" s="52" t="inlineStr">
        <is>
          <t>mauricio.gutierrez@spci.com.co</t>
        </is>
      </c>
    </row>
    <row r="387">
      <c r="B387" s="170" t="n">
        <v>376</v>
      </c>
      <c r="C387" s="199" t="inlineStr">
        <is>
          <t>COTIZACION DE LOS DISEÑOS DE PROTECCIÓN CONTRA INCENDIOS Y SEGURIDAD HUMANA PARA EL PROYECTO CHALET CANTO 2</t>
        </is>
      </c>
      <c r="D387" s="312" t="n"/>
      <c r="E387" s="312" t="n"/>
      <c r="F387" s="312" t="n"/>
      <c r="G387" s="312" t="n"/>
      <c r="H387" s="312" t="n"/>
      <c r="I387" s="313" t="n"/>
      <c r="J387" s="199" t="inlineStr">
        <is>
          <t>MUROS Y TECHOS</t>
        </is>
      </c>
      <c r="K387" s="314" t="n">
        <v>5550000</v>
      </c>
      <c r="L387" s="2" t="n">
        <v>45505</v>
      </c>
      <c r="M387" s="170" t="n"/>
      <c r="N387" s="170" t="n">
        <v>4444337</v>
      </c>
      <c r="O387" s="102" t="inlineStr">
        <is>
          <t>Santiago Posada Agudelo</t>
        </is>
      </c>
      <c r="P387" s="52" t="inlineStr">
        <is>
          <t>sposada@mt.com.co</t>
        </is>
      </c>
    </row>
    <row r="388">
      <c r="B388" s="170" t="n">
        <v>377</v>
      </c>
      <c r="C388" s="246" t="inlineStr">
        <is>
          <t>COTIZACION DEL ANÁLISIS DE SEGURIDAD HUMANA PARA EL PROYECTO EDIFICIO MAREA</t>
        </is>
      </c>
      <c r="D388" s="312" t="n"/>
      <c r="E388" s="312" t="n"/>
      <c r="F388" s="312" t="n"/>
      <c r="G388" s="312" t="n"/>
      <c r="H388" s="312" t="n"/>
      <c r="I388" s="313" t="n"/>
      <c r="J388" s="199" t="inlineStr">
        <is>
          <t>Constructores MIPKO</t>
        </is>
      </c>
      <c r="K388" s="314" t="inlineStr">
        <is>
          <t>no se envió</t>
        </is>
      </c>
      <c r="L388" s="2" t="n">
        <v>45509</v>
      </c>
      <c r="M388" s="170" t="n"/>
      <c r="N388" s="170" t="n">
        <v>3243061644</v>
      </c>
      <c r="O388" s="103" t="inlineStr">
        <is>
          <t>German Monrroy Sanchez</t>
        </is>
      </c>
      <c r="P388" s="52" t="inlineStr">
        <is>
          <t>gmonroy@mipko.co</t>
        </is>
      </c>
    </row>
    <row r="389">
      <c r="B389" s="170" t="n">
        <v>378</v>
      </c>
      <c r="C389" s="246" t="inlineStr">
        <is>
          <t xml:space="preserve">COTIZACION DE LOS DISEÑOS DE PROTECCIÓN CONTRA INCENDIOS Y SEGURIDAD HUMANA PARA EL PROYECTO VERANOVA
</t>
        </is>
      </c>
      <c r="D389" s="312" t="n"/>
      <c r="E389" s="312" t="n"/>
      <c r="F389" s="312" t="n"/>
      <c r="G389" s="312" t="n"/>
      <c r="H389" s="312" t="n"/>
      <c r="I389" s="313" t="n"/>
      <c r="J389" s="199" t="inlineStr">
        <is>
          <t>Arquitectura y Concreto</t>
        </is>
      </c>
      <c r="K389" s="314" t="n">
        <v>29950000</v>
      </c>
      <c r="L389" s="2" t="n">
        <v>45509</v>
      </c>
      <c r="M389" s="170" t="n"/>
      <c r="N389" s="170" t="n">
        <v>3127218621</v>
      </c>
      <c r="O389" s="103" t="inlineStr">
        <is>
          <t>Robinson Marulanda Marin</t>
        </is>
      </c>
      <c r="P389" s="52" t="inlineStr">
        <is>
          <t>robinsonmarulanda@arquitecturayconcreto.com</t>
        </is>
      </c>
    </row>
    <row r="390">
      <c r="B390" s="170" t="n">
        <v>379</v>
      </c>
      <c r="C390" s="247" t="inlineStr">
        <is>
          <t>COTIZACION DE LOS DISEÑOS DE PROTECCIÓN CONTRA INCENDIOS Y SEGURIDAD HUMANA PARA EL PROYECTO APARTAMENTOS VAYHU</t>
        </is>
      </c>
      <c r="D390" s="312" t="n"/>
      <c r="E390" s="312" t="n"/>
      <c r="F390" s="312" t="n"/>
      <c r="G390" s="312" t="n"/>
      <c r="H390" s="312" t="n"/>
      <c r="I390" s="313" t="n"/>
      <c r="J390" s="199" t="inlineStr">
        <is>
          <t>Constructora Contex</t>
        </is>
      </c>
      <c r="K390" s="314" t="n">
        <v>13750000</v>
      </c>
      <c r="L390" s="2" t="n">
        <v>45509</v>
      </c>
      <c r="M390" s="2" t="n"/>
      <c r="N390" s="170" t="n">
        <v>3183484307</v>
      </c>
      <c r="O390" s="102" t="inlineStr">
        <is>
          <t>Daniel Ceballos Sanchez</t>
        </is>
      </c>
      <c r="P390" s="52" t="inlineStr">
        <is>
          <t>eceballos@contex.com.co</t>
        </is>
      </c>
    </row>
    <row r="391">
      <c r="B391" s="170" t="n">
        <v>380</v>
      </c>
      <c r="C391" s="199" t="inlineStr">
        <is>
          <t>COTIZACION DE LOS DISEÑOS DE PROTECCIÓN CONTRA INCENDIOS Y SEGURIDAD HUMANA PARA EL PROYECTO CEDIS D1</t>
        </is>
      </c>
      <c r="D391" s="312" t="n"/>
      <c r="E391" s="312" t="n"/>
      <c r="F391" s="312" t="n"/>
      <c r="G391" s="312" t="n"/>
      <c r="H391" s="312" t="n"/>
      <c r="I391" s="313" t="n"/>
      <c r="J391" s="199" t="inlineStr">
        <is>
          <t>D1</t>
        </is>
      </c>
      <c r="K391" s="314" t="inlineStr">
        <is>
          <t>variable</t>
        </is>
      </c>
      <c r="L391" s="2" t="n">
        <v>45509</v>
      </c>
      <c r="M391" s="2" t="n"/>
      <c r="N391" s="170" t="n">
        <v>2541055</v>
      </c>
      <c r="O391" s="103" t="inlineStr">
        <is>
          <t>Helena Mahecha Ariza</t>
        </is>
      </c>
      <c r="P391" s="52" t="inlineStr">
        <is>
          <t>helena.mahecha@d1.com.co</t>
        </is>
      </c>
    </row>
    <row r="392">
      <c r="B392" s="170" t="n">
        <v>381</v>
      </c>
      <c r="C392" s="246" t="inlineStr">
        <is>
          <t>COTIZACION DE LOS DISEÑOS DE PROTECCIÓN CONTRA INCENDIOS PARA EL PROYECTO SUNSET TOWER</t>
        </is>
      </c>
      <c r="D392" s="312" t="n"/>
      <c r="E392" s="312" t="n"/>
      <c r="F392" s="312" t="n"/>
      <c r="G392" s="312" t="n"/>
      <c r="H392" s="312" t="n"/>
      <c r="I392" s="313" t="n"/>
      <c r="J392" s="199" t="inlineStr">
        <is>
          <t>Seriinco</t>
        </is>
      </c>
      <c r="K392" s="314" t="n">
        <v>13300000</v>
      </c>
      <c r="L392" s="2" t="n">
        <v>45509</v>
      </c>
      <c r="M392" s="170" t="n"/>
      <c r="N392" s="170" t="n">
        <v>3113391008</v>
      </c>
      <c r="O392" s="103" t="inlineStr">
        <is>
          <t>Carlos Enrique Henao</t>
        </is>
      </c>
      <c r="P392" s="52" t="inlineStr">
        <is>
          <t>carlos.henao@seriinco.com</t>
        </is>
      </c>
    </row>
    <row r="393">
      <c r="B393" s="170" t="n">
        <v>382</v>
      </c>
      <c r="C393" s="199" t="inlineStr">
        <is>
          <t>COTIZACION DE REVISIÓN DE LOS SISTEMAS DE PROTECCIÓN CONTRA INCENDIOS INSTALADOS Y LA SEGURIDAD HUMANA PARA EL PROYECTO DISTRITO VERA</t>
        </is>
      </c>
      <c r="D393" s="312" t="n"/>
      <c r="E393" s="312" t="n"/>
      <c r="F393" s="312" t="n"/>
      <c r="G393" s="312" t="n"/>
      <c r="H393" s="312" t="n"/>
      <c r="I393" s="313" t="n"/>
      <c r="J393" s="199" t="inlineStr">
        <is>
          <t>GERENCIA INTEGRAL</t>
        </is>
      </c>
      <c r="K393" s="314" t="n">
        <v>7950000</v>
      </c>
      <c r="L393" s="2" t="n">
        <v>45509</v>
      </c>
      <c r="M393" s="170" t="n"/>
      <c r="N393" s="170" t="inlineStr">
        <is>
          <t>316 8787297</t>
        </is>
      </c>
      <c r="O393" s="172" t="inlineStr">
        <is>
          <t>Humberto Duque</t>
        </is>
      </c>
      <c r="P393" s="52" t="inlineStr">
        <is>
          <t>hduque@hdgerenciaintegral.com</t>
        </is>
      </c>
    </row>
    <row r="394">
      <c r="B394" s="170" t="n">
        <v>383</v>
      </c>
      <c r="C394" s="233" t="inlineStr">
        <is>
          <t>COTIZACION DE LOS DISEÑOS DE SEGURIDAD HUMANA Y PROTECCIÓN CONTRA INCENDIOS - CLÍNICA CÚCUTA 18.000 M2</t>
        </is>
      </c>
      <c r="D394" s="312" t="n"/>
      <c r="E394" s="312" t="n"/>
      <c r="F394" s="312" t="n"/>
      <c r="G394" s="312" t="n"/>
      <c r="H394" s="312" t="n"/>
      <c r="I394" s="313" t="n"/>
      <c r="J394" s="199" t="inlineStr">
        <is>
          <t>CONDISEÑO</t>
        </is>
      </c>
      <c r="K394" s="314" t="n">
        <v>43000000</v>
      </c>
      <c r="L394" s="2" t="n">
        <v>45510</v>
      </c>
      <c r="M394" s="170" t="n"/>
      <c r="N394" s="170" t="n">
        <v>3175594091</v>
      </c>
      <c r="O394" s="103" t="inlineStr">
        <is>
          <t>Nakary Garcia Romero</t>
        </is>
      </c>
      <c r="P394" s="52" t="inlineStr">
        <is>
          <t>n.garcia@condiseno.co</t>
        </is>
      </c>
    </row>
    <row r="395">
      <c r="B395" s="170" t="n">
        <v>384</v>
      </c>
      <c r="C395" s="199" t="inlineStr">
        <is>
          <t>COTIZACION DEL DISEÑO DE EXTINCIÓN DE INCENDIOS PARA EL PROYECTO NESTLE LA ROSA</t>
        </is>
      </c>
      <c r="D395" s="312" t="n"/>
      <c r="E395" s="312" t="n"/>
      <c r="F395" s="312" t="n"/>
      <c r="G395" s="312" t="n"/>
      <c r="H395" s="312" t="n"/>
      <c r="I395" s="313" t="n"/>
      <c r="J395" s="199" t="inlineStr">
        <is>
          <t>COINSI</t>
        </is>
      </c>
      <c r="K395" s="314" t="n">
        <v>1000000</v>
      </c>
      <c r="L395" s="2" t="n">
        <v>45512</v>
      </c>
      <c r="M395" s="170" t="n"/>
      <c r="N395" s="170" t="n">
        <v>3117208541</v>
      </c>
      <c r="O395" s="103" t="inlineStr">
        <is>
          <t>Sergio A. Rodriguez</t>
        </is>
      </c>
      <c r="P395" s="52" t="inlineStr">
        <is>
          <t>diseño4@gyd.com.co</t>
        </is>
      </c>
    </row>
    <row r="396">
      <c r="B396" s="170" t="n">
        <v>385</v>
      </c>
      <c r="C396" s="233" t="inlineStr">
        <is>
          <t>COTIZACION DE LOS DISEÑOS DE SEGURIDAD HUMANA Y PROTECCIÓN CONTRA INCENDIOS - CLÍNICA COLSÁNITAS BOGOTÁ</t>
        </is>
      </c>
      <c r="D396" s="312" t="n"/>
      <c r="E396" s="312" t="n"/>
      <c r="F396" s="312" t="n"/>
      <c r="G396" s="312" t="n"/>
      <c r="H396" s="312" t="n"/>
      <c r="I396" s="313" t="n"/>
      <c r="J396" s="199" t="inlineStr">
        <is>
          <t>CONDISEÑO</t>
        </is>
      </c>
      <c r="K396" s="314" t="n">
        <v>45000000</v>
      </c>
      <c r="L396" s="2" t="n">
        <v>45512</v>
      </c>
      <c r="M396" s="170" t="n"/>
      <c r="N396" s="170" t="n">
        <v>3175594091</v>
      </c>
      <c r="O396" s="103" t="inlineStr">
        <is>
          <t>Nakary Garcia Romero</t>
        </is>
      </c>
      <c r="P396" s="52" t="inlineStr">
        <is>
          <t>n.garcia@condiseno.co</t>
        </is>
      </c>
    </row>
    <row r="397" ht="15" customHeight="1">
      <c r="B397" s="170" t="n">
        <v>386</v>
      </c>
      <c r="C397" s="246" t="inlineStr">
        <is>
          <t xml:space="preserve">COTIZACION DEL RE-DISEÑO DE DETECCIÓN DE INCENDIOS PARA EL PROYECTO CCOA PISO 1
</t>
        </is>
      </c>
      <c r="D397" s="312" t="n"/>
      <c r="E397" s="312" t="n"/>
      <c r="F397" s="312" t="n"/>
      <c r="G397" s="312" t="n"/>
      <c r="H397" s="312" t="n"/>
      <c r="I397" s="313" t="n"/>
      <c r="J397" s="199" t="inlineStr">
        <is>
          <t>SPCI</t>
        </is>
      </c>
      <c r="K397" s="314" t="n">
        <v>1000000</v>
      </c>
      <c r="L397" s="2" t="n">
        <v>45517</v>
      </c>
      <c r="M397" s="170" t="n"/>
      <c r="N397" s="170" t="n">
        <v>3104165783</v>
      </c>
      <c r="O397" s="103" t="inlineStr">
        <is>
          <t>Cristiam Gustavo Mondragon</t>
        </is>
      </c>
      <c r="P397" s="52" t="inlineStr">
        <is>
          <t>dir.tecnico@spci.com.co</t>
        </is>
      </c>
    </row>
    <row r="398">
      <c r="B398" s="170" t="n">
        <v>387</v>
      </c>
      <c r="C398" s="247" t="inlineStr">
        <is>
          <t>COTIZACION DEL DISEÑO DE EXTINCIÓN DE INCENDIOS PARA EL PROYECTO CENTRAL RIO PIEDRAS</t>
        </is>
      </c>
      <c r="D398" s="312" t="n"/>
      <c r="E398" s="312" t="n"/>
      <c r="F398" s="312" t="n"/>
      <c r="G398" s="312" t="n"/>
      <c r="H398" s="312" t="n"/>
      <c r="I398" s="313" t="n"/>
      <c r="J398" s="199" t="inlineStr">
        <is>
          <t>SPCI</t>
        </is>
      </c>
      <c r="K398" s="314" t="n">
        <v>6250000</v>
      </c>
      <c r="L398" s="2" t="n">
        <v>45517</v>
      </c>
      <c r="M398" s="170" t="n"/>
      <c r="N398" s="170" t="n">
        <v>3104165783</v>
      </c>
      <c r="O398" s="103" t="inlineStr">
        <is>
          <t xml:space="preserve"> Cristiam Gustavo Mondragon</t>
        </is>
      </c>
      <c r="P398" s="52" t="inlineStr">
        <is>
          <t>dir.tecnico@spci.com.co</t>
        </is>
      </c>
    </row>
    <row r="399">
      <c r="B399" s="170" t="n">
        <v>388</v>
      </c>
      <c r="C399" s="246" t="inlineStr">
        <is>
          <t xml:space="preserve">COTIZACION DE LOS DISEÑOS DE PROTECCIÓN CONTRA INCENDIOS Y SEGURIDAD HUMANA PARA EL PROYECTO EDIFICIO VITRAL PARK
</t>
        </is>
      </c>
      <c r="D399" s="312" t="n"/>
      <c r="E399" s="312" t="n"/>
      <c r="F399" s="312" t="n"/>
      <c r="G399" s="312" t="n"/>
      <c r="H399" s="312" t="n"/>
      <c r="I399" s="313" t="n"/>
      <c r="J399" s="199" t="inlineStr">
        <is>
          <t>Grupo Ingenium</t>
        </is>
      </c>
      <c r="K399" s="314" t="n">
        <v>28850000</v>
      </c>
      <c r="L399" s="2" t="n">
        <v>45516</v>
      </c>
      <c r="M399" s="170" t="n"/>
      <c r="N399" s="170" t="n">
        <v>3178449194</v>
      </c>
      <c r="O399" s="102" t="inlineStr">
        <is>
          <t>Katherin Alzate Jaramillo</t>
        </is>
      </c>
      <c r="P399" s="52" t="inlineStr">
        <is>
          <t>coordinacionvitral@gmail.com</t>
        </is>
      </c>
    </row>
    <row r="400">
      <c r="B400" s="170" t="n">
        <v>389</v>
      </c>
      <c r="C400" s="233" t="inlineStr">
        <is>
          <t xml:space="preserve">COTIZACION DEL DISEÑO DE DETECCIÓN DE INCENDIOS PARA EL PROYECTO BODEGA MEGATOYS
</t>
        </is>
      </c>
      <c r="D400" s="312" t="n"/>
      <c r="E400" s="312" t="n"/>
      <c r="F400" s="312" t="n"/>
      <c r="G400" s="312" t="n"/>
      <c r="H400" s="312" t="n"/>
      <c r="I400" s="313" t="n"/>
      <c r="J400" s="199" t="inlineStr">
        <is>
          <t xml:space="preserve">Megatoys SAS </t>
        </is>
      </c>
      <c r="K400" s="314" t="n">
        <v>6270000</v>
      </c>
      <c r="L400" s="2" t="n">
        <v>45517</v>
      </c>
      <c r="M400" s="170" t="n"/>
      <c r="N400" s="170" t="inlineStr">
        <is>
          <t>310 5154728</t>
        </is>
      </c>
      <c r="O400" s="103" t="inlineStr">
        <is>
          <t xml:space="preserve">Julie Viviana Piña Aramendiz </t>
        </is>
      </c>
      <c r="P400" s="52" t="inlineStr">
        <is>
          <t>coordinadorasst@productoseterna.com.co</t>
        </is>
      </c>
    </row>
    <row r="401">
      <c r="B401" s="170" t="n">
        <v>390</v>
      </c>
      <c r="C401" s="246" t="inlineStr">
        <is>
          <t xml:space="preserve">COTIZACION DE LOS DISEÑOS DE PROTECCIÓN CONTRA INCENDIOS Y SEGURIDAD HUMANA PARA EL PROYECTO PUNTO CLAVE ETAPA 1
</t>
        </is>
      </c>
      <c r="D401" s="312" t="n"/>
      <c r="E401" s="312" t="n"/>
      <c r="F401" s="312" t="n"/>
      <c r="G401" s="312" t="n"/>
      <c r="H401" s="312" t="n"/>
      <c r="I401" s="313" t="n"/>
      <c r="J401" s="199" t="inlineStr">
        <is>
          <t>Securetec</t>
        </is>
      </c>
      <c r="K401" s="314" t="n">
        <v>44650000</v>
      </c>
      <c r="L401" s="2" t="n">
        <v>45517</v>
      </c>
      <c r="M401" s="170" t="n"/>
      <c r="N401" s="170" t="n">
        <v>3014111727</v>
      </c>
      <c r="O401" s="102" t="inlineStr">
        <is>
          <t>Julian David Camacho</t>
        </is>
      </c>
      <c r="P401" s="52" t="inlineStr">
        <is>
          <t>ascomercial2@securetec.com.co</t>
        </is>
      </c>
    </row>
    <row r="402">
      <c r="B402" s="170" t="n">
        <v>391</v>
      </c>
      <c r="C402" s="199" t="inlineStr">
        <is>
          <t>COTIZACION DE LOS DISEÑOS DE PROTECCIÓN CONTRA INCENDIOS Y SEGURIDAD HUMANA PARA EL PROYECTO PARQUIAMERICA</t>
        </is>
      </c>
      <c r="D402" s="312" t="n"/>
      <c r="E402" s="312" t="n"/>
      <c r="F402" s="312" t="n"/>
      <c r="G402" s="312" t="n"/>
      <c r="H402" s="312" t="n"/>
      <c r="I402" s="313" t="n"/>
      <c r="J402" s="199" t="inlineStr">
        <is>
          <t>SPCI</t>
        </is>
      </c>
      <c r="K402" s="314" t="n">
        <v>29570000</v>
      </c>
      <c r="L402" s="2" t="n">
        <v>45517</v>
      </c>
      <c r="M402" s="170" t="n"/>
      <c r="N402" s="170" t="inlineStr">
        <is>
          <t xml:space="preserve"> 310 468 0508</t>
        </is>
      </c>
      <c r="O402" s="102" t="inlineStr">
        <is>
          <t>Juan Pablo Grajales Gómez</t>
        </is>
      </c>
      <c r="P402" s="52" t="inlineStr">
        <is>
          <t>juan.grajales@spci.com.co</t>
        </is>
      </c>
    </row>
    <row r="403">
      <c r="B403" s="170" t="n">
        <v>392</v>
      </c>
      <c r="C403" s="246" t="inlineStr">
        <is>
          <t xml:space="preserve">COTIZACION DEL DISEÑO DE EXTINCIÓN DE INCENDIOS PARA EL PROYECTO NESTLE LA ROSA
</t>
        </is>
      </c>
      <c r="D403" s="312" t="n"/>
      <c r="E403" s="312" t="n"/>
      <c r="F403" s="312" t="n"/>
      <c r="G403" s="312" t="n"/>
      <c r="H403" s="312" t="n"/>
      <c r="I403" s="313" t="n"/>
      <c r="J403" s="199" t="inlineStr">
        <is>
          <t>COINSI</t>
        </is>
      </c>
      <c r="K403" s="314" t="n">
        <v>19950000</v>
      </c>
      <c r="L403" s="2" t="n">
        <v>45517</v>
      </c>
      <c r="M403" s="170" t="n"/>
      <c r="N403" s="170" t="n">
        <v>3117208541</v>
      </c>
      <c r="O403" s="102" t="inlineStr">
        <is>
          <t>Sergio Rodriguez</t>
        </is>
      </c>
      <c r="P403" s="52" t="inlineStr">
        <is>
          <t>diseno4@gyd.com.co</t>
        </is>
      </c>
    </row>
    <row r="404">
      <c r="B404" s="170" t="n">
        <v>393</v>
      </c>
      <c r="C404" s="246" t="inlineStr">
        <is>
          <t xml:space="preserve">COTIZACION DEL DISEÑO DE EXTINCIÓN DE INCENDIOS PARA EL PROYECTO CIRUGIA PLASTICA CAMILO TORRES
</t>
        </is>
      </c>
      <c r="D404" s="312" t="n"/>
      <c r="E404" s="312" t="n"/>
      <c r="F404" s="312" t="n"/>
      <c r="G404" s="312" t="n"/>
      <c r="H404" s="312" t="n"/>
      <c r="I404" s="313" t="n"/>
      <c r="J404" s="199" t="inlineStr">
        <is>
          <t xml:space="preserve">Cirugia Camilo Torres </t>
        </is>
      </c>
      <c r="K404" s="314" t="n">
        <v>6270000</v>
      </c>
      <c r="L404" s="2" t="n">
        <v>45517</v>
      </c>
      <c r="M404" s="170" t="n"/>
      <c r="N404" s="172" t="n">
        <v>3185955834</v>
      </c>
      <c r="O404" s="102" t="inlineStr">
        <is>
          <t>Camilo Torres</t>
        </is>
      </c>
      <c r="P404" s="52" t="n"/>
    </row>
    <row r="405">
      <c r="B405" s="170" t="n">
        <v>394</v>
      </c>
      <c r="C405" s="233" t="inlineStr">
        <is>
          <t xml:space="preserve">COTIZACION DE LOS DISEÑOS DE PROTECCIÓN CONTRA INCENDIOS Y SEGURIDAD HUMANA PARA EL PROYECTO MOTEL COPACABANA
</t>
        </is>
      </c>
      <c r="D405" s="312" t="n"/>
      <c r="E405" s="312" t="n"/>
      <c r="F405" s="312" t="n"/>
      <c r="G405" s="312" t="n"/>
      <c r="H405" s="312" t="n"/>
      <c r="I405" s="313" t="n"/>
      <c r="J405" s="199" t="inlineStr">
        <is>
          <t>Securetec</t>
        </is>
      </c>
      <c r="K405" s="314" t="n">
        <v>24950000</v>
      </c>
      <c r="L405" s="2" t="n">
        <v>45517</v>
      </c>
      <c r="M405" s="170" t="n"/>
      <c r="N405" s="170" t="n">
        <v>3206678830</v>
      </c>
      <c r="O405" s="103" t="inlineStr">
        <is>
          <t>Jhonny A Castro</t>
        </is>
      </c>
      <c r="P405" s="52" t="inlineStr">
        <is>
          <t>dirproyectos@securetec.com.co</t>
        </is>
      </c>
    </row>
    <row r="406" ht="15" customHeight="1">
      <c r="B406" s="170" t="n">
        <v>395</v>
      </c>
      <c r="C406" s="233" t="inlineStr">
        <is>
          <t>COTIZACION DEL DISEÑO DE DETECCIÓN DE INCENDIOS PARA EL PROYECTO BLOQUE 2 UNIVERSIDAD UCC</t>
        </is>
      </c>
      <c r="D406" s="312" t="n"/>
      <c r="E406" s="312" t="n"/>
      <c r="F406" s="312" t="n"/>
      <c r="G406" s="312" t="n"/>
      <c r="H406" s="312" t="n"/>
      <c r="I406" s="313" t="n"/>
      <c r="J406" s="199" t="inlineStr">
        <is>
          <t>Securetec</t>
        </is>
      </c>
      <c r="K406" s="314" t="n">
        <v>6250000</v>
      </c>
      <c r="L406" s="2" t="n">
        <v>45518</v>
      </c>
      <c r="M406" s="170" t="n"/>
      <c r="N406" s="170" t="n">
        <v>3014111727</v>
      </c>
      <c r="O406" s="103" t="inlineStr">
        <is>
          <t>Julian David Camacho</t>
        </is>
      </c>
      <c r="P406" s="52" t="inlineStr">
        <is>
          <t>ascomercial2@securetec.com.co</t>
        </is>
      </c>
    </row>
    <row r="407">
      <c r="B407" s="170" t="n">
        <v>396</v>
      </c>
      <c r="C407" s="199" t="inlineStr">
        <is>
          <t>COTIZACION DE PLANOS RECORD RCI PARA PROYECTO CES AMBULATORIO</t>
        </is>
      </c>
      <c r="D407" s="312" t="n"/>
      <c r="E407" s="312" t="n"/>
      <c r="F407" s="312" t="n"/>
      <c r="G407" s="312" t="n"/>
      <c r="H407" s="312" t="n"/>
      <c r="I407" s="313" t="n"/>
      <c r="J407" s="71" t="inlineStr">
        <is>
          <t>Jomark</t>
        </is>
      </c>
      <c r="K407" s="328" t="n">
        <v>1250000</v>
      </c>
      <c r="L407" s="2" t="n">
        <v>45519</v>
      </c>
      <c r="M407" s="170" t="n"/>
      <c r="N407" s="170" t="inlineStr">
        <is>
          <t>300 5188270</t>
        </is>
      </c>
      <c r="O407" s="103" t="inlineStr">
        <is>
          <t>Juan Camilo Ramirez</t>
        </is>
      </c>
      <c r="P407" s="52" t="inlineStr">
        <is>
          <t xml:space="preserve">comercialipci1jomarkseguridad@gmail.com </t>
        </is>
      </c>
    </row>
    <row r="408" ht="15" customHeight="1">
      <c r="B408" s="170" t="n">
        <v>397</v>
      </c>
      <c r="C408" s="199" t="inlineStr">
        <is>
          <t>COTIZACION DE LOS DISEÑOS DE PROTECCIÓN CONTRA INCENDIOS - TANQUE DE COMBUSTIBLE TURBO</t>
        </is>
      </c>
      <c r="D408" s="312" t="n"/>
      <c r="E408" s="312" t="n"/>
      <c r="F408" s="312" t="n"/>
      <c r="G408" s="312" t="n"/>
      <c r="H408" s="312" t="n"/>
      <c r="I408" s="313" t="n"/>
      <c r="J408" s="199" t="inlineStr">
        <is>
          <t>Ingenio BIM</t>
        </is>
      </c>
      <c r="K408" s="314" t="n">
        <v>16300000</v>
      </c>
      <c r="L408" s="2" t="n">
        <v>45519</v>
      </c>
      <c r="M408" s="170" t="n"/>
      <c r="N408" s="170" t="inlineStr">
        <is>
          <t>310 4014773</t>
        </is>
      </c>
      <c r="O408" s="103" t="inlineStr">
        <is>
          <t>Mateo Restrepo Arboleda</t>
        </is>
      </c>
      <c r="P408" s="52" t="inlineStr">
        <is>
          <t>mateo.restrepo@ingeniobim.co</t>
        </is>
      </c>
    </row>
    <row r="409">
      <c r="B409" s="170" t="n">
        <v>398</v>
      </c>
      <c r="C409" s="199" t="inlineStr">
        <is>
          <t>COTIZACION LEVANTAMIENTO, MODELACIÓN HIDRÁULICA Y DISEÑO DEL SISTEMA DE EXTINCIÓN DE INCENDIOS PARA CLÍNICA SAN DIEGO</t>
        </is>
      </c>
      <c r="D409" s="312" t="n"/>
      <c r="E409" s="312" t="n"/>
      <c r="F409" s="312" t="n"/>
      <c r="G409" s="312" t="n"/>
      <c r="H409" s="312" t="n"/>
      <c r="I409" s="313" t="n"/>
      <c r="J409" s="199" t="inlineStr">
        <is>
          <t>SPCI</t>
        </is>
      </c>
      <c r="K409" s="314" t="n">
        <v>4800000</v>
      </c>
      <c r="L409" s="2" t="n">
        <v>45519</v>
      </c>
      <c r="M409" s="170" t="n"/>
      <c r="N409" s="170" t="n">
        <v>3137546144</v>
      </c>
      <c r="O409" s="102" t="inlineStr">
        <is>
          <t xml:space="preserve"> Juan Camilo Quintero Bedoya</t>
        </is>
      </c>
      <c r="P409" s="52" t="inlineStr">
        <is>
          <t>camilo.quintero@spci.com.co</t>
        </is>
      </c>
    </row>
    <row r="410">
      <c r="B410" s="170" t="n">
        <v>399</v>
      </c>
      <c r="C410" s="246" t="inlineStr">
        <is>
          <t xml:space="preserve">COTIZACION DEL DISEÑO DE EXTINCIÓN DE INCENDIOS PARA EL PROYECTO EDI SERVICIO DE ENVASADO
</t>
        </is>
      </c>
      <c r="D410" s="312" t="n"/>
      <c r="E410" s="312" t="n"/>
      <c r="F410" s="312" t="n"/>
      <c r="G410" s="312" t="n"/>
      <c r="H410" s="312" t="n"/>
      <c r="I410" s="313" t="n"/>
      <c r="J410" s="199" t="inlineStr">
        <is>
          <t>ROIngenieria</t>
        </is>
      </c>
      <c r="K410" s="314" t="n">
        <v>19950000</v>
      </c>
      <c r="L410" s="2" t="n">
        <v>45520</v>
      </c>
      <c r="M410" s="170" t="n"/>
      <c r="N410" s="170" t="n">
        <v>3118464779</v>
      </c>
      <c r="O410" s="103" t="inlineStr">
        <is>
          <t>Andres Rativa</t>
        </is>
      </c>
      <c r="P410" s="52" t="inlineStr">
        <is>
          <t>andres.rativa@roingenieria.com</t>
        </is>
      </c>
    </row>
    <row r="411">
      <c r="B411" s="170" t="n">
        <v>400</v>
      </c>
      <c r="C411" s="199" t="inlineStr">
        <is>
          <t>COTIZACION DE LOS DISEÑOS DE PROTECCIÓN CONTRA INCENDIOS Y SEGURIDAD HUMANA PARA EL PROYECTO CELESTI</t>
        </is>
      </c>
      <c r="D411" s="312" t="n"/>
      <c r="E411" s="312" t="n"/>
      <c r="F411" s="312" t="n"/>
      <c r="G411" s="312" t="n"/>
      <c r="H411" s="312" t="n"/>
      <c r="I411" s="313" t="n"/>
      <c r="J411" s="199" t="inlineStr">
        <is>
          <t>Vertice</t>
        </is>
      </c>
      <c r="K411" s="314" t="n">
        <v>33120000</v>
      </c>
      <c r="L411" s="2" t="n">
        <v>45526</v>
      </c>
      <c r="M411" s="170" t="n"/>
      <c r="N411" s="170" t="inlineStr">
        <is>
          <t xml:space="preserve">(604) 4486800 Ext. 138 </t>
        </is>
      </c>
      <c r="O411" s="170" t="inlineStr">
        <is>
          <t xml:space="preserve">Esteban Ramirez </t>
        </is>
      </c>
      <c r="P411" s="52" t="inlineStr">
        <is>
          <t>e.ramirez@verticeing.com</t>
        </is>
      </c>
    </row>
    <row r="412" ht="15" customHeight="1">
      <c r="B412" s="170" t="n">
        <v>401</v>
      </c>
      <c r="C412" s="199" t="inlineStr">
        <is>
          <t>COTIZACION DE LOS DISEÑOS DE PROTECCIÓN CONTRA INCENDIOS Y SEGURIDAD HUMANA PARA EL PROYECTO ELEMENT COUNTRY</t>
        </is>
      </c>
      <c r="D412" s="312" t="n"/>
      <c r="E412" s="312" t="n"/>
      <c r="F412" s="312" t="n"/>
      <c r="G412" s="312" t="n"/>
      <c r="H412" s="312" t="n"/>
      <c r="I412" s="313" t="n"/>
      <c r="J412" s="199" t="inlineStr">
        <is>
          <t>Vertice</t>
        </is>
      </c>
      <c r="K412" s="314" t="n">
        <v>26900000</v>
      </c>
      <c r="L412" s="2" t="n">
        <v>45526</v>
      </c>
      <c r="M412" s="170" t="n"/>
      <c r="N412" s="170" t="inlineStr">
        <is>
          <t xml:space="preserve">(604) 4486800 Ext. 138 </t>
        </is>
      </c>
      <c r="O412" s="170" t="inlineStr">
        <is>
          <t xml:space="preserve">Esteban Ramirez </t>
        </is>
      </c>
      <c r="P412" s="52" t="inlineStr">
        <is>
          <t>e.ramirez@verticeing.com</t>
        </is>
      </c>
    </row>
    <row r="413">
      <c r="B413" s="170" t="n">
        <v>402</v>
      </c>
      <c r="C413" s="246" t="inlineStr">
        <is>
          <t xml:space="preserve">COTIZACION DE LOS DISEÑOS DE PROTECCIÓN CONTRA INCENDIOS Y SEGURIDAD HUMANA PARA EL PROYECTO LALINDE
</t>
        </is>
      </c>
      <c r="D413" s="312" t="n"/>
      <c r="E413" s="312" t="n"/>
      <c r="F413" s="312" t="n"/>
      <c r="G413" s="312" t="n"/>
      <c r="H413" s="312" t="n"/>
      <c r="I413" s="313" t="n"/>
      <c r="J413" s="199" t="inlineStr">
        <is>
          <t>Alamo Construcción</t>
        </is>
      </c>
      <c r="K413" s="314" t="n">
        <v>9850000</v>
      </c>
      <c r="L413" s="2" t="n">
        <v>45527</v>
      </c>
      <c r="M413" s="170" t="n"/>
      <c r="N413" s="170" t="n"/>
      <c r="O413" s="102" t="inlineStr">
        <is>
          <t>Sergio Londoño</t>
        </is>
      </c>
      <c r="P413" s="52" t="inlineStr">
        <is>
          <t>Sergio@alammo.com.co</t>
        </is>
      </c>
    </row>
    <row r="414">
      <c r="B414" s="170" t="n">
        <v>403</v>
      </c>
      <c r="C414" s="199" t="inlineStr">
        <is>
          <t>COTIZACION DE LOS DISEÑOS DE PROTECCIÓN CONTRA INCENDIOS PARA EL PROYECTO LA CASA AMARILLA</t>
        </is>
      </c>
      <c r="D414" s="312" t="n"/>
      <c r="E414" s="312" t="n"/>
      <c r="F414" s="312" t="n"/>
      <c r="G414" s="312" t="n"/>
      <c r="H414" s="312" t="n"/>
      <c r="I414" s="313" t="n"/>
      <c r="J414" s="235" t="inlineStr">
        <is>
          <t>Seriinco</t>
        </is>
      </c>
      <c r="K414" s="314" t="n">
        <v>9410000</v>
      </c>
      <c r="L414" s="2" t="n">
        <v>45531</v>
      </c>
      <c r="M414" s="170" t="n"/>
      <c r="N414" s="170" t="n">
        <v>3113391008</v>
      </c>
      <c r="O414" s="103" t="inlineStr">
        <is>
          <t>Carlos Enrique Henao</t>
        </is>
      </c>
      <c r="P414" s="52" t="inlineStr">
        <is>
          <t>carlos.henao@seriinco.com</t>
        </is>
      </c>
    </row>
    <row r="415">
      <c r="B415" s="170" t="n">
        <v>404</v>
      </c>
      <c r="C415" s="247" t="inlineStr">
        <is>
          <t>COTIZACION DEL DISEÑO DE DETECCIÓN DE INCENDIOS PARA EL PROYECTO BODEGA MEGATOYS</t>
        </is>
      </c>
      <c r="D415" s="312" t="n"/>
      <c r="E415" s="312" t="n"/>
      <c r="F415" s="312" t="n"/>
      <c r="G415" s="312" t="n"/>
      <c r="H415" s="312" t="n"/>
      <c r="I415" s="313" t="n"/>
      <c r="J415" s="199" t="inlineStr">
        <is>
          <t>SOCOMES</t>
        </is>
      </c>
      <c r="K415" s="314" t="n">
        <v>6270000</v>
      </c>
      <c r="L415" s="2" t="n">
        <v>45531</v>
      </c>
      <c r="M415" s="170" t="n"/>
      <c r="N415" s="170" t="n">
        <v>3137851941</v>
      </c>
      <c r="O415" s="103" t="inlineStr">
        <is>
          <t>David Lopera Medina</t>
        </is>
      </c>
      <c r="P415" s="52" t="inlineStr">
        <is>
          <t>david.lopera@socomes.com</t>
        </is>
      </c>
    </row>
    <row r="416">
      <c r="B416" s="170" t="n">
        <v>405</v>
      </c>
      <c r="C416" s="246" t="inlineStr">
        <is>
          <t>COTIZACION DE LOS DISEÑOS DE PROTECCIÓN CONTRA INCENDIOS PARA EL PROYECTO SEMILLA</t>
        </is>
      </c>
      <c r="D416" s="312" t="n"/>
      <c r="E416" s="312" t="n"/>
      <c r="F416" s="312" t="n"/>
      <c r="G416" s="312" t="n"/>
      <c r="H416" s="312" t="n"/>
      <c r="I416" s="313" t="n"/>
      <c r="J416" s="199" t="inlineStr">
        <is>
          <t>SOCOMES</t>
        </is>
      </c>
      <c r="K416" s="314" t="n">
        <v>19950000</v>
      </c>
      <c r="L416" s="2" t="n">
        <v>45530</v>
      </c>
      <c r="M416" s="170" t="n"/>
      <c r="N416" s="170" t="n">
        <v>3137851941</v>
      </c>
      <c r="O416" s="103" t="inlineStr">
        <is>
          <t>David Lopera Medina</t>
        </is>
      </c>
      <c r="P416" s="52" t="inlineStr">
        <is>
          <t>david.lopera@socomes.com</t>
        </is>
      </c>
    </row>
    <row r="417">
      <c r="B417" s="170" t="n">
        <v>406</v>
      </c>
      <c r="C417" s="246" t="inlineStr">
        <is>
          <t xml:space="preserve">COTIZACION DE LOS DISEÑOS DE PROTECCIÓN CONTRA INCENDIOS PARA EL PROYECTO CERRO VERDE
</t>
        </is>
      </c>
      <c r="D417" s="312" t="n"/>
      <c r="E417" s="312" t="n"/>
      <c r="F417" s="312" t="n"/>
      <c r="G417" s="312" t="n"/>
      <c r="H417" s="312" t="n"/>
      <c r="I417" s="313" t="n"/>
      <c r="J417" s="199" t="inlineStr">
        <is>
          <t>SOCOMES</t>
        </is>
      </c>
      <c r="K417" s="314" t="n">
        <v>17930000</v>
      </c>
      <c r="L417" s="2" t="n">
        <v>45530</v>
      </c>
      <c r="M417" s="170" t="n"/>
      <c r="N417" s="170" t="n">
        <v>3137851941</v>
      </c>
      <c r="O417" s="103" t="inlineStr">
        <is>
          <t>David Lopera Medina</t>
        </is>
      </c>
      <c r="P417" s="52" t="inlineStr">
        <is>
          <t>david.lopera@socomes.com</t>
        </is>
      </c>
    </row>
    <row r="418">
      <c r="B418" s="170" t="n">
        <v>407</v>
      </c>
      <c r="C418" s="246" t="inlineStr">
        <is>
          <t>COTIZACION DEL ANÁLISIS DE SEGURIDAD HUMANA PARA EL PROYECTO RESTAURANTE LA MAYORIA</t>
        </is>
      </c>
      <c r="D418" s="312" t="n"/>
      <c r="E418" s="312" t="n"/>
      <c r="F418" s="312" t="n"/>
      <c r="G418" s="312" t="n"/>
      <c r="H418" s="312" t="n"/>
      <c r="I418" s="313" t="n"/>
      <c r="J418" s="199" t="inlineStr">
        <is>
          <t>La mayoria Restaurante</t>
        </is>
      </c>
      <c r="K418" s="314" t="n">
        <v>4950000</v>
      </c>
      <c r="L418" s="2" t="n">
        <v>45530</v>
      </c>
      <c r="M418" s="170" t="n"/>
      <c r="N418" s="170" t="inlineStr">
        <is>
          <t>3178701188-3505490874</t>
        </is>
      </c>
      <c r="O418" s="103" t="inlineStr">
        <is>
          <t xml:space="preserve"> Catalina Hernandez</t>
        </is>
      </c>
      <c r="P418" s="52" t="inlineStr">
        <is>
          <t>reservas@lamayoria.com</t>
        </is>
      </c>
    </row>
    <row r="419">
      <c r="B419" s="170" t="n">
        <v>408</v>
      </c>
      <c r="C419" s="233" t="inlineStr">
        <is>
          <t xml:space="preserve">COTIZACION DE LOS DISEÑOS DE PROTECCIÓN CONTRA INCENDIOS Y SEGURIDAD HUMANA PARA EL PROYECTO VILLA CASTIN TORRE
</t>
        </is>
      </c>
      <c r="D419" s="312" t="n"/>
      <c r="E419" s="312" t="n"/>
      <c r="F419" s="312" t="n"/>
      <c r="G419" s="312" t="n"/>
      <c r="H419" s="312" t="n"/>
      <c r="I419" s="313" t="n"/>
      <c r="J419" s="199" t="inlineStr">
        <is>
          <t>Londoño Gomez</t>
        </is>
      </c>
      <c r="K419" s="314" t="n">
        <v>26950000</v>
      </c>
      <c r="L419" s="2" t="n">
        <v>45530</v>
      </c>
      <c r="M419" s="170" t="n"/>
      <c r="N419" s="170" t="inlineStr">
        <is>
          <t>3111770 ext 177</t>
        </is>
      </c>
      <c r="O419" s="103" t="inlineStr">
        <is>
          <t>Juan Diego Echeverri</t>
        </is>
      </c>
      <c r="P419" s="52" t="inlineStr">
        <is>
          <t>jecheverri@londonogomez.com</t>
        </is>
      </c>
    </row>
    <row r="420">
      <c r="B420" s="170" t="n">
        <v>409</v>
      </c>
      <c r="C420" s="199" t="inlineStr">
        <is>
          <t>COTIZACION DE LOS DISEÑOS DE PROTECCIÓN CONTRA INCENDIOS Y SEGURIDAD HUMANA PARA EL PROYECTO VILLA CASTIN</t>
        </is>
      </c>
      <c r="D420" s="312" t="n"/>
      <c r="E420" s="312" t="n"/>
      <c r="F420" s="312" t="n"/>
      <c r="G420" s="312" t="n"/>
      <c r="H420" s="312" t="n"/>
      <c r="I420" s="313" t="n"/>
      <c r="J420" s="199" t="inlineStr">
        <is>
          <t>Soluciones Civiles</t>
        </is>
      </c>
      <c r="K420" s="314" t="n">
        <v>26950000</v>
      </c>
      <c r="L420" s="2" t="n">
        <v>45531</v>
      </c>
      <c r="M420" s="170" t="n"/>
      <c r="N420" s="170" t="n"/>
      <c r="O420" s="103" t="inlineStr">
        <is>
          <t>Gustavo Aguirre Arcila</t>
        </is>
      </c>
      <c r="P420" s="52" t="inlineStr">
        <is>
          <t>gaguirre@solciviles.com</t>
        </is>
      </c>
    </row>
    <row r="421">
      <c r="B421" s="170" t="n">
        <v>410</v>
      </c>
      <c r="C421" s="246" t="inlineStr">
        <is>
          <t>COTIZACION DEL DISEÑO DE EXTINCIÓN DE INCENDIOS PARA EL PROYECTO PANELA TREBOL</t>
        </is>
      </c>
      <c r="D421" s="312" t="n"/>
      <c r="E421" s="312" t="n"/>
      <c r="F421" s="312" t="n"/>
      <c r="G421" s="312" t="n"/>
      <c r="H421" s="312" t="n"/>
      <c r="I421" s="313" t="n"/>
      <c r="J421" s="199" t="inlineStr">
        <is>
          <t>Good group</t>
        </is>
      </c>
      <c r="K421" s="314" t="n">
        <v>4950000</v>
      </c>
      <c r="L421" s="2" t="n">
        <v>45531</v>
      </c>
      <c r="M421" s="170" t="n"/>
      <c r="N421" s="170" t="n"/>
      <c r="O421" s="103" t="inlineStr">
        <is>
          <t>Luis C. Bueno</t>
        </is>
      </c>
      <c r="P421" s="52" t="inlineStr">
        <is>
          <t>gerencia@goodgroup.com.co</t>
        </is>
      </c>
    </row>
    <row r="422">
      <c r="B422" s="170" t="n">
        <v>411</v>
      </c>
      <c r="C422" s="246" t="inlineStr">
        <is>
          <t xml:space="preserve">COTIZACION DEL ANÁLISIS DE SEGURIDAD HUMANA PARA EL PROYECTO BELAVI
</t>
        </is>
      </c>
      <c r="D422" s="312" t="n"/>
      <c r="E422" s="312" t="n"/>
      <c r="F422" s="312" t="n"/>
      <c r="G422" s="312" t="n"/>
      <c r="H422" s="312" t="n"/>
      <c r="I422" s="313" t="n"/>
      <c r="J422" s="199" t="inlineStr">
        <is>
          <t>Contex</t>
        </is>
      </c>
      <c r="K422" s="314" t="n">
        <v>3950000</v>
      </c>
      <c r="L422" s="2" t="n">
        <v>45531</v>
      </c>
      <c r="M422" s="170" t="n"/>
      <c r="N422" s="172" t="n">
        <v>3104145629</v>
      </c>
      <c r="O422" s="102" t="inlineStr">
        <is>
          <t xml:space="preserve">Maria Camila Velásquez </t>
        </is>
      </c>
      <c r="P422" s="52" t="inlineStr">
        <is>
          <t>mcvelasquez@contex.com.co</t>
        </is>
      </c>
    </row>
    <row r="423">
      <c r="B423" s="170" t="n">
        <v>412</v>
      </c>
      <c r="C423" s="199" t="inlineStr">
        <is>
          <t>COTIZACION DE LOS DISEÑOS DE PROTECCIÓN CONTRA INCENDIOS Y SEGURIDAD HUMANA PARA EL PROYECTO OASIS EL RETIRO</t>
        </is>
      </c>
      <c r="D423" s="312" t="n"/>
      <c r="E423" s="312" t="n"/>
      <c r="F423" s="312" t="n"/>
      <c r="G423" s="312" t="n"/>
      <c r="H423" s="312" t="n"/>
      <c r="I423" s="313" t="n"/>
      <c r="J423" s="199" t="inlineStr">
        <is>
          <t>Labinmobiliario</t>
        </is>
      </c>
      <c r="K423" s="314" t="n">
        <v>19950000</v>
      </c>
      <c r="L423" s="2" t="n">
        <v>45531</v>
      </c>
      <c r="M423" s="170" t="n"/>
      <c r="N423" s="172" t="n">
        <v>3013811446</v>
      </c>
      <c r="O423" s="103" t="inlineStr">
        <is>
          <t>Ana Maria Toro</t>
        </is>
      </c>
      <c r="P423" s="52" t="inlineStr">
        <is>
          <t>ana.toro@labinmobiliario.com</t>
        </is>
      </c>
    </row>
    <row r="424">
      <c r="B424" s="170" t="n">
        <v>413</v>
      </c>
      <c r="C424" s="233" t="inlineStr">
        <is>
          <t xml:space="preserve">COTIZACION DEL DISEÑO DE DETECCIÓN DE INCENDIOS PARA EL PROYECTO RINCON CHICO
</t>
        </is>
      </c>
      <c r="D424" s="312" t="n"/>
      <c r="E424" s="312" t="n"/>
      <c r="F424" s="312" t="n"/>
      <c r="G424" s="312" t="n"/>
      <c r="H424" s="312" t="n"/>
      <c r="I424" s="313" t="n"/>
      <c r="J424" s="199" t="inlineStr">
        <is>
          <t>Jomark</t>
        </is>
      </c>
      <c r="K424" s="314" t="n">
        <v>3950000</v>
      </c>
      <c r="L424" s="2" t="n">
        <v>45531</v>
      </c>
      <c r="M424" s="170" t="n"/>
      <c r="N424" s="170" t="n">
        <v>3194913179</v>
      </c>
      <c r="O424" s="103" t="inlineStr">
        <is>
          <t>Carlos Almanya Patiño</t>
        </is>
      </c>
      <c r="P424" s="52" t="inlineStr">
        <is>
          <t>calmanya@jomarkseguridad.com</t>
        </is>
      </c>
    </row>
    <row r="425">
      <c r="B425" s="170" t="n">
        <v>414</v>
      </c>
      <c r="C425" s="246" t="inlineStr">
        <is>
          <t>COTIZACION DE LOS DISEÑOS DE PROTECCIÓN CONTRA INCENDIOS PARA EL PROYECTO PLANTA KSI</t>
        </is>
      </c>
      <c r="D425" s="312" t="n"/>
      <c r="E425" s="312" t="n"/>
      <c r="F425" s="312" t="n"/>
      <c r="G425" s="312" t="n"/>
      <c r="H425" s="312" t="n"/>
      <c r="I425" s="313" t="n"/>
      <c r="J425" s="199" t="inlineStr">
        <is>
          <t>Securetec</t>
        </is>
      </c>
      <c r="K425" s="314" t="n">
        <v>17950000</v>
      </c>
      <c r="L425" s="2" t="n">
        <v>45532</v>
      </c>
      <c r="M425" s="170" t="n"/>
      <c r="N425" s="172" t="n">
        <v>3014111727</v>
      </c>
      <c r="O425" s="103" t="inlineStr">
        <is>
          <t>Julian David Camacho</t>
        </is>
      </c>
      <c r="P425" s="52" t="inlineStr">
        <is>
          <t>ascomercial2@securetec.com.co</t>
        </is>
      </c>
    </row>
    <row r="426">
      <c r="B426" s="170" t="n">
        <v>415</v>
      </c>
      <c r="C426" s="246" t="inlineStr">
        <is>
          <t xml:space="preserve">COTIZACION DE LOS DISEÑOS DE PROTECCIÓN CONTRA INCENDIOS Y SEGURIDAD HUMANA PARA EL PROYECTO FARO VERDE ETAPA 3
</t>
        </is>
      </c>
      <c r="D426" s="312" t="n"/>
      <c r="E426" s="312" t="n"/>
      <c r="F426" s="312" t="n"/>
      <c r="G426" s="312" t="n"/>
      <c r="H426" s="312" t="n"/>
      <c r="I426" s="313" t="n"/>
      <c r="J426" s="199" t="inlineStr">
        <is>
          <t>Conaltura</t>
        </is>
      </c>
      <c r="K426" s="314" t="inlineStr">
        <is>
          <t>No se presentó</t>
        </is>
      </c>
      <c r="L426" s="2" t="n">
        <v>45533</v>
      </c>
      <c r="M426" s="170" t="n"/>
      <c r="N426" s="172" t="inlineStr">
        <is>
          <t>313 2441001</t>
        </is>
      </c>
      <c r="O426" s="103" t="inlineStr">
        <is>
          <t>Juan Jose Galvis</t>
        </is>
      </c>
      <c r="P426" s="52" t="inlineStr">
        <is>
          <t>gestioncompras@conaltura.com</t>
        </is>
      </c>
    </row>
    <row r="427">
      <c r="B427" s="170" t="n">
        <v>416</v>
      </c>
      <c r="C427" s="199" t="inlineStr">
        <is>
          <t>COTIZACION DE LOS DISEÑOS DE PROTECCIÓN CONTRA INCENDIOS Y SEGURIDAD HUMANA PARA EL PROYECTO PRATO</t>
        </is>
      </c>
      <c r="D427" s="312" t="n"/>
      <c r="E427" s="312" t="n"/>
      <c r="F427" s="312" t="n"/>
      <c r="G427" s="312" t="n"/>
      <c r="H427" s="312" t="n"/>
      <c r="I427" s="313" t="n"/>
      <c r="J427" s="199" t="inlineStr">
        <is>
          <t>Conaltura</t>
        </is>
      </c>
      <c r="K427" s="314" t="inlineStr">
        <is>
          <t>No se presentó</t>
        </is>
      </c>
      <c r="L427" s="2" t="n">
        <v>45533</v>
      </c>
      <c r="M427" s="170" t="n"/>
      <c r="N427" s="172" t="inlineStr">
        <is>
          <t>313 2441001</t>
        </is>
      </c>
      <c r="O427" s="103" t="inlineStr">
        <is>
          <t>Juan Jose Galvis</t>
        </is>
      </c>
      <c r="P427" s="52" t="inlineStr">
        <is>
          <t>gestioncompras@conaltura.com</t>
        </is>
      </c>
    </row>
    <row r="428">
      <c r="B428" s="170" t="n">
        <v>417</v>
      </c>
      <c r="C428" s="199" t="inlineStr">
        <is>
          <t>COTIZACION DE LOS DISEÑOS DE PROTECCIÓN CONTRA INCENDIOS Y SEGURIDAD HUMANA PARA EL PROYECTO CATALAN ETAPA 2 Y 3</t>
        </is>
      </c>
      <c r="D428" s="312" t="n"/>
      <c r="E428" s="312" t="n"/>
      <c r="F428" s="312" t="n"/>
      <c r="G428" s="312" t="n"/>
      <c r="H428" s="312" t="n"/>
      <c r="I428" s="313" t="n"/>
      <c r="J428" s="199" t="inlineStr">
        <is>
          <t>Conaltura</t>
        </is>
      </c>
      <c r="K428" s="314" t="inlineStr">
        <is>
          <t>No se presentó</t>
        </is>
      </c>
      <c r="L428" s="2" t="n">
        <v>45533</v>
      </c>
      <c r="M428" s="170" t="n"/>
      <c r="N428" s="172" t="inlineStr">
        <is>
          <t>313 2441001</t>
        </is>
      </c>
      <c r="O428" s="103" t="inlineStr">
        <is>
          <t>Juan Jose Galvis</t>
        </is>
      </c>
      <c r="P428" s="52" t="inlineStr">
        <is>
          <t>gestioncompras@conaltura.com</t>
        </is>
      </c>
    </row>
    <row r="429">
      <c r="B429" s="170" t="n">
        <v>418</v>
      </c>
      <c r="C429" s="199" t="inlineStr">
        <is>
          <t>COTIZACION DE LOS DISEÑOS DE PROTECCIÓN CONTRA INCENDIOS Y SEGURIDAD HUMANA PARA EL PROYECTO SENDERO SILVESTRE ETAPA 3</t>
        </is>
      </c>
      <c r="D429" s="312" t="n"/>
      <c r="E429" s="312" t="n"/>
      <c r="F429" s="312" t="n"/>
      <c r="G429" s="312" t="n"/>
      <c r="H429" s="312" t="n"/>
      <c r="I429" s="313" t="n"/>
      <c r="J429" s="199" t="inlineStr">
        <is>
          <t>Conaltura</t>
        </is>
      </c>
      <c r="K429" s="314" t="inlineStr">
        <is>
          <t>No se presentó</t>
        </is>
      </c>
      <c r="L429" s="2" t="n">
        <v>45533</v>
      </c>
      <c r="M429" s="170" t="n"/>
      <c r="N429" s="172" t="inlineStr">
        <is>
          <t>313 2441001</t>
        </is>
      </c>
      <c r="O429" s="103" t="inlineStr">
        <is>
          <t>Juan Jose Galvis</t>
        </is>
      </c>
      <c r="P429" s="52" t="inlineStr">
        <is>
          <t>gestioncompras@conaltura.com</t>
        </is>
      </c>
    </row>
    <row r="430">
      <c r="B430" s="170" t="n">
        <v>419</v>
      </c>
      <c r="C430" s="246" t="inlineStr">
        <is>
          <t xml:space="preserve">COTIZACION DE LOS DISEÑOS DE PROTECCIÓN CONTRA INCENDIOS Y SEGURIDAD HUMANA PARA EL PROYECTO SOLEI
</t>
        </is>
      </c>
      <c r="D430" s="312" t="n"/>
      <c r="E430" s="312" t="n"/>
      <c r="F430" s="312" t="n"/>
      <c r="G430" s="312" t="n"/>
      <c r="H430" s="312" t="n"/>
      <c r="I430" s="313" t="n"/>
      <c r="J430" s="199" t="inlineStr">
        <is>
          <t>Conaltura</t>
        </is>
      </c>
      <c r="K430" s="314" t="inlineStr">
        <is>
          <t>No se presentó</t>
        </is>
      </c>
      <c r="L430" s="2" t="n">
        <v>45533</v>
      </c>
      <c r="M430" s="170" t="n"/>
      <c r="N430" s="172" t="inlineStr">
        <is>
          <t>313 2441001</t>
        </is>
      </c>
      <c r="O430" s="103" t="inlineStr">
        <is>
          <t>Juan Jose Galvis</t>
        </is>
      </c>
      <c r="P430" s="52" t="inlineStr">
        <is>
          <t>gestioncompras@conaltura.com</t>
        </is>
      </c>
    </row>
    <row r="431">
      <c r="B431" s="170" t="n">
        <v>420</v>
      </c>
      <c r="C431" s="199" t="inlineStr">
        <is>
          <t>COTIZACION DE LOS DISEÑOS DE PROTECCIÓN CONTRA INCENDIOS Y SEGURIDAD HUMANA PARA EL PROYECTO NATIVA MALL</t>
        </is>
      </c>
      <c r="D431" s="312" t="n"/>
      <c r="E431" s="312" t="n"/>
      <c r="F431" s="312" t="n"/>
      <c r="G431" s="312" t="n"/>
      <c r="H431" s="312" t="n"/>
      <c r="I431" s="313" t="n"/>
      <c r="J431" s="199" t="inlineStr">
        <is>
          <t>JOMARK</t>
        </is>
      </c>
      <c r="K431" s="314" t="n">
        <v>12950000</v>
      </c>
      <c r="L431" s="2" t="n">
        <v>45534</v>
      </c>
      <c r="M431" s="170" t="n"/>
      <c r="N431" s="170" t="n">
        <v>3194913179</v>
      </c>
      <c r="O431" s="103" t="inlineStr">
        <is>
          <t>Carlos Almanya Patiño</t>
        </is>
      </c>
      <c r="P431" s="52" t="inlineStr">
        <is>
          <t>calmanya@jomarkseguridad.com</t>
        </is>
      </c>
    </row>
    <row r="432">
      <c r="B432" s="170" t="n">
        <v>421</v>
      </c>
      <c r="C432" s="199" t="inlineStr">
        <is>
          <t>COTIZACION DE LOS DISEÑOS DE EXTINCIÓN DE INCENDIOS PARA EL PROYECTO LOCAL 3110</t>
        </is>
      </c>
      <c r="D432" s="312" t="n"/>
      <c r="E432" s="312" t="n"/>
      <c r="F432" s="312" t="n"/>
      <c r="G432" s="312" t="n"/>
      <c r="H432" s="312" t="n"/>
      <c r="I432" s="313" t="n"/>
      <c r="J432" s="199" t="inlineStr">
        <is>
          <t>Proyect &amp; Solution</t>
        </is>
      </c>
      <c r="K432" s="314" t="n">
        <v>1350000</v>
      </c>
      <c r="L432" s="2" t="n">
        <v>45534</v>
      </c>
      <c r="M432" s="170" t="n"/>
      <c r="N432" s="170" t="inlineStr">
        <is>
          <t>311 3079477</t>
        </is>
      </c>
      <c r="O432" s="102" t="inlineStr">
        <is>
          <t>Sebastian Lopez Duque</t>
        </is>
      </c>
      <c r="P432" s="52" t="inlineStr">
        <is>
          <t>gerencia@projectsolutions.com.co</t>
        </is>
      </c>
    </row>
    <row r="433" ht="15" customHeight="1">
      <c r="B433" s="170" t="n">
        <v>422</v>
      </c>
      <c r="C433" s="246" t="inlineStr">
        <is>
          <t>COTIZACION DEL ANÁLISIS DE SEGURIDAD HUMANA PARA EL PROYECTO BODEGA1</t>
        </is>
      </c>
      <c r="D433" s="312" t="n"/>
      <c r="E433" s="312" t="n"/>
      <c r="F433" s="312" t="n"/>
      <c r="G433" s="312" t="n"/>
      <c r="H433" s="312" t="n"/>
      <c r="I433" s="313" t="n"/>
      <c r="J433" s="199" t="inlineStr">
        <is>
          <t>Isometrico SAS</t>
        </is>
      </c>
      <c r="K433" s="314" t="n">
        <v>4950000</v>
      </c>
      <c r="L433" s="2" t="n">
        <v>45537</v>
      </c>
      <c r="M433" s="170" t="n"/>
      <c r="N433" s="170" t="n">
        <v>3006523764</v>
      </c>
      <c r="O433" s="103" t="inlineStr">
        <is>
          <t xml:space="preserve"> Jorge Arboleda</t>
        </is>
      </c>
      <c r="P433" s="52" t="inlineStr">
        <is>
          <t>jarboleda@isometrico.com.co</t>
        </is>
      </c>
    </row>
    <row r="434" ht="15" customHeight="1">
      <c r="B434" s="170" t="n">
        <v>423</v>
      </c>
      <c r="C434" s="246" t="inlineStr">
        <is>
          <t xml:space="preserve">COTIZACION DE LOS DISEÑOS DE PROTECCIÓN CONTRA INCENDIOS Y SEGURIDAD HUMANA PARA EL PROYECTO MONASTERIO
</t>
        </is>
      </c>
      <c r="D434" s="312" t="n"/>
      <c r="E434" s="312" t="n"/>
      <c r="F434" s="312" t="n"/>
      <c r="G434" s="312" t="n"/>
      <c r="H434" s="312" t="n"/>
      <c r="I434" s="313" t="n"/>
      <c r="J434" s="199" t="inlineStr">
        <is>
          <t>FCR</t>
        </is>
      </c>
      <c r="K434" s="314" t="n">
        <v>22990000</v>
      </c>
      <c r="L434" s="2" t="n">
        <v>45539</v>
      </c>
      <c r="M434" s="170" t="n"/>
      <c r="N434" s="170" t="n"/>
      <c r="O434" s="103" t="inlineStr">
        <is>
          <t>Daniela Velez Cortes</t>
        </is>
      </c>
      <c r="P434" s="52" t="inlineStr">
        <is>
          <t>danielavelez.fcr@gmail.com</t>
        </is>
      </c>
    </row>
    <row r="435">
      <c r="B435" s="170" t="n">
        <v>424</v>
      </c>
      <c r="C435" s="199" t="inlineStr">
        <is>
          <t>COTIZACION DE LOS DISEÑOS DE PROTECCIÓN CONTRA INCENDIOS Y SEGURIDAD HUMANA PARA EL PROYECTO RINCON CHICO</t>
        </is>
      </c>
      <c r="D435" s="312" t="n"/>
      <c r="E435" s="312" t="n"/>
      <c r="F435" s="312" t="n"/>
      <c r="G435" s="312" t="n"/>
      <c r="H435" s="312" t="n"/>
      <c r="I435" s="313" t="n"/>
      <c r="J435" s="199" t="inlineStr">
        <is>
          <t>Conexo Inmobiliario</t>
        </is>
      </c>
      <c r="K435" s="314" t="n">
        <v>14450000</v>
      </c>
      <c r="L435" s="2" t="n">
        <v>45537</v>
      </c>
      <c r="M435" s="170" t="n"/>
      <c r="N435" s="172" t="n">
        <v>3017575852</v>
      </c>
      <c r="O435" s="102" t="inlineStr">
        <is>
          <t>Jhonattan Venegas</t>
        </is>
      </c>
      <c r="P435" s="91" t="inlineStr">
        <is>
          <t>jvenegas@conexoinmobiliario.com</t>
        </is>
      </c>
    </row>
    <row r="436">
      <c r="B436" s="170" t="n">
        <v>425</v>
      </c>
      <c r="C436" s="233" t="inlineStr">
        <is>
          <t xml:space="preserve">COTIZACION DE LOS DISEÑOS DE EXTINCIÓN DE INCENDIOS Y SEGURIDAD HUMANA PARA EL PROYECTO TORRE 1 Y 2 FUSM
</t>
        </is>
      </c>
      <c r="D436" s="312" t="n"/>
      <c r="E436" s="312" t="n"/>
      <c r="F436" s="312" t="n"/>
      <c r="G436" s="312" t="n"/>
      <c r="H436" s="312" t="n"/>
      <c r="I436" s="313" t="n"/>
      <c r="J436" s="199" t="inlineStr">
        <is>
          <t>FUSM</t>
        </is>
      </c>
      <c r="K436" s="314" t="n">
        <v>33800000</v>
      </c>
      <c r="L436" s="2" t="n">
        <v>45534</v>
      </c>
      <c r="M436" s="170" t="n"/>
      <c r="N436" s="170" t="n"/>
      <c r="O436" s="103" t="n"/>
      <c r="P436" s="52" t="inlineStr">
        <is>
          <t>cotizaciones@sanmartin.edu.co</t>
        </is>
      </c>
    </row>
    <row r="437">
      <c r="B437" s="170" t="n">
        <v>426</v>
      </c>
      <c r="C437" s="233" t="inlineStr">
        <is>
          <t>COTIZACION DEL ANÁLISIS DE SEGURIDAD HUMANA PARA EL PROYECTO CCES</t>
        </is>
      </c>
      <c r="D437" s="312" t="n"/>
      <c r="E437" s="312" t="n"/>
      <c r="F437" s="312" t="n"/>
      <c r="G437" s="312" t="n"/>
      <c r="H437" s="312" t="n"/>
      <c r="I437" s="313" t="n"/>
      <c r="J437" s="199" t="inlineStr">
        <is>
          <t>CLINICA CES</t>
        </is>
      </c>
      <c r="K437" s="314" t="n">
        <v>14950000</v>
      </c>
      <c r="L437" s="2" t="n">
        <v>45538</v>
      </c>
      <c r="M437" s="170" t="n"/>
      <c r="N437" s="170" t="inlineStr">
        <is>
          <t>5767272- Ext 7387</t>
        </is>
      </c>
      <c r="O437" s="102" t="inlineStr">
        <is>
          <t xml:space="preserve">Leidy Alzate Quintero </t>
        </is>
      </c>
      <c r="P437" s="52" t="inlineStr">
        <is>
          <t>leidyalzateq@clinicaces.edu.co</t>
        </is>
      </c>
    </row>
    <row r="438">
      <c r="B438" s="170" t="n">
        <v>427</v>
      </c>
      <c r="C438" s="233" t="inlineStr">
        <is>
          <t>COTIZACION DE LOS DISEÑOS DE PROTECCIÓN CONTRA INCENDIOS PARA EL PROYECTO LOCAL TIENDA VERDE VIVA ENVIGADO</t>
        </is>
      </c>
      <c r="D438" s="312" t="n"/>
      <c r="E438" s="312" t="n"/>
      <c r="F438" s="312" t="n"/>
      <c r="G438" s="312" t="n"/>
      <c r="H438" s="312" t="n"/>
      <c r="I438" s="313" t="n"/>
      <c r="J438" s="199" t="inlineStr">
        <is>
          <t>SPCI</t>
        </is>
      </c>
      <c r="K438" s="314">
        <f>1350000+700000</f>
        <v/>
      </c>
      <c r="L438" s="2" t="n">
        <v>45539</v>
      </c>
      <c r="M438" s="170" t="n"/>
      <c r="N438" s="170" t="n">
        <v>3104165783</v>
      </c>
      <c r="O438" s="103" t="inlineStr">
        <is>
          <t>Cristiam Gustavo Mondragon</t>
        </is>
      </c>
      <c r="P438" s="52" t="inlineStr">
        <is>
          <t>dir.tecnico@spci.com.co</t>
        </is>
      </c>
    </row>
    <row r="439">
      <c r="B439" s="170" t="n">
        <v>428</v>
      </c>
      <c r="C439" s="246" t="inlineStr">
        <is>
          <t>COTIZACION DEL DISEÑO DE DETECCIÓN DE INCENDIOS PARA EL PROYECTO PLANTA POLYBOL</t>
        </is>
      </c>
      <c r="D439" s="312" t="n"/>
      <c r="E439" s="312" t="n"/>
      <c r="F439" s="312" t="n"/>
      <c r="G439" s="312" t="n"/>
      <c r="H439" s="312" t="n"/>
      <c r="I439" s="313" t="n"/>
      <c r="J439" s="199" t="inlineStr">
        <is>
          <t>IEB</t>
        </is>
      </c>
      <c r="K439" s="314" t="n">
        <v>29950000</v>
      </c>
      <c r="L439" s="2" t="n">
        <v>45538</v>
      </c>
      <c r="M439" s="170" t="n"/>
      <c r="N439" s="170" t="n"/>
      <c r="O439" s="103" t="inlineStr">
        <is>
          <t xml:space="preserve"> Daniela Ríos Agudelo</t>
        </is>
      </c>
      <c r="P439" s="52" t="inlineStr">
        <is>
          <t>daniela.rios@ieb.co</t>
        </is>
      </c>
    </row>
    <row r="440">
      <c r="B440" s="170" t="n">
        <v>429</v>
      </c>
      <c r="C440" s="199" t="inlineStr">
        <is>
          <t>COTIZACION DE CAPACITACIÓN EN SISTEMAS DE PROTECCIÓN CONTRA INCENDIOS Y SEGURIDAD HUMANA</t>
        </is>
      </c>
      <c r="D440" s="312" t="n"/>
      <c r="E440" s="312" t="n"/>
      <c r="F440" s="312" t="n"/>
      <c r="G440" s="312" t="n"/>
      <c r="H440" s="312" t="n"/>
      <c r="I440" s="313" t="n"/>
      <c r="J440" s="199" t="inlineStr">
        <is>
          <t>Arquitectura y Concreto</t>
        </is>
      </c>
      <c r="K440" s="314" t="n">
        <v>1000000</v>
      </c>
      <c r="L440" s="2" t="n">
        <v>45538</v>
      </c>
      <c r="M440" s="170" t="n"/>
      <c r="N440" s="170" t="n">
        <v>3127218621</v>
      </c>
      <c r="O440" s="103" t="inlineStr">
        <is>
          <t>Robinson Marulanda Marin</t>
        </is>
      </c>
      <c r="P440" s="52" t="inlineStr">
        <is>
          <t>robinsonmarulanda@arquitecturayconcreto.com</t>
        </is>
      </c>
    </row>
    <row r="441">
      <c r="B441" s="170" t="n">
        <v>430</v>
      </c>
      <c r="C441" s="246" t="inlineStr">
        <is>
          <t>COTIZACION DE LOS DISEÑOS DE PROTECCIÓN CONTRA INCENDIOS PARA EL PROYECTO PARCELACION MESETA</t>
        </is>
      </c>
      <c r="D441" s="312" t="n"/>
      <c r="E441" s="312" t="n"/>
      <c r="F441" s="312" t="n"/>
      <c r="G441" s="312" t="n"/>
      <c r="H441" s="312" t="n"/>
      <c r="I441" s="313" t="n"/>
      <c r="J441" s="199" t="inlineStr">
        <is>
          <t>Securetec</t>
        </is>
      </c>
      <c r="K441" s="314" t="n">
        <v>2350000</v>
      </c>
      <c r="L441" s="2" t="n">
        <v>45540</v>
      </c>
      <c r="M441" s="170" t="n"/>
      <c r="N441" s="172" t="n">
        <v>3206678830</v>
      </c>
      <c r="O441" s="103" t="inlineStr">
        <is>
          <t>Jhonny A Castro</t>
        </is>
      </c>
      <c r="P441" s="52" t="inlineStr">
        <is>
          <t>dirproyectos@securetec.com.co</t>
        </is>
      </c>
    </row>
    <row r="442">
      <c r="B442" s="170" t="n">
        <v>431</v>
      </c>
      <c r="C442" s="233" t="inlineStr">
        <is>
          <t xml:space="preserve">COTIZACION DE LOS DISEÑOS DE PROTECCIÓN CONTRA INCENDIOS PARA EL PROYECTO SEDE HACIENDA YERBA BUENA DEL INSTITUTO CARO Y CUERVO
</t>
        </is>
      </c>
      <c r="D442" s="312" t="n"/>
      <c r="E442" s="312" t="n"/>
      <c r="F442" s="312" t="n"/>
      <c r="G442" s="312" t="n"/>
      <c r="H442" s="312" t="n"/>
      <c r="I442" s="313" t="n"/>
      <c r="J442" s="199" t="inlineStr">
        <is>
          <t>COINSI</t>
        </is>
      </c>
      <c r="K442" s="314" t="n">
        <v>9000000</v>
      </c>
      <c r="L442" s="2" t="n">
        <v>45540</v>
      </c>
      <c r="M442" s="170" t="n"/>
      <c r="N442" s="172" t="n">
        <v>3117208541</v>
      </c>
      <c r="O442" s="103" t="inlineStr">
        <is>
          <t>Sergio Rodriguez</t>
        </is>
      </c>
      <c r="P442" s="91" t="inlineStr">
        <is>
          <t>diseno4@gyd.com.co</t>
        </is>
      </c>
    </row>
    <row r="443">
      <c r="B443" s="170" t="n">
        <v>432</v>
      </c>
      <c r="C443" s="233" t="inlineStr">
        <is>
          <t xml:space="preserve">COTIZACION DEL DISEÑO DE EXTINCIÓN DE INCENDIOS PARA EL PROYECTO REFINERIA SURINAM
</t>
        </is>
      </c>
      <c r="D443" s="312" t="n"/>
      <c r="E443" s="312" t="n"/>
      <c r="F443" s="312" t="n"/>
      <c r="G443" s="312" t="n"/>
      <c r="H443" s="312" t="n"/>
      <c r="I443" s="313" t="n"/>
      <c r="J443" s="199" t="inlineStr">
        <is>
          <t>CEAD N.V</t>
        </is>
      </c>
      <c r="K443" s="314" t="inlineStr">
        <is>
          <t>No se presentó</t>
        </is>
      </c>
      <c r="L443" s="2" t="n">
        <v>45540</v>
      </c>
      <c r="M443" s="170" t="n"/>
      <c r="N443" s="170" t="n">
        <v>5977482657</v>
      </c>
      <c r="O443" s="103" t="inlineStr">
        <is>
          <t>Raúl A. Zulueta López</t>
        </is>
      </c>
      <c r="P443" s="52" t="inlineStr">
        <is>
          <t>r.lopez@ceadnv.com</t>
        </is>
      </c>
    </row>
    <row r="444">
      <c r="B444" s="170" t="n">
        <v>433</v>
      </c>
      <c r="C444" s="246" t="inlineStr">
        <is>
          <t xml:space="preserve">COTIZACION DE LOS DISEÑOS DE PROTECCIÓN CONTRA INCENDIOS PARA EL PROYECTO FOKUS
</t>
        </is>
      </c>
      <c r="D444" s="312" t="n"/>
      <c r="E444" s="312" t="n"/>
      <c r="F444" s="312" t="n"/>
      <c r="G444" s="312" t="n"/>
      <c r="H444" s="312" t="n"/>
      <c r="I444" s="313" t="n"/>
      <c r="J444" s="199" t="inlineStr">
        <is>
          <t>Socomes</t>
        </is>
      </c>
      <c r="K444" s="314" t="n">
        <v>9410000</v>
      </c>
      <c r="L444" s="2" t="n">
        <v>45541</v>
      </c>
      <c r="M444" s="170" t="n"/>
      <c r="N444" s="170" t="n">
        <v>3137851941</v>
      </c>
      <c r="O444" s="103" t="inlineStr">
        <is>
          <t>David Lopera medina</t>
        </is>
      </c>
      <c r="P444" s="52" t="inlineStr">
        <is>
          <t>david.lopera@socomes.com</t>
        </is>
      </c>
    </row>
    <row r="445">
      <c r="B445" s="170" t="n">
        <v>434</v>
      </c>
      <c r="C445" s="199" t="inlineStr">
        <is>
          <t>COTIZACION DEL DISEÑO DE DETECCIÓN DE INCENDIOS PARA EL PROYECTO SUCURSAL BANCOLOMBIA CENTRAL DE ABASTOS</t>
        </is>
      </c>
      <c r="D445" s="312" t="n"/>
      <c r="E445" s="312" t="n"/>
      <c r="F445" s="312" t="n"/>
      <c r="G445" s="312" t="n"/>
      <c r="H445" s="312" t="n"/>
      <c r="I445" s="313" t="n"/>
      <c r="J445" s="199" t="inlineStr">
        <is>
          <t>STUDIO SUR</t>
        </is>
      </c>
      <c r="K445" s="314" t="n">
        <v>4950000</v>
      </c>
      <c r="L445" s="2" t="n">
        <v>45541</v>
      </c>
      <c r="M445" s="170" t="n"/>
      <c r="N445" s="170" t="inlineStr">
        <is>
          <t>316 7417025</t>
        </is>
      </c>
      <c r="O445" s="103" t="inlineStr">
        <is>
          <t xml:space="preserve"> Esteban Pérez Betancur</t>
        </is>
      </c>
      <c r="P445" s="52" t="inlineStr">
        <is>
          <t>escapeto28@gmail.com</t>
        </is>
      </c>
    </row>
    <row r="446">
      <c r="B446" s="170" t="n">
        <v>435</v>
      </c>
      <c r="C446" s="199" t="inlineStr">
        <is>
          <t>COTIZACION DEL ANÁLISIS DE SEGURIDAD HUMANA PARA EL PROYECTO VIVIENDA COSTA RICA</t>
        </is>
      </c>
      <c r="D446" s="312" t="n"/>
      <c r="E446" s="312" t="n"/>
      <c r="F446" s="312" t="n"/>
      <c r="G446" s="312" t="n"/>
      <c r="H446" s="312" t="n"/>
      <c r="I446" s="313" t="n"/>
      <c r="J446" s="199" t="inlineStr">
        <is>
          <t>CONCONCRETO</t>
        </is>
      </c>
      <c r="K446" s="314" t="n">
        <v>10000000</v>
      </c>
      <c r="L446" s="2" t="n">
        <v>45544</v>
      </c>
      <c r="M446" s="170" t="n"/>
      <c r="N446" s="170" t="n">
        <v>3166844810</v>
      </c>
      <c r="O446" s="103" t="inlineStr">
        <is>
          <t xml:space="preserve"> Ana Maria Torres</t>
        </is>
      </c>
      <c r="P446" s="52" t="inlineStr">
        <is>
          <t>amtorres@conconcreto.com</t>
        </is>
      </c>
    </row>
    <row r="447">
      <c r="B447" s="170" t="n">
        <v>436</v>
      </c>
      <c r="C447" s="246" t="inlineStr">
        <is>
          <t>COTIZACION DE LOS DISEÑOS DE PROTECCIÓN CONTRA INCENDIOS PARA EL PROYECTO TIENDA STOP CC UNICO</t>
        </is>
      </c>
      <c r="D447" s="312" t="n"/>
      <c r="E447" s="312" t="n"/>
      <c r="F447" s="312" t="n"/>
      <c r="G447" s="312" t="n"/>
      <c r="H447" s="312" t="n"/>
      <c r="I447" s="313" t="n"/>
      <c r="J447" s="199" t="inlineStr">
        <is>
          <t>STOP Jeans</t>
        </is>
      </c>
      <c r="K447" s="314" t="n">
        <v>2300000</v>
      </c>
      <c r="L447" s="2" t="n">
        <v>45544</v>
      </c>
      <c r="M447" s="170" t="n"/>
      <c r="N447" s="170" t="inlineStr">
        <is>
          <t>310 735 8330</t>
        </is>
      </c>
      <c r="O447" s="103" t="inlineStr">
        <is>
          <t>Daniel Guzman Duque</t>
        </is>
      </c>
      <c r="P447" s="52" t="inlineStr">
        <is>
          <t>dguzman@stop.com.co</t>
        </is>
      </c>
    </row>
    <row r="448">
      <c r="B448" s="170" t="n">
        <v>437</v>
      </c>
      <c r="C448" s="246" t="inlineStr">
        <is>
          <t>COTIZACION DE LOS DISEÑOS DE PROTECCIÓN CONTRA INCENDIOS PARA EL PROYECTO CLUB DEPORTIVO LAS PALMAS</t>
        </is>
      </c>
      <c r="D448" s="312" t="n"/>
      <c r="E448" s="312" t="n"/>
      <c r="F448" s="312" t="n"/>
      <c r="G448" s="312" t="n"/>
      <c r="H448" s="312" t="n"/>
      <c r="I448" s="313" t="n"/>
      <c r="J448" s="199" t="inlineStr">
        <is>
          <t>Paralelo-Group</t>
        </is>
      </c>
      <c r="K448" s="314" t="n">
        <v>12950000</v>
      </c>
      <c r="L448" s="2" t="n">
        <v>45544</v>
      </c>
      <c r="M448" s="170" t="n"/>
      <c r="N448" s="170" t="n"/>
      <c r="O448" s="103" t="inlineStr">
        <is>
          <t>Viviana Gómez</t>
        </is>
      </c>
      <c r="P448" s="52" t="inlineStr">
        <is>
          <t>vivianagomez@paralelo-group.com</t>
        </is>
      </c>
    </row>
    <row r="449">
      <c r="B449" s="170" t="n">
        <v>438</v>
      </c>
      <c r="C449" s="246" t="inlineStr">
        <is>
          <t xml:space="preserve">COTIZACION DE LOS DISEÑOS DE PROTECCIÓN CONTRA INCENDIOS PARA EL PROYECTO BIENESTAR UNIVERSITARIO POLI MEDELLIN
</t>
        </is>
      </c>
      <c r="D449" s="312" t="n"/>
      <c r="E449" s="312" t="n"/>
      <c r="F449" s="312" t="n"/>
      <c r="G449" s="312" t="n"/>
      <c r="H449" s="312" t="n"/>
      <c r="I449" s="313" t="n"/>
      <c r="J449" s="199" t="inlineStr">
        <is>
          <t>SPCI</t>
        </is>
      </c>
      <c r="K449" s="314" t="n"/>
      <c r="L449" s="2" t="n">
        <v>45544</v>
      </c>
      <c r="M449" s="170" t="n"/>
      <c r="N449" s="170" t="n">
        <v>3104165783</v>
      </c>
      <c r="O449" s="103" t="inlineStr">
        <is>
          <t>Cristiam Gustavo Mondragon</t>
        </is>
      </c>
      <c r="P449" s="52" t="inlineStr">
        <is>
          <t>dir.tecnico@spci.com.co</t>
        </is>
      </c>
    </row>
    <row r="450">
      <c r="B450" s="170" t="n">
        <v>439</v>
      </c>
      <c r="C450" s="199" t="inlineStr">
        <is>
          <t>COTIZACION DE LOS DISEÑOS DE PROTECCIÓN CONTRA INCENDIOS Y SEGURIDAD HUMANA PARA EL PROYECTO SEDE CLINICA DEL CAMPESTRE</t>
        </is>
      </c>
      <c r="D450" s="312" t="n"/>
      <c r="E450" s="312" t="n"/>
      <c r="F450" s="312" t="n"/>
      <c r="G450" s="312" t="n"/>
      <c r="H450" s="312" t="n"/>
      <c r="I450" s="313" t="n"/>
      <c r="J450" s="199" t="inlineStr">
        <is>
          <t>A3Consulting</t>
        </is>
      </c>
      <c r="K450" s="314" t="n">
        <v>14950000</v>
      </c>
      <c r="L450" s="2" t="n">
        <v>45545</v>
      </c>
      <c r="M450" s="170" t="n"/>
      <c r="N450" s="170" t="n">
        <v>3002568154</v>
      </c>
      <c r="O450" s="103" t="inlineStr">
        <is>
          <t>Adriana Gaitan</t>
        </is>
      </c>
      <c r="P450" s="52" t="inlineStr">
        <is>
          <t>adriana@a3consulting.com.co</t>
        </is>
      </c>
    </row>
    <row r="451">
      <c r="B451" s="170" t="n">
        <v>440</v>
      </c>
      <c r="C451" s="199" t="inlineStr">
        <is>
          <t>COTIZACION DEL ANÁLISIS DE SEGURIDAD HUMANA PARA EL PROYECTO EDIFICIO RESIDENCIAL BOGOTA</t>
        </is>
      </c>
      <c r="D451" s="312" t="n"/>
      <c r="E451" s="312" t="n"/>
      <c r="F451" s="312" t="n"/>
      <c r="G451" s="312" t="n"/>
      <c r="H451" s="312" t="n"/>
      <c r="I451" s="313" t="n"/>
      <c r="J451" s="103" t="inlineStr">
        <is>
          <t xml:space="preserve">Sebastián Aguirre Bustamante  </t>
        </is>
      </c>
      <c r="K451" s="314" t="n">
        <v>2750000</v>
      </c>
      <c r="L451" s="2" t="n">
        <v>45545</v>
      </c>
      <c r="M451" s="170" t="n"/>
      <c r="N451" s="170" t="n">
        <v>3157478709</v>
      </c>
      <c r="O451" s="103" t="inlineStr">
        <is>
          <t xml:space="preserve">Sebastián Aguirre Bustamante  </t>
        </is>
      </c>
      <c r="P451" s="52" t="inlineStr">
        <is>
          <t>sebastianaguirrebu@gmail.com</t>
        </is>
      </c>
    </row>
    <row r="452">
      <c r="B452" s="170" t="n">
        <v>441</v>
      </c>
      <c r="C452" s="246" t="inlineStr">
        <is>
          <t>COTIZACION DE LOS DISEÑOS DE PROTECCIÓN CONTRA INCENDIOS Y SEGURIDAD HUMANA PARA EL PROYECTO CLINICA DE ONCOLOGIA VALLEDUPAR</t>
        </is>
      </c>
      <c r="D452" s="312" t="n"/>
      <c r="E452" s="312" t="n"/>
      <c r="F452" s="312" t="n"/>
      <c r="G452" s="312" t="n"/>
      <c r="H452" s="312" t="n"/>
      <c r="I452" s="313" t="n"/>
      <c r="J452" s="199" t="inlineStr">
        <is>
          <t>CONDISEÑO</t>
        </is>
      </c>
      <c r="K452" s="314" t="n">
        <v>35560000</v>
      </c>
      <c r="L452" s="2" t="n">
        <v>45545</v>
      </c>
      <c r="M452" s="170" t="n"/>
      <c r="N452" s="170" t="n">
        <v>3175594091</v>
      </c>
      <c r="O452" s="103" t="inlineStr">
        <is>
          <t xml:space="preserve">Nakary Garcia Romero </t>
        </is>
      </c>
      <c r="P452" s="52" t="inlineStr">
        <is>
          <t>n.garcia@condiseno.co</t>
        </is>
      </c>
    </row>
    <row r="453">
      <c r="B453" s="170" t="n">
        <v>442</v>
      </c>
      <c r="C453" s="233" t="inlineStr">
        <is>
          <t xml:space="preserve">COTIZACION DE LOS DISEÑOS DE PROTECCIÓN CONTRA INCENDIOS Y SEGURIDAD HUMANA PARA EL PROYECTO WAKE BOSQUE EL RETIRO
</t>
        </is>
      </c>
      <c r="D453" s="312" t="n"/>
      <c r="E453" s="312" t="n"/>
      <c r="F453" s="312" t="n"/>
      <c r="G453" s="312" t="n"/>
      <c r="H453" s="312" t="n"/>
      <c r="I453" s="313" t="n"/>
      <c r="J453" s="199" t="inlineStr">
        <is>
          <t>interve</t>
        </is>
      </c>
      <c r="K453" s="314" t="n">
        <v>24850000</v>
      </c>
      <c r="L453" s="2" t="n">
        <v>45546</v>
      </c>
      <c r="M453" s="170" t="n"/>
      <c r="N453" s="170" t="n">
        <v>3007808119</v>
      </c>
      <c r="O453" s="103" t="inlineStr">
        <is>
          <t>Luis Felipe Arboleda Monsalve</t>
        </is>
      </c>
      <c r="P453" s="52" t="inlineStr">
        <is>
          <t>farboleda@interve.co</t>
        </is>
      </c>
    </row>
    <row r="454">
      <c r="B454" s="170" t="n">
        <v>443</v>
      </c>
      <c r="C454" s="246" t="inlineStr">
        <is>
          <t xml:space="preserve">COTIZACION DEL ANÁLISIS DE SEGURIDAD HUMANA PARA EL PROYECTO PROYECTO REFORMA CENTRO MERCANTIL 2
</t>
        </is>
      </c>
      <c r="D454" s="312" t="n"/>
      <c r="E454" s="312" t="n"/>
      <c r="F454" s="312" t="n"/>
      <c r="G454" s="312" t="n"/>
      <c r="H454" s="312" t="n"/>
      <c r="I454" s="313" t="n"/>
      <c r="J454" s="199" t="inlineStr">
        <is>
          <t>Convel</t>
        </is>
      </c>
      <c r="K454" s="314" t="n">
        <v>3750000</v>
      </c>
      <c r="L454" s="2" t="n">
        <v>45546</v>
      </c>
      <c r="M454" s="170" t="n"/>
      <c r="N454" s="170" t="n">
        <v>3148676060</v>
      </c>
      <c r="O454" s="103" t="inlineStr">
        <is>
          <t>Andres Muñoz</t>
        </is>
      </c>
      <c r="P454" s="52" t="inlineStr">
        <is>
          <t>andresmunoz@convel.co</t>
        </is>
      </c>
    </row>
    <row r="455">
      <c r="B455" s="170" t="n">
        <v>444</v>
      </c>
      <c r="C455" s="246" t="inlineStr">
        <is>
          <t xml:space="preserve">COTIZACION DEL ANÁLISIS DE SEGURIDAD HUMANA PARA EL PROYECTO PROYECTO AMARILO CALLE 26
</t>
        </is>
      </c>
      <c r="D455" s="312" t="n"/>
      <c r="E455" s="312" t="n"/>
      <c r="F455" s="312" t="n"/>
      <c r="G455" s="312" t="n"/>
      <c r="H455" s="312" t="n"/>
      <c r="I455" s="313" t="n"/>
      <c r="J455" s="199" t="inlineStr">
        <is>
          <t>Conconcreto</t>
        </is>
      </c>
      <c r="K455" s="314" t="n">
        <v>12540000</v>
      </c>
      <c r="L455" s="2" t="n">
        <v>45546</v>
      </c>
      <c r="M455" s="170" t="n"/>
      <c r="N455" s="170" t="inlineStr">
        <is>
          <t>318 6514879</t>
        </is>
      </c>
      <c r="O455" s="103" t="inlineStr">
        <is>
          <t>Andres Malagon Moreno</t>
        </is>
      </c>
      <c r="P455" s="52" t="inlineStr">
        <is>
          <t>hmalagonm@conconcreto.com</t>
        </is>
      </c>
    </row>
    <row r="456">
      <c r="B456" s="170" t="n">
        <v>445</v>
      </c>
      <c r="C456" s="199" t="inlineStr">
        <is>
          <t>COTIZACION DEL ANÁLISIS DE SEGURIDAD HUMANA PARA EL PROYECTO CLUB DEPORTIVO LAS PALMAS</t>
        </is>
      </c>
      <c r="D456" s="312" t="n"/>
      <c r="E456" s="312" t="n"/>
      <c r="F456" s="312" t="n"/>
      <c r="G456" s="312" t="n"/>
      <c r="H456" s="312" t="n"/>
      <c r="I456" s="313" t="n"/>
      <c r="J456" s="199" t="inlineStr">
        <is>
          <t>Paralelo-Group</t>
        </is>
      </c>
      <c r="K456" s="314" t="n">
        <v>3000000</v>
      </c>
      <c r="L456" s="2" t="n">
        <v>45548</v>
      </c>
      <c r="M456" s="170" t="n"/>
      <c r="N456" s="170" t="n"/>
      <c r="O456" s="103" t="inlineStr">
        <is>
          <t xml:space="preserve"> Viviana Gomez</t>
        </is>
      </c>
      <c r="P456" s="52" t="inlineStr">
        <is>
          <t>vivianagomez@paralelo-group.com</t>
        </is>
      </c>
    </row>
    <row r="457">
      <c r="B457" s="170" t="n">
        <v>446</v>
      </c>
      <c r="C457" s="246" t="inlineStr">
        <is>
          <t xml:space="preserve">COTIZACION DEL DISEÑO DE EXTINCIÓN DE INCENDIOS PARA EL PROYECTO HARMONY
</t>
        </is>
      </c>
      <c r="D457" s="312" t="n"/>
      <c r="E457" s="312" t="n"/>
      <c r="F457" s="312" t="n"/>
      <c r="G457" s="312" t="n"/>
      <c r="H457" s="312" t="n"/>
      <c r="I457" s="313" t="n"/>
      <c r="J457" s="199" t="inlineStr">
        <is>
          <t>Compose</t>
        </is>
      </c>
      <c r="K457" s="314" t="inlineStr">
        <is>
          <t>variable</t>
        </is>
      </c>
      <c r="L457" s="2" t="n">
        <v>45548</v>
      </c>
      <c r="M457" s="170" t="n"/>
      <c r="N457" s="170" t="n"/>
      <c r="O457" s="103" t="inlineStr">
        <is>
          <t>David Uribe</t>
        </is>
      </c>
      <c r="P457" s="52" t="inlineStr">
        <is>
          <t>curibe@compose.com.co</t>
        </is>
      </c>
    </row>
    <row r="458">
      <c r="B458" s="170" t="n">
        <v>447</v>
      </c>
      <c r="C458" s="199" t="inlineStr">
        <is>
          <t>COTIZACION DEL ANÁLISIS DE SEGURIDAD HUMANA PARA EL PROYECTO TYBÁ</t>
        </is>
      </c>
      <c r="D458" s="312" t="n"/>
      <c r="E458" s="312" t="n"/>
      <c r="F458" s="312" t="n"/>
      <c r="G458" s="312" t="n"/>
      <c r="H458" s="312" t="n"/>
      <c r="I458" s="313" t="n"/>
      <c r="J458" s="199" t="inlineStr">
        <is>
          <t>OTACC</t>
        </is>
      </c>
      <c r="K458" s="314" t="n">
        <v>5950000</v>
      </c>
      <c r="L458" s="2" t="n">
        <v>45554</v>
      </c>
      <c r="M458" s="170" t="n"/>
      <c r="N458" s="170" t="inlineStr">
        <is>
          <t>311 8513812</t>
        </is>
      </c>
      <c r="O458" s="102" t="inlineStr">
        <is>
          <t>Andres Diaz Daza</t>
        </is>
      </c>
      <c r="P458" s="52" t="inlineStr">
        <is>
          <t>aldiaz@otacc.com</t>
        </is>
      </c>
    </row>
    <row r="459">
      <c r="B459" s="170" t="n">
        <v>448</v>
      </c>
      <c r="C459" s="246" t="inlineStr">
        <is>
          <t xml:space="preserve">COTIZACION DEL DISEÑO DE DETECCIÓN DE INCENDIOS PARA EL PROYECTO EDIFICIO MIGUEL AGUINAGA
</t>
        </is>
      </c>
      <c r="D459" s="312" t="n"/>
      <c r="E459" s="312" t="n"/>
      <c r="F459" s="312" t="n"/>
      <c r="G459" s="312" t="n"/>
      <c r="H459" s="312" t="n"/>
      <c r="I459" s="313" t="n"/>
      <c r="J459" s="199" t="inlineStr">
        <is>
          <t>FP Services SAS</t>
        </is>
      </c>
      <c r="K459" s="314" t="n">
        <v>6850000</v>
      </c>
      <c r="L459" s="2" t="n">
        <v>45551</v>
      </c>
      <c r="M459" s="170" t="n"/>
      <c r="N459" s="170" t="n">
        <v>3104513967</v>
      </c>
      <c r="O459" s="102" t="inlineStr">
        <is>
          <t>Julio Millan Trujillo</t>
        </is>
      </c>
      <c r="P459" s="52" t="inlineStr">
        <is>
          <t>juliomillan@fpservices.com.co</t>
        </is>
      </c>
    </row>
    <row r="460">
      <c r="B460" s="170" t="n">
        <v>449</v>
      </c>
      <c r="C460" s="199" t="inlineStr">
        <is>
          <t>COTIZACION DE LOS DISEÑOS DE PROTECCIÓN CONTRA INCENDIOS Y SEGURIDAD HUMANA PARA EL PROYECTO HARAS</t>
        </is>
      </c>
      <c r="D460" s="312" t="n"/>
      <c r="E460" s="312" t="n"/>
      <c r="F460" s="312" t="n"/>
      <c r="G460" s="312" t="n"/>
      <c r="H460" s="312" t="n"/>
      <c r="I460" s="313" t="n"/>
      <c r="J460" s="199" t="inlineStr">
        <is>
          <t>TIP INTERVENTORIA</t>
        </is>
      </c>
      <c r="K460" s="314" t="n">
        <v>43950000</v>
      </c>
      <c r="L460" s="2" t="n">
        <v>45552</v>
      </c>
      <c r="M460" s="170" t="n"/>
      <c r="N460" s="170" t="n">
        <v>3122579593</v>
      </c>
      <c r="O460" s="103" t="inlineStr">
        <is>
          <t>Pubenza Aristizabal</t>
        </is>
      </c>
      <c r="P460" s="52" t="inlineStr">
        <is>
          <t>pubenza@tipinterventoria.com</t>
        </is>
      </c>
    </row>
    <row r="461">
      <c r="B461" s="170" t="n">
        <v>450</v>
      </c>
      <c r="C461" s="233" t="inlineStr">
        <is>
          <t>COTIZACION DEL DISEÑO DE EXTINCIÓN DE INCENDIOS PARA EL PROYECTO ASTILLEROS BARRANQUILLA</t>
        </is>
      </c>
      <c r="D461" s="312" t="n"/>
      <c r="E461" s="312" t="n"/>
      <c r="F461" s="312" t="n"/>
      <c r="G461" s="312" t="n"/>
      <c r="H461" s="312" t="n"/>
      <c r="I461" s="313" t="n"/>
      <c r="J461" s="199" t="inlineStr">
        <is>
          <t>SPCI</t>
        </is>
      </c>
      <c r="K461" s="314" t="n"/>
      <c r="L461" s="2" t="n">
        <v>45552</v>
      </c>
      <c r="M461" s="170" t="n"/>
      <c r="N461" s="170" t="n">
        <v>3104680508</v>
      </c>
      <c r="O461" s="102" t="inlineStr">
        <is>
          <t>Juan Pablo Grajales Gomez</t>
        </is>
      </c>
      <c r="P461" s="52" t="inlineStr">
        <is>
          <t>juan.grajales@spci.com.co</t>
        </is>
      </c>
    </row>
    <row r="462">
      <c r="B462" s="170" t="n">
        <v>451</v>
      </c>
      <c r="C462" s="246" t="inlineStr">
        <is>
          <t xml:space="preserve">COTIZACION DEL DISEÑO DE EXTINCIÓN DE INCENDIOS PARA EL PROYECTO OLIUM PARK
</t>
        </is>
      </c>
      <c r="D462" s="312" t="n"/>
      <c r="E462" s="312" t="n"/>
      <c r="F462" s="312" t="n"/>
      <c r="G462" s="312" t="n"/>
      <c r="H462" s="312" t="n"/>
      <c r="I462" s="313" t="n"/>
      <c r="J462" s="199" t="inlineStr">
        <is>
          <t>Progressa</t>
        </is>
      </c>
      <c r="K462" s="314" t="n">
        <v>9950000</v>
      </c>
      <c r="L462" s="2" t="n">
        <v>45552</v>
      </c>
      <c r="M462" s="170" t="n"/>
      <c r="N462" s="170" t="n"/>
      <c r="O462" s="103" t="inlineStr">
        <is>
          <t>Juan Andres Cassares</t>
        </is>
      </c>
      <c r="P462" s="52" t="inlineStr">
        <is>
          <t>residenteadministrativo@progressa.com.co</t>
        </is>
      </c>
    </row>
    <row r="463">
      <c r="B463" s="170" t="n">
        <v>452</v>
      </c>
      <c r="C463" s="246" t="inlineStr">
        <is>
          <t xml:space="preserve">COTIZACION DE LOS DISEÑOS DE PROTECCIÓN CONTRA INCENDIOS Y SEGURIDAD HUMANA PARA EL PROYECTO CASA AMARILLA
</t>
        </is>
      </c>
      <c r="D463" s="312" t="n"/>
      <c r="E463" s="312" t="n"/>
      <c r="F463" s="312" t="n"/>
      <c r="G463" s="312" t="n"/>
      <c r="H463" s="312" t="n"/>
      <c r="I463" s="313" t="n"/>
      <c r="J463" s="199" t="inlineStr">
        <is>
          <t>Securetec</t>
        </is>
      </c>
      <c r="K463" s="314" t="n">
        <v>9410000</v>
      </c>
      <c r="L463" s="2" t="n">
        <v>45552</v>
      </c>
      <c r="M463" s="170" t="n"/>
      <c r="N463" s="170" t="n">
        <v>3008242202</v>
      </c>
      <c r="O463" s="103" t="inlineStr">
        <is>
          <t>Diana Yamile Betancur</t>
        </is>
      </c>
      <c r="P463" s="52" t="inlineStr">
        <is>
          <t>coordinadoracomercial@securetec.com.co</t>
        </is>
      </c>
    </row>
    <row r="464">
      <c r="B464" s="170" t="n">
        <v>453</v>
      </c>
      <c r="C464" s="246" t="inlineStr">
        <is>
          <t>COTIZACIÓN DE LOS DISEÑOS DE DETECCIÓN DE INCENDIOS PARA EL CEDI DE FAMILIA</t>
        </is>
      </c>
      <c r="D464" s="312" t="n"/>
      <c r="E464" s="312" t="n"/>
      <c r="F464" s="312" t="n"/>
      <c r="G464" s="312" t="n"/>
      <c r="H464" s="312" t="n"/>
      <c r="I464" s="313" t="n"/>
      <c r="J464" s="199" t="inlineStr">
        <is>
          <t>Seriinco</t>
        </is>
      </c>
      <c r="K464" s="314" t="n">
        <v>9950000</v>
      </c>
      <c r="L464" s="2" t="n">
        <v>45554</v>
      </c>
      <c r="M464" s="2" t="n"/>
      <c r="N464" s="170" t="n">
        <v>3113391008</v>
      </c>
      <c r="O464" s="103" t="inlineStr">
        <is>
          <t>Carlos Henao</t>
        </is>
      </c>
      <c r="P464" s="52" t="inlineStr">
        <is>
          <t>carlos.henao@seriinco.com</t>
        </is>
      </c>
    </row>
    <row r="465">
      <c r="B465" s="170" t="n">
        <v>454</v>
      </c>
      <c r="C465" s="251" t="inlineStr">
        <is>
          <t>COTIZACION DE LOS DISEÑOS DE PROTECCIÓN CONTRA INCENDIOS Y SEGURIDAD HUMANA PARA EL PROYECTO 54 PARK</t>
        </is>
      </c>
      <c r="D465" s="312" t="n"/>
      <c r="E465" s="312" t="n"/>
      <c r="F465" s="312" t="n"/>
      <c r="G465" s="312" t="n"/>
      <c r="H465" s="312" t="n"/>
      <c r="I465" s="313" t="n"/>
      <c r="J465" s="199" t="inlineStr">
        <is>
          <t>Detectar Systems</t>
        </is>
      </c>
      <c r="K465" s="314" t="n">
        <v>16950000</v>
      </c>
      <c r="L465" s="2" t="n">
        <v>45554</v>
      </c>
      <c r="M465" s="170" t="n"/>
      <c r="N465" s="170" t="n"/>
      <c r="O465" s="103" t="inlineStr">
        <is>
          <t>Juan Santiago Londoño Quiceno</t>
        </is>
      </c>
      <c r="P465" s="89" t="inlineStr">
        <is>
          <t>detectarsystems@gmail.com</t>
        </is>
      </c>
    </row>
    <row r="466">
      <c r="B466" s="170" t="n">
        <v>455</v>
      </c>
      <c r="C466" s="246" t="inlineStr">
        <is>
          <t>COTIZACION DE LOS DISEÑOS DE DETECCIÓN DE INCENDIOS Y SEGURIDAD HUMANA PARA EL PROYECTO kuo</t>
        </is>
      </c>
      <c r="D466" s="312" t="n"/>
      <c r="E466" s="312" t="n"/>
      <c r="F466" s="312" t="n"/>
      <c r="G466" s="312" t="n"/>
      <c r="H466" s="312" t="n"/>
      <c r="I466" s="313" t="n"/>
      <c r="J466" s="199" t="inlineStr">
        <is>
          <t>Contex</t>
        </is>
      </c>
      <c r="K466" s="314" t="n">
        <v>11950000</v>
      </c>
      <c r="L466" s="2" t="n">
        <v>45554</v>
      </c>
      <c r="M466" s="170" t="n"/>
      <c r="N466" s="170" t="n">
        <v>3104145629</v>
      </c>
      <c r="O466" s="103" t="inlineStr">
        <is>
          <t>Maria Camila Velásquez</t>
        </is>
      </c>
      <c r="P466" s="52" t="inlineStr">
        <is>
          <t>mcvelasquez@contex.com.co</t>
        </is>
      </c>
    </row>
    <row r="467">
      <c r="B467" s="170" t="n">
        <v>456</v>
      </c>
      <c r="C467" s="199" t="inlineStr">
        <is>
          <t>COTIZACION DE LOS DISEÑOS DE PROTECCIÓN CONTRA INCENDIOS PARA EL PROYECTO LOCAL FLORIDA PLAZA</t>
        </is>
      </c>
      <c r="D467" s="312" t="n"/>
      <c r="E467" s="312" t="n"/>
      <c r="F467" s="312" t="n"/>
      <c r="G467" s="312" t="n"/>
      <c r="H467" s="312" t="n"/>
      <c r="I467" s="313" t="n"/>
      <c r="J467" s="199" t="inlineStr">
        <is>
          <t>Jomark</t>
        </is>
      </c>
      <c r="K467" s="314" t="n">
        <v>1950000</v>
      </c>
      <c r="L467" s="2" t="n">
        <v>45554</v>
      </c>
      <c r="M467" s="72" t="n"/>
      <c r="N467" s="172" t="n">
        <v>3194913179</v>
      </c>
      <c r="O467" s="102" t="inlineStr">
        <is>
          <t>Carlos Almanya Patiño</t>
        </is>
      </c>
      <c r="P467" s="52" t="inlineStr">
        <is>
          <t>calmanya@jomarkseguridad.com</t>
        </is>
      </c>
    </row>
    <row r="468">
      <c r="B468" s="170" t="n">
        <v>457</v>
      </c>
      <c r="C468" s="246" t="inlineStr">
        <is>
          <t xml:space="preserve">COTIZACION DEL DISEÑO DE DETECCIÓN DE INCENDIOS PARA EL PROYECTO SUCURSAL PUERTO DE BOYACA 254
</t>
        </is>
      </c>
      <c r="D468" s="312" t="n"/>
      <c r="E468" s="312" t="n"/>
      <c r="F468" s="312" t="n"/>
      <c r="G468" s="312" t="n"/>
      <c r="H468" s="312" t="n"/>
      <c r="I468" s="313" t="n"/>
      <c r="J468" s="199" t="inlineStr">
        <is>
          <t>Toroposada</t>
        </is>
      </c>
      <c r="K468" s="314" t="n">
        <v>3750000</v>
      </c>
      <c r="L468" s="2" t="n">
        <v>45554</v>
      </c>
      <c r="M468" s="2" t="n"/>
      <c r="N468" s="172" t="n">
        <v>3116728287</v>
      </c>
      <c r="O468" s="102" t="inlineStr">
        <is>
          <t>Rafael Botero Villa</t>
        </is>
      </c>
      <c r="P468" s="52" t="inlineStr">
        <is>
          <t xml:space="preserve"> rafaelb@toroposada.com</t>
        </is>
      </c>
    </row>
    <row r="469">
      <c r="B469" s="170" t="n">
        <v>458</v>
      </c>
      <c r="C469" s="199" t="inlineStr">
        <is>
          <t>COTIZACION DEL DISEÑO DE EXTINCIÓN DE INCENDIOS PARA EL PROYECTO EDIFICIO RIVERIE</t>
        </is>
      </c>
      <c r="D469" s="312" t="n"/>
      <c r="E469" s="312" t="n"/>
      <c r="F469" s="312" t="n"/>
      <c r="G469" s="312" t="n"/>
      <c r="H469" s="312" t="n"/>
      <c r="I469" s="313" t="n"/>
      <c r="J469" s="199" t="inlineStr">
        <is>
          <t>Sergio Ramos Carmona</t>
        </is>
      </c>
      <c r="K469" s="314" t="n">
        <v>8950000</v>
      </c>
      <c r="L469" s="2" t="n">
        <v>45555</v>
      </c>
      <c r="M469" s="170" t="n"/>
      <c r="N469" s="172" t="n"/>
      <c r="O469" s="102" t="n"/>
      <c r="P469" s="52" t="n"/>
    </row>
    <row r="470">
      <c r="B470" s="170" t="n">
        <v>459</v>
      </c>
      <c r="C470" s="199" t="inlineStr">
        <is>
          <t>COTIZACION DEL ANÁLISIS DE SEGURIDAD HUMANA PARA EL PROYECTO BODEGA 202</t>
        </is>
      </c>
      <c r="D470" s="312" t="n"/>
      <c r="E470" s="312" t="n"/>
      <c r="F470" s="312" t="n"/>
      <c r="G470" s="312" t="n"/>
      <c r="H470" s="312" t="n"/>
      <c r="I470" s="313" t="n"/>
      <c r="J470" s="199" t="inlineStr">
        <is>
          <t>Progressa</t>
        </is>
      </c>
      <c r="K470" s="314" t="n">
        <v>2950000</v>
      </c>
      <c r="L470" s="2" t="n">
        <v>45560</v>
      </c>
      <c r="M470" s="170" t="n"/>
      <c r="N470" s="172" t="n">
        <v>3194442125</v>
      </c>
      <c r="O470" s="102" t="inlineStr">
        <is>
          <t>Ernesto Castaño</t>
        </is>
      </c>
      <c r="P470" s="52" t="inlineStr">
        <is>
          <t>ernestov@progressa.com.co</t>
        </is>
      </c>
    </row>
    <row r="471">
      <c r="B471" s="170" t="n">
        <v>460</v>
      </c>
      <c r="C471" s="246" t="inlineStr">
        <is>
          <t xml:space="preserve">COTIZACION DEL DISEÑO DE EXTINCIÓN DE INCENDIOS PARA EL PROYECTO BODEGA 202
</t>
        </is>
      </c>
      <c r="D471" s="312" t="n"/>
      <c r="E471" s="312" t="n"/>
      <c r="F471" s="312" t="n"/>
      <c r="G471" s="312" t="n"/>
      <c r="H471" s="312" t="n"/>
      <c r="I471" s="313" t="n"/>
      <c r="J471" s="199" t="inlineStr">
        <is>
          <t>Progressa</t>
        </is>
      </c>
      <c r="K471" s="314" t="n">
        <v>9950000</v>
      </c>
      <c r="L471" s="2" t="n">
        <v>45560</v>
      </c>
      <c r="M471" s="170" t="n"/>
      <c r="N471" s="172" t="n">
        <v>3194442125</v>
      </c>
      <c r="O471" s="102" t="inlineStr">
        <is>
          <t>Ernesto Castaño</t>
        </is>
      </c>
      <c r="P471" s="52" t="inlineStr">
        <is>
          <t>ernestov@progressa.com.co</t>
        </is>
      </c>
    </row>
    <row r="472">
      <c r="B472" s="170" t="n">
        <v>461</v>
      </c>
      <c r="C472" s="246" t="inlineStr">
        <is>
          <t>COTIZACION DE LOS DISEÑOS DE PROTECCIÓN CONTRA INCENDIOS Y SEGURIDAD HUMANA PARA EL PROYECTO AVENTINO SABANETA</t>
        </is>
      </c>
      <c r="D472" s="312" t="n"/>
      <c r="E472" s="312" t="n"/>
      <c r="F472" s="312" t="n"/>
      <c r="G472" s="312" t="n"/>
      <c r="H472" s="312" t="n"/>
      <c r="I472" s="313" t="n"/>
      <c r="J472" s="199" t="inlineStr">
        <is>
          <t xml:space="preserve">Constructora BLT </t>
        </is>
      </c>
      <c r="K472" s="314" t="n">
        <v>15650000</v>
      </c>
      <c r="L472" s="2" t="n">
        <v>45560</v>
      </c>
      <c r="M472" s="170" t="n"/>
      <c r="N472" s="170" t="n">
        <v>3108991119</v>
      </c>
      <c r="O472" s="103" t="inlineStr">
        <is>
          <t>Alejandro Torres Triana</t>
        </is>
      </c>
      <c r="P472" s="52" t="n"/>
    </row>
    <row r="473">
      <c r="B473" s="170" t="n">
        <v>462</v>
      </c>
      <c r="C473" s="199" t="inlineStr">
        <is>
          <t>COTIZACION DE LOS DISEÑOS DE SEGURIDAD HUMANA Y PROTECCIÓN CONTRA INCENDIOS - PARQUEADEROS LA SALLE ETAPA 1</t>
        </is>
      </c>
      <c r="D473" s="312" t="n"/>
      <c r="E473" s="312" t="n"/>
      <c r="F473" s="312" t="n"/>
      <c r="G473" s="312" t="n"/>
      <c r="H473" s="312" t="n"/>
      <c r="I473" s="313" t="n"/>
      <c r="J473" s="199" t="inlineStr">
        <is>
          <t>Coninsa</t>
        </is>
      </c>
      <c r="K473" s="314" t="n">
        <v>7990000</v>
      </c>
      <c r="L473" s="2" t="n">
        <v>45561</v>
      </c>
      <c r="M473" s="170" t="n"/>
      <c r="N473" s="170" t="n">
        <v>3007549649</v>
      </c>
      <c r="O473" s="170" t="inlineStr">
        <is>
          <t>Zully Milena López Molina</t>
        </is>
      </c>
      <c r="P473" s="52" t="inlineStr">
        <is>
          <t>zmlopez@coninsa.co</t>
        </is>
      </c>
    </row>
    <row r="474">
      <c r="B474" s="170" t="n">
        <v>463</v>
      </c>
      <c r="C474" s="199" t="inlineStr">
        <is>
          <t>COTIZACION REVISIÓN SISTEMAS CONTRA INCENDIO Y LA SEGURIDAD HUMANA PARA EL PROYECTO APARTAMENTOS AVALON</t>
        </is>
      </c>
      <c r="D474" s="312" t="n"/>
      <c r="E474" s="312" t="n"/>
      <c r="F474" s="312" t="n"/>
      <c r="G474" s="312" t="n"/>
      <c r="H474" s="312" t="n"/>
      <c r="I474" s="313" t="n"/>
      <c r="J474" s="199" t="inlineStr">
        <is>
          <t>SPCI</t>
        </is>
      </c>
      <c r="K474" s="314" t="n">
        <v>4500000</v>
      </c>
      <c r="L474" s="2" t="n">
        <v>45561</v>
      </c>
      <c r="M474" s="170" t="n"/>
      <c r="N474" s="170" t="n">
        <v>3137546144</v>
      </c>
      <c r="O474" s="102" t="inlineStr">
        <is>
          <t xml:space="preserve"> Juan Camilo Quintero Bedoya</t>
        </is>
      </c>
      <c r="P474" s="52" t="inlineStr">
        <is>
          <t>camilo.quintero@spci.com.co</t>
        </is>
      </c>
    </row>
    <row r="475">
      <c r="B475" s="170" t="n">
        <v>464</v>
      </c>
      <c r="C475" s="246" t="inlineStr">
        <is>
          <t>COTIZACION DE LA INSPECCIÓN VISUAL Y PRUEBAS DE FLUJO A LAS CONEXIONES DE MANGUERA DE EXTINCIÓN DE INCENDIOS - SANTILLANA</t>
        </is>
      </c>
      <c r="D475" s="312" t="n"/>
      <c r="E475" s="312" t="n"/>
      <c r="F475" s="312" t="n"/>
      <c r="G475" s="312" t="n"/>
      <c r="H475" s="312" t="n"/>
      <c r="I475" s="313" t="n"/>
      <c r="J475" s="199" t="inlineStr">
        <is>
          <t>MTS</t>
        </is>
      </c>
      <c r="K475" s="314" t="n">
        <v>5950000</v>
      </c>
      <c r="L475" s="2" t="n">
        <v>45561</v>
      </c>
      <c r="M475" s="170" t="n"/>
      <c r="N475" s="170" t="n">
        <v>3006186173</v>
      </c>
      <c r="O475" s="103" t="inlineStr">
        <is>
          <t>Santiago Certuche</t>
        </is>
      </c>
      <c r="P475" s="52" t="inlineStr">
        <is>
          <t>mantenimientosantillana@mts.com.co</t>
        </is>
      </c>
    </row>
    <row r="476">
      <c r="B476" s="170" t="n">
        <v>465</v>
      </c>
      <c r="C476" s="246" t="inlineStr">
        <is>
          <t xml:space="preserve">COTIZACION DE LOS DISEÑOS DE EXTINCIÓN DE INCENDIOS Y SEGURIDAD HUMANA PARA EL PROYECTO ENZO
</t>
        </is>
      </c>
      <c r="D476" s="312" t="n"/>
      <c r="E476" s="312" t="n"/>
      <c r="F476" s="312" t="n"/>
      <c r="G476" s="312" t="n"/>
      <c r="H476" s="312" t="n"/>
      <c r="I476" s="313" t="n"/>
      <c r="J476" s="199" t="inlineStr">
        <is>
          <t>Ingesed</t>
        </is>
      </c>
      <c r="K476" s="314" t="inlineStr">
        <is>
          <t>variable</t>
        </is>
      </c>
      <c r="L476" s="2" t="n">
        <v>45566</v>
      </c>
      <c r="M476" s="170" t="n"/>
      <c r="N476" s="170" t="inlineStr">
        <is>
          <t>321 8338189</t>
        </is>
      </c>
      <c r="O476" s="103" t="inlineStr">
        <is>
          <t>Laura Delgado</t>
        </is>
      </c>
      <c r="P476" s="52" t="inlineStr">
        <is>
          <t>operacionesingesed@gmail.com</t>
        </is>
      </c>
    </row>
    <row r="477">
      <c r="B477" s="170" t="n">
        <v>466</v>
      </c>
      <c r="C477" s="199" t="inlineStr">
        <is>
          <t>COTIZACION DE LOS DISEÑOS DE EXTINCIÓN DE INCENDIOS Y SEGURIDAD HUMANA PARA EL PROYECTO APIA</t>
        </is>
      </c>
      <c r="D477" s="312" t="n"/>
      <c r="E477" s="312" t="n"/>
      <c r="F477" s="312" t="n"/>
      <c r="G477" s="312" t="n"/>
      <c r="H477" s="312" t="n"/>
      <c r="I477" s="313" t="n"/>
      <c r="J477" s="199" t="inlineStr">
        <is>
          <t>Ingesed</t>
        </is>
      </c>
      <c r="K477" s="314" t="n">
        <v>13200000</v>
      </c>
      <c r="L477" s="2" t="n">
        <v>45566</v>
      </c>
      <c r="M477" s="170" t="n"/>
      <c r="N477" s="170" t="inlineStr">
        <is>
          <t>321 8338189</t>
        </is>
      </c>
      <c r="O477" s="103" t="inlineStr">
        <is>
          <t>Laura Delgado</t>
        </is>
      </c>
      <c r="P477" s="52" t="inlineStr">
        <is>
          <t>operacionesingesed@gmail.com</t>
        </is>
      </c>
    </row>
    <row r="478">
      <c r="B478" s="170" t="n">
        <v>467</v>
      </c>
      <c r="C478" s="199" t="inlineStr">
        <is>
          <t>COTIZACION DE LOS DISEÑOS DE PROTECCIÓN CONTRA INCENDIOS PARA EL PROYECTO SURA MOLINOS</t>
        </is>
      </c>
      <c r="D478" s="312" t="n"/>
      <c r="E478" s="312" t="n"/>
      <c r="F478" s="312" t="n"/>
      <c r="G478" s="312" t="n"/>
      <c r="H478" s="312" t="n"/>
      <c r="I478" s="313" t="n"/>
      <c r="J478" s="199" t="inlineStr">
        <is>
          <t>SPCI</t>
        </is>
      </c>
      <c r="K478" s="314" t="n">
        <v>3650000</v>
      </c>
      <c r="L478" s="2" t="n">
        <v>45566</v>
      </c>
      <c r="M478" s="170" t="n"/>
      <c r="N478" s="170" t="n">
        <v>3104165783</v>
      </c>
      <c r="O478" s="103" t="inlineStr">
        <is>
          <t>Cristiam Gustavo Mondragon</t>
        </is>
      </c>
      <c r="P478" s="52" t="inlineStr">
        <is>
          <t>dir.tecnico@spci.com.co</t>
        </is>
      </c>
    </row>
    <row r="479">
      <c r="B479" s="170" t="n">
        <v>468</v>
      </c>
      <c r="C479" s="246" t="inlineStr">
        <is>
          <t>COTIZACION DE LOS DISEÑOS DE PROTECCIÓN CONTRA INCENDIOS Y SEGURIDAD HUMANA PARA EL PROYECTO SUITE’S</t>
        </is>
      </c>
      <c r="D479" s="312" t="n"/>
      <c r="E479" s="312" t="n"/>
      <c r="F479" s="312" t="n"/>
      <c r="G479" s="312" t="n"/>
      <c r="H479" s="312" t="n"/>
      <c r="I479" s="313" t="n"/>
      <c r="J479" s="199" t="inlineStr">
        <is>
          <t>Sergio Rios</t>
        </is>
      </c>
      <c r="K479" s="314" t="n">
        <v>21950000</v>
      </c>
      <c r="L479" s="2" t="n">
        <v>45566</v>
      </c>
      <c r="M479" s="170" t="n"/>
      <c r="N479" s="170" t="n">
        <v>3155062553</v>
      </c>
      <c r="O479" s="103" t="inlineStr">
        <is>
          <t>Carmona Ríos Sergio</t>
        </is>
      </c>
      <c r="P479" s="52" t="inlineStr">
        <is>
          <t>scarmona@ains.com.co</t>
        </is>
      </c>
    </row>
    <row r="480">
      <c r="B480" s="170" t="n">
        <v>469</v>
      </c>
      <c r="C480" s="246" t="inlineStr">
        <is>
          <t xml:space="preserve">COTIZACION DE LOS DISEÑOS DE PROTECCIÓN CONTRA INCENDIOS Y SEGURIDAD HUMANA PARA EL PROYECTO APIA
</t>
        </is>
      </c>
      <c r="D480" s="312" t="n"/>
      <c r="E480" s="312" t="n"/>
      <c r="F480" s="312" t="n"/>
      <c r="G480" s="312" t="n"/>
      <c r="H480" s="312" t="n"/>
      <c r="I480" s="313" t="n"/>
      <c r="J480" s="199" t="inlineStr">
        <is>
          <t>Ingesed</t>
        </is>
      </c>
      <c r="K480" s="314" t="n">
        <v>15700000</v>
      </c>
      <c r="L480" s="2" t="n">
        <v>45566</v>
      </c>
      <c r="M480" s="170" t="n"/>
      <c r="N480" s="170" t="n"/>
      <c r="O480" s="103" t="inlineStr">
        <is>
          <t>Laura Delgado</t>
        </is>
      </c>
      <c r="P480" s="52" t="inlineStr">
        <is>
          <t>operacionesingesed@gmail.com</t>
        </is>
      </c>
    </row>
    <row r="481">
      <c r="B481" s="170" t="n">
        <v>470</v>
      </c>
      <c r="C481" s="233" t="inlineStr">
        <is>
          <t xml:space="preserve">COTIZACION DE LOS DISEÑOS DE PROTECCIÓN CONTRA INCENDIOS PARA EL PROYECTO LA CASTELLANA
</t>
        </is>
      </c>
      <c r="D481" s="312" t="n"/>
      <c r="E481" s="312" t="n"/>
      <c r="F481" s="312" t="n"/>
      <c r="G481" s="312" t="n"/>
      <c r="H481" s="312" t="n"/>
      <c r="I481" s="313" t="n"/>
      <c r="J481" s="199" t="inlineStr">
        <is>
          <t>NIVELUM</t>
        </is>
      </c>
      <c r="K481" s="328" t="n">
        <v>7530000</v>
      </c>
      <c r="L481" s="2" t="n">
        <v>45568</v>
      </c>
      <c r="M481" s="170" t="n"/>
      <c r="N481" s="314" t="inlineStr">
        <is>
          <t>311 715 25 49</t>
        </is>
      </c>
      <c r="O481" s="103" t="inlineStr">
        <is>
          <t xml:space="preserve">Alvaro Augusto Ortiz Garcia </t>
        </is>
      </c>
      <c r="P481" s="52" t="inlineStr">
        <is>
          <t>aortiz@nivelum.com</t>
        </is>
      </c>
    </row>
    <row r="482">
      <c r="B482" s="170" t="n">
        <v>471</v>
      </c>
      <c r="C482" s="246" t="inlineStr">
        <is>
          <t xml:space="preserve">COTIZACION DEL DISEÑO DE EXTINCIÓN DE INCENDIOS PARA EL PROYECTO FORMAS INTIMAS
</t>
        </is>
      </c>
      <c r="D482" s="312" t="n"/>
      <c r="E482" s="312" t="n"/>
      <c r="F482" s="312" t="n"/>
      <c r="G482" s="312" t="n"/>
      <c r="H482" s="312" t="n"/>
      <c r="I482" s="313" t="n"/>
      <c r="J482" s="199" t="inlineStr">
        <is>
          <t>FP Services SAS</t>
        </is>
      </c>
      <c r="K482" s="314" t="n">
        <v>7950000</v>
      </c>
      <c r="L482" s="2" t="n">
        <v>45567</v>
      </c>
      <c r="M482" s="170" t="n"/>
      <c r="N482" s="172" t="n"/>
      <c r="O482" s="103" t="inlineStr">
        <is>
          <t>Yhonatan Marin Ochoa</t>
        </is>
      </c>
      <c r="P482" s="52" t="inlineStr">
        <is>
          <t>proyectos.fpservices@gmail.com</t>
        </is>
      </c>
    </row>
    <row r="483">
      <c r="B483" s="170" t="n">
        <v>472</v>
      </c>
      <c r="C483" s="199" t="inlineStr">
        <is>
          <t>COTIZACION DE LOS DISEÑOS DE PROTECCIÓN CONTRA INCENDIOS Y SEGURIDAD HUMANA PARA EL PROYECTO CASA LLERAS</t>
        </is>
      </c>
      <c r="D483" s="312" t="n"/>
      <c r="E483" s="312" t="n"/>
      <c r="F483" s="312" t="n"/>
      <c r="G483" s="312" t="n"/>
      <c r="H483" s="312" t="n"/>
      <c r="I483" s="313" t="n"/>
      <c r="J483" s="199" t="inlineStr">
        <is>
          <t>Cristian Gañan</t>
        </is>
      </c>
      <c r="K483" s="314" t="n">
        <v>250000</v>
      </c>
      <c r="L483" s="2" t="n">
        <v>45567</v>
      </c>
      <c r="M483" s="170" t="n"/>
      <c r="N483" s="172" t="n"/>
      <c r="O483" s="103" t="n"/>
      <c r="P483" s="52" t="n"/>
    </row>
    <row r="484">
      <c r="B484" s="170" t="n">
        <v>473</v>
      </c>
      <c r="C484" s="246" t="inlineStr">
        <is>
          <t xml:space="preserve">COTIZACION DEL DISEÑO DE EXTINCIÓN DE INCENDIOS PARA EL PROYECTO ARENA BARRANQUILLA
</t>
        </is>
      </c>
      <c r="D484" s="312" t="n"/>
      <c r="E484" s="312" t="n"/>
      <c r="F484" s="312" t="n"/>
      <c r="G484" s="312" t="n"/>
      <c r="H484" s="312" t="n"/>
      <c r="I484" s="313" t="n"/>
      <c r="J484" s="199" t="inlineStr">
        <is>
          <t>CLK VENUES</t>
        </is>
      </c>
      <c r="K484" s="314" t="n">
        <v>54940000</v>
      </c>
      <c r="L484" s="2" t="n">
        <v>45568</v>
      </c>
      <c r="M484" s="170" t="n"/>
      <c r="N484" s="170" t="n"/>
      <c r="O484" s="103" t="inlineStr">
        <is>
          <t>Juan Camilo Montoya</t>
        </is>
      </c>
      <c r="P484" s="52" t="inlineStr">
        <is>
          <t>juan.montoya@clk.com.co</t>
        </is>
      </c>
    </row>
    <row r="485">
      <c r="B485" s="170" t="n">
        <v>474</v>
      </c>
      <c r="C485" s="246" t="inlineStr">
        <is>
          <t xml:space="preserve">COTIZACION DE LOS DISEÑOS DE PROTECCIÓN CONTRA INCENDIOS Y SEGURIDAD HUMANA PARA EL PROYECTO PANTANILLO
</t>
        </is>
      </c>
      <c r="D485" s="312" t="n"/>
      <c r="E485" s="312" t="n"/>
      <c r="F485" s="312" t="n"/>
      <c r="G485" s="312" t="n"/>
      <c r="H485" s="312" t="n"/>
      <c r="I485" s="313" t="n"/>
      <c r="J485" s="199" t="inlineStr">
        <is>
          <t>Javier Zapata</t>
        </is>
      </c>
      <c r="K485" s="314" t="n">
        <v>19950000</v>
      </c>
      <c r="L485" s="2" t="n">
        <v>45568</v>
      </c>
      <c r="M485" s="170" t="n"/>
      <c r="N485" s="170" t="n"/>
      <c r="O485" s="103" t="inlineStr">
        <is>
          <t>Javier Zapata</t>
        </is>
      </c>
      <c r="P485" s="52" t="inlineStr">
        <is>
          <t>javierzapa25@gmail.com</t>
        </is>
      </c>
    </row>
    <row r="486">
      <c r="B486" s="170" t="n">
        <v>475</v>
      </c>
      <c r="C486" s="233" t="inlineStr">
        <is>
          <t>COTIZACION DE LOS DISEÑOS DE PROTECCIÓN CONTRA INCENDIOS PARA EL PROYECTO ALUMINA EN ACOPY YUMBO</t>
        </is>
      </c>
      <c r="D486" s="312" t="n"/>
      <c r="E486" s="312" t="n"/>
      <c r="F486" s="312" t="n"/>
      <c r="G486" s="312" t="n"/>
      <c r="H486" s="312" t="n"/>
      <c r="I486" s="313" t="n"/>
      <c r="J486" s="199" t="inlineStr">
        <is>
          <t>Alumina SA</t>
        </is>
      </c>
      <c r="K486" s="314" t="n">
        <v>19950000</v>
      </c>
      <c r="L486" s="2" t="n">
        <v>45573</v>
      </c>
      <c r="M486" s="170" t="n"/>
      <c r="N486" s="170" t="n"/>
      <c r="O486" s="103" t="inlineStr">
        <is>
          <t>Maria Jose Mendez</t>
        </is>
      </c>
      <c r="P486" s="52" t="inlineStr">
        <is>
          <t>mmendez@alumina.com</t>
        </is>
      </c>
    </row>
    <row r="487">
      <c r="B487" s="170" t="n">
        <v>476</v>
      </c>
      <c r="C487" s="199" t="inlineStr">
        <is>
          <t>COTIZACION DEL DISEÑO DE EXTINCIÓN DE INCENDIOS PARA EL PROYECTO SUBESTACION - MANE</t>
        </is>
      </c>
      <c r="D487" s="312" t="n"/>
      <c r="E487" s="312" t="n"/>
      <c r="F487" s="312" t="n"/>
      <c r="G487" s="312" t="n"/>
      <c r="H487" s="312" t="n"/>
      <c r="I487" s="313" t="n"/>
      <c r="J487" s="199" t="inlineStr">
        <is>
          <t>prosoma</t>
        </is>
      </c>
      <c r="K487" s="314" t="n">
        <v>6900000</v>
      </c>
      <c r="L487" s="2" t="n">
        <v>45573</v>
      </c>
      <c r="M487" s="170" t="n"/>
      <c r="N487" s="170" t="n">
        <v>3147537411</v>
      </c>
      <c r="O487" s="102" t="inlineStr">
        <is>
          <t>Adolfo Flores Cossio</t>
        </is>
      </c>
      <c r="P487" s="82" t="inlineStr">
        <is>
          <t>proyectos@prosoma.com.co</t>
        </is>
      </c>
    </row>
    <row r="488">
      <c r="B488" s="170" t="n">
        <v>477</v>
      </c>
      <c r="C488" s="199" t="inlineStr">
        <is>
          <t>COTIZACION DEL DISEÑO DE EXTINCIÓN DE INCENDIOS PARA EL PROYECTO ESTANTERIAS DE ALMACEN -MANE</t>
        </is>
      </c>
      <c r="D488" s="312" t="n"/>
      <c r="E488" s="312" t="n"/>
      <c r="F488" s="312" t="n"/>
      <c r="G488" s="312" t="n"/>
      <c r="H488" s="312" t="n"/>
      <c r="I488" s="313" t="n"/>
      <c r="J488" s="199" t="inlineStr">
        <is>
          <t>prosoma</t>
        </is>
      </c>
      <c r="K488" s="314" t="n">
        <v>6270000</v>
      </c>
      <c r="L488" s="2" t="n">
        <v>45573</v>
      </c>
      <c r="M488" s="170" t="n"/>
      <c r="N488" s="170" t="n">
        <v>3147537411</v>
      </c>
      <c r="O488" s="102" t="inlineStr">
        <is>
          <t>Adolfo Flores Cossio</t>
        </is>
      </c>
      <c r="P488" s="82" t="inlineStr">
        <is>
          <t>proyectos@prosoma.com.co</t>
        </is>
      </c>
    </row>
    <row r="489">
      <c r="B489" s="170" t="n">
        <v>478</v>
      </c>
      <c r="C489" s="246" t="inlineStr">
        <is>
          <t xml:space="preserve">COTIZACION DEL DISEÑO DE EXTINCIÓN DE INCENDIOS PARA EL PROYECTO MEZANINE Y PASILLO PLANTA SABORES -MANE
</t>
        </is>
      </c>
      <c r="D489" s="312" t="n"/>
      <c r="E489" s="312" t="n"/>
      <c r="F489" s="312" t="n"/>
      <c r="G489" s="312" t="n"/>
      <c r="H489" s="312" t="n"/>
      <c r="I489" s="313" t="n"/>
      <c r="J489" s="199" t="inlineStr">
        <is>
          <t>prosoma</t>
        </is>
      </c>
      <c r="K489" s="314" t="n">
        <v>4770000</v>
      </c>
      <c r="L489" s="2" t="n">
        <v>45573</v>
      </c>
      <c r="M489" s="170" t="n"/>
      <c r="N489" s="170" t="n">
        <v>3147537411</v>
      </c>
      <c r="O489" s="102" t="inlineStr">
        <is>
          <t>Adolfo Flores Cossio</t>
        </is>
      </c>
      <c r="P489" s="82" t="inlineStr">
        <is>
          <t>proyectos@prosoma.com.co</t>
        </is>
      </c>
    </row>
    <row r="490">
      <c r="B490" s="170" t="n">
        <v>479</v>
      </c>
      <c r="C490" s="246" t="inlineStr">
        <is>
          <t xml:space="preserve">COTIZACION DEL DISEÑO DE EXTINCIÓN DE INCENDIOS PARA EL PROYECTO MEZANINE Y PASILLO PLANTA FRAGANCIAS - MANE
</t>
        </is>
      </c>
      <c r="D490" s="312" t="n"/>
      <c r="E490" s="312" t="n"/>
      <c r="F490" s="312" t="n"/>
      <c r="G490" s="312" t="n"/>
      <c r="H490" s="312" t="n"/>
      <c r="I490" s="313" t="n"/>
      <c r="J490" s="199" t="inlineStr">
        <is>
          <t>prosoma</t>
        </is>
      </c>
      <c r="K490" s="314" t="n">
        <v>4390000</v>
      </c>
      <c r="L490" s="2" t="n">
        <v>45573</v>
      </c>
      <c r="M490" s="170" t="n"/>
      <c r="N490" s="170" t="n">
        <v>3147537411</v>
      </c>
      <c r="O490" s="102" t="inlineStr">
        <is>
          <t>Adolfo Flores Cossio</t>
        </is>
      </c>
      <c r="P490" s="82" t="inlineStr">
        <is>
          <t>proyectos@prosoma.com.co</t>
        </is>
      </c>
    </row>
    <row r="491">
      <c r="B491" s="170" t="n">
        <v>480</v>
      </c>
      <c r="C491" s="199" t="inlineStr">
        <is>
          <t>COTIZACION DEL DISEÑO DE EXTINCIÓN DE INCENDIOS PARA EL PROYECTO CUARTO FRIO PLANTA SABORES - MANE</t>
        </is>
      </c>
      <c r="D491" s="312" t="n"/>
      <c r="E491" s="312" t="n"/>
      <c r="F491" s="312" t="n"/>
      <c r="G491" s="312" t="n"/>
      <c r="H491" s="312" t="n"/>
      <c r="I491" s="313" t="n"/>
      <c r="J491" s="199" t="inlineStr">
        <is>
          <t>prosoma</t>
        </is>
      </c>
      <c r="K491" s="314" t="n">
        <v>1880000</v>
      </c>
      <c r="L491" s="2" t="n">
        <v>45573</v>
      </c>
      <c r="M491" s="170" t="n"/>
      <c r="N491" s="170" t="n">
        <v>3147537411</v>
      </c>
      <c r="O491" s="102" t="inlineStr">
        <is>
          <t>Adolfo Flores Cossio</t>
        </is>
      </c>
      <c r="P491" s="82" t="inlineStr">
        <is>
          <t>proyectos@prosoma.com.co</t>
        </is>
      </c>
    </row>
    <row r="492">
      <c r="B492" s="170" t="n">
        <v>481</v>
      </c>
      <c r="C492" s="199" t="inlineStr">
        <is>
          <t>COTIZACION DEL DISEÑO DE EXTINCIÓN DE INCENDIOS PARA EL PROYECTO CUARTO FRIO PLANTA FRAGANCIAS - MANE</t>
        </is>
      </c>
      <c r="D492" s="312" t="n"/>
      <c r="E492" s="312" t="n"/>
      <c r="F492" s="312" t="n"/>
      <c r="G492" s="312" t="n"/>
      <c r="H492" s="312" t="n"/>
      <c r="I492" s="313" t="n"/>
      <c r="J492" s="199" t="inlineStr">
        <is>
          <t>prosoma</t>
        </is>
      </c>
      <c r="K492" s="314" t="n">
        <v>1880000</v>
      </c>
      <c r="L492" s="2" t="n">
        <v>45573</v>
      </c>
      <c r="M492" s="170" t="n"/>
      <c r="N492" s="170" t="n">
        <v>3147537411</v>
      </c>
      <c r="O492" s="102" t="inlineStr">
        <is>
          <t>Adolfo Flores Cossio</t>
        </is>
      </c>
      <c r="P492" s="82" t="inlineStr">
        <is>
          <t>proyectos@prosoma.com.co</t>
        </is>
      </c>
    </row>
    <row r="493">
      <c r="B493" s="170" t="n">
        <v>482</v>
      </c>
      <c r="C493" s="246" t="inlineStr">
        <is>
          <t>COTIZACION DE LOS DISEÑOS DE PROTECCIÓN CONTRA INCENDIOS PARA EL PROYECTO VERTICE 115</t>
        </is>
      </c>
      <c r="D493" s="312" t="n"/>
      <c r="E493" s="312" t="n"/>
      <c r="F493" s="312" t="n"/>
      <c r="G493" s="312" t="n"/>
      <c r="H493" s="312" t="n"/>
      <c r="I493" s="313" t="n"/>
      <c r="J493" s="199" t="inlineStr">
        <is>
          <t>Constructora las Agalias</t>
        </is>
      </c>
      <c r="K493" s="314" t="inlineStr">
        <is>
          <t>No se presentó, se venció el tiempo</t>
        </is>
      </c>
      <c r="L493" s="2" t="n">
        <v>45574</v>
      </c>
      <c r="M493" s="170" t="n"/>
      <c r="N493" s="170" t="inlineStr">
        <is>
          <t>(601) 7455179</t>
        </is>
      </c>
      <c r="O493" s="103" t="n"/>
      <c r="P493" s="52" t="n"/>
    </row>
    <row r="494">
      <c r="B494" s="170" t="n">
        <v>483</v>
      </c>
      <c r="C494" s="199" t="inlineStr">
        <is>
          <t>COTIZACION DEL DISEÑO DE EXTINCIÓN DE INCENDIOS PARA EL PROYECTO EDIFICIO RIVERIE</t>
        </is>
      </c>
      <c r="D494" s="312" t="n"/>
      <c r="E494" s="312" t="n"/>
      <c r="F494" s="312" t="n"/>
      <c r="G494" s="312" t="n"/>
      <c r="H494" s="312" t="n"/>
      <c r="I494" s="313" t="n"/>
      <c r="J494" s="199" t="inlineStr">
        <is>
          <t>Constructora House</t>
        </is>
      </c>
      <c r="K494" s="314" t="n">
        <v>8950000</v>
      </c>
      <c r="L494" s="2" t="n">
        <v>45569</v>
      </c>
      <c r="M494" s="170" t="n"/>
      <c r="N494" s="170" t="n"/>
      <c r="O494" s="103" t="inlineStr">
        <is>
          <t>Constructora House</t>
        </is>
      </c>
      <c r="P494" s="52" t="inlineStr">
        <is>
          <t>constructora.house19@gmail.com</t>
        </is>
      </c>
    </row>
    <row r="495">
      <c r="B495" s="170" t="n">
        <v>484</v>
      </c>
      <c r="C495" s="199" t="inlineStr">
        <is>
          <t>COTIZACION DEL DISEÑO DE EXTINCIÓN DE INCENDIOS PARA EL PROYECTO SMURFIT KAPPA</t>
        </is>
      </c>
      <c r="D495" s="312" t="n"/>
      <c r="E495" s="312" t="n"/>
      <c r="F495" s="312" t="n"/>
      <c r="G495" s="312" t="n"/>
      <c r="H495" s="312" t="n"/>
      <c r="I495" s="313" t="n"/>
      <c r="J495" s="199" t="inlineStr">
        <is>
          <t>Seriinco</t>
        </is>
      </c>
      <c r="K495" s="314" t="n">
        <v>6270000</v>
      </c>
      <c r="L495" s="2" t="n">
        <v>45573</v>
      </c>
      <c r="M495" s="170" t="n"/>
      <c r="N495" s="170" t="n">
        <v>3113391008</v>
      </c>
      <c r="O495" s="103" t="inlineStr">
        <is>
          <t>Carlos Henao</t>
        </is>
      </c>
      <c r="P495" s="52" t="inlineStr">
        <is>
          <t>carlos.henao@seriinco.com</t>
        </is>
      </c>
    </row>
    <row r="496">
      <c r="B496" s="170" t="n">
        <v>485</v>
      </c>
      <c r="C496" s="246" t="inlineStr">
        <is>
          <t>COTIZACION DE LOS DISEÑOS DE PROTECCIÓN CONTRA INCENDIOS PARA EL PROYECTO OLIUM PARK</t>
        </is>
      </c>
      <c r="D496" s="312" t="n"/>
      <c r="E496" s="312" t="n"/>
      <c r="F496" s="312" t="n"/>
      <c r="G496" s="312" t="n"/>
      <c r="H496" s="312" t="n"/>
      <c r="I496" s="313" t="n"/>
      <c r="J496" s="199" t="inlineStr">
        <is>
          <t>Progressa</t>
        </is>
      </c>
      <c r="K496" s="314" t="n">
        <v>18750000</v>
      </c>
      <c r="L496" s="2" t="n">
        <v>45572</v>
      </c>
      <c r="M496" s="170" t="n"/>
      <c r="N496" s="170" t="n"/>
      <c r="O496" s="103" t="inlineStr">
        <is>
          <t>Juan Andres Cassares</t>
        </is>
      </c>
      <c r="P496" s="52" t="inlineStr">
        <is>
          <t>residenteadministrativo@progressa.com.co</t>
        </is>
      </c>
    </row>
    <row r="497">
      <c r="B497" s="170" t="n">
        <v>486</v>
      </c>
      <c r="C497" s="199" t="inlineStr">
        <is>
          <t>COTIZACION DE LOS DISEÑOS DE PROTECCIÓN CONTRA INCENDIOS Y SEGURIDAD HUMANA PARA EL PROYECTO BELISARIO BAR</t>
        </is>
      </c>
      <c r="D497" s="312" t="n"/>
      <c r="E497" s="312" t="n"/>
      <c r="F497" s="312" t="n"/>
      <c r="G497" s="312" t="n"/>
      <c r="H497" s="312" t="n"/>
      <c r="I497" s="313" t="n"/>
      <c r="J497" s="199" t="inlineStr">
        <is>
          <t>Detectar Systems</t>
        </is>
      </c>
      <c r="K497" s="314" t="n">
        <v>11050000</v>
      </c>
      <c r="L497" s="2" t="n">
        <v>45572</v>
      </c>
      <c r="M497" s="170" t="n"/>
      <c r="N497" s="170" t="n"/>
      <c r="O497" s="102" t="inlineStr">
        <is>
          <t>Juan Santiago Londoño</t>
        </is>
      </c>
      <c r="P497" s="82" t="inlineStr">
        <is>
          <t>detectarsystems@gmail.com</t>
        </is>
      </c>
    </row>
    <row r="498">
      <c r="B498" s="170" t="n">
        <v>487</v>
      </c>
      <c r="C498" s="233" t="inlineStr">
        <is>
          <t>COTIZACION DEL DISEÑO DE EXTINCIÓN DE INCENDIOS PARA EL PROYECTO SUBESTACION FAMILIA</t>
        </is>
      </c>
      <c r="D498" s="312" t="n"/>
      <c r="E498" s="312" t="n"/>
      <c r="F498" s="312" t="n"/>
      <c r="G498" s="312" t="n"/>
      <c r="H498" s="312" t="n"/>
      <c r="I498" s="313" t="n"/>
      <c r="J498" s="199" t="inlineStr">
        <is>
          <t>seriinco</t>
        </is>
      </c>
      <c r="K498" s="314" t="n">
        <v>6000000</v>
      </c>
      <c r="L498" s="2" t="n">
        <v>45573</v>
      </c>
      <c r="M498" s="170" t="n"/>
      <c r="N498" s="170" t="n">
        <v>3113391008</v>
      </c>
      <c r="O498" s="103" t="inlineStr">
        <is>
          <t>Carlos Henao</t>
        </is>
      </c>
      <c r="P498" s="52" t="inlineStr">
        <is>
          <t>carlos.henao@seriinco.com</t>
        </is>
      </c>
    </row>
    <row r="499">
      <c r="B499" s="170" t="n">
        <v>488</v>
      </c>
      <c r="C499" s="199" t="inlineStr">
        <is>
          <t>COTIZACION DEL DISEÑO DE DETECCIÓN DE INCENDIOS PARA EL PROYECTO MOLINO SAN MIGUEL</t>
        </is>
      </c>
      <c r="D499" s="312" t="n"/>
      <c r="E499" s="312" t="n"/>
      <c r="F499" s="312" t="n"/>
      <c r="G499" s="312" t="n"/>
      <c r="H499" s="312" t="n"/>
      <c r="I499" s="313" t="n"/>
      <c r="J499" s="199" t="inlineStr">
        <is>
          <t>Seriinco</t>
        </is>
      </c>
      <c r="K499" s="314" t="n">
        <v>2950000</v>
      </c>
      <c r="L499" s="2" t="n">
        <v>45573</v>
      </c>
      <c r="M499" s="170" t="n"/>
      <c r="N499" s="170" t="n">
        <v>3116460496</v>
      </c>
      <c r="O499" s="103" t="inlineStr">
        <is>
          <t>Francisco Unda</t>
        </is>
      </c>
      <c r="P499" s="82" t="inlineStr">
        <is>
          <t>Francisco Unda</t>
        </is>
      </c>
    </row>
    <row r="500">
      <c r="B500" s="170" t="n">
        <v>489</v>
      </c>
      <c r="C500" s="246" t="inlineStr">
        <is>
          <t>COTIZACION DEL ANÁLISIS DE SEGURIDAD HUMANA PARA EL PROYECTO HOGAR ADULTO MAYOR CALI</t>
        </is>
      </c>
      <c r="D500" s="312" t="n"/>
      <c r="E500" s="312" t="n"/>
      <c r="F500" s="312" t="n"/>
      <c r="G500" s="312" t="n"/>
      <c r="H500" s="312" t="n"/>
      <c r="I500" s="313" t="n"/>
      <c r="J500" s="199" t="inlineStr">
        <is>
          <t>Jhon Ocampo arquitectura</t>
        </is>
      </c>
      <c r="K500" s="314" t="n">
        <v>6950000</v>
      </c>
      <c r="L500" s="2" t="n">
        <v>45572</v>
      </c>
      <c r="M500" s="170" t="n"/>
      <c r="N500" s="170" t="n">
        <v>3108214070</v>
      </c>
      <c r="O500" s="102" t="inlineStr">
        <is>
          <t>Jhon Ocampo</t>
        </is>
      </c>
      <c r="P500" s="52" t="inlineStr">
        <is>
          <t>Jhonocampoarq@gmail.com</t>
        </is>
      </c>
    </row>
    <row r="501">
      <c r="B501" s="170" t="n">
        <v>490</v>
      </c>
      <c r="C501" s="246" t="inlineStr">
        <is>
          <t>COTIZACION DE LOS DISEÑOS DE PROTECCIÓN CONTRA INCENDIOS PARA EL PROYECTO HOGAR ADULTO MAYOR CALI</t>
        </is>
      </c>
      <c r="D501" s="312" t="n"/>
      <c r="E501" s="312" t="n"/>
      <c r="F501" s="312" t="n"/>
      <c r="G501" s="312" t="n"/>
      <c r="H501" s="312" t="n"/>
      <c r="I501" s="313" t="n"/>
      <c r="J501" s="199" t="inlineStr">
        <is>
          <t>Jhon Ocampo arquitectura</t>
        </is>
      </c>
      <c r="K501" s="314" t="n">
        <v>26950000</v>
      </c>
      <c r="L501" s="2" t="n">
        <v>45572</v>
      </c>
      <c r="M501" s="170" t="n"/>
      <c r="N501" s="170" t="n">
        <v>3108214070</v>
      </c>
      <c r="O501" s="102" t="inlineStr">
        <is>
          <t>Jhon Ocampo</t>
        </is>
      </c>
      <c r="P501" s="52" t="inlineStr">
        <is>
          <t>Jhonocampoarq@gmail.com</t>
        </is>
      </c>
    </row>
    <row r="502">
      <c r="B502" s="170" t="n">
        <v>491</v>
      </c>
      <c r="C502" s="233" t="inlineStr">
        <is>
          <t>COTIZACION DE LOS DISEÑOS DE PROTECCIÓN CONTRA INCENDIOS Y SEGURIDAD HUMANA PARA EL PROYECTO EL CARMEN COLONIAL ETAPA 3</t>
        </is>
      </c>
      <c r="D502" s="312" t="n"/>
      <c r="E502" s="312" t="n"/>
      <c r="F502" s="312" t="n"/>
      <c r="G502" s="312" t="n"/>
      <c r="H502" s="312" t="n"/>
      <c r="I502" s="313" t="n"/>
      <c r="J502" s="199" t="inlineStr">
        <is>
          <t>Socomes</t>
        </is>
      </c>
      <c r="K502" s="314" t="n">
        <v>11920000</v>
      </c>
      <c r="L502" s="2" t="n">
        <v>45574</v>
      </c>
      <c r="M502" s="170" t="n"/>
      <c r="N502" s="170" t="n">
        <v>3137851941</v>
      </c>
      <c r="O502" s="103" t="inlineStr">
        <is>
          <t>David Lopera Medina</t>
        </is>
      </c>
      <c r="P502" s="52" t="inlineStr">
        <is>
          <t>david.lopera@socomes.com</t>
        </is>
      </c>
    </row>
    <row r="503">
      <c r="B503" s="170" t="n">
        <v>492</v>
      </c>
      <c r="C503" s="233" t="inlineStr">
        <is>
          <t>COTIZACION DE LOS DISEÑOS DE PROTECCIÓN CONTRA INCENDIOS PARA EL PROYECTO EBS OGANE</t>
        </is>
      </c>
      <c r="D503" s="312" t="n"/>
      <c r="E503" s="312" t="n"/>
      <c r="F503" s="312" t="n"/>
      <c r="G503" s="312" t="n"/>
      <c r="H503" s="312" t="n"/>
      <c r="I503" s="313" t="n"/>
      <c r="J503" s="199" t="inlineStr">
        <is>
          <t>CEAD N.V</t>
        </is>
      </c>
      <c r="K503" s="314" t="n">
        <v>9500</v>
      </c>
      <c r="L503" s="2" t="n">
        <v>45574</v>
      </c>
      <c r="M503" s="170" t="n"/>
      <c r="N503" s="170" t="n">
        <v>5978896976</v>
      </c>
      <c r="O503" s="103" t="inlineStr">
        <is>
          <t>Demi Tjang-A-Sjin</t>
        </is>
      </c>
      <c r="P503" s="52" t="inlineStr">
        <is>
          <t>d.tjang-a-sjin@ceadnv.com</t>
        </is>
      </c>
    </row>
    <row r="504">
      <c r="B504" s="170" t="n">
        <v>493</v>
      </c>
      <c r="C504" s="199" t="inlineStr">
        <is>
          <t>COTIZACION DEL DISEÑO DE EXTINCIÓN DE INCENDIOS PARA EL PROYECTO PANIFICADORA PRODUPAN</t>
        </is>
      </c>
      <c r="D504" s="312" t="n"/>
      <c r="E504" s="312" t="n"/>
      <c r="F504" s="312" t="n"/>
      <c r="G504" s="312" t="n"/>
      <c r="H504" s="312" t="n"/>
      <c r="I504" s="313" t="n"/>
      <c r="J504" s="199" t="inlineStr">
        <is>
          <t>FP Services SAS</t>
        </is>
      </c>
      <c r="K504" s="314" t="inlineStr">
        <is>
          <t>Esperando visita</t>
        </is>
      </c>
      <c r="L504" s="2" t="n">
        <v>45574</v>
      </c>
      <c r="M504" s="170" t="n"/>
      <c r="N504" s="170" t="n">
        <v>3104513967</v>
      </c>
      <c r="O504" s="102" t="inlineStr">
        <is>
          <t>Julio Milan Trujillo</t>
        </is>
      </c>
      <c r="P504" s="52" t="inlineStr">
        <is>
          <t>juliomillan@fpservices.com.co</t>
        </is>
      </c>
    </row>
    <row r="505">
      <c r="B505" s="170" t="n">
        <v>494</v>
      </c>
      <c r="C505" s="199" t="inlineStr">
        <is>
          <t>COTIZACION DE LOS DISEÑOS DE PROTECCIÓN CONTRA INCENDIOS Y SEGURIDAD HUMANA PARA EL PROYECTO LOTE LORETO ETAPAS 1 Y 2</t>
        </is>
      </c>
      <c r="D505" s="312" t="n"/>
      <c r="E505" s="312" t="n"/>
      <c r="F505" s="312" t="n"/>
      <c r="G505" s="312" t="n"/>
      <c r="H505" s="312" t="n"/>
      <c r="I505" s="313" t="n"/>
      <c r="J505" s="199" t="inlineStr">
        <is>
          <t>CONINSA</t>
        </is>
      </c>
      <c r="K505" s="314" t="n">
        <v>55090000</v>
      </c>
      <c r="L505" s="2" t="n">
        <v>45578</v>
      </c>
      <c r="M505" s="170" t="n"/>
      <c r="N505" s="170" t="inlineStr">
        <is>
          <t>300 754 96 49</t>
        </is>
      </c>
      <c r="O505" s="102" t="inlineStr">
        <is>
          <t>Zully Milena Lopez Molina</t>
        </is>
      </c>
      <c r="P505" s="52" t="inlineStr">
        <is>
          <t>zmlopez@coninsa.co</t>
        </is>
      </c>
    </row>
    <row r="506" ht="15" customHeight="1">
      <c r="B506" s="170" t="n">
        <v>495</v>
      </c>
      <c r="C506" s="199" t="inlineStr">
        <is>
          <t>COTIZACION DEL DISEÑO DE DETECCIÓN DE INCENDIOS PARA EL PROYECTO VISITA COMERCIAL BARRANQUILLA</t>
        </is>
      </c>
      <c r="D506" s="312" t="n"/>
      <c r="E506" s="312" t="n"/>
      <c r="F506" s="312" t="n"/>
      <c r="G506" s="312" t="n"/>
      <c r="H506" s="312" t="n"/>
      <c r="I506" s="313" t="n"/>
      <c r="J506" s="199" t="inlineStr">
        <is>
          <t>SPCI</t>
        </is>
      </c>
      <c r="K506" s="314" t="n">
        <v>9900000</v>
      </c>
      <c r="L506" s="2" t="n">
        <v>45578</v>
      </c>
      <c r="M506" s="170" t="n"/>
      <c r="N506" s="170" t="n">
        <v>3104165783</v>
      </c>
      <c r="O506" s="103" t="inlineStr">
        <is>
          <t>Cristiam Gustavo Mondragon</t>
        </is>
      </c>
      <c r="P506" s="52" t="inlineStr">
        <is>
          <t>dir.tecnico@spci.com.co</t>
        </is>
      </c>
    </row>
    <row r="507" ht="15" customHeight="1">
      <c r="B507" s="170" t="n">
        <v>496</v>
      </c>
      <c r="C507" s="199" t="inlineStr">
        <is>
          <t>COTIZACION DE LOS DISEÑOS DE PROTECCIÓN CONTRA INCENDIOS Y SEGURIDAD HUMANA PARA EL PROYECTO SAN CAYETANO (ROSSE)</t>
        </is>
      </c>
      <c r="D507" s="312" t="n"/>
      <c r="E507" s="312" t="n"/>
      <c r="F507" s="312" t="n"/>
      <c r="G507" s="312" t="n"/>
      <c r="H507" s="312" t="n"/>
      <c r="I507" s="313" t="n"/>
      <c r="J507" s="199" t="inlineStr">
        <is>
          <t>Arquitectura y Concreto</t>
        </is>
      </c>
      <c r="K507" s="314" t="n">
        <v>38850000</v>
      </c>
      <c r="L507" s="2" t="n">
        <v>45574</v>
      </c>
      <c r="M507" s="170" t="n"/>
      <c r="N507" s="170" t="n">
        <v>3127218621</v>
      </c>
      <c r="O507" s="103" t="inlineStr">
        <is>
          <t xml:space="preserve"> ROBINSON MARULANDA GUARIN</t>
        </is>
      </c>
      <c r="P507" s="52" t="inlineStr">
        <is>
          <t>robinsonmarulanda@arquitecturayconcreto.com</t>
        </is>
      </c>
    </row>
    <row r="508">
      <c r="B508" s="170" t="n">
        <v>497</v>
      </c>
      <c r="C508" s="199" t="inlineStr">
        <is>
          <t>COTIZACION DE LOS DISEÑOS DE DETECCIÓN DE INCENDIOS Y SEGURIDAD HUMANA PARA EL PROYECTO SALA DE EVENTOS BC ATRIO</t>
        </is>
      </c>
      <c r="D508" s="312" t="n"/>
      <c r="E508" s="312" t="n"/>
      <c r="F508" s="312" t="n"/>
      <c r="G508" s="312" t="n"/>
      <c r="H508" s="312" t="n"/>
      <c r="I508" s="313" t="n"/>
      <c r="J508" s="199" t="inlineStr">
        <is>
          <t>STUDIO SUR</t>
        </is>
      </c>
      <c r="K508" s="314" t="n">
        <v>8950000</v>
      </c>
      <c r="L508" s="2" t="n">
        <v>45574</v>
      </c>
      <c r="M508" s="170" t="n"/>
      <c r="N508" s="170" t="n">
        <v>5712357612</v>
      </c>
      <c r="O508" s="103" t="inlineStr">
        <is>
          <t>Laura Arias</t>
        </is>
      </c>
      <c r="P508" s="52" t="inlineStr">
        <is>
          <t>laura.arias@studiosur.net</t>
        </is>
      </c>
    </row>
    <row r="509" ht="15" customHeight="1">
      <c r="B509" s="170" t="n">
        <v>498</v>
      </c>
      <c r="C509" s="199" t="inlineStr">
        <is>
          <t>COTIZACION DEL ANÁLISIS DE SEGURIDAD HUMANA PARA EL PROYECTO BOHO</t>
        </is>
      </c>
      <c r="D509" s="312" t="n"/>
      <c r="E509" s="312" t="n"/>
      <c r="F509" s="312" t="n"/>
      <c r="G509" s="312" t="n"/>
      <c r="H509" s="312" t="n"/>
      <c r="I509" s="313" t="n"/>
      <c r="J509" s="199" t="inlineStr">
        <is>
          <t xml:space="preserve"> Boho Investment SAS</t>
        </is>
      </c>
      <c r="K509" s="314" t="n">
        <v>5950000</v>
      </c>
      <c r="L509" s="2" t="n">
        <v>45576</v>
      </c>
      <c r="M509" s="170" t="n"/>
      <c r="N509" s="170" t="n">
        <v>3212010693</v>
      </c>
      <c r="O509" s="103" t="inlineStr">
        <is>
          <t>Juan David Castiblanco Lopez</t>
        </is>
      </c>
      <c r="P509" s="52" t="inlineStr">
        <is>
          <t>tecnicoboho@gmail.com</t>
        </is>
      </c>
    </row>
    <row r="510">
      <c r="B510" s="170" t="n">
        <v>499</v>
      </c>
      <c r="C510" s="233" t="inlineStr">
        <is>
          <t>COTIZACION DE LOS DISEÑOS DE EXTINCIÓN DE INCENDIOS Y SEGURIDAD HUMANA PARA EL PROYECTO LOCAL TEOCELL</t>
        </is>
      </c>
      <c r="D510" s="312" t="n"/>
      <c r="E510" s="312" t="n"/>
      <c r="F510" s="312" t="n"/>
      <c r="G510" s="312" t="n"/>
      <c r="H510" s="312" t="n"/>
      <c r="I510" s="313" t="n"/>
      <c r="J510" s="199" t="inlineStr">
        <is>
          <t>Ingesed</t>
        </is>
      </c>
      <c r="K510" s="314" t="n">
        <v>2190000</v>
      </c>
      <c r="L510" s="2" t="n">
        <v>45576</v>
      </c>
      <c r="M510" s="170" t="n"/>
      <c r="N510" s="170" t="inlineStr">
        <is>
          <t>321 8338189</t>
        </is>
      </c>
      <c r="O510" s="103" t="inlineStr">
        <is>
          <t>Laura Delgado</t>
        </is>
      </c>
      <c r="P510" s="52" t="inlineStr">
        <is>
          <t>operacionesingesed@gmail.com</t>
        </is>
      </c>
    </row>
    <row r="511" ht="15" customHeight="1">
      <c r="B511" s="170" t="n">
        <v>500</v>
      </c>
      <c r="C511" s="233" t="inlineStr">
        <is>
          <t>COTIZACION DE LOS DISEÑOS DE PROTECCIÓN CONTRA INCENDIOS Y SEGURIDAD HUMANA PARA EL PROYECTO KUA COLIVING LAURELES</t>
        </is>
      </c>
      <c r="D511" s="312" t="n"/>
      <c r="E511" s="312" t="n"/>
      <c r="F511" s="312" t="n"/>
      <c r="G511" s="312" t="n"/>
      <c r="H511" s="312" t="n"/>
      <c r="I511" s="313" t="n"/>
      <c r="J511" s="199" t="inlineStr">
        <is>
          <t>ESPIRAL STUDIO</t>
        </is>
      </c>
      <c r="K511" s="314" t="n">
        <v>12650000</v>
      </c>
      <c r="L511" s="2" t="n">
        <v>45577</v>
      </c>
      <c r="M511" s="170" t="n"/>
      <c r="N511" s="170" t="n">
        <v>3017202332</v>
      </c>
      <c r="O511" s="103" t="inlineStr">
        <is>
          <t>Julian Gutierrez</t>
        </is>
      </c>
      <c r="P511" s="52" t="inlineStr">
        <is>
          <t>julian.gutierrez@espiral.com.co</t>
        </is>
      </c>
    </row>
    <row r="512">
      <c r="B512" s="170" t="n">
        <v>501</v>
      </c>
      <c r="C512" s="233" t="inlineStr">
        <is>
          <t>COTIZACION DEL DISEÑO DE EXTINCIÓN DE INCENDIOS PARA EL PROYECTO REVISION PROYECTO PLANTA DE ALMACENAMIENTO WEST QUIMICA</t>
        </is>
      </c>
      <c r="D512" s="312" t="n"/>
      <c r="E512" s="312" t="n"/>
      <c r="F512" s="312" t="n"/>
      <c r="G512" s="312" t="n"/>
      <c r="H512" s="312" t="n"/>
      <c r="I512" s="313" t="n"/>
      <c r="J512" s="199" t="inlineStr">
        <is>
          <t>Electroquimica Wes SA</t>
        </is>
      </c>
      <c r="K512" s="314" t="n">
        <v>250000</v>
      </c>
      <c r="L512" s="2" t="n">
        <v>45576</v>
      </c>
      <c r="M512" s="170" t="n"/>
      <c r="N512" s="170" t="n">
        <v>3227013</v>
      </c>
      <c r="O512" s="103" t="inlineStr">
        <is>
          <t>Danna Paulina Obregon Grisales</t>
        </is>
      </c>
      <c r="P512" s="52" t="inlineStr">
        <is>
          <t>dpobregon@westquimica.com</t>
        </is>
      </c>
    </row>
    <row r="513">
      <c r="B513" s="170" t="n">
        <v>502</v>
      </c>
      <c r="C513" s="246" t="inlineStr">
        <is>
          <t xml:space="preserve">COTIZACION DE LOS DISEÑOS DE PROTECCIÓN CONTRA INCENDIOS Y SEGURIDAD HUMANA PARA EL PROYECTO ENZO
</t>
        </is>
      </c>
      <c r="D513" s="312" t="n"/>
      <c r="E513" s="312" t="n"/>
      <c r="F513" s="312" t="n"/>
      <c r="G513" s="312" t="n"/>
      <c r="H513" s="312" t="n"/>
      <c r="I513" s="313" t="n"/>
      <c r="J513" s="199" t="inlineStr">
        <is>
          <t>Ingesed</t>
        </is>
      </c>
      <c r="K513" s="314" t="inlineStr">
        <is>
          <t>variable</t>
        </is>
      </c>
      <c r="L513" s="2" t="n">
        <v>45576</v>
      </c>
      <c r="M513" s="170" t="n"/>
      <c r="N513" s="170" t="inlineStr">
        <is>
          <t>321 8338189</t>
        </is>
      </c>
      <c r="O513" s="103" t="inlineStr">
        <is>
          <t>Laura Delgado</t>
        </is>
      </c>
      <c r="P513" s="52" t="inlineStr">
        <is>
          <t>operacionesingesed@gmail.com</t>
        </is>
      </c>
    </row>
    <row r="514">
      <c r="B514" s="170" t="n">
        <v>503</v>
      </c>
      <c r="C514" s="199" t="inlineStr">
        <is>
          <t>COTIZACION DEL DISEÑO DE EXTINCIÓN DE INCENDIOS PARA EL PROYECTO PISO -1 CLÍNICA OFTALMOLÓGICA</t>
        </is>
      </c>
      <c r="D514" s="312" t="n"/>
      <c r="E514" s="312" t="n"/>
      <c r="F514" s="312" t="n"/>
      <c r="G514" s="312" t="n"/>
      <c r="H514" s="312" t="n"/>
      <c r="I514" s="313" t="n"/>
      <c r="J514" s="199" t="inlineStr">
        <is>
          <t>SPCI</t>
        </is>
      </c>
      <c r="K514" s="314" t="n">
        <v>2190000</v>
      </c>
      <c r="L514" s="2" t="n">
        <v>45581</v>
      </c>
      <c r="M514" s="170" t="n"/>
      <c r="N514" s="170" t="n">
        <v>3137546144</v>
      </c>
      <c r="O514" s="102" t="inlineStr">
        <is>
          <t xml:space="preserve"> Juan Camilo Quintero Bedoya</t>
        </is>
      </c>
      <c r="P514" s="52" t="inlineStr">
        <is>
          <t>camilo.quintero@spci.com.co</t>
        </is>
      </c>
    </row>
    <row r="515">
      <c r="B515" s="170" t="n">
        <v>504</v>
      </c>
      <c r="C515" s="199" t="inlineStr">
        <is>
          <t>COTIZACION DEL DISEÑO DE DETECCIÓN DE INCENDIOS - CCM PLANTA ORANGE FAMILIA</t>
        </is>
      </c>
      <c r="D515" s="312" t="n"/>
      <c r="E515" s="312" t="n"/>
      <c r="F515" s="312" t="n"/>
      <c r="G515" s="312" t="n"/>
      <c r="H515" s="312" t="n"/>
      <c r="I515" s="313" t="n"/>
      <c r="J515" s="199" t="inlineStr">
        <is>
          <t>Seriinco</t>
        </is>
      </c>
      <c r="K515" s="314" t="n">
        <v>3950000</v>
      </c>
      <c r="L515" s="2" t="n">
        <v>45582</v>
      </c>
      <c r="M515" s="170" t="n"/>
      <c r="N515" s="170" t="n">
        <v>3113391008</v>
      </c>
      <c r="O515" s="103" t="inlineStr">
        <is>
          <t>Carlos Henao</t>
        </is>
      </c>
      <c r="P515" s="52" t="inlineStr">
        <is>
          <t>carlos.henao@seriinco.com</t>
        </is>
      </c>
    </row>
    <row r="516">
      <c r="B516" s="170" t="n">
        <v>505</v>
      </c>
      <c r="C516" s="246" t="inlineStr">
        <is>
          <t>COTIZACION DEL DISEÑO DE DETECCIÓN DE INCENDIOS - IMUSA RIONEGRO</t>
        </is>
      </c>
      <c r="D516" s="312" t="n"/>
      <c r="E516" s="312" t="n"/>
      <c r="F516" s="312" t="n"/>
      <c r="G516" s="312" t="n"/>
      <c r="H516" s="312" t="n"/>
      <c r="I516" s="313" t="n"/>
      <c r="J516" s="199" t="inlineStr">
        <is>
          <t>SPCI</t>
        </is>
      </c>
      <c r="K516" s="314" t="n">
        <v>6900000</v>
      </c>
      <c r="L516" s="2" t="n">
        <v>45582</v>
      </c>
      <c r="M516" s="170" t="n"/>
      <c r="N516" s="170" t="n">
        <v>3104165783</v>
      </c>
      <c r="O516" s="103" t="inlineStr">
        <is>
          <t>Cristiam Gustavo Mondragon</t>
        </is>
      </c>
      <c r="P516" s="52" t="inlineStr">
        <is>
          <t>dir.tecnico@spci.com.co</t>
        </is>
      </c>
    </row>
    <row r="517">
      <c r="B517" s="170" t="n">
        <v>506</v>
      </c>
      <c r="C517" s="246" t="inlineStr">
        <is>
          <t>COTIZACION DEL LEVANTAMIENTO Y ELABORACIÓN DE PLANOS BÁSICOS - IMUSA RIONEGRO</t>
        </is>
      </c>
      <c r="D517" s="312" t="n"/>
      <c r="E517" s="312" t="n"/>
      <c r="F517" s="312" t="n"/>
      <c r="G517" s="312" t="n"/>
      <c r="H517" s="312" t="n"/>
      <c r="I517" s="313" t="n"/>
      <c r="J517" s="199" t="inlineStr">
        <is>
          <t>SPCI</t>
        </is>
      </c>
      <c r="K517" s="314" t="n">
        <v>2600000</v>
      </c>
      <c r="L517" s="2" t="n">
        <v>45582</v>
      </c>
      <c r="M517" s="170" t="n"/>
      <c r="N517" s="170" t="n">
        <v>3104165783</v>
      </c>
      <c r="O517" s="103" t="inlineStr">
        <is>
          <t>Cristiam Gustavo Mondragon</t>
        </is>
      </c>
      <c r="P517" s="52" t="inlineStr">
        <is>
          <t>dir.tecnico@spci.com.co</t>
        </is>
      </c>
    </row>
    <row r="518">
      <c r="B518" s="170" t="n">
        <v>507</v>
      </c>
      <c r="C518" s="199" t="inlineStr">
        <is>
          <t>COTIZACION DEL ANÁLISIS DE SEGURIDAD HUMANA PARA EL PROYECTO ALKOSTO MOSQUERA</t>
        </is>
      </c>
      <c r="D518" s="312" t="n"/>
      <c r="E518" s="312" t="n"/>
      <c r="F518" s="312" t="n"/>
      <c r="G518" s="312" t="n"/>
      <c r="H518" s="312" t="n"/>
      <c r="I518" s="313" t="n"/>
      <c r="J518" s="199" t="inlineStr">
        <is>
          <t>Master Plan Ingenieria</t>
        </is>
      </c>
      <c r="K518" s="314" t="inlineStr">
        <is>
          <t>No se presentó</t>
        </is>
      </c>
      <c r="L518" s="2" t="n">
        <v>45583</v>
      </c>
      <c r="M518" s="170" t="n"/>
      <c r="N518" s="170" t="n">
        <v>3175832887</v>
      </c>
      <c r="O518" s="103" t="inlineStr">
        <is>
          <t>Paola Cruz</t>
        </is>
      </c>
      <c r="P518" s="52" t="inlineStr">
        <is>
          <t>paola.cruz@masterplan.com.co</t>
        </is>
      </c>
    </row>
    <row r="519">
      <c r="B519" s="170" t="n">
        <v>508</v>
      </c>
      <c r="C519" s="199" t="inlineStr">
        <is>
          <t>COTIZACION DE LOS DISEÑOS DE PROTECCIÓN CONTRA INCENDIOS Y SEGURIDAD HUMANA PARA EL PROYECTO RHY7</t>
        </is>
      </c>
      <c r="D519" s="312" t="n"/>
      <c r="E519" s="312" t="n"/>
      <c r="F519" s="312" t="n"/>
      <c r="G519" s="312" t="n"/>
      <c r="H519" s="312" t="n"/>
      <c r="I519" s="313" t="n"/>
      <c r="J519" s="199" t="inlineStr">
        <is>
          <t>MUROS Y TECHOS</t>
        </is>
      </c>
      <c r="K519" s="314" t="n">
        <v>36950000</v>
      </c>
      <c r="L519" s="2" t="n">
        <v>45583</v>
      </c>
      <c r="M519" s="170" t="n"/>
      <c r="N519" s="170" t="inlineStr">
        <is>
          <t>444 43 37</t>
        </is>
      </c>
      <c r="O519" s="102" t="inlineStr">
        <is>
          <t>Andrés White Narváez</t>
        </is>
      </c>
      <c r="P519" s="91" t="inlineStr">
        <is>
          <t>awhite@mt.com.co</t>
        </is>
      </c>
    </row>
    <row r="520" ht="15" customHeight="1">
      <c r="B520" s="170" t="n">
        <v>509</v>
      </c>
      <c r="C520" s="199" t="inlineStr">
        <is>
          <t>COTIZACION DE LOS DISEÑOS DE PROTECCIÓN CONTRA INCENDIOS Y SEGURIDAD HUMANA PARA EL PROYECTO NOMBRE ZIBA</t>
        </is>
      </c>
      <c r="D520" s="312" t="n"/>
      <c r="E520" s="312" t="n"/>
      <c r="F520" s="312" t="n"/>
      <c r="G520" s="312" t="n"/>
      <c r="H520" s="312" t="n"/>
      <c r="I520" s="313" t="n"/>
      <c r="J520" s="199" t="inlineStr">
        <is>
          <t>Conexo Inmobiliario</t>
        </is>
      </c>
      <c r="K520" s="314" t="n">
        <v>24950000</v>
      </c>
      <c r="L520" s="2" t="n">
        <v>45583</v>
      </c>
      <c r="M520" s="170" t="n"/>
      <c r="N520" s="170" t="n">
        <v>3204049071</v>
      </c>
      <c r="O520" s="103" t="inlineStr">
        <is>
          <t>Jorge Antonio Hoyos Santis</t>
        </is>
      </c>
      <c r="P520" s="52" t="inlineStr">
        <is>
          <t>jhoyos@conexoinmobiliario.com</t>
        </is>
      </c>
    </row>
    <row r="521">
      <c r="B521" s="170" t="n">
        <v>510</v>
      </c>
      <c r="C521" s="199" t="inlineStr">
        <is>
          <t>COTIZACION DEL DISEÑO DE DETECCIÓN DE INCENDIOS PARA EL PROYECTO CUARTO DE COMPRESORES</t>
        </is>
      </c>
      <c r="D521" s="312" t="n"/>
      <c r="E521" s="312" t="n"/>
      <c r="F521" s="312" t="n"/>
      <c r="G521" s="312" t="n"/>
      <c r="H521" s="312" t="n"/>
      <c r="I521" s="313" t="n"/>
      <c r="J521" s="199" t="inlineStr">
        <is>
          <t>Seriinco</t>
        </is>
      </c>
      <c r="K521" s="314" t="n">
        <v>1000000</v>
      </c>
      <c r="L521" s="2" t="n">
        <v>45584</v>
      </c>
      <c r="M521" s="170" t="n"/>
      <c r="N521" s="170" t="n">
        <v>3213005574</v>
      </c>
      <c r="O521" s="103" t="inlineStr">
        <is>
          <t>Mauricio Castellanos Villamizar</t>
        </is>
      </c>
      <c r="P521" s="52" t="inlineStr">
        <is>
          <t>analista.presupuesto@seriinco.com</t>
        </is>
      </c>
    </row>
    <row r="522" ht="15" customHeight="1">
      <c r="B522" s="170" t="n">
        <v>511</v>
      </c>
      <c r="C522" s="246" t="inlineStr">
        <is>
          <t>COTIZACION DE LOS DISEÑOS DE PROTECCIÓN CONTRA INCENDIOS Y SEGURIDAD HUMANA PARA EL PROYECTO WEG</t>
        </is>
      </c>
      <c r="D522" s="312" t="n"/>
      <c r="E522" s="312" t="n"/>
      <c r="F522" s="312" t="n"/>
      <c r="G522" s="312" t="n"/>
      <c r="H522" s="312" t="n"/>
      <c r="I522" s="313" t="n"/>
      <c r="J522" s="199" t="inlineStr">
        <is>
          <t>Arquitectura y Concreto</t>
        </is>
      </c>
      <c r="K522" s="314" t="n">
        <v>79950000</v>
      </c>
      <c r="L522" s="2" t="n">
        <v>45583</v>
      </c>
      <c r="M522" s="170" t="n"/>
      <c r="N522" s="170" t="n">
        <v>3127218621</v>
      </c>
      <c r="O522" s="103" t="inlineStr">
        <is>
          <t>Robinson Marulanda</t>
        </is>
      </c>
      <c r="P522" s="52" t="inlineStr">
        <is>
          <t>robinsonmarulanda@arquitecturayconcreto.com</t>
        </is>
      </c>
    </row>
    <row r="523">
      <c r="B523" s="170" t="n">
        <v>512</v>
      </c>
      <c r="C523" s="233" t="inlineStr">
        <is>
          <t>COTIZACION DEL DISEÑO DE EXTINCIÓN DE INCENDIOS PARA EL PROYECTO PUERTO SOL SANTA MARTA</t>
        </is>
      </c>
      <c r="D523" s="312" t="n"/>
      <c r="E523" s="312" t="n"/>
      <c r="F523" s="312" t="n"/>
      <c r="G523" s="312" t="n"/>
      <c r="H523" s="312" t="n"/>
      <c r="I523" s="313" t="n"/>
      <c r="J523" s="199" t="inlineStr">
        <is>
          <t>FP Services SAS</t>
        </is>
      </c>
      <c r="K523" s="314" t="n">
        <v>12950000</v>
      </c>
      <c r="L523" s="2" t="n">
        <v>45583</v>
      </c>
      <c r="M523" s="2" t="n"/>
      <c r="N523" s="170" t="n">
        <v>3104513967</v>
      </c>
      <c r="O523" s="102" t="inlineStr">
        <is>
          <t>Julio Milan Trujillo</t>
        </is>
      </c>
      <c r="P523" s="52" t="inlineStr">
        <is>
          <t>juliomillan@fpservices.com.co</t>
        </is>
      </c>
    </row>
    <row r="524">
      <c r="B524" s="170" t="n">
        <v>513</v>
      </c>
      <c r="C524" s="199" t="inlineStr">
        <is>
          <t>COTIZACION LEVANTAMIENTO DE LOS SISTEMAS EXISTENTES - SURA MOLINOS</t>
        </is>
      </c>
      <c r="D524" s="312" t="n"/>
      <c r="E524" s="312" t="n"/>
      <c r="F524" s="312" t="n"/>
      <c r="G524" s="312" t="n"/>
      <c r="H524" s="312" t="n"/>
      <c r="I524" s="313" t="n"/>
      <c r="J524" s="199" t="inlineStr">
        <is>
          <t>SPCI</t>
        </is>
      </c>
      <c r="K524" s="314" t="n">
        <v>1950000</v>
      </c>
      <c r="L524" s="2" t="n">
        <v>45586</v>
      </c>
      <c r="M524" s="170" t="n"/>
      <c r="N524" s="170" t="n">
        <v>3104165783</v>
      </c>
      <c r="O524" s="103" t="inlineStr">
        <is>
          <t>Cristiam Gustavo Mondragon</t>
        </is>
      </c>
      <c r="P524" s="52" t="inlineStr">
        <is>
          <t>dir.tecnico@spci.com.co</t>
        </is>
      </c>
    </row>
    <row r="525" ht="15" customHeight="1">
      <c r="B525" s="170" t="n">
        <v>514</v>
      </c>
      <c r="C525" s="233" t="inlineStr">
        <is>
          <t xml:space="preserve">COTIZACION DE LOS DISEÑOS DE PROTECCIÓN CONTRA INCENDIOS PARA EL PROYECTO LOCAL COMODISIMOS FLORIDA 2
</t>
        </is>
      </c>
      <c r="D525" s="312" t="n"/>
      <c r="E525" s="312" t="n"/>
      <c r="F525" s="312" t="n"/>
      <c r="G525" s="312" t="n"/>
      <c r="H525" s="312" t="n"/>
      <c r="I525" s="313" t="n"/>
      <c r="J525" s="199" t="inlineStr">
        <is>
          <t>Securetec</t>
        </is>
      </c>
      <c r="K525" s="314" t="n">
        <v>2200000</v>
      </c>
      <c r="L525" s="2" t="n">
        <v>45586</v>
      </c>
      <c r="M525" s="170" t="n"/>
      <c r="N525" s="170" t="n">
        <v>3008242202</v>
      </c>
      <c r="O525" s="103" t="inlineStr">
        <is>
          <t>Diana Yamile Betancur</t>
        </is>
      </c>
      <c r="P525" s="52" t="inlineStr">
        <is>
          <t>coordinadoracomercial@securetec.com.co</t>
        </is>
      </c>
    </row>
    <row r="526">
      <c r="B526" s="170" t="n">
        <v>515</v>
      </c>
      <c r="C526" s="199" t="inlineStr">
        <is>
          <t>COTIZACION DE LOS DISEÑOS DE PROTECCIÓN CONTRA INCENDIOS Y SEGURIDAD HUMANA PARA EL PROYECTO CASA RIGO</t>
        </is>
      </c>
      <c r="D526" s="312" t="n"/>
      <c r="E526" s="312" t="n"/>
      <c r="F526" s="312" t="n"/>
      <c r="G526" s="312" t="n"/>
      <c r="H526" s="312" t="n"/>
      <c r="I526" s="313" t="n"/>
      <c r="J526" s="199" t="inlineStr">
        <is>
          <t>Conexo Inmobiliario</t>
        </is>
      </c>
      <c r="K526" s="314" t="n">
        <v>15250000</v>
      </c>
      <c r="L526" s="2" t="n">
        <v>45586</v>
      </c>
      <c r="M526" s="170" t="n"/>
      <c r="N526" s="170" t="n">
        <v>3204049071</v>
      </c>
      <c r="O526" s="103" t="inlineStr">
        <is>
          <t>Jorge Hoyos Santis</t>
        </is>
      </c>
      <c r="P526" s="52" t="inlineStr">
        <is>
          <t>jhoyos@conexoinmobiliario.com</t>
        </is>
      </c>
    </row>
    <row r="527">
      <c r="B527" s="170" t="n">
        <v>516</v>
      </c>
      <c r="C527" s="199" t="inlineStr">
        <is>
          <t>COTIZACIÓN DE LOS DISEÑOS DE PROTECCIÓN CONTRA INCENDIOS PARA EL PROYECTO KUA COLIVING LAURELES</t>
        </is>
      </c>
      <c r="D527" s="312" t="n"/>
      <c r="E527" s="312" t="n"/>
      <c r="F527" s="312" t="n"/>
      <c r="G527" s="312" t="n"/>
      <c r="H527" s="312" t="n"/>
      <c r="I527" s="313" t="n"/>
      <c r="J527" s="199" t="inlineStr">
        <is>
          <t>ESPIRAL STUDIO</t>
        </is>
      </c>
      <c r="K527" s="314" t="n">
        <v>4810000</v>
      </c>
      <c r="L527" s="2" t="n">
        <v>45587</v>
      </c>
      <c r="M527" s="170" t="n"/>
      <c r="N527" s="170" t="inlineStr">
        <is>
          <t>312 7577141</t>
        </is>
      </c>
      <c r="O527" s="102" t="inlineStr">
        <is>
          <t>Nestor García</t>
        </is>
      </c>
      <c r="P527" s="52" t="inlineStr">
        <is>
          <t>nestor.garcia@espiral.com.co</t>
        </is>
      </c>
    </row>
    <row r="528">
      <c r="B528" s="170" t="n">
        <v>517</v>
      </c>
      <c r="C528" s="246" t="inlineStr">
        <is>
          <t>COTIZACION DE LOS DISEÑOS DE PROTECCIÓN CONTRA INCENDIOS PARA EL PROYECTO LOCAL COMODISIMOS BUCARAMANGA</t>
        </is>
      </c>
      <c r="D528" s="312" t="n"/>
      <c r="E528" s="312" t="n"/>
      <c r="F528" s="312" t="n"/>
      <c r="G528" s="312" t="n"/>
      <c r="H528" s="312" t="n"/>
      <c r="I528" s="313" t="n"/>
      <c r="J528" s="199" t="inlineStr">
        <is>
          <t>Securetec</t>
        </is>
      </c>
      <c r="K528" s="314" t="n">
        <v>2000000</v>
      </c>
      <c r="L528" s="2" t="n">
        <v>45588</v>
      </c>
      <c r="M528" s="170" t="n"/>
      <c r="N528" s="170" t="n">
        <v>3008242202</v>
      </c>
      <c r="O528" s="103" t="inlineStr">
        <is>
          <t>Diana Yamile Betancur</t>
        </is>
      </c>
      <c r="P528" s="52" t="inlineStr">
        <is>
          <t>coordinadoracomercial@securetec.com.co</t>
        </is>
      </c>
    </row>
    <row r="529">
      <c r="B529" s="170" t="n">
        <v>518</v>
      </c>
      <c r="C529" s="246" t="inlineStr">
        <is>
          <t xml:space="preserve">COTIZACION DEL ANÁLISIS DE SEGURIDAD HUMANA PARA EL PROYECTO PLANTA INDUSTRIAL
</t>
        </is>
      </c>
      <c r="D529" s="312" t="n"/>
      <c r="E529" s="312" t="n"/>
      <c r="F529" s="312" t="n"/>
      <c r="G529" s="312" t="n"/>
      <c r="H529" s="312" t="n"/>
      <c r="I529" s="313" t="n"/>
      <c r="J529" s="199" t="inlineStr">
        <is>
          <t>Conconcreto</t>
        </is>
      </c>
      <c r="K529" s="314" t="n">
        <v>19950000</v>
      </c>
      <c r="L529" s="2" t="n">
        <v>45588</v>
      </c>
      <c r="M529" s="170" t="n"/>
      <c r="N529" s="170" t="inlineStr">
        <is>
          <t xml:space="preserve"> 300 656 3981</t>
        </is>
      </c>
      <c r="O529" s="172" t="inlineStr">
        <is>
          <t>Martha Milena Hernández Marín</t>
        </is>
      </c>
      <c r="P529" s="104" t="inlineStr">
        <is>
          <t>mhernandezm@conconcreto.com</t>
        </is>
      </c>
    </row>
    <row r="530">
      <c r="B530" s="170" t="n">
        <v>519</v>
      </c>
      <c r="C530" s="246" t="inlineStr">
        <is>
          <t xml:space="preserve">COTIZACION DEL DISEÑO DE DETECCIÓN DE INCENDIOS PARA EL PROYECTO VILLA BOSQUE NATIVO
</t>
        </is>
      </c>
      <c r="D530" s="312" t="n"/>
      <c r="E530" s="312" t="n"/>
      <c r="F530" s="312" t="n"/>
      <c r="G530" s="312" t="n"/>
      <c r="H530" s="312" t="n"/>
      <c r="I530" s="313" t="n"/>
      <c r="J530" s="199" t="inlineStr">
        <is>
          <t xml:space="preserve">Grupo Jaluma </t>
        </is>
      </c>
      <c r="K530" s="314" t="n">
        <v>7500000</v>
      </c>
      <c r="L530" s="2" t="n">
        <v>45590</v>
      </c>
      <c r="M530" s="170" t="n"/>
      <c r="N530" s="170" t="n"/>
      <c r="O530" s="172" t="n"/>
      <c r="P530" s="52" t="n"/>
    </row>
    <row r="531">
      <c r="B531" s="170" t="n">
        <v>520</v>
      </c>
      <c r="C531" s="246" t="inlineStr">
        <is>
          <t xml:space="preserve">COTIZACION DEL ANÁLISIS DE SEGURIDAD HUMANA PARA EL PROYECTO SENA SANTAFE DE ANTIOQUIA
</t>
        </is>
      </c>
      <c r="D531" s="312" t="n"/>
      <c r="E531" s="312" t="n"/>
      <c r="F531" s="312" t="n"/>
      <c r="G531" s="312" t="n"/>
      <c r="H531" s="312" t="n"/>
      <c r="I531" s="313" t="n"/>
      <c r="J531" s="199" t="inlineStr">
        <is>
          <t>DESUR</t>
        </is>
      </c>
      <c r="K531" s="314" t="n">
        <v>2500000</v>
      </c>
      <c r="L531" s="2" t="n">
        <v>45589</v>
      </c>
      <c r="M531" s="170" t="n"/>
      <c r="N531" s="170" t="n">
        <v>4801300</v>
      </c>
      <c r="O531" s="172" t="inlineStr">
        <is>
          <t>Manuela Henao Lopez</t>
        </is>
      </c>
      <c r="P531" s="52" t="inlineStr">
        <is>
          <t>manuela.henao@desur.gov.co</t>
        </is>
      </c>
    </row>
    <row r="532">
      <c r="B532" s="170" t="n">
        <v>521</v>
      </c>
      <c r="C532" s="199" t="inlineStr">
        <is>
          <t>COTIZACION DEL DISEÑO DE EXTINCIÓN DE INCENDIOS PARA EL PROYECTO GIMNASIO ACTION SEDE CONNECTA 80</t>
        </is>
      </c>
      <c r="D532" s="312" t="n"/>
      <c r="E532" s="312" t="n"/>
      <c r="F532" s="312" t="n"/>
      <c r="G532" s="312" t="n"/>
      <c r="H532" s="312" t="n"/>
      <c r="I532" s="313" t="n"/>
      <c r="J532" s="199" t="inlineStr">
        <is>
          <t>Deacon SAS</t>
        </is>
      </c>
      <c r="K532" s="314" t="n">
        <v>3000000</v>
      </c>
      <c r="L532" s="2" t="n">
        <v>45589</v>
      </c>
      <c r="M532" s="170" t="n"/>
      <c r="N532" s="6" t="n"/>
      <c r="O532" s="6" t="n"/>
      <c r="P532" s="6" t="n"/>
    </row>
    <row r="533">
      <c r="B533" s="170" t="n">
        <v>522</v>
      </c>
      <c r="C533" s="199" t="inlineStr">
        <is>
          <t>COTIZACIÓN REVISIÓN Y CONCEPTO SOBRE PRESIÓN EDIFICIO OFI7</t>
        </is>
      </c>
      <c r="D533" s="312" t="n"/>
      <c r="E533" s="312" t="n"/>
      <c r="F533" s="312" t="n"/>
      <c r="G533" s="312" t="n"/>
      <c r="H533" s="312" t="n"/>
      <c r="I533" s="313" t="n"/>
      <c r="J533" s="199" t="inlineStr">
        <is>
          <t>ACEIS</t>
        </is>
      </c>
      <c r="K533" s="314" t="n">
        <v>2450000</v>
      </c>
      <c r="L533" s="2" t="n">
        <v>45589</v>
      </c>
      <c r="M533" s="170" t="n"/>
      <c r="N533" s="170" t="n">
        <v>3243173083</v>
      </c>
      <c r="O533" s="102" t="inlineStr">
        <is>
          <t>Maria Teresa Lopez Gomez</t>
        </is>
      </c>
      <c r="P533" s="52" t="inlineStr">
        <is>
          <t>directora.activos@aceis.com.co</t>
        </is>
      </c>
    </row>
    <row r="534">
      <c r="B534" s="170" t="n">
        <v>523</v>
      </c>
      <c r="C534" s="199" t="inlineStr">
        <is>
          <t>COTIZACIÓN REVISIÓN DISEÑOS SEGURIDAD HUMANA Y EXTINCIÓN LOS CAMBULOS</t>
        </is>
      </c>
      <c r="D534" s="312" t="n"/>
      <c r="E534" s="312" t="n"/>
      <c r="F534" s="312" t="n"/>
      <c r="G534" s="312" t="n"/>
      <c r="H534" s="312" t="n"/>
      <c r="I534" s="313" t="n"/>
      <c r="J534" s="199" t="inlineStr">
        <is>
          <t>Constructora Guasandi S.A.S</t>
        </is>
      </c>
      <c r="K534" s="314" t="n">
        <v>7550000</v>
      </c>
      <c r="L534" s="2" t="n">
        <v>45589</v>
      </c>
      <c r="M534" s="170" t="n"/>
      <c r="N534" s="170" t="n"/>
      <c r="O534" s="170" t="inlineStr">
        <is>
          <t>Laura Jiménez Grajales</t>
        </is>
      </c>
      <c r="P534" s="52" t="inlineStr">
        <is>
          <t>dircambulos@constructoradeobras.com</t>
        </is>
      </c>
    </row>
    <row r="535">
      <c r="B535" s="170" t="n">
        <v>524</v>
      </c>
      <c r="C535" s="199" t="inlineStr">
        <is>
          <t>COTIZACIÓN RESPUESTAS PERITAJE BIOCITY GRAND</t>
        </is>
      </c>
      <c r="D535" s="312" t="n"/>
      <c r="E535" s="312" t="n"/>
      <c r="F535" s="312" t="n"/>
      <c r="G535" s="312" t="n"/>
      <c r="H535" s="312" t="n"/>
      <c r="I535" s="313" t="n"/>
      <c r="J535" s="199" t="inlineStr">
        <is>
          <t>Constructora Capital</t>
        </is>
      </c>
      <c r="K535" s="314" t="n">
        <v>6250000</v>
      </c>
      <c r="L535" s="2" t="n">
        <v>45590</v>
      </c>
      <c r="M535" s="170" t="n"/>
      <c r="N535" s="170" t="n"/>
      <c r="O535" s="170" t="n"/>
      <c r="P535" s="52" t="n"/>
    </row>
    <row r="536">
      <c r="B536" s="170" t="n">
        <v>525</v>
      </c>
      <c r="C536" s="246" t="inlineStr">
        <is>
          <t xml:space="preserve">COTIZACION DEL DISEÑO DE EXTINCIÓN DE INCENDIOS PARA EL PROYECTO AVOPAK
</t>
        </is>
      </c>
      <c r="D536" s="312" t="n"/>
      <c r="E536" s="312" t="n"/>
      <c r="F536" s="312" t="n"/>
      <c r="G536" s="312" t="n"/>
      <c r="H536" s="312" t="n"/>
      <c r="I536" s="313" t="n"/>
      <c r="J536" s="199" t="inlineStr">
        <is>
          <t>SPCI</t>
        </is>
      </c>
      <c r="K536" s="314" t="n">
        <v>9950000</v>
      </c>
      <c r="L536" s="2" t="n">
        <v>45595</v>
      </c>
      <c r="M536" s="170" t="n"/>
      <c r="N536" s="170" t="n">
        <v>3104165783</v>
      </c>
      <c r="O536" s="103" t="inlineStr">
        <is>
          <t>Cristiam Gustavo Mondragon</t>
        </is>
      </c>
      <c r="P536" s="52" t="inlineStr">
        <is>
          <t>dir.tecnico@spci.com.co</t>
        </is>
      </c>
    </row>
    <row r="537">
      <c r="B537" s="170" t="n">
        <v>526</v>
      </c>
      <c r="C537" s="246" t="inlineStr">
        <is>
          <t xml:space="preserve">COTIZACION DE LOS DISEÑOS DE PROTECCIÓN CONTRA INCENDIOS PARA EL PROYECTO LAMIEMPAQUES
</t>
        </is>
      </c>
      <c r="D537" s="312" t="n"/>
      <c r="E537" s="312" t="n"/>
      <c r="F537" s="312" t="n"/>
      <c r="G537" s="312" t="n"/>
      <c r="H537" s="312" t="n"/>
      <c r="I537" s="313" t="n"/>
      <c r="J537" s="199" t="inlineStr">
        <is>
          <t>SPCI</t>
        </is>
      </c>
      <c r="K537" s="314" t="n">
        <v>18810000</v>
      </c>
      <c r="L537" s="2" t="n">
        <v>45595</v>
      </c>
      <c r="M537" s="170" t="n"/>
      <c r="N537" s="170" t="n"/>
      <c r="O537" s="172" t="inlineStr">
        <is>
          <t>Hernan Ortiz</t>
        </is>
      </c>
      <c r="P537" s="52" t="inlineStr">
        <is>
          <t>hernan.ortiz@rentingspci.com.co</t>
        </is>
      </c>
    </row>
    <row r="538">
      <c r="B538" s="170" t="n">
        <v>527</v>
      </c>
      <c r="C538" s="199" t="inlineStr">
        <is>
          <t>COTIZACION DEL DISEÑO DE DETECCIÓN DE INCENDIOS PARA EL PROYECTO EDFICIO ARTIKA</t>
        </is>
      </c>
      <c r="D538" s="312" t="n"/>
      <c r="E538" s="312" t="n"/>
      <c r="F538" s="312" t="n"/>
      <c r="G538" s="312" t="n"/>
      <c r="H538" s="312" t="n"/>
      <c r="I538" s="313" t="n"/>
      <c r="J538" s="199" t="inlineStr">
        <is>
          <t>Línea Sísmica S.A.S.</t>
        </is>
      </c>
      <c r="K538" s="314" t="n">
        <v>3750000</v>
      </c>
      <c r="L538" s="2" t="n">
        <v>45593</v>
      </c>
      <c r="M538" s="170" t="n"/>
      <c r="N538" s="170" t="n">
        <v>3002127288</v>
      </c>
      <c r="O538" s="172" t="inlineStr">
        <is>
          <t>Carlos Alberto Gómez Ramírez</t>
        </is>
      </c>
      <c r="P538" s="52" t="inlineStr">
        <is>
          <t>carlosgomez@lineasismica.com.co</t>
        </is>
      </c>
    </row>
    <row r="539">
      <c r="B539" s="170" t="n">
        <v>528</v>
      </c>
      <c r="C539" s="199" t="inlineStr">
        <is>
          <t>COTIZACION DEL DISEÑO DE DETECCIÓN DE INCENDIOS PARA EL PROYECTO EDFICIO PIÑON</t>
        </is>
      </c>
      <c r="D539" s="312" t="n"/>
      <c r="E539" s="312" t="n"/>
      <c r="F539" s="312" t="n"/>
      <c r="G539" s="312" t="n"/>
      <c r="H539" s="312" t="n"/>
      <c r="I539" s="313" t="n"/>
      <c r="J539" s="199" t="inlineStr">
        <is>
          <t>Línea Sísmica S.A.S.</t>
        </is>
      </c>
      <c r="K539" s="314" t="n">
        <v>3650000</v>
      </c>
      <c r="L539" s="2" t="n">
        <v>45593</v>
      </c>
      <c r="M539" s="170" t="n"/>
      <c r="N539" s="170" t="n">
        <v>3002127288</v>
      </c>
      <c r="O539" s="172" t="inlineStr">
        <is>
          <t>Carlos Alberto Gómez Ramírez</t>
        </is>
      </c>
      <c r="P539" s="52" t="inlineStr">
        <is>
          <t>carlosgomez@lineasismica.com.co</t>
        </is>
      </c>
    </row>
    <row r="540" ht="15" customHeight="1">
      <c r="B540" s="170" t="n">
        <v>529</v>
      </c>
      <c r="C540" s="246" t="inlineStr">
        <is>
          <t xml:space="preserve">COTIZACION DE LOS DISEÑOS DE PROTECCIÓN CONTRA INCENDIOS PARA EL PROYECTO CENTRO DE FE Y ESPERANZA
</t>
        </is>
      </c>
      <c r="D540" s="312" t="n"/>
      <c r="E540" s="312" t="n"/>
      <c r="F540" s="312" t="n"/>
      <c r="G540" s="312" t="n"/>
      <c r="H540" s="312" t="n"/>
      <c r="I540" s="313" t="n"/>
      <c r="J540" s="199" t="inlineStr">
        <is>
          <t>CONSTRUSERVICIOS DEL LLANO SAS.</t>
        </is>
      </c>
      <c r="K540" s="314" t="n">
        <v>16950000</v>
      </c>
      <c r="L540" s="2" t="n">
        <v>45593</v>
      </c>
      <c r="M540" s="170" t="n"/>
      <c r="N540" s="170" t="inlineStr">
        <is>
          <t>313 7075104</t>
        </is>
      </c>
      <c r="O540" s="170" t="inlineStr">
        <is>
          <t>Cindy Gomez</t>
        </is>
      </c>
      <c r="P540" s="52" t="inlineStr">
        <is>
          <t>construdelllano23@gmail.com</t>
        </is>
      </c>
    </row>
    <row r="541">
      <c r="B541" s="170" t="n">
        <v>530</v>
      </c>
      <c r="C541" s="199" t="inlineStr">
        <is>
          <t>COTIZACION DEL DISEÑO DE EXTINCIÓN DE INCENDIOS - BLOQUE COLEGIO</t>
        </is>
      </c>
      <c r="D541" s="312" t="n"/>
      <c r="E541" s="312" t="n"/>
      <c r="F541" s="312" t="n"/>
      <c r="G541" s="312" t="n"/>
      <c r="H541" s="312" t="n"/>
      <c r="I541" s="313" t="n"/>
      <c r="J541" s="199" t="inlineStr">
        <is>
          <t>SPCI</t>
        </is>
      </c>
      <c r="K541" s="314" t="n">
        <v>7500000</v>
      </c>
      <c r="L541" s="2" t="n">
        <v>30</v>
      </c>
      <c r="M541" s="170" t="n"/>
      <c r="N541" s="170" t="inlineStr">
        <is>
          <t xml:space="preserve"> 310 468 0508</t>
        </is>
      </c>
      <c r="O541" s="102" t="inlineStr">
        <is>
          <t>Juan Pablo Grajales Gómez</t>
        </is>
      </c>
      <c r="P541" s="52" t="inlineStr">
        <is>
          <t>juan.grajales@spci.com.co</t>
        </is>
      </c>
    </row>
    <row r="542">
      <c r="B542" s="170" t="n">
        <v>531</v>
      </c>
      <c r="C542" s="233" t="inlineStr">
        <is>
          <t xml:space="preserve">COTIZACION DEL ANÁLISIS DE SEGURIDAD HUMANA PARA EL PROYECTO UNIDAD RESIDENCIAL 
</t>
        </is>
      </c>
      <c r="D542" s="312" t="n"/>
      <c r="E542" s="312" t="n"/>
      <c r="F542" s="312" t="n"/>
      <c r="G542" s="312" t="n"/>
      <c r="H542" s="312" t="n"/>
      <c r="I542" s="313" t="n"/>
      <c r="J542" s="199" t="inlineStr">
        <is>
          <t>Conconcreto</t>
        </is>
      </c>
      <c r="K542" s="314" t="n">
        <v>4950000</v>
      </c>
      <c r="L542" s="2" t="n">
        <v>45596</v>
      </c>
      <c r="M542" s="170" t="n"/>
      <c r="N542" s="170" t="inlineStr">
        <is>
          <t>300 656 3981</t>
        </is>
      </c>
      <c r="O542" s="172" t="inlineStr">
        <is>
          <t>Martha Milena Hernández Marín</t>
        </is>
      </c>
      <c r="P542" s="52" t="inlineStr">
        <is>
          <t>mhernandezm@conconcreto.com</t>
        </is>
      </c>
    </row>
    <row r="543">
      <c r="B543" s="170" t="n">
        <v>532</v>
      </c>
      <c r="C543" s="199" t="inlineStr">
        <is>
          <t>COTIZACION DE LOS DISEÑOS DE PROTECCIÓN CONTRA INCENDIOS Y SEGURIDAD HUMANA PARA EL PROYECTO GIN</t>
        </is>
      </c>
      <c r="D543" s="312" t="n"/>
      <c r="E543" s="312" t="n"/>
      <c r="F543" s="312" t="n"/>
      <c r="G543" s="312" t="n"/>
      <c r="H543" s="312" t="n"/>
      <c r="I543" s="313" t="n"/>
      <c r="J543" s="199" t="inlineStr">
        <is>
          <t>FCR</t>
        </is>
      </c>
      <c r="K543" s="314" t="n">
        <v>24840000</v>
      </c>
      <c r="L543" s="2" t="n">
        <v>45597</v>
      </c>
      <c r="M543" s="170" t="n"/>
      <c r="N543" s="170" t="inlineStr">
        <is>
          <t>310 5304562</t>
        </is>
      </c>
      <c r="O543" s="172" t="inlineStr">
        <is>
          <t>Vanessa Zapata</t>
        </is>
      </c>
      <c r="P543" s="52" t="inlineStr">
        <is>
          <t>vanessazapata.fcr@gmail.com</t>
        </is>
      </c>
    </row>
    <row r="544">
      <c r="B544" s="170" t="n">
        <v>533</v>
      </c>
      <c r="C544" s="199" t="inlineStr">
        <is>
          <t>COTIZACION DEL ANÁLISIS DE SEGURIDAD HUMANA PARA EL PROYECTO ICARU TORRE 1</t>
        </is>
      </c>
      <c r="D544" s="312" t="n"/>
      <c r="E544" s="312" t="n"/>
      <c r="F544" s="312" t="n"/>
      <c r="G544" s="312" t="n"/>
      <c r="H544" s="312" t="n"/>
      <c r="I544" s="313" t="n"/>
      <c r="J544" s="199" t="inlineStr">
        <is>
          <t>PERFECK</t>
        </is>
      </c>
      <c r="K544" s="314" t="n">
        <v>4950000</v>
      </c>
      <c r="L544" s="2" t="n">
        <v>45596</v>
      </c>
      <c r="M544" s="170" t="n"/>
      <c r="N544" s="170" t="inlineStr">
        <is>
          <t>606 885 3790</t>
        </is>
      </c>
      <c r="O544" s="172" t="inlineStr">
        <is>
          <t>Diana Giraldo Gutiérrez</t>
        </is>
      </c>
      <c r="P544" s="91" t="inlineStr">
        <is>
          <t>posventas@perfek.com.co</t>
        </is>
      </c>
    </row>
    <row r="545" ht="15.6" customHeight="1">
      <c r="B545" s="170" t="n">
        <v>534</v>
      </c>
      <c r="C545" s="199" t="inlineStr">
        <is>
          <t>COTIZACION DE LOS DISEÑOS DE PROTECCIÓN CONTRA INCENDIOS Y SEGURIDAD HUMANA PARA EL PROYECTO HILTON GUATAPE</t>
        </is>
      </c>
      <c r="D545" s="312" t="n"/>
      <c r="E545" s="312" t="n"/>
      <c r="F545" s="312" t="n"/>
      <c r="G545" s="312" t="n"/>
      <c r="H545" s="312" t="n"/>
      <c r="I545" s="313" t="n"/>
      <c r="J545" s="199" t="inlineStr">
        <is>
          <t>Girar Construcciones</t>
        </is>
      </c>
      <c r="K545" s="314" t="n">
        <v>28290000</v>
      </c>
      <c r="L545" s="2" t="n">
        <v>45596</v>
      </c>
      <c r="M545" s="170" t="n"/>
      <c r="N545" s="170" t="n"/>
      <c r="O545" s="172" t="inlineStr">
        <is>
          <t xml:space="preserve">Katheryn Garcia </t>
        </is>
      </c>
      <c r="P545" s="52" t="inlineStr">
        <is>
          <t>garciakathe.96@gmail.com</t>
        </is>
      </c>
    </row>
    <row r="546">
      <c r="B546" s="170" t="n">
        <v>535</v>
      </c>
      <c r="C546" s="199" t="inlineStr">
        <is>
          <t>COTIZACION DEL ANÁLISIS DE SEGURIDAD HUMANA PARA EL PROYECTO RIVERIE</t>
        </is>
      </c>
      <c r="D546" s="312" t="n"/>
      <c r="E546" s="312" t="n"/>
      <c r="F546" s="312" t="n"/>
      <c r="G546" s="312" t="n"/>
      <c r="H546" s="312" t="n"/>
      <c r="I546" s="313" t="n"/>
      <c r="J546" s="199" t="inlineStr">
        <is>
          <t>AFC</t>
        </is>
      </c>
      <c r="K546" s="314" t="n">
        <v>3250000</v>
      </c>
      <c r="L546" s="2" t="n">
        <v>45597</v>
      </c>
      <c r="M546" s="170" t="n"/>
      <c r="N546" s="170" t="n"/>
      <c r="O546" s="172" t="inlineStr">
        <is>
          <t xml:space="preserve">Andrés Cruz </t>
        </is>
      </c>
      <c r="P546" s="52" t="n"/>
    </row>
    <row r="547">
      <c r="B547" s="170" t="n">
        <v>536</v>
      </c>
      <c r="C547" s="246" t="inlineStr">
        <is>
          <t xml:space="preserve">COTIZACION DE LOS DISEÑOS DE PROTECCIÓN CONTRA INCENDIOS PARA EL PROYECTO CAMPAMENTO MONTEVERDE
</t>
        </is>
      </c>
      <c r="D547" s="312" t="n"/>
      <c r="E547" s="312" t="n"/>
      <c r="F547" s="312" t="n"/>
      <c r="G547" s="312" t="n"/>
      <c r="H547" s="312" t="n"/>
      <c r="I547" s="313" t="n"/>
      <c r="J547" s="199" t="inlineStr">
        <is>
          <t>Bitácora Ingeniería</t>
        </is>
      </c>
      <c r="K547" s="314" t="n">
        <v>18750000</v>
      </c>
      <c r="L547" s="2" t="n">
        <v>45601</v>
      </c>
      <c r="M547" s="170" t="n"/>
      <c r="N547" s="170" t="n">
        <v>3006940601</v>
      </c>
      <c r="O547" s="172" t="inlineStr">
        <is>
          <t>Luisa Alarcón</t>
        </is>
      </c>
      <c r="P547" s="52" t="inlineStr">
        <is>
          <t>luisa.alarcon@bitacoraingenieria.com</t>
        </is>
      </c>
    </row>
    <row r="548">
      <c r="B548" s="170" t="n">
        <v>537</v>
      </c>
      <c r="C548" s="246" t="inlineStr">
        <is>
          <t>COTIZACION DE LOS DISEÑOS DE PROTECCIÓN CONTRA INCENDIOS Y SEGURIDAD HUMANA PARA LOS PROYECTOS: CEC ZONA 7 TIRANON, CEC ZONA 8 ALCALÁ Y CANCHAS EN ALTURAS</t>
        </is>
      </c>
      <c r="D548" s="312" t="n"/>
      <c r="E548" s="312" t="n"/>
      <c r="F548" s="312" t="n"/>
      <c r="G548" s="312" t="n"/>
      <c r="H548" s="312" t="n"/>
      <c r="I548" s="313" t="n"/>
      <c r="J548" s="199" t="inlineStr">
        <is>
          <t>DESUR</t>
        </is>
      </c>
      <c r="K548" s="314" t="inlineStr">
        <is>
          <t>Variable</t>
        </is>
      </c>
      <c r="L548" s="2" t="n">
        <v>45603</v>
      </c>
      <c r="M548" s="2" t="n"/>
      <c r="N548" s="170" t="inlineStr">
        <is>
          <t xml:space="preserve"> 4801300 Ext 148</t>
        </is>
      </c>
      <c r="O548" s="172" t="inlineStr">
        <is>
          <t>Manuela Henao Lopez</t>
        </is>
      </c>
      <c r="P548" s="327" t="inlineStr">
        <is>
          <t>manuela.henao@desur.gov.co</t>
        </is>
      </c>
    </row>
    <row r="549" ht="15" customHeight="1">
      <c r="B549" s="170" t="n">
        <v>538</v>
      </c>
      <c r="C549" s="246" t="inlineStr">
        <is>
          <t xml:space="preserve">COTIZACION DEL DISEÑO DE EXTINCIÓN DE INCENDIOS PARA EL PROYECTO GABINETE VILLAVICENCIO
</t>
        </is>
      </c>
      <c r="D549" s="312" t="n"/>
      <c r="E549" s="312" t="n"/>
      <c r="F549" s="312" t="n"/>
      <c r="G549" s="312" t="n"/>
      <c r="H549" s="312" t="n"/>
      <c r="I549" s="313" t="n"/>
      <c r="J549" s="199" t="inlineStr">
        <is>
          <t>SPCI</t>
        </is>
      </c>
      <c r="K549" s="314" t="n">
        <v>1400000</v>
      </c>
      <c r="L549" s="2" t="n">
        <v>45602</v>
      </c>
      <c r="M549" s="170" t="n"/>
      <c r="N549" s="170" t="n">
        <v>3104165783</v>
      </c>
      <c r="O549" s="172" t="inlineStr">
        <is>
          <t>Cristiam Gustavo Mondragon</t>
        </is>
      </c>
      <c r="P549" s="52" t="inlineStr">
        <is>
          <t>dir.tecnico@spci.com.co</t>
        </is>
      </c>
    </row>
    <row r="550">
      <c r="B550" s="170" t="n">
        <v>539</v>
      </c>
      <c r="C550" s="199" t="inlineStr">
        <is>
          <t>COTIZACION DE LOS DISEÑOS DE PROTECCIÓN CONTRA INCENDIOS Y SEGURIDAD HUMANA PARA EL PROYECTO CASA DE RIGO</t>
        </is>
      </c>
      <c r="D550" s="312" t="n"/>
      <c r="E550" s="312" t="n"/>
      <c r="F550" s="312" t="n"/>
      <c r="G550" s="312" t="n"/>
      <c r="H550" s="312" t="n"/>
      <c r="I550" s="313" t="n"/>
      <c r="J550" s="199" t="inlineStr">
        <is>
          <t>Jomark Seguridad</t>
        </is>
      </c>
      <c r="K550" s="314" t="n">
        <v>15250000</v>
      </c>
      <c r="L550" s="2" t="n">
        <v>45602</v>
      </c>
      <c r="M550" s="170" t="n"/>
      <c r="N550" s="170" t="n">
        <v>3194913179</v>
      </c>
      <c r="O550" s="172" t="inlineStr">
        <is>
          <t xml:space="preserve"> Carlos Almanya Patiño</t>
        </is>
      </c>
      <c r="P550" s="52" t="inlineStr">
        <is>
          <t>Carlos Almanya Patiño</t>
        </is>
      </c>
    </row>
    <row r="551">
      <c r="B551" s="170" t="n">
        <v>540</v>
      </c>
      <c r="C551" s="199" t="inlineStr">
        <is>
          <t>COTIZACION DEL DISEÑO DE DETECCIÓN, EVACUACION Y NOTIFICACION DE INCENDIOS PARA EL PROYECTO ELECTROCONTROL</t>
        </is>
      </c>
      <c r="D551" s="312" t="n"/>
      <c r="E551" s="312" t="n"/>
      <c r="F551" s="312" t="n"/>
      <c r="G551" s="312" t="n"/>
      <c r="H551" s="312" t="n"/>
      <c r="I551" s="313" t="n"/>
      <c r="J551" s="199" t="inlineStr">
        <is>
          <t>Jomark Seguridad</t>
        </is>
      </c>
      <c r="K551" s="314" t="n">
        <v>9950000</v>
      </c>
      <c r="L551" s="2" t="n">
        <v>45602</v>
      </c>
      <c r="M551" s="170" t="n"/>
      <c r="N551" s="170" t="n">
        <v>3194913179</v>
      </c>
      <c r="O551" s="172" t="inlineStr">
        <is>
          <t xml:space="preserve"> Carlos Almanya Patiño</t>
        </is>
      </c>
      <c r="P551" s="52" t="inlineStr">
        <is>
          <t>Carlos Almanya Patiño</t>
        </is>
      </c>
    </row>
    <row r="552">
      <c r="B552" s="170" t="n">
        <v>541</v>
      </c>
      <c r="C552" s="246" t="inlineStr">
        <is>
          <t xml:space="preserve">COTIZACION DEL ANÁLISIS DE SEGURIDAD HUMANA PARA EL PROYECTO SURA LOS MOLINOS
</t>
        </is>
      </c>
      <c r="D552" s="312" t="n"/>
      <c r="E552" s="312" t="n"/>
      <c r="F552" s="312" t="n"/>
      <c r="G552" s="312" t="n"/>
      <c r="H552" s="312" t="n"/>
      <c r="I552" s="313" t="n"/>
      <c r="J552" s="199" t="inlineStr">
        <is>
          <t>SPCI</t>
        </is>
      </c>
      <c r="K552" s="314" t="n">
        <v>1500000</v>
      </c>
      <c r="L552" s="2" t="n">
        <v>45602</v>
      </c>
      <c r="M552" s="170" t="n"/>
      <c r="N552" s="170" t="n">
        <v>3104165783</v>
      </c>
      <c r="O552" s="172" t="inlineStr">
        <is>
          <t>Cristiam Gustavo Mondragon</t>
        </is>
      </c>
      <c r="P552" s="52" t="inlineStr">
        <is>
          <t>dir.tecnico@spci.com.co</t>
        </is>
      </c>
    </row>
    <row r="553">
      <c r="B553" s="170" t="n">
        <v>542</v>
      </c>
      <c r="C553" s="199" t="inlineStr">
        <is>
          <t>COTIZACION DEL DISEÑO DE DETECCIÓN DE INCENDIOS PARA EL PROYECTO COLCAFE</t>
        </is>
      </c>
      <c r="D553" s="312" t="n"/>
      <c r="E553" s="312" t="n"/>
      <c r="F553" s="312" t="n"/>
      <c r="G553" s="312" t="n"/>
      <c r="H553" s="312" t="n"/>
      <c r="I553" s="313" t="n"/>
      <c r="J553" s="199" t="inlineStr">
        <is>
          <t>SPCI</t>
        </is>
      </c>
      <c r="K553" s="314" t="n"/>
      <c r="L553" s="2" t="n">
        <v>45602</v>
      </c>
      <c r="M553" s="170" t="n"/>
      <c r="N553" s="170" t="n">
        <v>3104165783</v>
      </c>
      <c r="O553" s="172" t="inlineStr">
        <is>
          <t>Cristiam Gustavo Mondragon</t>
        </is>
      </c>
      <c r="P553" s="52" t="inlineStr">
        <is>
          <t>dir.tecnico@spci.com.co</t>
        </is>
      </c>
    </row>
    <row r="554">
      <c r="B554" s="170" t="n">
        <v>543</v>
      </c>
      <c r="C554" s="199" t="inlineStr">
        <is>
          <t>COTIZACION DE LOS DISEÑOS DE PROTECCIÓN CONTRA INCENDIOS Y SEGURIDAD HUMANA PARA EL PROYECTO LOTE CALLE 16 C SUR</t>
        </is>
      </c>
      <c r="D554" s="312" t="n"/>
      <c r="E554" s="312" t="n"/>
      <c r="F554" s="312" t="n"/>
      <c r="G554" s="312" t="n"/>
      <c r="H554" s="312" t="n"/>
      <c r="I554" s="313" t="n"/>
      <c r="J554" s="199" t="inlineStr">
        <is>
          <t>Mensula</t>
        </is>
      </c>
      <c r="K554" s="314" t="n">
        <v>27950000</v>
      </c>
      <c r="L554" s="2" t="n">
        <v>45602</v>
      </c>
      <c r="M554" s="170" t="n"/>
      <c r="N554" s="170" t="n"/>
      <c r="O554" s="172" t="inlineStr">
        <is>
          <t xml:space="preserve">Alejandro Hernández </t>
        </is>
      </c>
      <c r="P554" s="52" t="n"/>
    </row>
    <row r="555">
      <c r="B555" s="170" t="n">
        <v>544</v>
      </c>
      <c r="C555" s="199" t="inlineStr">
        <is>
          <t>COTIZACION DEL DISEÑO DE EXTINCIÓN DE INCENDIOS PARA EL PROYECTO TIENDA D1 BUCARAMANGA</t>
        </is>
      </c>
      <c r="D555" s="312" t="n"/>
      <c r="E555" s="312" t="n"/>
      <c r="F555" s="312" t="n"/>
      <c r="G555" s="312" t="n"/>
      <c r="H555" s="312" t="n"/>
      <c r="I555" s="313" t="n"/>
      <c r="J555" s="199" t="inlineStr">
        <is>
          <t>Ingesed</t>
        </is>
      </c>
      <c r="K555" s="314" t="n">
        <v>2500000</v>
      </c>
      <c r="L555" s="2" t="n">
        <v>45602</v>
      </c>
      <c r="M555" s="170" t="n"/>
      <c r="N555" s="170" t="inlineStr">
        <is>
          <t>321 8338189</t>
        </is>
      </c>
      <c r="O555" s="103" t="inlineStr">
        <is>
          <t>Laura Delgado</t>
        </is>
      </c>
      <c r="P555" s="52" t="inlineStr">
        <is>
          <t>operacionesingesed@gmail.com</t>
        </is>
      </c>
    </row>
    <row r="556">
      <c r="B556" s="170" t="n">
        <v>545</v>
      </c>
      <c r="C556" s="246" t="inlineStr">
        <is>
          <t>COTIZACION DEL DISEÑO DE EXTINCIÓN DE INCENDIOS PARA EL PROYECTO TIENDA D1 ZEBAN</t>
        </is>
      </c>
      <c r="D556" s="312" t="n"/>
      <c r="E556" s="312" t="n"/>
      <c r="F556" s="312" t="n"/>
      <c r="G556" s="312" t="n"/>
      <c r="H556" s="312" t="n"/>
      <c r="I556" s="313" t="n"/>
      <c r="J556" s="199" t="inlineStr">
        <is>
          <t>Ingesed</t>
        </is>
      </c>
      <c r="K556" s="314" t="n">
        <v>4500000</v>
      </c>
      <c r="L556" s="2" t="n">
        <v>45604</v>
      </c>
      <c r="M556" s="170" t="n"/>
      <c r="N556" s="170" t="inlineStr">
        <is>
          <t>321 8338189</t>
        </is>
      </c>
      <c r="O556" s="103" t="inlineStr">
        <is>
          <t>Laura Delgado</t>
        </is>
      </c>
      <c r="P556" s="52" t="inlineStr">
        <is>
          <t>operacionesingesed@gmail.com</t>
        </is>
      </c>
    </row>
    <row r="557">
      <c r="B557" s="170" t="n">
        <v>546</v>
      </c>
      <c r="C557" s="199" t="inlineStr">
        <is>
          <t>COTIZACION DEL DISEÑO DE EXTINCIÓN DE INCENDIOS PARA EL PROYECTO LOCAL 133 TORRE MEDICA LAS VEGAS</t>
        </is>
      </c>
      <c r="D557" s="312" t="n"/>
      <c r="E557" s="312" t="n"/>
      <c r="F557" s="312" t="n"/>
      <c r="G557" s="312" t="n"/>
      <c r="H557" s="312" t="n"/>
      <c r="I557" s="313" t="n"/>
      <c r="J557" s="199" t="inlineStr">
        <is>
          <t>Proyectos Electricos Samd</t>
        </is>
      </c>
      <c r="K557" s="314" t="n">
        <v>1147500</v>
      </c>
      <c r="L557" s="2" t="n">
        <v>45602</v>
      </c>
      <c r="M557" s="170" t="n"/>
      <c r="N557" s="170" t="n">
        <v>3148921915</v>
      </c>
      <c r="O557" s="172" t="inlineStr">
        <is>
          <t>Aida Diaz</t>
        </is>
      </c>
      <c r="P557" s="52" t="inlineStr">
        <is>
          <t>proyectoselectricosamd@gmail.com</t>
        </is>
      </c>
    </row>
    <row r="558">
      <c r="B558" s="170" t="n">
        <v>547</v>
      </c>
      <c r="C558" s="199" t="inlineStr">
        <is>
          <t>COTIZACION DEL DISEÑO DE EXTINTORES PORTÁTILES CONTRA INCEDNIOS PARA EL PROYECTO TRES CANTOS</t>
        </is>
      </c>
      <c r="D558" s="312" t="n"/>
      <c r="E558" s="312" t="n"/>
      <c r="F558" s="312" t="n"/>
      <c r="G558" s="312" t="n"/>
      <c r="H558" s="312" t="n"/>
      <c r="I558" s="313" t="n"/>
      <c r="J558" s="199" t="inlineStr">
        <is>
          <t>Conintel</t>
        </is>
      </c>
      <c r="K558" s="314" t="n">
        <v>2500000</v>
      </c>
      <c r="L558" s="2" t="n">
        <v>45602</v>
      </c>
      <c r="M558" s="170" t="n"/>
      <c r="N558" s="170" t="n">
        <v>3008113522</v>
      </c>
      <c r="O558" s="172" t="inlineStr">
        <is>
          <t>Katty Milena Castro</t>
        </is>
      </c>
      <c r="P558" s="52" t="inlineStr">
        <is>
          <t>trescantosk@gmail.com</t>
        </is>
      </c>
    </row>
    <row r="559">
      <c r="B559" s="170" t="n">
        <v>548</v>
      </c>
      <c r="C559" s="199" t="inlineStr">
        <is>
          <t>COTIZACION DEL ANÁLISIS DE SEGURIDAD HUMANA PARA EL PROYECTO VIBRATTO</t>
        </is>
      </c>
      <c r="D559" s="312" t="n"/>
      <c r="E559" s="312" t="n"/>
      <c r="F559" s="312" t="n"/>
      <c r="G559" s="312" t="n"/>
      <c r="H559" s="312" t="n"/>
      <c r="I559" s="313" t="n"/>
      <c r="J559" s="199" t="inlineStr">
        <is>
          <t>Centro Sur</t>
        </is>
      </c>
      <c r="K559" s="314" t="n">
        <v>4950000</v>
      </c>
      <c r="L559" s="2" t="n">
        <v>45603</v>
      </c>
      <c r="M559" s="170" t="n"/>
      <c r="N559" s="170" t="n">
        <v>4480648</v>
      </c>
      <c r="O559" s="172" t="inlineStr">
        <is>
          <t>Natalia Andrea Vásquez Zapata</t>
        </is>
      </c>
      <c r="P559" s="52" t="inlineStr">
        <is>
          <t>nataliavasquez@centrosur.co</t>
        </is>
      </c>
    </row>
    <row r="560">
      <c r="B560" s="170" t="n">
        <v>549</v>
      </c>
      <c r="C560" s="246" t="inlineStr">
        <is>
          <t xml:space="preserve">COTIZACION DE LOS DISEÑOS DE PROTECCIÓN CONTRA INCENDIOS PARA EL PROYECTO KENT &amp; SORRENTO
</t>
        </is>
      </c>
      <c r="D560" s="312" t="n"/>
      <c r="E560" s="312" t="n"/>
      <c r="F560" s="312" t="n"/>
      <c r="G560" s="312" t="n"/>
      <c r="H560" s="312" t="n"/>
      <c r="I560" s="313" t="n"/>
      <c r="J560" s="199" t="inlineStr">
        <is>
          <t>FP Services SAS</t>
        </is>
      </c>
      <c r="K560" s="314" t="n">
        <v>19950000</v>
      </c>
      <c r="L560" s="2" t="n">
        <v>45603</v>
      </c>
      <c r="M560" s="170" t="n"/>
      <c r="N560" s="170" t="n">
        <v>31104513967</v>
      </c>
      <c r="O560" s="172" t="inlineStr">
        <is>
          <t>Julio Millan Trujillo</t>
        </is>
      </c>
      <c r="P560" s="52" t="inlineStr">
        <is>
          <t>juliomillan@fpservices.com.co</t>
        </is>
      </c>
    </row>
    <row r="561">
      <c r="B561" s="170" t="n">
        <v>550</v>
      </c>
      <c r="C561" s="233" t="inlineStr">
        <is>
          <t>COTIZACION DE LOS DISEÑOS DE PROTECCIÓN CONTRA INCENDIOS PARA EL PROYECTO CLINICA CES ETAPA 3</t>
        </is>
      </c>
      <c r="D561" s="312" t="n"/>
      <c r="E561" s="312" t="n"/>
      <c r="F561" s="312" t="n"/>
      <c r="G561" s="312" t="n"/>
      <c r="H561" s="312" t="n"/>
      <c r="I561" s="313" t="n"/>
      <c r="J561" s="199" t="inlineStr">
        <is>
          <t>Clinica CES</t>
        </is>
      </c>
      <c r="K561" s="314" t="n">
        <v>45950000</v>
      </c>
      <c r="L561" s="2" t="n">
        <v>45603</v>
      </c>
      <c r="M561" s="170" t="n"/>
      <c r="N561" s="170" t="inlineStr">
        <is>
          <t>5767272- Ext 7387</t>
        </is>
      </c>
      <c r="O561" s="172" t="inlineStr">
        <is>
          <t xml:space="preserve">Leidy Alzate Quintero </t>
        </is>
      </c>
      <c r="P561" s="52" t="inlineStr">
        <is>
          <t>leidyalzateq@clinicaces.edu.co</t>
        </is>
      </c>
    </row>
    <row r="562">
      <c r="B562" s="170" t="n">
        <v>551</v>
      </c>
      <c r="C562" s="199" t="inlineStr">
        <is>
          <t>COTIZACION DEL DISEÑO DE DETECCIÓN DE INCENDIOS PARA EL PROYECTO TIENDA D1 BUCARAMANGA</t>
        </is>
      </c>
      <c r="D562" s="312" t="n"/>
      <c r="E562" s="312" t="n"/>
      <c r="F562" s="312" t="n"/>
      <c r="G562" s="312" t="n"/>
      <c r="H562" s="312" t="n"/>
      <c r="I562" s="313" t="n"/>
      <c r="J562" s="199" t="inlineStr">
        <is>
          <t>Ingesed</t>
        </is>
      </c>
      <c r="K562" s="314" t="n">
        <v>1300000</v>
      </c>
      <c r="L562" s="2" t="n">
        <v>45603</v>
      </c>
      <c r="M562" s="170" t="n"/>
      <c r="N562" s="170" t="inlineStr">
        <is>
          <t>321 8338189</t>
        </is>
      </c>
      <c r="O562" s="103" t="inlineStr">
        <is>
          <t>Laura Delgado</t>
        </is>
      </c>
      <c r="P562" s="52" t="inlineStr">
        <is>
          <t>operacionesingesed@gmail.com</t>
        </is>
      </c>
    </row>
    <row r="563">
      <c r="B563" s="170" t="n">
        <v>552</v>
      </c>
      <c r="C563" s="199" t="inlineStr">
        <is>
          <t>COTIZACION DE LOS DISEÑOS DE PROTECCIÓN CONTRA INCENDIOS Y SEGURIDAD HUMANA PARA EL PROYECTO BLAZÉ GUATAPE</t>
        </is>
      </c>
      <c r="D563" s="312" t="n"/>
      <c r="E563" s="312" t="n"/>
      <c r="F563" s="312" t="n"/>
      <c r="G563" s="312" t="n"/>
      <c r="H563" s="312" t="n"/>
      <c r="I563" s="313" t="n"/>
      <c r="J563" s="199" t="inlineStr">
        <is>
          <t>Gino Montoya</t>
        </is>
      </c>
      <c r="K563" s="314" t="n">
        <v>12230000</v>
      </c>
      <c r="L563" s="2" t="n">
        <v>45609</v>
      </c>
      <c r="M563" s="170" t="n"/>
      <c r="N563" s="170" t="n">
        <v>3044003430</v>
      </c>
      <c r="O563" s="172" t="inlineStr">
        <is>
          <t>Gino Montoya</t>
        </is>
      </c>
      <c r="P563" s="52" t="inlineStr">
        <is>
          <t>gino1037@hotmail.com</t>
        </is>
      </c>
    </row>
    <row r="564">
      <c r="B564" s="170" t="n">
        <v>553</v>
      </c>
      <c r="C564" s="199" t="inlineStr">
        <is>
          <t>COTIZACION DE LOS DISEÑOS DE PROTECCIÓN CONTRA INCENDIOS - FORMAS ÍNTIMAS</t>
        </is>
      </c>
      <c r="D564" s="312" t="n"/>
      <c r="E564" s="312" t="n"/>
      <c r="F564" s="312" t="n"/>
      <c r="G564" s="312" t="n"/>
      <c r="H564" s="312" t="n"/>
      <c r="I564" s="313" t="n"/>
      <c r="J564" s="199" t="inlineStr">
        <is>
          <t>FP Services SAS</t>
        </is>
      </c>
      <c r="K564" s="314" t="n">
        <v>11850000</v>
      </c>
      <c r="L564" s="2" t="n">
        <v>45603</v>
      </c>
      <c r="M564" s="170" t="n"/>
      <c r="N564" s="170" t="n">
        <v>31104513967</v>
      </c>
      <c r="O564" s="172" t="inlineStr">
        <is>
          <t>Julio Millan Trujillo</t>
        </is>
      </c>
      <c r="P564" s="52" t="n"/>
    </row>
    <row r="565">
      <c r="B565" s="170" t="n">
        <v>554</v>
      </c>
      <c r="C565" s="199" t="inlineStr">
        <is>
          <t>COTIZACION DE LOS DISEÑOS DE PROTECCIÓN CONTRA INCENDIOS Y SEGURIDAD HUMANA PARA EL PROYECTO LA VIDA ES BELLA 2 ETAPA 2</t>
        </is>
      </c>
      <c r="D565" s="312" t="n"/>
      <c r="E565" s="312" t="n"/>
      <c r="F565" s="312" t="n"/>
      <c r="G565" s="312" t="n"/>
      <c r="H565" s="312" t="n"/>
      <c r="I565" s="313" t="n"/>
      <c r="J565" s="199" t="inlineStr">
        <is>
          <t>Soluciones Civiles</t>
        </is>
      </c>
      <c r="K565" s="314" t="n">
        <v>16930000</v>
      </c>
      <c r="L565" s="2" t="n">
        <v>45605</v>
      </c>
      <c r="M565" s="170" t="n"/>
      <c r="N565" s="170" t="n"/>
      <c r="O565" s="103" t="inlineStr">
        <is>
          <t>Gustavo Aguirre Arcila</t>
        </is>
      </c>
      <c r="P565" s="52" t="inlineStr">
        <is>
          <t>gaguirre@solciviles.com</t>
        </is>
      </c>
    </row>
    <row r="566">
      <c r="B566" s="170" t="n">
        <v>555</v>
      </c>
      <c r="C566" s="199" t="inlineStr">
        <is>
          <t>COTIZACION DEL DISEÑO DE DETECCIÓN DE INCENDIOS PARA EL PROYECTO COLCAFE AFC</t>
        </is>
      </c>
      <c r="D566" s="312" t="n"/>
      <c r="E566" s="312" t="n"/>
      <c r="F566" s="312" t="n"/>
      <c r="G566" s="312" t="n"/>
      <c r="H566" s="312" t="n"/>
      <c r="I566" s="313" t="n"/>
      <c r="J566" s="199" t="inlineStr">
        <is>
          <t>AFC</t>
        </is>
      </c>
      <c r="K566" s="314" t="n">
        <v>37950000</v>
      </c>
      <c r="L566" s="2" t="n">
        <v>45608</v>
      </c>
      <c r="M566" s="170" t="n"/>
      <c r="N566" s="170" t="inlineStr">
        <is>
          <t xml:space="preserve">	3116456726</t>
        </is>
      </c>
      <c r="O566" s="172" t="inlineStr">
        <is>
          <t>Andres Cruz</t>
        </is>
      </c>
      <c r="P566" s="52" t="inlineStr">
        <is>
          <t>proyectos.afcprofire@gmail.com</t>
        </is>
      </c>
    </row>
    <row r="567">
      <c r="B567" s="170" t="n">
        <v>556</v>
      </c>
      <c r="C567" s="199" t="inlineStr">
        <is>
          <t>PRESUPUESTO SISTEMAS DE PROTECCIÓN CONTRA INCENDIOS CEDI</t>
        </is>
      </c>
      <c r="D567" s="312" t="n"/>
      <c r="E567" s="312" t="n"/>
      <c r="F567" s="312" t="n"/>
      <c r="G567" s="312" t="n"/>
      <c r="H567" s="312" t="n"/>
      <c r="I567" s="313" t="n"/>
      <c r="J567" s="199" t="inlineStr">
        <is>
          <t>AVANTE</t>
        </is>
      </c>
      <c r="K567" s="314" t="n">
        <v>950000</v>
      </c>
      <c r="L567" s="2" t="n">
        <v>45608</v>
      </c>
      <c r="M567" s="170" t="n"/>
      <c r="N567" s="170" t="n">
        <v>3053156721</v>
      </c>
      <c r="O567" s="172" t="inlineStr">
        <is>
          <t>José Daniel Echeverri</t>
        </is>
      </c>
      <c r="P567" s="52" t="inlineStr">
        <is>
          <t>daniel.echeverri@avanteing.com</t>
        </is>
      </c>
    </row>
    <row r="568">
      <c r="B568" s="170" t="n">
        <v>557</v>
      </c>
      <c r="C568" s="246" t="inlineStr">
        <is>
          <t xml:space="preserve">COTIZACION DE LOS DISEÑOS DE PROTECCIÓN CONTRA INCENDIOS PARA EL PROYECTO HALL CAJEROS NUESTRO MONTERIA
</t>
        </is>
      </c>
      <c r="D568" s="312" t="n"/>
      <c r="E568" s="312" t="n"/>
      <c r="F568" s="312" t="n"/>
      <c r="G568" s="312" t="n"/>
      <c r="H568" s="312" t="n"/>
      <c r="I568" s="313" t="n"/>
      <c r="J568" s="199" t="inlineStr">
        <is>
          <t>Esteban Perez</t>
        </is>
      </c>
      <c r="K568" s="314" t="n">
        <v>900000</v>
      </c>
      <c r="L568" s="2" t="n">
        <v>45609</v>
      </c>
      <c r="M568" s="170" t="n"/>
      <c r="N568" s="170" t="inlineStr">
        <is>
          <t xml:space="preserve"> 316 7417025</t>
        </is>
      </c>
      <c r="O568" s="172" t="inlineStr">
        <is>
          <t>Esteban Perez Betancur</t>
        </is>
      </c>
      <c r="P568" s="52" t="inlineStr">
        <is>
          <t>escapeto28@gmail.com</t>
        </is>
      </c>
    </row>
    <row r="569">
      <c r="B569" s="170" t="n">
        <v>558</v>
      </c>
      <c r="C569" s="199" t="inlineStr">
        <is>
          <t>QUOTE REVIEW AND VERIFICATION FIRE PROTECTION SYSTEM - DIESEL TANKS</t>
        </is>
      </c>
      <c r="D569" s="312" t="n"/>
      <c r="E569" s="312" t="n"/>
      <c r="F569" s="312" t="n"/>
      <c r="G569" s="312" t="n"/>
      <c r="H569" s="312" t="n"/>
      <c r="I569" s="313" t="n"/>
      <c r="J569" s="199" t="inlineStr">
        <is>
          <t>CEAD N.V</t>
        </is>
      </c>
      <c r="K569" s="314" t="n">
        <v>1000</v>
      </c>
      <c r="L569" s="2" t="n">
        <v>45609</v>
      </c>
      <c r="M569" s="170" t="n"/>
      <c r="N569" s="170" t="n">
        <v>5978896976</v>
      </c>
      <c r="O569" s="103" t="inlineStr">
        <is>
          <t>Demi Tjang-A-Sjin</t>
        </is>
      </c>
      <c r="P569" s="52" t="inlineStr">
        <is>
          <t>d.tjang-a-sjin@ceadnv.com</t>
        </is>
      </c>
    </row>
    <row r="570">
      <c r="B570" s="170" t="n">
        <v>559</v>
      </c>
      <c r="C570" s="199" t="inlineStr">
        <is>
          <t>COTIZACION DE LOS DISEÑOS DE PROTECCIÓN CONTRA INCENDIOS Y SEGURIDAD HUMANA PARA EL PROYECTO IMUSA COPACABANA</t>
        </is>
      </c>
      <c r="D570" s="312" t="n"/>
      <c r="E570" s="312" t="n"/>
      <c r="F570" s="312" t="n"/>
      <c r="G570" s="312" t="n"/>
      <c r="H570" s="312" t="n"/>
      <c r="I570" s="313" t="n"/>
      <c r="J570" s="199" t="inlineStr">
        <is>
          <t>Securetec</t>
        </is>
      </c>
      <c r="K570" s="314" t="n">
        <v>21950000</v>
      </c>
      <c r="L570" s="2" t="n">
        <v>45609</v>
      </c>
      <c r="M570" s="170" t="n"/>
      <c r="N570" s="170" t="n">
        <v>3206678830</v>
      </c>
      <c r="O570" s="172" t="inlineStr">
        <is>
          <t>Jhonny A. Castro</t>
        </is>
      </c>
      <c r="P570" s="52" t="inlineStr">
        <is>
          <t>dirproyectos@securetec.com.co</t>
        </is>
      </c>
    </row>
    <row r="571">
      <c r="B571" s="170" t="n">
        <v>560</v>
      </c>
      <c r="C571" s="199" t="inlineStr">
        <is>
          <t>COTIZACION DE LOS DISEÑOS DE PROTECCIÓN CONTRA INCENDIOS PARA EL PROYECTO SUBESTACION SMURFIT KAPPA</t>
        </is>
      </c>
      <c r="D571" s="312" t="n"/>
      <c r="E571" s="312" t="n"/>
      <c r="F571" s="312" t="n"/>
      <c r="G571" s="312" t="n"/>
      <c r="H571" s="312" t="n"/>
      <c r="I571" s="313" t="n"/>
      <c r="J571" s="199" t="inlineStr">
        <is>
          <t>Seriinco</t>
        </is>
      </c>
      <c r="K571" s="314" t="n">
        <v>6770000</v>
      </c>
      <c r="L571" s="2" t="n">
        <v>45610</v>
      </c>
      <c r="M571" s="170" t="n"/>
      <c r="N571" s="170" t="n">
        <v>3113391008</v>
      </c>
      <c r="O571" s="102" t="inlineStr">
        <is>
          <t>Carlos Enrique Henao Londoño</t>
        </is>
      </c>
      <c r="P571" s="52" t="inlineStr">
        <is>
          <t>carlos.henao@seriinco.com</t>
        </is>
      </c>
    </row>
    <row r="572">
      <c r="B572" s="170" t="n">
        <v>561</v>
      </c>
      <c r="C572" s="199" t="inlineStr">
        <is>
          <t>COTIZACION DEL DISEÑO DE EXTINCIÓN DE INCENDIOS PARA EL PROYECTO CASA DE LA CULTURA GUARNE</t>
        </is>
      </c>
      <c r="D572" s="312" t="n"/>
      <c r="E572" s="312" t="n"/>
      <c r="F572" s="312" t="n"/>
      <c r="G572" s="312" t="n"/>
      <c r="H572" s="312" t="n"/>
      <c r="I572" s="313" t="n"/>
      <c r="J572" s="199" t="inlineStr">
        <is>
          <t>SPCI</t>
        </is>
      </c>
      <c r="K572" s="314" t="n">
        <v>9970000</v>
      </c>
      <c r="L572" s="2" t="n">
        <v>45614</v>
      </c>
      <c r="M572" s="170" t="n"/>
      <c r="N572" s="170" t="n">
        <v>3104165783</v>
      </c>
      <c r="O572" s="172" t="inlineStr">
        <is>
          <t>Cristiam Gustavo Mondragon</t>
        </is>
      </c>
      <c r="P572" s="52" t="inlineStr">
        <is>
          <t>dir.tecnico@spci.com.co</t>
        </is>
      </c>
    </row>
    <row r="573">
      <c r="B573" s="170" t="n">
        <v>562</v>
      </c>
      <c r="C573" s="199" t="inlineStr">
        <is>
          <t>COTIZACION DEL ANÁLISIS DE SEGURIDAD HUMANA PARA EL PROYECTO ECOPETROL</t>
        </is>
      </c>
      <c r="D573" s="312" t="n"/>
      <c r="E573" s="312" t="n"/>
      <c r="F573" s="312" t="n"/>
      <c r="G573" s="312" t="n"/>
      <c r="H573" s="312" t="n"/>
      <c r="I573" s="313" t="n"/>
      <c r="J573" s="199" t="inlineStr">
        <is>
          <t>Conconcreto</t>
        </is>
      </c>
      <c r="K573" s="314" t="inlineStr">
        <is>
          <t>Variable</t>
        </is>
      </c>
      <c r="L573" s="2" t="n">
        <v>45614</v>
      </c>
      <c r="M573" s="170" t="n"/>
      <c r="N573" s="170" t="inlineStr">
        <is>
          <t>300 656 3981</t>
        </is>
      </c>
      <c r="O573" s="172" t="inlineStr">
        <is>
          <t>Milena Hernandez</t>
        </is>
      </c>
      <c r="P573" s="52" t="inlineStr">
        <is>
          <t>mhernandezm@conconcreto.com</t>
        </is>
      </c>
    </row>
    <row r="574">
      <c r="B574" s="170" t="n">
        <v>563</v>
      </c>
      <c r="C574" s="199" t="inlineStr">
        <is>
          <t>COTIZACION DEL ANÁLISIS DE SEGURIDAD HUMANA PARA EL PROYECTO PUNTA CANA</t>
        </is>
      </c>
      <c r="D574" s="312" t="n"/>
      <c r="E574" s="312" t="n"/>
      <c r="F574" s="312" t="n"/>
      <c r="G574" s="312" t="n"/>
      <c r="H574" s="312" t="n"/>
      <c r="I574" s="313" t="n"/>
      <c r="J574" s="199" t="inlineStr">
        <is>
          <t>Conconcreto</t>
        </is>
      </c>
      <c r="K574" s="314" t="n">
        <v>18800000</v>
      </c>
      <c r="L574" s="2" t="n">
        <v>45614</v>
      </c>
      <c r="M574" s="170" t="n"/>
      <c r="N574" s="170" t="n">
        <v>3004938086</v>
      </c>
      <c r="O574" s="172" t="inlineStr">
        <is>
          <t>Andrés Felipe Martínez Arismendy</t>
        </is>
      </c>
      <c r="P574" s="52" t="inlineStr">
        <is>
          <t>amartineza@conconcreto.com</t>
        </is>
      </c>
    </row>
    <row r="575">
      <c r="B575" s="170" t="n">
        <v>564</v>
      </c>
      <c r="C575" s="233" t="inlineStr">
        <is>
          <t>COTIZACION DE LOS DISEÑOS DE PROTECCIÓN CONTRA INCENDIOS Y SEGURIDAD HUMANA PARA EL PROYECTO J.A.C BETANIA SABANETA</t>
        </is>
      </c>
      <c r="D575" s="312" t="n"/>
      <c r="E575" s="312" t="n"/>
      <c r="F575" s="312" t="n"/>
      <c r="G575" s="312" t="n"/>
      <c r="H575" s="312" t="n"/>
      <c r="I575" s="313" t="n"/>
      <c r="J575" s="199" t="inlineStr">
        <is>
          <t>Pulso Promotora</t>
        </is>
      </c>
      <c r="K575" s="314" t="n">
        <v>7500000</v>
      </c>
      <c r="L575" s="2" t="n">
        <v>45611</v>
      </c>
      <c r="M575" s="170" t="n"/>
      <c r="N575" s="170" t="n">
        <v>3007664029</v>
      </c>
      <c r="O575" s="172" t="inlineStr">
        <is>
          <t>Didier Duque Jaramillo</t>
        </is>
      </c>
      <c r="P575" s="52" t="inlineStr">
        <is>
          <t>dduque@pulsoproyectos.com</t>
        </is>
      </c>
    </row>
    <row r="576">
      <c r="B576" s="170" t="n">
        <v>565</v>
      </c>
      <c r="C576" s="199" t="inlineStr">
        <is>
          <t>COTIZACION DE LOS DISEÑOS DE PROTECCIÓN CONTRA INCENDIOS Y SEGURIDAD HUMANA PARA EL PROYECTO BODEGAS SITECO</t>
        </is>
      </c>
      <c r="D576" s="312" t="n"/>
      <c r="E576" s="312" t="n"/>
      <c r="F576" s="312" t="n"/>
      <c r="G576" s="312" t="n"/>
      <c r="H576" s="312" t="n"/>
      <c r="I576" s="313" t="n"/>
      <c r="J576" s="199" t="inlineStr">
        <is>
          <t>SPCI</t>
        </is>
      </c>
      <c r="K576" s="314" t="n">
        <v>17560000</v>
      </c>
      <c r="L576" s="2" t="n">
        <v>45616</v>
      </c>
      <c r="M576" s="170" t="n"/>
      <c r="N576" s="170" t="n">
        <v>3104165783</v>
      </c>
      <c r="O576" s="172" t="inlineStr">
        <is>
          <t>Cristiam Gustavo Mondragon</t>
        </is>
      </c>
      <c r="P576" s="52" t="inlineStr">
        <is>
          <t>dir.tecnico@spci.com.co</t>
        </is>
      </c>
    </row>
    <row r="577">
      <c r="B577" s="170" t="n">
        <v>566</v>
      </c>
      <c r="C577" s="199" t="inlineStr">
        <is>
          <t>COTIZACION DE LOS DISEÑOS DE PROTECCIÓN CONTRA INCENDIOS PARA EL PROYECTO CAMPAMENTO MONTEVERDE</t>
        </is>
      </c>
      <c r="D577" s="312" t="n"/>
      <c r="E577" s="312" t="n"/>
      <c r="F577" s="312" t="n"/>
      <c r="G577" s="312" t="n"/>
      <c r="H577" s="312" t="n"/>
      <c r="I577" s="313" t="n"/>
      <c r="J577" s="199" t="inlineStr">
        <is>
          <t>SPCI</t>
        </is>
      </c>
      <c r="K577" s="314" t="n">
        <v>18750000</v>
      </c>
      <c r="L577" s="2" t="n">
        <v>45614</v>
      </c>
      <c r="M577" s="170" t="n"/>
      <c r="N577" s="170" t="n">
        <v>3104165783</v>
      </c>
      <c r="O577" s="172" t="inlineStr">
        <is>
          <t>Cristiam Gustavo Mondragon</t>
        </is>
      </c>
      <c r="P577" s="52" t="inlineStr">
        <is>
          <t>dir.tecnico@spci.com.co</t>
        </is>
      </c>
    </row>
    <row r="578">
      <c r="B578" s="170" t="n">
        <v>567</v>
      </c>
      <c r="C578" s="199" t="inlineStr">
        <is>
          <t>COTIZACION DEL DISEÑO DE EXTINCIÓN DE INCENDIOS PARA EL PROYECTO ZONA DE COMIDAS ANTIGUAS SAN NICOLAS</t>
        </is>
      </c>
      <c r="D578" s="312" t="n"/>
      <c r="E578" s="312" t="n"/>
      <c r="F578" s="312" t="n"/>
      <c r="G578" s="312" t="n"/>
      <c r="H578" s="312" t="n"/>
      <c r="I578" s="313" t="n"/>
      <c r="J578" s="199" t="inlineStr">
        <is>
          <t>Interlg</t>
        </is>
      </c>
      <c r="K578" s="314" t="n">
        <v>7950000</v>
      </c>
      <c r="L578" s="2" t="n">
        <v>45614</v>
      </c>
      <c r="M578" s="170" t="n"/>
      <c r="N578" s="170" t="n">
        <v>3111770</v>
      </c>
      <c r="O578" s="172" t="inlineStr">
        <is>
          <t>Lina M Saldarriaga Valencia</t>
        </is>
      </c>
      <c r="P578" s="172" t="n"/>
    </row>
    <row r="579">
      <c r="B579" s="49" t="n">
        <v>598</v>
      </c>
      <c r="C579" s="199" t="inlineStr">
        <is>
          <t>COTIZACION DEL DISEÑO DE EXTINCIÓN DE INCENDIOS PARA EL PROYECTO CONSULTORIO</t>
        </is>
      </c>
      <c r="D579" s="312" t="n"/>
      <c r="E579" s="312" t="n"/>
      <c r="F579" s="312" t="n"/>
      <c r="G579" s="312" t="n"/>
      <c r="H579" s="312" t="n"/>
      <c r="I579" s="313" t="n"/>
      <c r="J579" s="199" t="inlineStr">
        <is>
          <t>FP Services SAS</t>
        </is>
      </c>
      <c r="K579" s="314" t="n">
        <v>1350000</v>
      </c>
      <c r="L579" s="2" t="n">
        <v>45603</v>
      </c>
      <c r="M579" s="170" t="n"/>
      <c r="N579" s="170" t="n">
        <v>31104513967</v>
      </c>
      <c r="O579" s="172" t="inlineStr">
        <is>
          <t>Julio Millan Trujillo</t>
        </is>
      </c>
      <c r="P579" s="52" t="n"/>
    </row>
    <row r="580">
      <c r="B580" s="170" t="n">
        <v>569</v>
      </c>
      <c r="C580" s="199" t="inlineStr">
        <is>
          <t>COTIZACION DEL ANÁLISIS DE SEGURIDAD HUMANA PARA EL PROYECTO DISLICORES</t>
        </is>
      </c>
      <c r="D580" s="312" t="n"/>
      <c r="E580" s="312" t="n"/>
      <c r="F580" s="312" t="n"/>
      <c r="G580" s="312" t="n"/>
      <c r="H580" s="312" t="n"/>
      <c r="I580" s="313" t="n"/>
      <c r="J580" s="199" t="inlineStr">
        <is>
          <t>SPCI</t>
        </is>
      </c>
      <c r="K580" s="314" t="n"/>
      <c r="L580" s="2" t="n">
        <v>45617</v>
      </c>
      <c r="M580" s="170" t="n"/>
      <c r="N580" s="170" t="n">
        <v>3104165783</v>
      </c>
      <c r="O580" s="172" t="inlineStr">
        <is>
          <t>Cristiam Gustavo Mondragon</t>
        </is>
      </c>
      <c r="P580" s="52" t="inlineStr">
        <is>
          <t>dir.tecnico@spci.com.co</t>
        </is>
      </c>
    </row>
    <row r="581">
      <c r="B581" s="170" t="n">
        <v>570</v>
      </c>
      <c r="C581" s="199" t="inlineStr">
        <is>
          <t>COTIZACION DE LOS DISEÑOS DE PROTECCIÓN CONTRA INCENDIOS PARA EL PROYECTO LOCAL SANTA FÉ</t>
        </is>
      </c>
      <c r="D581" s="312" t="n"/>
      <c r="E581" s="312" t="n"/>
      <c r="F581" s="312" t="n"/>
      <c r="G581" s="312" t="n"/>
      <c r="H581" s="312" t="n"/>
      <c r="I581" s="313" t="n"/>
      <c r="J581" s="199" t="inlineStr">
        <is>
          <t>PROJECT&amp; SOLUTIONS</t>
        </is>
      </c>
      <c r="K581" s="314" t="n">
        <v>2050000</v>
      </c>
      <c r="L581" s="2" t="n">
        <v>45616</v>
      </c>
      <c r="M581" s="170" t="n"/>
      <c r="N581" s="170" t="inlineStr">
        <is>
          <t>311 3079477</t>
        </is>
      </c>
      <c r="O581" s="102" t="inlineStr">
        <is>
          <t>Sebastian Lopez Duque</t>
        </is>
      </c>
      <c r="P581" s="52" t="inlineStr">
        <is>
          <t>gerencia@projectsolutions.com.co</t>
        </is>
      </c>
    </row>
    <row r="582">
      <c r="B582" s="170" t="n">
        <v>571</v>
      </c>
      <c r="C582" s="233" t="inlineStr">
        <is>
          <t>COTIZACION DE LOS DISEÑOS DE PROTECCIÓN CONTRA INCENDIOS Y SEGURIDAD HUMANA PARA EL PROYECTO LOTE COLINAS DE OCCIDENTE</t>
        </is>
      </c>
      <c r="D582" s="312" t="n"/>
      <c r="E582" s="312" t="n"/>
      <c r="F582" s="312" t="n"/>
      <c r="G582" s="312" t="n"/>
      <c r="H582" s="312" t="n"/>
      <c r="I582" s="313" t="n"/>
      <c r="J582" s="199" t="inlineStr">
        <is>
          <t>CONINSA</t>
        </is>
      </c>
      <c r="K582" s="314" t="n">
        <v>19990000</v>
      </c>
      <c r="L582" s="2" t="n">
        <v>45616</v>
      </c>
      <c r="M582" s="170" t="n"/>
      <c r="N582" s="170" t="inlineStr">
        <is>
          <t>300 754 96 49</t>
        </is>
      </c>
      <c r="O582" s="172" t="inlineStr">
        <is>
          <t>Zully Milena López Molina</t>
        </is>
      </c>
      <c r="P582" s="52" t="inlineStr">
        <is>
          <t>zmlopez@coninsa.co</t>
        </is>
      </c>
    </row>
    <row r="583">
      <c r="B583" s="170" t="n">
        <v>572</v>
      </c>
      <c r="C583" s="233" t="inlineStr">
        <is>
          <t>COTIZACION DE LOS DISEÑOS DE PROTECCIÓN CONTRA INCENDIOS Y SEGURIDAD HUMANA PARA EL PROYECTO BODEGA CREAJEANS</t>
        </is>
      </c>
      <c r="D583" s="312" t="n"/>
      <c r="E583" s="312" t="n"/>
      <c r="F583" s="312" t="n"/>
      <c r="G583" s="312" t="n"/>
      <c r="H583" s="312" t="n"/>
      <c r="I583" s="313" t="n"/>
      <c r="J583" s="199" t="inlineStr">
        <is>
          <t>Detectar Systems</t>
        </is>
      </c>
      <c r="K583" s="314" t="n">
        <v>19950000</v>
      </c>
      <c r="L583" s="2" t="n">
        <v>45616</v>
      </c>
      <c r="M583" s="170" t="n"/>
      <c r="N583" s="170" t="n"/>
      <c r="O583" s="172" t="inlineStr">
        <is>
          <t>Juan Santiago Londoño Quiceno</t>
        </is>
      </c>
      <c r="P583" s="172" t="n"/>
    </row>
    <row r="584">
      <c r="B584" s="170" t="n">
        <v>573</v>
      </c>
      <c r="C584" s="199" t="inlineStr">
        <is>
          <t>COTIZACION DEL PLAN MAESTRO DE PROTECCIÓN CONTRA INCENDIOS - PLANTA McCAIN</t>
        </is>
      </c>
      <c r="D584" s="312" t="n"/>
      <c r="E584" s="312" t="n"/>
      <c r="F584" s="312" t="n"/>
      <c r="G584" s="312" t="n"/>
      <c r="H584" s="312" t="n"/>
      <c r="I584" s="313" t="n"/>
      <c r="J584" s="199" t="inlineStr">
        <is>
          <t>McCAIN</t>
        </is>
      </c>
      <c r="K584" s="314" t="n">
        <v>13950000</v>
      </c>
      <c r="L584" s="2" t="n">
        <v>45617</v>
      </c>
      <c r="M584" s="170" t="n"/>
      <c r="N584" s="170" t="n">
        <v>3167424116</v>
      </c>
      <c r="O584" s="172" t="inlineStr">
        <is>
          <t>Paola Moya</t>
        </is>
      </c>
      <c r="P584" s="52" t="inlineStr">
        <is>
          <t>Paola.MOYA@mccain.com.co</t>
        </is>
      </c>
    </row>
    <row r="585">
      <c r="B585" s="170" t="n">
        <v>574</v>
      </c>
      <c r="C585" s="199" t="inlineStr">
        <is>
          <t>COTIZACION DEL DISEÑO DE EXTINTORES PORTÉTILES CONTRA INCENDIOS PARA LA PLANTA McCAIN</t>
        </is>
      </c>
      <c r="D585" s="312" t="n"/>
      <c r="E585" s="312" t="n"/>
      <c r="F585" s="312" t="n"/>
      <c r="G585" s="312" t="n"/>
      <c r="H585" s="312" t="n"/>
      <c r="I585" s="313" t="n"/>
      <c r="J585" s="199" t="inlineStr">
        <is>
          <t>McCAIN</t>
        </is>
      </c>
      <c r="K585" s="314" t="n">
        <v>3950000</v>
      </c>
      <c r="L585" s="2" t="n">
        <v>45617</v>
      </c>
      <c r="M585" s="170" t="n"/>
      <c r="N585" s="170" t="n">
        <v>3167424116</v>
      </c>
      <c r="O585" s="172" t="inlineStr">
        <is>
          <t>Paola Moya</t>
        </is>
      </c>
      <c r="P585" s="52" t="inlineStr">
        <is>
          <t>Paola.MOYA@mccain.com.co</t>
        </is>
      </c>
    </row>
    <row r="586">
      <c r="B586" s="170" t="n">
        <v>575</v>
      </c>
      <c r="C586" s="233" t="inlineStr">
        <is>
          <t>COTIZACION DE LOS DISEÑOS DE PROTECCIÓN CONTRA INCENDIOS Y SEGURIDAD HUMANA PARA EL PROYECTO LAURELES</t>
        </is>
      </c>
      <c r="D586" s="312" t="n"/>
      <c r="E586" s="312" t="n"/>
      <c r="F586" s="312" t="n"/>
      <c r="G586" s="312" t="n"/>
      <c r="H586" s="312" t="n"/>
      <c r="I586" s="313" t="n"/>
      <c r="J586" s="199" t="inlineStr">
        <is>
          <t>Bienes y Bienes</t>
        </is>
      </c>
      <c r="K586" s="314" t="n">
        <v>21950000</v>
      </c>
      <c r="L586" s="2" t="n">
        <v>45617</v>
      </c>
      <c r="M586" s="170" t="n"/>
      <c r="N586" s="170" t="n"/>
      <c r="O586" s="172" t="inlineStr">
        <is>
          <t>Carlos Andres Quintero Angel</t>
        </is>
      </c>
      <c r="P586" s="52" t="inlineStr">
        <is>
          <t>carlos.quintero@bienesybienes.com.co</t>
        </is>
      </c>
    </row>
    <row r="587">
      <c r="B587" s="170" t="n">
        <v>576</v>
      </c>
      <c r="C587" s="233" t="inlineStr">
        <is>
          <t>COTIZACION DE LOS DISEÑOS DE EXTINCIÓN DE INCENDIOS Y SEGURIDAD HUMANA PARA EL PROYECTO SURA MOLINOS PISO 9</t>
        </is>
      </c>
      <c r="D587" s="312" t="n"/>
      <c r="E587" s="312" t="n"/>
      <c r="F587" s="312" t="n"/>
      <c r="G587" s="312" t="n"/>
      <c r="H587" s="312" t="n"/>
      <c r="I587" s="313" t="n"/>
      <c r="J587" s="199" t="inlineStr">
        <is>
          <t>SPCI</t>
        </is>
      </c>
      <c r="K587" s="314" t="n">
        <v>2950000</v>
      </c>
      <c r="L587" s="2" t="n">
        <v>45618</v>
      </c>
      <c r="M587" s="170" t="n"/>
      <c r="N587" s="170" t="n">
        <v>3104165783</v>
      </c>
      <c r="O587" s="172" t="inlineStr">
        <is>
          <t>Cristiam Gustavo Mondragon</t>
        </is>
      </c>
      <c r="P587" s="52" t="inlineStr">
        <is>
          <t>dir.tecnico@spci.com.co</t>
        </is>
      </c>
    </row>
    <row r="588">
      <c r="B588" s="170" t="n">
        <v>577</v>
      </c>
      <c r="C588" s="233" t="inlineStr">
        <is>
          <t>COTIZACION DE LOS DISEÑOS DE DETECCIÓN DE INCENDIOS Y SEGURIDAD HUMANA PARA EL PROYECTO TIKI BAR</t>
        </is>
      </c>
      <c r="D588" s="312" t="n"/>
      <c r="E588" s="312" t="n"/>
      <c r="F588" s="312" t="n"/>
      <c r="G588" s="312" t="n"/>
      <c r="H588" s="312" t="n"/>
      <c r="I588" s="313" t="n"/>
      <c r="J588" s="199" t="inlineStr">
        <is>
          <t>Sebastián Román</t>
        </is>
      </c>
      <c r="K588" s="314" t="n">
        <v>3940000</v>
      </c>
      <c r="L588" s="2" t="n">
        <v>45618</v>
      </c>
      <c r="M588" s="170" t="n"/>
      <c r="N588" s="170" t="n">
        <v>3016065099</v>
      </c>
      <c r="O588" s="172" t="inlineStr">
        <is>
          <t>Sebastián Román</t>
        </is>
      </c>
      <c r="P588" s="172" t="n"/>
    </row>
    <row r="589">
      <c r="B589" s="170" t="n">
        <v>578</v>
      </c>
      <c r="C589" s="233" t="inlineStr">
        <is>
          <t>COTIZACION DE LOS DISEÑOS DE PROTECCIÓN CONTRA INCENDIOS PARA EL PROYECTO SEDE ADM JUDICIAL CUNDINAMARCA-AMAZONAS</t>
        </is>
      </c>
      <c r="D589" s="312" t="n"/>
      <c r="E589" s="312" t="n"/>
      <c r="F589" s="312" t="n"/>
      <c r="G589" s="312" t="n"/>
      <c r="H589" s="312" t="n"/>
      <c r="I589" s="313" t="n"/>
      <c r="J589" s="199" t="inlineStr">
        <is>
          <t>COINSI</t>
        </is>
      </c>
      <c r="K589" s="314" t="n">
        <v>375550000</v>
      </c>
      <c r="L589" s="2" t="n">
        <v>45622</v>
      </c>
      <c r="M589" s="170" t="n"/>
      <c r="N589" s="170" t="n">
        <v>3117208541</v>
      </c>
      <c r="O589" s="102" t="inlineStr">
        <is>
          <t>Sergio Rodriguez</t>
        </is>
      </c>
      <c r="P589" s="52" t="inlineStr">
        <is>
          <t>diseno4@gyd.com.co</t>
        </is>
      </c>
    </row>
    <row r="590">
      <c r="B590" s="170" t="n">
        <v>579</v>
      </c>
      <c r="C590" s="246" t="inlineStr">
        <is>
          <t xml:space="preserve">COTIZACION DE LOS DISEÑOS DE PROTECCIÓN CONTRA INCENDIOS PARA EL PROYECTO SUBESTACION ELECTRICA
</t>
        </is>
      </c>
      <c r="D590" s="312" t="n"/>
      <c r="E590" s="312" t="n"/>
      <c r="F590" s="312" t="n"/>
      <c r="G590" s="312" t="n"/>
      <c r="H590" s="312" t="n"/>
      <c r="I590" s="313" t="n"/>
      <c r="J590" s="199" t="inlineStr">
        <is>
          <t>Good group</t>
        </is>
      </c>
      <c r="K590" s="314" t="n">
        <v>17950000</v>
      </c>
      <c r="L590" s="2" t="n">
        <v>45624</v>
      </c>
      <c r="M590" s="170" t="n"/>
      <c r="N590" s="170" t="n"/>
      <c r="O590" s="172" t="inlineStr">
        <is>
          <t xml:space="preserve">Luis C. Bueno P. </t>
        </is>
      </c>
      <c r="P590" s="52" t="inlineStr">
        <is>
          <t>gerencia@goodgroup.com.co</t>
        </is>
      </c>
    </row>
    <row r="591">
      <c r="B591" s="170" t="n">
        <v>580</v>
      </c>
      <c r="C591" s="233" t="inlineStr">
        <is>
          <t xml:space="preserve">COTIZACION DEL ANÁLISIS DE SEGURIDAD HUMANA PARA EL PROYECTO FACULTAD DE CIENCIAS DE LA VIDA UNAL
</t>
        </is>
      </c>
      <c r="D591" s="312" t="n"/>
      <c r="E591" s="312" t="n"/>
      <c r="F591" s="312" t="n"/>
      <c r="G591" s="312" t="n"/>
      <c r="H591" s="312" t="n"/>
      <c r="I591" s="313" t="n"/>
      <c r="J591" s="199" t="inlineStr">
        <is>
          <t>CONDISEÑO</t>
        </is>
      </c>
      <c r="K591" s="314" t="n">
        <v>10950000</v>
      </c>
      <c r="L591" s="2" t="n">
        <v>45626</v>
      </c>
      <c r="M591" s="170" t="n"/>
      <c r="N591" s="170" t="inlineStr">
        <is>
          <t xml:space="preserve"> 317 5594091</t>
        </is>
      </c>
      <c r="O591" s="172" t="inlineStr">
        <is>
          <t>Nakary Garcia Romero</t>
        </is>
      </c>
      <c r="P591" s="52" t="inlineStr">
        <is>
          <t>n.garcia@condiseno.co</t>
        </is>
      </c>
    </row>
    <row r="592">
      <c r="B592" s="170" t="n">
        <v>581</v>
      </c>
      <c r="C592" s="233" t="inlineStr">
        <is>
          <t>COTIZACION DE LOS DISEÑOS DE PROTECCIÓN CONTRA INCENDIOS Y SEGURIDAD HUMANA PARA EL PROYECTO EL CAMPIN MANIZALES</t>
        </is>
      </c>
      <c r="D592" s="312" t="n"/>
      <c r="E592" s="312" t="n"/>
      <c r="F592" s="312" t="n"/>
      <c r="G592" s="312" t="n"/>
      <c r="H592" s="312" t="n"/>
      <c r="I592" s="313" t="n"/>
      <c r="J592" s="199" t="inlineStr">
        <is>
          <t xml:space="preserve"> Santiago Parra</t>
        </is>
      </c>
      <c r="K592" s="314" t="n">
        <v>21950000</v>
      </c>
      <c r="L592" s="2" t="n">
        <v>45624</v>
      </c>
      <c r="M592" s="170" t="n"/>
      <c r="N592" s="170" t="inlineStr">
        <is>
          <t>300 6101061</t>
        </is>
      </c>
      <c r="O592" s="172" t="inlineStr">
        <is>
          <t xml:space="preserve"> Santiago Parra</t>
        </is>
      </c>
      <c r="P592" s="52" t="inlineStr">
        <is>
          <t>santiago@origamiproyectos.com</t>
        </is>
      </c>
    </row>
    <row r="593">
      <c r="B593" s="170" t="n">
        <v>582</v>
      </c>
      <c r="C593" s="233" t="inlineStr">
        <is>
          <t>COTIZACION DE LOS DISEÑOS DE PROTECCIÓN CONTRA INCENDIOS Y SEGURIDAD HUMANA PARA EL PROYECTO BODEGAS 1 Y 6</t>
        </is>
      </c>
      <c r="D593" s="312" t="n"/>
      <c r="E593" s="312" t="n"/>
      <c r="F593" s="312" t="n"/>
      <c r="G593" s="312" t="n"/>
      <c r="H593" s="312" t="n"/>
      <c r="I593" s="313" t="n"/>
      <c r="J593" s="199" t="inlineStr">
        <is>
          <t>4 Alianzas Construcciones AC</t>
        </is>
      </c>
      <c r="K593" s="314" t="n">
        <v>38250000</v>
      </c>
      <c r="L593" s="2" t="n">
        <v>45625</v>
      </c>
      <c r="M593" s="170" t="n"/>
      <c r="N593" s="170" t="inlineStr">
        <is>
          <t>311 263 3707</t>
        </is>
      </c>
      <c r="O593" s="172" t="inlineStr">
        <is>
          <t>Alejandra Belalcázar</t>
        </is>
      </c>
      <c r="P593" s="52" t="inlineStr">
        <is>
          <t>alejandrab.4ac@gmail.com</t>
        </is>
      </c>
    </row>
    <row r="594">
      <c r="B594" s="170" t="n">
        <v>583</v>
      </c>
      <c r="C594" s="233" t="inlineStr">
        <is>
          <t>COTIZACION DEL DISEÑO DE EXTINCIÓN DE INCENDIOS PARA EL PROYECTO FAMILIA ORANGE RIONEGRO</t>
        </is>
      </c>
      <c r="D594" s="312" t="n"/>
      <c r="E594" s="312" t="n"/>
      <c r="F594" s="312" t="n"/>
      <c r="G594" s="312" t="n"/>
      <c r="H594" s="312" t="n"/>
      <c r="I594" s="313" t="n"/>
      <c r="J594" s="199" t="inlineStr">
        <is>
          <t>EQUIPOS RAPIDOS</t>
        </is>
      </c>
      <c r="K594" s="314" t="n">
        <v>4250000</v>
      </c>
      <c r="L594" s="2" t="n">
        <v>45625</v>
      </c>
      <c r="M594" s="170" t="n"/>
      <c r="N594" s="170" t="n">
        <v>3135931880</v>
      </c>
      <c r="O594" s="172" t="inlineStr">
        <is>
          <t>David Grajales</t>
        </is>
      </c>
      <c r="P594" s="52" t="inlineStr">
        <is>
          <t>comercial@equiposelrapido.com</t>
        </is>
      </c>
    </row>
    <row r="595">
      <c r="B595" s="170" t="n">
        <v>584</v>
      </c>
      <c r="C595" s="233" t="inlineStr">
        <is>
          <t>COTIZACION DE LOS DISEÑOS DE PROTECCIÓN CONTRA INCENDIOS Y SEGURIDAD HUMANA PARA EL PROYECTO HOTEL WELCOME</t>
        </is>
      </c>
      <c r="D595" s="312" t="n"/>
      <c r="E595" s="312" t="n"/>
      <c r="F595" s="312" t="n"/>
      <c r="G595" s="312" t="n"/>
      <c r="H595" s="312" t="n"/>
      <c r="I595" s="313" t="n"/>
      <c r="J595" s="199" t="inlineStr">
        <is>
          <t>ABILE</t>
        </is>
      </c>
      <c r="K595" s="314" t="n">
        <v>22650000</v>
      </c>
      <c r="L595" s="2" t="n">
        <v>45625</v>
      </c>
      <c r="M595" s="170" t="n"/>
      <c r="N595" s="170" t="n">
        <v>3046764855</v>
      </c>
      <c r="O595" s="172" t="inlineStr">
        <is>
          <t xml:space="preserve"> Esteban Marin Arredondo</t>
        </is>
      </c>
      <c r="P595" s="52" t="inlineStr">
        <is>
          <t>esteban.marin@abile.co</t>
        </is>
      </c>
    </row>
    <row r="596">
      <c r="B596" s="170" t="n">
        <v>585</v>
      </c>
      <c r="C596" s="246" t="inlineStr">
        <is>
          <t xml:space="preserve">COTIZACION DE LOS DISEÑOS DE PROTECCIÓN CONTRA INCENDIOS Y SEGURIDAD HUMANA PARA EL PROYECTO CASA DEL ANGEL
</t>
        </is>
      </c>
      <c r="D596" s="312" t="n"/>
      <c r="E596" s="312" t="n"/>
      <c r="F596" s="312" t="n"/>
      <c r="G596" s="312" t="n"/>
      <c r="H596" s="312" t="n"/>
      <c r="I596" s="313" t="n"/>
      <c r="J596" s="199" t="inlineStr">
        <is>
          <t>Stephen Charles Gibbs</t>
        </is>
      </c>
      <c r="K596" s="314" t="n">
        <v>11910000</v>
      </c>
      <c r="L596" s="2" t="n">
        <v>45626</v>
      </c>
      <c r="M596" s="170" t="n"/>
      <c r="N596" s="170" t="n"/>
      <c r="O596" s="172" t="inlineStr">
        <is>
          <t>Carolina Villegas</t>
        </is>
      </c>
      <c r="P596" s="52" t="inlineStr">
        <is>
          <t>carolina.atheneaww@gmail.com</t>
        </is>
      </c>
    </row>
    <row r="597">
      <c r="B597" s="170" t="n">
        <v>586</v>
      </c>
      <c r="C597" s="233" t="inlineStr">
        <is>
          <t>COTIZACION DE LOS DISEÑOS DE PROTECCIÓN CONTRA INCENDIOS Y SEGURIDAD HUMANA PARA EL PROYECTO HOTEL WELCOME</t>
        </is>
      </c>
      <c r="D597" s="312" t="n"/>
      <c r="E597" s="312" t="n"/>
      <c r="F597" s="312" t="n"/>
      <c r="G597" s="312" t="n"/>
      <c r="H597" s="312" t="n"/>
      <c r="I597" s="313" t="n"/>
      <c r="J597" s="199" t="inlineStr">
        <is>
          <t>SPCI</t>
        </is>
      </c>
      <c r="K597" s="314" t="n">
        <v>22650000</v>
      </c>
      <c r="L597" s="2" t="n">
        <v>45626</v>
      </c>
      <c r="M597" s="170" t="n"/>
      <c r="N597" s="170" t="n">
        <v>3104165783</v>
      </c>
      <c r="O597" s="172" t="inlineStr">
        <is>
          <t>Cristiam Gustavo Mondragon</t>
        </is>
      </c>
      <c r="P597" s="52" t="inlineStr">
        <is>
          <t>dir.tecnico@spci.com.co</t>
        </is>
      </c>
    </row>
    <row r="598">
      <c r="B598" s="170" t="n">
        <v>587</v>
      </c>
      <c r="C598" s="233" t="inlineStr">
        <is>
          <t>COTIZACION DE LOS DISEÑOS DE PROTECCIÓN CONTRA INCENDIOS Y SEGURIDAD HUMANA PARA EL PROYECTO GRIS</t>
        </is>
      </c>
      <c r="D598" s="312" t="n"/>
      <c r="E598" s="312" t="n"/>
      <c r="F598" s="312" t="n"/>
      <c r="G598" s="312" t="n"/>
      <c r="H598" s="312" t="n"/>
      <c r="I598" s="313" t="n"/>
      <c r="J598" s="199" t="inlineStr">
        <is>
          <t>PROJECT&amp; SOLUTIONS</t>
        </is>
      </c>
      <c r="K598" s="314" t="n">
        <v>11920000</v>
      </c>
      <c r="L598" s="2" t="n">
        <v>45629</v>
      </c>
      <c r="M598" s="170" t="n"/>
      <c r="N598" s="170" t="inlineStr">
        <is>
          <t>311 3079477</t>
        </is>
      </c>
      <c r="O598" s="102" t="inlineStr">
        <is>
          <t>Sebastian Lopez Duque</t>
        </is>
      </c>
      <c r="P598" s="52" t="inlineStr">
        <is>
          <t>gerencia@projectsolutions.com.co</t>
        </is>
      </c>
    </row>
    <row r="599">
      <c r="B599" s="170" t="n">
        <v>588</v>
      </c>
      <c r="C599" s="233" t="inlineStr">
        <is>
          <t>COTIZACION DE LOS DISEÑOS DE PROTECCIÓN CONTRA INCENDIOS PARA EL PROYECTO VALLE NORTE</t>
        </is>
      </c>
      <c r="D599" s="312" t="n"/>
      <c r="E599" s="312" t="n"/>
      <c r="F599" s="312" t="n"/>
      <c r="G599" s="312" t="n"/>
      <c r="H599" s="312" t="n"/>
      <c r="I599" s="313" t="n"/>
      <c r="J599" s="199" t="inlineStr">
        <is>
          <t>Gino Montoya</t>
        </is>
      </c>
      <c r="K599" s="314" t="n">
        <v>45900000</v>
      </c>
      <c r="L599" s="2" t="n">
        <v>45628</v>
      </c>
      <c r="M599" s="170" t="n"/>
      <c r="N599" s="170" t="n">
        <v>3044003430</v>
      </c>
      <c r="O599" s="172" t="inlineStr">
        <is>
          <t>Gino Montoya</t>
        </is>
      </c>
      <c r="P599" s="52" t="inlineStr">
        <is>
          <t>gino1037@hotmail.com</t>
        </is>
      </c>
    </row>
    <row r="600">
      <c r="B600" s="170" t="n">
        <v>589</v>
      </c>
      <c r="C600" s="233" t="inlineStr">
        <is>
          <t>COTIZACION DEL DISEÑO DE DETECCIÓN DE INCENDIOS PARA EL PROYECTO ASTILLERO BARRANQUILLA</t>
        </is>
      </c>
      <c r="D600" s="312" t="n"/>
      <c r="E600" s="312" t="n"/>
      <c r="F600" s="312" t="n"/>
      <c r="G600" s="312" t="n"/>
      <c r="H600" s="312" t="n"/>
      <c r="I600" s="313" t="n"/>
      <c r="J600" s="199" t="inlineStr">
        <is>
          <t>SPCI</t>
        </is>
      </c>
      <c r="K600" s="314" t="n">
        <v>2950000</v>
      </c>
      <c r="L600" s="2" t="n">
        <v>45629</v>
      </c>
      <c r="M600" s="170" t="n"/>
      <c r="N600" s="170" t="n">
        <v>3104165783</v>
      </c>
      <c r="O600" s="172" t="inlineStr">
        <is>
          <t>Cristiam Gustavo Mondragon</t>
        </is>
      </c>
      <c r="P600" s="52" t="inlineStr">
        <is>
          <t>dir.tecnico@spci.com.co</t>
        </is>
      </c>
    </row>
    <row r="601">
      <c r="B601" s="170" t="n">
        <v>590</v>
      </c>
      <c r="C601" s="233" t="inlineStr">
        <is>
          <t>COTIZACION DE LOS DISEÑOS DE PROTECCIÓN CONTRA INCENDIOS PARA EL PROYECTO BODEGAS FERROSVEL</t>
        </is>
      </c>
      <c r="D601" s="312" t="n"/>
      <c r="E601" s="312" t="n"/>
      <c r="F601" s="312" t="n"/>
      <c r="G601" s="312" t="n"/>
      <c r="H601" s="312" t="n"/>
      <c r="I601" s="313" t="n"/>
      <c r="J601" s="199" t="inlineStr">
        <is>
          <t>Sierra Studio Arquitectura</t>
        </is>
      </c>
      <c r="K601" s="314" t="n">
        <v>34950000</v>
      </c>
      <c r="L601" s="2" t="n">
        <v>45629</v>
      </c>
      <c r="M601" s="170" t="n"/>
      <c r="N601" s="170" t="n"/>
      <c r="O601" s="172" t="inlineStr">
        <is>
          <t>Paula Jiménez Guerra</t>
        </is>
      </c>
      <c r="P601" s="52" t="inlineStr">
        <is>
          <t>direccion1sierrastudio@gmail.com</t>
        </is>
      </c>
    </row>
    <row r="602">
      <c r="B602" s="170" t="n">
        <v>591</v>
      </c>
      <c r="C602" s="233" t="inlineStr">
        <is>
          <t>COTIZACION DE LOS DISEÑOS DE PROTECCIÓN CONTRA INCENDIOS Y SEGURIDAD HUMANA PARA EL PROYECTO HOTEL WAIN</t>
        </is>
      </c>
      <c r="D602" s="312" t="n"/>
      <c r="E602" s="312" t="n"/>
      <c r="F602" s="312" t="n"/>
      <c r="G602" s="312" t="n"/>
      <c r="H602" s="312" t="n"/>
      <c r="I602" s="313" t="n"/>
      <c r="J602" s="199" t="inlineStr">
        <is>
          <t>Hidraulica y montajes</t>
        </is>
      </c>
      <c r="K602" s="314" t="n">
        <v>14680000</v>
      </c>
      <c r="L602" s="2" t="n">
        <v>45630</v>
      </c>
      <c r="M602" s="170" t="n"/>
      <c r="N602" s="170" t="inlineStr">
        <is>
          <t>301 4487912</t>
        </is>
      </c>
      <c r="O602" s="102" t="inlineStr">
        <is>
          <t>Evelin Rojas</t>
        </is>
      </c>
      <c r="P602" s="52" t="inlineStr">
        <is>
          <t>hidraulicaymontajes@gmail.com</t>
        </is>
      </c>
    </row>
    <row r="603">
      <c r="B603" s="170" t="n">
        <v>592</v>
      </c>
      <c r="C603" s="233" t="inlineStr">
        <is>
          <t>COTIZACION DE LOS DISEÑOS DE PROTECCIÓN CONTRA INCENDIOS PARA EL PROYECTO TERRAZA LA SALLE BACHILLERATO</t>
        </is>
      </c>
      <c r="D603" s="312" t="n"/>
      <c r="E603" s="312" t="n"/>
      <c r="F603" s="312" t="n"/>
      <c r="G603" s="312" t="n"/>
      <c r="H603" s="312" t="n"/>
      <c r="I603" s="313" t="n"/>
      <c r="J603" s="199" t="inlineStr">
        <is>
          <t>Interve</t>
        </is>
      </c>
      <c r="K603" s="314" t="n">
        <v>4400000</v>
      </c>
      <c r="L603" s="2" t="n">
        <v>45630</v>
      </c>
      <c r="M603" s="170" t="n"/>
      <c r="N603" s="170" t="n">
        <v>3013220631</v>
      </c>
      <c r="O603" s="172" t="inlineStr">
        <is>
          <t>Andres Felipe Ramirez</t>
        </is>
      </c>
      <c r="P603" s="172" t="n"/>
    </row>
    <row r="604" ht="14.25" customHeight="1">
      <c r="B604" s="170" t="n">
        <v>593</v>
      </c>
      <c r="C604" s="246" t="inlineStr">
        <is>
          <t xml:space="preserve">COTIZACION DE LOS DISEÑOS DE PROTECCIÓN CONTRA INCENDIOS PARA EL PROYECTO MONTPELLIER
</t>
        </is>
      </c>
      <c r="D604" s="312" t="n"/>
      <c r="E604" s="312" t="n"/>
      <c r="F604" s="312" t="n"/>
      <c r="G604" s="312" t="n"/>
      <c r="H604" s="312" t="n"/>
      <c r="I604" s="313" t="n"/>
      <c r="J604" s="199" t="inlineStr">
        <is>
          <t>FP Services SAS</t>
        </is>
      </c>
      <c r="K604" s="314" t="n">
        <v>9950000</v>
      </c>
      <c r="L604" s="2" t="n">
        <v>45631</v>
      </c>
      <c r="M604" s="170" t="n"/>
      <c r="N604" s="170" t="n">
        <v>3104513967</v>
      </c>
      <c r="O604" s="103" t="inlineStr">
        <is>
          <t>Julio Milán Trujillo</t>
        </is>
      </c>
      <c r="P604" s="52" t="inlineStr">
        <is>
          <t>&lt;juliomillan@fpservices.com.co</t>
        </is>
      </c>
    </row>
    <row r="605" ht="14.25" customHeight="1">
      <c r="B605" s="170" t="n">
        <v>594</v>
      </c>
      <c r="C605" s="246" t="inlineStr">
        <is>
          <t xml:space="preserve">COTIZACION DEL DISEÑO DE EXTINCIÓN DE INCENDIOS PARA EL PROYECTO TRASLADO BODEGAS MACROLAB
</t>
        </is>
      </c>
      <c r="D605" s="312" t="n"/>
      <c r="E605" s="312" t="n"/>
      <c r="F605" s="312" t="n"/>
      <c r="G605" s="312" t="n"/>
      <c r="H605" s="312" t="n"/>
      <c r="I605" s="313" t="n"/>
      <c r="J605" s="199" t="inlineStr">
        <is>
          <t>EARQUITECTURA</t>
        </is>
      </c>
      <c r="K605" s="314" t="n">
        <v>2500000</v>
      </c>
      <c r="L605" s="2" t="n">
        <v>45631</v>
      </c>
      <c r="M605" s="170" t="n"/>
      <c r="N605" s="170" t="n"/>
      <c r="O605" s="172" t="inlineStr">
        <is>
          <t>Elizabeth Acevedo</t>
        </is>
      </c>
      <c r="P605" s="172" t="n"/>
    </row>
    <row r="606" ht="14.25" customHeight="1">
      <c r="B606" s="170" t="n">
        <v>595</v>
      </c>
      <c r="C606" s="233" t="inlineStr">
        <is>
          <t>COTIZACION DE LOS DISEÑOS DE PROTECCIÓN CONTRA INCENDIOS Y SEGURIDAD HUMANA PARA EL PROYECTO LIBERTAD</t>
        </is>
      </c>
      <c r="D606" s="312" t="n"/>
      <c r="E606" s="312" t="n"/>
      <c r="F606" s="312" t="n"/>
      <c r="G606" s="312" t="n"/>
      <c r="H606" s="312" t="n"/>
      <c r="I606" s="313" t="n"/>
      <c r="J606" s="199" t="inlineStr">
        <is>
          <t>Constructora Altos de Abadia</t>
        </is>
      </c>
      <c r="K606" s="314" t="inlineStr">
        <is>
          <t>Variable</t>
        </is>
      </c>
      <c r="L606" s="2" t="n">
        <v>45636</v>
      </c>
      <c r="M606" s="170" t="n"/>
      <c r="N606" s="170" t="n">
        <v>3044830834</v>
      </c>
      <c r="O606" s="172" t="inlineStr">
        <is>
          <t>Jhonatan Aguirre Pulgarín</t>
        </is>
      </c>
      <c r="P606" s="52" t="inlineStr">
        <is>
          <t xml:space="preserve">j.pulgarin@altosdelaabadia.com </t>
        </is>
      </c>
    </row>
    <row r="607" ht="14.25" customHeight="1">
      <c r="B607" s="170" t="n">
        <v>596</v>
      </c>
      <c r="C607" s="233" t="inlineStr">
        <is>
          <t>COTIZACION DE LOS DISEÑOS DE PROTECCIÓN CONTRA INCENDIOS Y SEGURIDAD HUMANA PARA EL PROYECTO POLANCO</t>
        </is>
      </c>
      <c r="D607" s="312" t="n"/>
      <c r="E607" s="312" t="n"/>
      <c r="F607" s="312" t="n"/>
      <c r="G607" s="312" t="n"/>
      <c r="H607" s="312" t="n"/>
      <c r="I607" s="313" t="n"/>
      <c r="J607" s="199" t="inlineStr">
        <is>
          <t>Conaltura</t>
        </is>
      </c>
      <c r="K607" s="314" t="inlineStr">
        <is>
          <t>Variable</t>
        </is>
      </c>
      <c r="L607" s="2" t="n">
        <v>45632</v>
      </c>
      <c r="M607" s="170" t="n"/>
      <c r="N607" s="172" t="n">
        <v>3017500321</v>
      </c>
      <c r="O607" s="170" t="inlineStr">
        <is>
          <t>Leonardo Luis Castillo</t>
        </is>
      </c>
      <c r="P607" s="52" t="inlineStr">
        <is>
          <t>lcastillo@conaltura.com</t>
        </is>
      </c>
    </row>
    <row r="608" ht="14.25" customHeight="1">
      <c r="B608" s="170" t="n">
        <v>597</v>
      </c>
      <c r="C608" s="233" t="inlineStr">
        <is>
          <t>COTIZACION DEL DISEÑO DE EXTINCIÓN DE INCENDIOS PARA EL PROYECTO BODEGA 2 MANUELITA</t>
        </is>
      </c>
      <c r="D608" s="312" t="n"/>
      <c r="E608" s="312" t="n"/>
      <c r="F608" s="312" t="n"/>
      <c r="G608" s="312" t="n"/>
      <c r="H608" s="312" t="n"/>
      <c r="I608" s="313" t="n"/>
      <c r="J608" s="199" t="inlineStr">
        <is>
          <t>Jorge Edward López</t>
        </is>
      </c>
      <c r="K608" s="314" t="n">
        <v>19950000</v>
      </c>
      <c r="L608" s="2" t="n">
        <v>45632</v>
      </c>
      <c r="M608" s="170" t="n"/>
      <c r="N608" s="170" t="n">
        <v>3187346703</v>
      </c>
      <c r="O608" s="172" t="inlineStr">
        <is>
          <t>Jorge Edward López</t>
        </is>
      </c>
      <c r="P608" s="172" t="inlineStr">
        <is>
          <t xml:space="preserve"> lopez.ingco@gmail.com</t>
        </is>
      </c>
    </row>
    <row r="609" ht="14.25" customHeight="1">
      <c r="B609" s="170" t="inlineStr">
        <is>
          <t>598 - B</t>
        </is>
      </c>
      <c r="C609" s="233" t="inlineStr">
        <is>
          <t xml:space="preserve">COTIZACION DE LOS DISEÑOS DE PROTECCIÓN CONTRA INCENDIOS Y SEGURIDAD HUMANA PARA EL PROYECTO BODEGAS EMPAQUETADURAS Y EMPAQUES
</t>
        </is>
      </c>
      <c r="D609" s="312" t="n"/>
      <c r="E609" s="312" t="n"/>
      <c r="F609" s="312" t="n"/>
      <c r="G609" s="312" t="n"/>
      <c r="H609" s="312" t="n"/>
      <c r="I609" s="313" t="n"/>
      <c r="J609" s="199" t="inlineStr">
        <is>
          <t>Estructurar</t>
        </is>
      </c>
      <c r="K609" s="314" t="n">
        <v>39750000</v>
      </c>
      <c r="L609" s="2" t="n">
        <v>45635</v>
      </c>
      <c r="M609" s="170" t="n"/>
      <c r="N609" s="170" t="n">
        <v>3176625173</v>
      </c>
      <c r="O609" s="172" t="inlineStr">
        <is>
          <t xml:space="preserve"> Jhon Faiber Tobar Pantoja </t>
        </is>
      </c>
      <c r="P609" s="52" t="inlineStr">
        <is>
          <t>coordinadordisenos@estructurar.co</t>
        </is>
      </c>
    </row>
    <row r="610" ht="14.25" customHeight="1">
      <c r="B610" s="170" t="n">
        <v>599</v>
      </c>
      <c r="C610" s="233" t="inlineStr">
        <is>
          <t>COTIZACION DEL ANÁLISIS DE SEGURIDAD HUMANA PARA EL PROYECTO REMODELACION TORRE DE CONTROL</t>
        </is>
      </c>
      <c r="D610" s="312" t="n"/>
      <c r="E610" s="312" t="n"/>
      <c r="F610" s="312" t="n"/>
      <c r="G610" s="312" t="n"/>
      <c r="H610" s="312" t="n"/>
      <c r="I610" s="313" t="n"/>
      <c r="J610" s="199" t="inlineStr">
        <is>
          <t>SSTUDIO SUR</t>
        </is>
      </c>
      <c r="K610" s="314" t="n">
        <v>2550000</v>
      </c>
      <c r="L610" s="2" t="n">
        <v>45635</v>
      </c>
      <c r="M610" s="170" t="n"/>
      <c r="N610" s="170" t="n">
        <v>3134669894</v>
      </c>
      <c r="O610" s="172" t="inlineStr">
        <is>
          <t>Andrea Sanchez</t>
        </is>
      </c>
      <c r="P610" s="52" t="inlineStr">
        <is>
          <t>andrea.sanchez@studiosur.net</t>
        </is>
      </c>
    </row>
    <row r="611" ht="14.25" customHeight="1">
      <c r="B611" s="170" t="n">
        <v>600</v>
      </c>
      <c r="C611" s="233" t="inlineStr">
        <is>
          <t>COTIZACION DEL CONCEPTO TÉCNICO DE EXTINCIÓN DE INCENDIOS PARA EL PROYECTO BODEGA 2 MANUELITA</t>
        </is>
      </c>
      <c r="D611" s="312" t="n"/>
      <c r="E611" s="312" t="n"/>
      <c r="F611" s="312" t="n"/>
      <c r="G611" s="312" t="n"/>
      <c r="H611" s="312" t="n"/>
      <c r="I611" s="313" t="n"/>
      <c r="J611" s="199" t="inlineStr">
        <is>
          <t>Jorge Edward López</t>
        </is>
      </c>
      <c r="K611" s="314" t="n">
        <v>2950000</v>
      </c>
      <c r="L611" s="2" t="n">
        <v>45635</v>
      </c>
      <c r="M611" s="170" t="n"/>
      <c r="N611" s="170" t="n">
        <v>3187346703</v>
      </c>
      <c r="O611" s="172" t="inlineStr">
        <is>
          <t>Jorge Edward López</t>
        </is>
      </c>
      <c r="P611" s="172" t="inlineStr">
        <is>
          <t xml:space="preserve"> lopez.ingco@gmail.com</t>
        </is>
      </c>
    </row>
    <row r="612" ht="14.25" customHeight="1">
      <c r="B612" s="170" t="n">
        <v>601</v>
      </c>
      <c r="C612" s="233" t="inlineStr">
        <is>
          <t>COTIZACION DE LOS DISEÑOS DE PROTECCIÓN CONTRA INCENDIOS Y SEGURIDAD HUMANA PARA EL PROYECTO LOBBY BANCOLOMBIA TORRE SUR</t>
        </is>
      </c>
      <c r="D612" s="312" t="n"/>
      <c r="E612" s="312" t="n"/>
      <c r="F612" s="312" t="n"/>
      <c r="G612" s="312" t="n"/>
      <c r="H612" s="312" t="n"/>
      <c r="I612" s="313" t="n"/>
      <c r="J612" s="199" t="inlineStr">
        <is>
          <t>STUDIO SUR</t>
        </is>
      </c>
      <c r="K612" s="314" t="n">
        <v>12250000</v>
      </c>
      <c r="L612" s="2" t="n">
        <v>45636</v>
      </c>
      <c r="M612" s="170" t="n"/>
      <c r="N612" s="57" t="n">
        <v>3134669894</v>
      </c>
      <c r="O612" s="172" t="inlineStr">
        <is>
          <t>Andrea Sanchez</t>
        </is>
      </c>
      <c r="P612" s="52" t="inlineStr">
        <is>
          <t>andrea.sanchez@studiosur.net</t>
        </is>
      </c>
    </row>
    <row r="613" ht="14.25" customHeight="1">
      <c r="B613" s="170" t="n">
        <v>602</v>
      </c>
      <c r="C613" s="233" t="inlineStr">
        <is>
          <t>COTIZACION DE LOS DISEÑOS DE PROTECCIÓN CONTRA INCENDIOS Y SEGURIDAD HUMANA PARA EL PROYECTO BODEGA 7</t>
        </is>
      </c>
      <c r="D613" s="312" t="n"/>
      <c r="E613" s="312" t="n"/>
      <c r="F613" s="312" t="n"/>
      <c r="G613" s="312" t="n"/>
      <c r="H613" s="312" t="n"/>
      <c r="I613" s="313" t="n"/>
      <c r="J613" s="199" t="inlineStr">
        <is>
          <t>Gino Montoya</t>
        </is>
      </c>
      <c r="K613" s="314" t="n">
        <v>23830000</v>
      </c>
      <c r="L613" s="2" t="n">
        <v>45636</v>
      </c>
      <c r="M613" s="170" t="n"/>
      <c r="N613" s="170" t="n"/>
      <c r="O613" s="172" t="inlineStr">
        <is>
          <t>Gino Montoya</t>
        </is>
      </c>
      <c r="P613" s="52" t="inlineStr">
        <is>
          <t>gino1037@hotmail.com</t>
        </is>
      </c>
    </row>
    <row r="614" ht="14.25" customHeight="1">
      <c r="B614" s="170" t="n">
        <v>603</v>
      </c>
      <c r="C614" s="199" t="inlineStr">
        <is>
          <t>COTIZACION DEL DISEÑO DE DETECCIÓN DE INCENDIOS - CC PUNTO CLAVE ETAPA 1</t>
        </is>
      </c>
      <c r="D614" s="312" t="n"/>
      <c r="E614" s="312" t="n"/>
      <c r="F614" s="312" t="n"/>
      <c r="G614" s="312" t="n"/>
      <c r="H614" s="312" t="n"/>
      <c r="I614" s="313" t="n"/>
      <c r="J614" s="199" t="inlineStr">
        <is>
          <t>CC Punto Clave</t>
        </is>
      </c>
      <c r="K614" s="314" t="n">
        <v>12500000</v>
      </c>
      <c r="L614" s="2" t="n">
        <v>45636</v>
      </c>
      <c r="M614" s="2" t="n"/>
      <c r="N614" s="170" t="inlineStr">
        <is>
          <t xml:space="preserve">319 4184493 </t>
        </is>
      </c>
      <c r="O614" s="102" t="inlineStr">
        <is>
          <t>Oscar Carvajal</t>
        </is>
      </c>
      <c r="P614" s="52" t="n"/>
    </row>
    <row r="615" ht="14.25" customHeight="1">
      <c r="B615" s="170" t="n">
        <v>604</v>
      </c>
      <c r="C615" s="246" t="inlineStr">
        <is>
          <t xml:space="preserve">COTIZACION DEL ANÁLISIS DE SEGURIDAD HUMANA PARA EL PROYECTO BODEGA INDUSTRIAL CA-20
</t>
        </is>
      </c>
      <c r="D615" s="312" t="n"/>
      <c r="E615" s="312" t="n"/>
      <c r="F615" s="312" t="n"/>
      <c r="G615" s="312" t="n"/>
      <c r="H615" s="312" t="n"/>
      <c r="I615" s="313" t="n"/>
      <c r="J615" s="199" t="inlineStr">
        <is>
          <t>Zona Franca</t>
        </is>
      </c>
      <c r="K615" s="314" t="n">
        <v>12250000</v>
      </c>
      <c r="L615" s="2" t="n">
        <v>45637</v>
      </c>
      <c r="M615" s="170" t="n"/>
      <c r="N615" s="170" t="n"/>
      <c r="O615" s="172" t="n"/>
      <c r="P615" s="172" t="n"/>
    </row>
    <row r="616" ht="14.25" customHeight="1">
      <c r="B616" s="170" t="n">
        <v>605</v>
      </c>
      <c r="C616" s="199" t="inlineStr">
        <is>
          <t>COTIZACION DE LOS DISEÑOS DE PROTECCIÓN CONTRA INCENDIOS PARA EL PROYECTO CONTEGRAL LAS VEGAS</t>
        </is>
      </c>
      <c r="D616" s="312" t="n"/>
      <c r="E616" s="312" t="n"/>
      <c r="F616" s="312" t="n"/>
      <c r="G616" s="312" t="n"/>
      <c r="H616" s="312" t="n"/>
      <c r="I616" s="313" t="n"/>
      <c r="J616" s="199" t="inlineStr">
        <is>
          <t>Seriinco</t>
        </is>
      </c>
      <c r="K616" s="314" t="n">
        <v>7000000</v>
      </c>
      <c r="L616" s="2" t="n">
        <v>45638</v>
      </c>
      <c r="M616" s="170" t="n"/>
      <c r="N616" s="170" t="n">
        <v>3113391008</v>
      </c>
      <c r="O616" s="102" t="inlineStr">
        <is>
          <t>Carlos Enrique Henao Londoño</t>
        </is>
      </c>
      <c r="P616" s="52" t="inlineStr">
        <is>
          <t>carlos.henao@seriinco.com</t>
        </is>
      </c>
    </row>
    <row r="617" ht="14.25" customHeight="1">
      <c r="B617" s="170" t="n">
        <v>606</v>
      </c>
      <c r="C617" s="199" t="inlineStr">
        <is>
          <t>COTIZACION DE LOS DISEÑOS DE PROTECCIÓN CONTRA INCENDIOS PARA EL PROYECTO INSTITUTO COLOPROCTOLOGIA</t>
        </is>
      </c>
      <c r="D617" s="312" t="n"/>
      <c r="E617" s="312" t="n"/>
      <c r="F617" s="312" t="n"/>
      <c r="G617" s="312" t="n"/>
      <c r="H617" s="312" t="n"/>
      <c r="I617" s="313" t="n"/>
      <c r="J617" s="199" t="inlineStr">
        <is>
          <t>SPCI</t>
        </is>
      </c>
      <c r="K617" s="314" t="n">
        <v>9410000</v>
      </c>
      <c r="L617" s="2" t="n">
        <v>45644</v>
      </c>
      <c r="M617" s="170" t="n"/>
      <c r="N617" s="170" t="n">
        <v>3104165783</v>
      </c>
      <c r="O617" s="172" t="inlineStr">
        <is>
          <t>Cristiam Gustavo Mondragon</t>
        </is>
      </c>
      <c r="P617" s="52" t="inlineStr">
        <is>
          <t>dir.tecnico@spci.com.co</t>
        </is>
      </c>
    </row>
    <row r="618">
      <c r="B618" s="170" t="n">
        <v>607</v>
      </c>
      <c r="C618" s="199" t="inlineStr">
        <is>
          <t>COTIZACION DE LOS DISEÑOS DE PROTECCIÓN CONTRA INCENDIOS Y SEGURIDAD HUMANA PARA EL PROYECTO HARAS DE SANTALUCIA</t>
        </is>
      </c>
      <c r="D618" s="312" t="n"/>
      <c r="E618" s="312" t="n"/>
      <c r="F618" s="312" t="n"/>
      <c r="G618" s="312" t="n"/>
      <c r="H618" s="312" t="n"/>
      <c r="I618" s="313" t="n"/>
      <c r="J618" s="199" t="inlineStr">
        <is>
          <t>I+ Consultores SAS</t>
        </is>
      </c>
      <c r="K618" s="314" t="n"/>
      <c r="L618" s="2" t="n">
        <v>45643</v>
      </c>
      <c r="M618" s="170" t="n"/>
      <c r="N618" s="170" t="n"/>
      <c r="O618" s="172" t="inlineStr">
        <is>
          <t>Marcela Velez Murillo</t>
        </is>
      </c>
      <c r="P618" s="52" t="inlineStr">
        <is>
          <t>marcelav@iconsultores.com.co</t>
        </is>
      </c>
    </row>
    <row r="619">
      <c r="B619" s="170" t="n">
        <v>608</v>
      </c>
      <c r="C619" s="246" t="inlineStr">
        <is>
          <t xml:space="preserve">COTIZACION DEL ANÁLISIS DE SEGURIDAD HUMANA PARA EL PROYECTO BALANCEPHARMA RIONEGRO
</t>
        </is>
      </c>
      <c r="D619" s="312" t="n"/>
      <c r="E619" s="312" t="n"/>
      <c r="F619" s="312" t="n"/>
      <c r="G619" s="312" t="n"/>
      <c r="H619" s="312" t="n"/>
      <c r="I619" s="313" t="n"/>
      <c r="J619" s="199" t="inlineStr">
        <is>
          <t>Soluciones inmobiliarias</t>
        </is>
      </c>
      <c r="K619" s="314" t="n">
        <v>6270000</v>
      </c>
      <c r="L619" s="2" t="n">
        <v>45644</v>
      </c>
      <c r="M619" s="170" t="n"/>
      <c r="N619" s="170" t="inlineStr">
        <is>
          <t>304 6529210</t>
        </is>
      </c>
      <c r="O619" s="172" t="inlineStr">
        <is>
          <t>Ana María Duque</t>
        </is>
      </c>
      <c r="P619" s="172" t="n"/>
    </row>
    <row r="620">
      <c r="B620" s="170" t="n">
        <v>609</v>
      </c>
      <c r="C620" s="199" t="inlineStr">
        <is>
          <t>COTIZACION DEL ANÁLISIS DE SEGURIDAD HUMANA PARA EL PROYECTO CENTRO COMERCIAL PASTO 1.700 m2</t>
        </is>
      </c>
      <c r="D620" s="312" t="n"/>
      <c r="E620" s="312" t="n"/>
      <c r="F620" s="312" t="n"/>
      <c r="G620" s="312" t="n"/>
      <c r="H620" s="312" t="n"/>
      <c r="I620" s="313" t="n"/>
      <c r="J620" s="199" t="inlineStr">
        <is>
          <t>Condiseño</t>
        </is>
      </c>
      <c r="K620" s="314" t="n">
        <v>4000000</v>
      </c>
      <c r="L620" s="2" t="n">
        <v>45644</v>
      </c>
      <c r="M620" s="170" t="n"/>
      <c r="N620" s="170" t="inlineStr">
        <is>
          <t>317 5594091</t>
        </is>
      </c>
      <c r="O620" s="172" t="inlineStr">
        <is>
          <t>Nakary Garcia Romero</t>
        </is>
      </c>
      <c r="P620" s="52" t="inlineStr">
        <is>
          <t>n.garcia@condiseno.co</t>
        </is>
      </c>
    </row>
    <row r="621">
      <c r="B621" s="170" t="n">
        <v>610</v>
      </c>
      <c r="C621" s="199" t="inlineStr">
        <is>
          <t>COTIZACION DEL DISEÑO DE DETECCIÓN DE INCENDIOS PARA EL PROYECTO CINTANDINA</t>
        </is>
      </c>
      <c r="D621" s="312" t="n"/>
      <c r="E621" s="312" t="n"/>
      <c r="F621" s="312" t="n"/>
      <c r="G621" s="312" t="n"/>
      <c r="H621" s="312" t="n"/>
      <c r="I621" s="313" t="n"/>
      <c r="J621" s="199" t="inlineStr">
        <is>
          <t>SPCI</t>
        </is>
      </c>
      <c r="K621" s="314" t="n">
        <v>9950000</v>
      </c>
      <c r="L621" s="2" t="n">
        <v>45644</v>
      </c>
      <c r="M621" s="170" t="n"/>
      <c r="N621" s="170" t="n">
        <v>3104203649</v>
      </c>
      <c r="O621" s="172" t="inlineStr">
        <is>
          <t>Mauricio Guzman Urrea</t>
        </is>
      </c>
      <c r="P621" s="52" t="inlineStr">
        <is>
          <t>mauricio.guzman@spci.com.co</t>
        </is>
      </c>
    </row>
    <row r="622">
      <c r="B622" s="170" t="n">
        <v>611</v>
      </c>
      <c r="C622" s="233" t="inlineStr">
        <is>
          <t>COTIZACION DEL DISEÑO DE EXTINCIÓN DE INCENDIOS PARA EL PROYECTO GEF SANTAFE</t>
        </is>
      </c>
      <c r="D622" s="312" t="n"/>
      <c r="E622" s="312" t="n"/>
      <c r="F622" s="312" t="n"/>
      <c r="G622" s="312" t="n"/>
      <c r="H622" s="312" t="n"/>
      <c r="I622" s="313" t="n"/>
      <c r="J622" s="199" t="inlineStr">
        <is>
          <t>Nivelum</t>
        </is>
      </c>
      <c r="K622" s="314" t="inlineStr">
        <is>
          <t>POR DEFINIR</t>
        </is>
      </c>
      <c r="L622" s="2" t="n">
        <v>45644</v>
      </c>
      <c r="M622" s="170" t="n"/>
      <c r="N622" s="170" t="n">
        <v>3215701452</v>
      </c>
      <c r="O622" s="172" t="inlineStr">
        <is>
          <t>Esteban Rua</t>
        </is>
      </c>
      <c r="P622" s="172" t="n"/>
    </row>
    <row r="623">
      <c r="B623" s="170" t="n">
        <v>612</v>
      </c>
      <c r="C623" s="199" t="inlineStr">
        <is>
          <t>COTIZACION DE LOS DISEÑOS DE PROTECCIÓN CONTRA INCENDIOS PARA EL PROYECTO CARGO</t>
        </is>
      </c>
      <c r="D623" s="312" t="n"/>
      <c r="E623" s="312" t="n"/>
      <c r="F623" s="312" t="n"/>
      <c r="G623" s="312" t="n"/>
      <c r="H623" s="312" t="n"/>
      <c r="I623" s="313" t="n"/>
      <c r="J623" s="199" t="inlineStr">
        <is>
          <t>FP Services SAS</t>
        </is>
      </c>
      <c r="K623" s="314" t="n">
        <v>19950000</v>
      </c>
      <c r="L623" s="2" t="n">
        <v>45645</v>
      </c>
      <c r="M623" s="170" t="n"/>
      <c r="N623" s="170" t="n">
        <v>3104513967</v>
      </c>
      <c r="O623" s="172" t="inlineStr">
        <is>
          <t>Julio Millan Trujillo</t>
        </is>
      </c>
      <c r="P623" s="52" t="inlineStr">
        <is>
          <t>juliomillan@fpservices.com.co</t>
        </is>
      </c>
    </row>
    <row r="624">
      <c r="B624" s="170" t="n">
        <v>613</v>
      </c>
      <c r="C624" s="199" t="inlineStr">
        <is>
          <t>COTIZACION DEL DISEÑO DE EXTINCIÓN DE INCENDIOS PARA EL PROYECTO WAKE TESORO</t>
        </is>
      </c>
      <c r="D624" s="312" t="n"/>
      <c r="E624" s="312" t="n"/>
      <c r="F624" s="312" t="n"/>
      <c r="G624" s="312" t="n"/>
      <c r="H624" s="312" t="n"/>
      <c r="I624" s="313" t="n"/>
      <c r="J624" s="199" t="inlineStr">
        <is>
          <t>interve</t>
        </is>
      </c>
      <c r="K624" s="314" t="n">
        <v>8950000</v>
      </c>
      <c r="L624" s="2" t="n">
        <v>45646</v>
      </c>
      <c r="M624" s="170" t="n"/>
      <c r="N624" s="170" t="n">
        <v>3017830739</v>
      </c>
      <c r="O624" s="172" t="inlineStr">
        <is>
          <t>Juan Daniel Vecino</t>
        </is>
      </c>
      <c r="P624" s="52" t="inlineStr">
        <is>
          <t>jvecino@interve.co</t>
        </is>
      </c>
    </row>
    <row r="625">
      <c r="B625" s="170" t="n">
        <v>614</v>
      </c>
      <c r="C625" s="246" t="inlineStr">
        <is>
          <t xml:space="preserve">COTIZACION DEL DISEÑO DE DETECCIÓN DE INCENDIOS PARA EL PROYECTO COLDEPLAST
</t>
        </is>
      </c>
      <c r="D625" s="312" t="n"/>
      <c r="E625" s="312" t="n"/>
      <c r="F625" s="312" t="n"/>
      <c r="G625" s="312" t="n"/>
      <c r="H625" s="312" t="n"/>
      <c r="I625" s="313" t="n"/>
      <c r="J625" s="199" t="inlineStr">
        <is>
          <t>Seriinco</t>
        </is>
      </c>
      <c r="K625" s="314" t="n">
        <v>10980000</v>
      </c>
      <c r="L625" s="2" t="n">
        <v>45652</v>
      </c>
      <c r="M625" s="170" t="n"/>
      <c r="N625" s="170" t="n">
        <v>3113391008</v>
      </c>
      <c r="O625" s="103" t="inlineStr">
        <is>
          <t>Carlos Henao</t>
        </is>
      </c>
      <c r="P625" s="52" t="inlineStr">
        <is>
          <t>carlos.henao@seriinco.com</t>
        </is>
      </c>
    </row>
    <row r="626">
      <c r="B626" s="170" t="n">
        <v>615</v>
      </c>
      <c r="C626" s="199" t="inlineStr">
        <is>
          <t>COTIZACION DEL DISEÑO DE DETECCIÓN DE INCENDIOS PARA EL PROYECTO MICROPLAST</t>
        </is>
      </c>
      <c r="D626" s="312" t="n"/>
      <c r="E626" s="312" t="n"/>
      <c r="F626" s="312" t="n"/>
      <c r="G626" s="312" t="n"/>
      <c r="H626" s="312" t="n"/>
      <c r="I626" s="313" t="n"/>
      <c r="J626" s="199" t="inlineStr">
        <is>
          <t>Seriinco</t>
        </is>
      </c>
      <c r="K626" s="314" t="n">
        <v>9980000</v>
      </c>
      <c r="L626" s="2" t="n">
        <v>45652</v>
      </c>
      <c r="M626" s="170" t="n"/>
      <c r="N626" s="170" t="n">
        <v>3113391008</v>
      </c>
      <c r="O626" s="103" t="inlineStr">
        <is>
          <t>Carlos Henao</t>
        </is>
      </c>
      <c r="P626" s="52" t="inlineStr">
        <is>
          <t>carlos.henao@seriinco.com</t>
        </is>
      </c>
    </row>
    <row r="627">
      <c r="B627" s="170" t="n"/>
      <c r="C627" s="199" t="n"/>
      <c r="D627" s="312" t="n"/>
      <c r="E627" s="312" t="n"/>
      <c r="F627" s="312" t="n"/>
      <c r="G627" s="312" t="n"/>
      <c r="H627" s="312" t="n"/>
      <c r="I627" s="313" t="n"/>
      <c r="J627" s="199" t="n"/>
      <c r="K627" s="314" t="n"/>
      <c r="L627" s="170" t="n"/>
      <c r="M627" s="170" t="n"/>
      <c r="N627" s="170" t="n"/>
      <c r="O627" s="172" t="n"/>
      <c r="P627" s="172" t="n"/>
    </row>
    <row r="628">
      <c r="B628" s="170" t="n"/>
      <c r="C628" s="199" t="n"/>
      <c r="D628" s="312" t="n"/>
      <c r="E628" s="312" t="n"/>
      <c r="F628" s="312" t="n"/>
      <c r="G628" s="312" t="n"/>
      <c r="H628" s="312" t="n"/>
      <c r="I628" s="313" t="n"/>
      <c r="J628" s="199" t="n"/>
      <c r="K628" s="314" t="n"/>
      <c r="L628" s="170" t="n"/>
      <c r="M628" s="170" t="n"/>
      <c r="N628" s="170" t="n"/>
      <c r="O628" s="172" t="n"/>
      <c r="P628" s="172" t="n"/>
    </row>
    <row r="629">
      <c r="B629" s="170" t="n"/>
      <c r="C629" s="199" t="n"/>
      <c r="D629" s="312" t="n"/>
      <c r="E629" s="312" t="n"/>
      <c r="F629" s="312" t="n"/>
      <c r="G629" s="312" t="n"/>
      <c r="H629" s="312" t="n"/>
      <c r="I629" s="313" t="n"/>
      <c r="J629" s="199" t="n"/>
      <c r="K629" s="314" t="n"/>
      <c r="L629" s="170" t="n"/>
      <c r="M629" s="170" t="n"/>
      <c r="N629" s="170" t="n"/>
      <c r="O629" s="172" t="n"/>
      <c r="P629" s="172" t="n"/>
    </row>
    <row r="630">
      <c r="B630" s="170" t="n"/>
      <c r="C630" s="199" t="n"/>
      <c r="D630" s="312" t="n"/>
      <c r="E630" s="312" t="n"/>
      <c r="F630" s="312" t="n"/>
      <c r="G630" s="312" t="n"/>
      <c r="H630" s="312" t="n"/>
      <c r="I630" s="313" t="n"/>
      <c r="J630" s="199" t="n"/>
      <c r="K630" s="314" t="n"/>
      <c r="L630" s="170" t="n"/>
      <c r="M630" s="170" t="n"/>
      <c r="N630" s="170" t="n"/>
      <c r="O630" s="172" t="n"/>
      <c r="P630" s="172" t="n"/>
    </row>
    <row r="631">
      <c r="B631" s="170" t="n"/>
      <c r="C631" s="199" t="n"/>
      <c r="D631" s="312" t="n"/>
      <c r="E631" s="312" t="n"/>
      <c r="F631" s="312" t="n"/>
      <c r="G631" s="312" t="n"/>
      <c r="H631" s="312" t="n"/>
      <c r="I631" s="313" t="n"/>
      <c r="J631" s="199" t="n"/>
      <c r="K631" s="314" t="n"/>
      <c r="L631" s="170" t="n"/>
      <c r="M631" s="170" t="n"/>
      <c r="N631" s="170" t="n"/>
      <c r="O631" s="172" t="n"/>
      <c r="P631" s="172" t="n"/>
    </row>
    <row r="632">
      <c r="B632" s="170" t="n"/>
      <c r="C632" s="199" t="n"/>
      <c r="D632" s="312" t="n"/>
      <c r="E632" s="312" t="n"/>
      <c r="F632" s="312" t="n"/>
      <c r="G632" s="312" t="n"/>
      <c r="H632" s="312" t="n"/>
      <c r="I632" s="313" t="n"/>
      <c r="J632" s="199" t="n"/>
      <c r="K632" s="314" t="n"/>
      <c r="L632" s="170" t="n"/>
      <c r="M632" s="170" t="n"/>
      <c r="N632" s="170" t="n"/>
      <c r="O632" s="172" t="n"/>
      <c r="P632" s="172" t="n"/>
    </row>
    <row r="633">
      <c r="B633" s="170" t="n"/>
      <c r="C633" s="199" t="n"/>
      <c r="D633" s="312" t="n"/>
      <c r="E633" s="312" t="n"/>
      <c r="F633" s="312" t="n"/>
      <c r="G633" s="312" t="n"/>
      <c r="H633" s="312" t="n"/>
      <c r="I633" s="313" t="n"/>
      <c r="J633" s="199" t="n"/>
      <c r="K633" s="314" t="n"/>
      <c r="L633" s="170" t="n"/>
      <c r="M633" s="170" t="n"/>
      <c r="N633" s="170" t="n"/>
      <c r="O633" s="172" t="n"/>
      <c r="P633" s="172" t="n"/>
    </row>
    <row r="634">
      <c r="B634" s="170" t="n"/>
      <c r="C634" s="199" t="n"/>
      <c r="D634" s="312" t="n"/>
      <c r="E634" s="312" t="n"/>
      <c r="F634" s="312" t="n"/>
      <c r="G634" s="312" t="n"/>
      <c r="H634" s="312" t="n"/>
      <c r="I634" s="313" t="n"/>
      <c r="J634" s="199" t="n"/>
      <c r="K634" s="314" t="n"/>
      <c r="L634" s="170" t="n"/>
      <c r="M634" s="170" t="n"/>
      <c r="N634" s="170" t="n"/>
      <c r="O634" s="172" t="n"/>
      <c r="P634" s="172" t="n"/>
    </row>
    <row r="635">
      <c r="B635" s="170" t="n"/>
      <c r="C635" s="199" t="n"/>
      <c r="D635" s="312" t="n"/>
      <c r="E635" s="312" t="n"/>
      <c r="F635" s="312" t="n"/>
      <c r="G635" s="312" t="n"/>
      <c r="H635" s="312" t="n"/>
      <c r="I635" s="313" t="n"/>
      <c r="J635" s="199" t="n"/>
      <c r="K635" s="314" t="n"/>
      <c r="L635" s="170" t="n"/>
      <c r="M635" s="170" t="n"/>
      <c r="N635" s="170" t="n"/>
      <c r="O635" s="172" t="n"/>
      <c r="P635" s="172" t="n"/>
    </row>
    <row r="636">
      <c r="B636" s="170" t="n"/>
      <c r="C636" s="199" t="n"/>
      <c r="D636" s="312" t="n"/>
      <c r="E636" s="312" t="n"/>
      <c r="F636" s="312" t="n"/>
      <c r="G636" s="312" t="n"/>
      <c r="H636" s="312" t="n"/>
      <c r="I636" s="313" t="n"/>
      <c r="J636" s="199" t="n"/>
      <c r="K636" s="314" t="n"/>
      <c r="L636" s="170" t="n"/>
      <c r="M636" s="170" t="n"/>
      <c r="N636" s="170" t="n"/>
      <c r="O636" s="172" t="n"/>
      <c r="P636" s="172" t="n"/>
    </row>
    <row r="637">
      <c r="B637" s="170" t="n"/>
      <c r="C637" s="199" t="n"/>
      <c r="D637" s="312" t="n"/>
      <c r="E637" s="312" t="n"/>
      <c r="F637" s="312" t="n"/>
      <c r="G637" s="312" t="n"/>
      <c r="H637" s="312" t="n"/>
      <c r="I637" s="313" t="n"/>
      <c r="J637" s="199" t="n"/>
      <c r="K637" s="314" t="n"/>
      <c r="L637" s="170" t="n"/>
      <c r="M637" s="170" t="n"/>
      <c r="N637" s="170" t="n"/>
      <c r="O637" s="172" t="n"/>
      <c r="P637" s="172" t="n"/>
    </row>
    <row r="638">
      <c r="B638" s="170" t="n"/>
      <c r="C638" s="199" t="n"/>
      <c r="D638" s="312" t="n"/>
      <c r="E638" s="312" t="n"/>
      <c r="F638" s="312" t="n"/>
      <c r="G638" s="312" t="n"/>
      <c r="H638" s="312" t="n"/>
      <c r="I638" s="313" t="n"/>
      <c r="J638" s="199" t="n"/>
      <c r="K638" s="314" t="n"/>
      <c r="L638" s="170" t="n"/>
      <c r="M638" s="170" t="n"/>
      <c r="N638" s="170" t="n"/>
      <c r="O638" s="172" t="n"/>
      <c r="P638" s="172" t="n"/>
    </row>
    <row r="639">
      <c r="B639" s="170" t="n"/>
      <c r="C639" s="199" t="n"/>
      <c r="D639" s="312" t="n"/>
      <c r="E639" s="312" t="n"/>
      <c r="F639" s="312" t="n"/>
      <c r="G639" s="312" t="n"/>
      <c r="H639" s="312" t="n"/>
      <c r="I639" s="313" t="n"/>
      <c r="J639" s="199" t="n"/>
      <c r="K639" s="314" t="n"/>
      <c r="L639" s="170" t="n"/>
      <c r="M639" s="170" t="n"/>
      <c r="N639" s="170" t="n"/>
      <c r="O639" s="172" t="n"/>
      <c r="P639" s="172" t="n"/>
    </row>
    <row r="640">
      <c r="B640" s="170" t="n"/>
      <c r="C640" s="199" t="n"/>
      <c r="D640" s="312" t="n"/>
      <c r="E640" s="312" t="n"/>
      <c r="F640" s="312" t="n"/>
      <c r="G640" s="312" t="n"/>
      <c r="H640" s="312" t="n"/>
      <c r="I640" s="313" t="n"/>
      <c r="J640" s="199" t="n"/>
      <c r="K640" s="314" t="n"/>
      <c r="L640" s="170" t="n"/>
      <c r="M640" s="170" t="n"/>
      <c r="N640" s="170" t="n"/>
      <c r="O640" s="172" t="n"/>
      <c r="P640" s="172" t="n"/>
    </row>
    <row r="641">
      <c r="B641" s="170" t="n"/>
      <c r="C641" s="199" t="n"/>
      <c r="D641" s="312" t="n"/>
      <c r="E641" s="312" t="n"/>
      <c r="F641" s="312" t="n"/>
      <c r="G641" s="312" t="n"/>
      <c r="H641" s="312" t="n"/>
      <c r="I641" s="313" t="n"/>
      <c r="J641" s="199" t="n"/>
      <c r="K641" s="314" t="n"/>
      <c r="L641" s="170" t="n"/>
      <c r="M641" s="170" t="n"/>
      <c r="N641" s="170" t="n"/>
      <c r="O641" s="172" t="n"/>
      <c r="P641" s="172" t="n"/>
    </row>
    <row r="642">
      <c r="B642" s="170" t="n"/>
      <c r="C642" s="199" t="n"/>
      <c r="D642" s="312" t="n"/>
      <c r="E642" s="312" t="n"/>
      <c r="F642" s="312" t="n"/>
      <c r="G642" s="312" t="n"/>
      <c r="H642" s="312" t="n"/>
      <c r="I642" s="313" t="n"/>
      <c r="J642" s="199" t="n"/>
      <c r="K642" s="314" t="n"/>
      <c r="L642" s="170" t="n"/>
      <c r="M642" s="170" t="n"/>
      <c r="N642" s="170" t="n"/>
      <c r="O642" s="172" t="n"/>
      <c r="P642" s="172" t="n"/>
    </row>
    <row r="643">
      <c r="B643" s="170" t="n"/>
      <c r="C643" s="199" t="n"/>
      <c r="D643" s="312" t="n"/>
      <c r="E643" s="312" t="n"/>
      <c r="F643" s="312" t="n"/>
      <c r="G643" s="312" t="n"/>
      <c r="H643" s="312" t="n"/>
      <c r="I643" s="313" t="n"/>
      <c r="J643" s="199" t="n"/>
      <c r="K643" s="314" t="n"/>
      <c r="L643" s="170" t="n"/>
      <c r="M643" s="170" t="n"/>
      <c r="N643" s="170" t="n"/>
      <c r="O643" s="172" t="n"/>
      <c r="P643" s="172" t="n"/>
    </row>
    <row r="644">
      <c r="B644" s="170" t="n"/>
      <c r="C644" s="199" t="n"/>
      <c r="D644" s="312" t="n"/>
      <c r="E644" s="312" t="n"/>
      <c r="F644" s="312" t="n"/>
      <c r="G644" s="312" t="n"/>
      <c r="H644" s="312" t="n"/>
      <c r="I644" s="313" t="n"/>
      <c r="J644" s="199" t="n"/>
      <c r="K644" s="314" t="n"/>
      <c r="L644" s="170" t="n"/>
      <c r="M644" s="170" t="n"/>
      <c r="N644" s="170" t="n"/>
      <c r="O644" s="172" t="n"/>
      <c r="P644" s="172" t="n"/>
    </row>
    <row r="645">
      <c r="B645" s="170" t="n"/>
      <c r="C645" s="199" t="n"/>
      <c r="D645" s="312" t="n"/>
      <c r="E645" s="312" t="n"/>
      <c r="F645" s="312" t="n"/>
      <c r="G645" s="312" t="n"/>
      <c r="H645" s="312" t="n"/>
      <c r="I645" s="313" t="n"/>
      <c r="J645" s="199" t="n"/>
      <c r="K645" s="314" t="n"/>
      <c r="L645" s="170" t="n"/>
      <c r="M645" s="170" t="n"/>
      <c r="N645" s="170" t="n"/>
      <c r="O645" s="172" t="n"/>
      <c r="P645" s="172" t="n"/>
    </row>
    <row r="646">
      <c r="B646" s="170" t="n"/>
      <c r="C646" s="199" t="n"/>
      <c r="D646" s="312" t="n"/>
      <c r="E646" s="312" t="n"/>
      <c r="F646" s="312" t="n"/>
      <c r="G646" s="312" t="n"/>
      <c r="H646" s="312" t="n"/>
      <c r="I646" s="313" t="n"/>
      <c r="J646" s="199" t="n"/>
      <c r="K646" s="314" t="n"/>
      <c r="L646" s="170" t="n"/>
      <c r="M646" s="170" t="n"/>
      <c r="N646" s="170" t="n"/>
      <c r="O646" s="172" t="n"/>
      <c r="P646" s="172" t="n"/>
    </row>
    <row r="647">
      <c r="B647" s="170" t="n"/>
      <c r="C647" s="199" t="n"/>
      <c r="D647" s="312" t="n"/>
      <c r="E647" s="312" t="n"/>
      <c r="F647" s="312" t="n"/>
      <c r="G647" s="312" t="n"/>
      <c r="H647" s="312" t="n"/>
      <c r="I647" s="313" t="n"/>
      <c r="J647" s="199" t="n"/>
      <c r="K647" s="314" t="n"/>
      <c r="L647" s="170" t="n"/>
      <c r="M647" s="170" t="n"/>
      <c r="N647" s="170" t="n"/>
      <c r="O647" s="172" t="n"/>
      <c r="P647" s="172" t="n"/>
    </row>
    <row r="648">
      <c r="B648" s="170" t="n"/>
      <c r="C648" s="199" t="n"/>
      <c r="D648" s="312" t="n"/>
      <c r="E648" s="312" t="n"/>
      <c r="F648" s="312" t="n"/>
      <c r="G648" s="312" t="n"/>
      <c r="H648" s="312" t="n"/>
      <c r="I648" s="313" t="n"/>
      <c r="J648" s="199" t="n"/>
      <c r="K648" s="314" t="n"/>
      <c r="L648" s="170" t="n"/>
      <c r="M648" s="170" t="n"/>
      <c r="N648" s="170" t="n"/>
      <c r="O648" s="172" t="n"/>
      <c r="P648" s="172" t="n"/>
    </row>
    <row r="649">
      <c r="B649" s="170" t="n"/>
      <c r="C649" s="199" t="n"/>
      <c r="D649" s="312" t="n"/>
      <c r="E649" s="312" t="n"/>
      <c r="F649" s="312" t="n"/>
      <c r="G649" s="312" t="n"/>
      <c r="H649" s="312" t="n"/>
      <c r="I649" s="313" t="n"/>
      <c r="J649" s="199" t="n"/>
      <c r="K649" s="314" t="n"/>
      <c r="L649" s="170" t="n"/>
      <c r="M649" s="170" t="n"/>
      <c r="N649" s="170" t="n"/>
      <c r="O649" s="172" t="n"/>
      <c r="P649" s="172" t="n"/>
    </row>
    <row r="650">
      <c r="B650" s="170" t="n"/>
      <c r="C650" s="199" t="n"/>
      <c r="D650" s="312" t="n"/>
      <c r="E650" s="312" t="n"/>
      <c r="F650" s="312" t="n"/>
      <c r="G650" s="312" t="n"/>
      <c r="H650" s="312" t="n"/>
      <c r="I650" s="313" t="n"/>
      <c r="J650" s="199" t="n"/>
      <c r="K650" s="314" t="n"/>
      <c r="L650" s="170" t="n"/>
      <c r="M650" s="170" t="n"/>
      <c r="N650" s="170" t="n"/>
      <c r="O650" s="172" t="n"/>
      <c r="P650" s="172" t="n"/>
    </row>
    <row r="651">
      <c r="B651" s="170" t="n"/>
      <c r="C651" s="199" t="n"/>
      <c r="D651" s="312" t="n"/>
      <c r="E651" s="312" t="n"/>
      <c r="F651" s="312" t="n"/>
      <c r="G651" s="312" t="n"/>
      <c r="H651" s="312" t="n"/>
      <c r="I651" s="313" t="n"/>
      <c r="J651" s="199" t="n"/>
      <c r="K651" s="314" t="n"/>
      <c r="L651" s="170" t="n"/>
      <c r="M651" s="170" t="n"/>
      <c r="N651" s="170" t="n"/>
      <c r="O651" s="172" t="n"/>
      <c r="P651" s="172" t="n"/>
    </row>
    <row r="652">
      <c r="B652" s="170" t="n"/>
      <c r="C652" s="199" t="n"/>
      <c r="D652" s="312" t="n"/>
      <c r="E652" s="312" t="n"/>
      <c r="F652" s="312" t="n"/>
      <c r="G652" s="312" t="n"/>
      <c r="H652" s="312" t="n"/>
      <c r="I652" s="313" t="n"/>
      <c r="J652" s="199" t="n"/>
      <c r="K652" s="314" t="n"/>
      <c r="L652" s="170" t="n"/>
      <c r="M652" s="170" t="n"/>
      <c r="N652" s="170" t="n"/>
      <c r="O652" s="172" t="n"/>
      <c r="P652" s="172" t="n"/>
    </row>
    <row r="653">
      <c r="B653" s="170" t="n"/>
      <c r="C653" s="199" t="n"/>
      <c r="D653" s="312" t="n"/>
      <c r="E653" s="312" t="n"/>
      <c r="F653" s="312" t="n"/>
      <c r="G653" s="312" t="n"/>
      <c r="H653" s="312" t="n"/>
      <c r="I653" s="313" t="n"/>
      <c r="J653" s="199" t="n"/>
      <c r="K653" s="314" t="n"/>
      <c r="L653" s="170" t="n"/>
      <c r="M653" s="170" t="n"/>
      <c r="N653" s="170" t="n"/>
      <c r="O653" s="172" t="n"/>
      <c r="P653" s="172" t="n"/>
    </row>
    <row r="654">
      <c r="B654" s="170" t="n"/>
      <c r="C654" s="199" t="n"/>
      <c r="D654" s="312" t="n"/>
      <c r="E654" s="312" t="n"/>
      <c r="F654" s="312" t="n"/>
      <c r="G654" s="312" t="n"/>
      <c r="H654" s="312" t="n"/>
      <c r="I654" s="313" t="n"/>
      <c r="J654" s="199" t="n"/>
      <c r="K654" s="314" t="n"/>
      <c r="L654" s="170" t="n"/>
      <c r="M654" s="170" t="n"/>
      <c r="N654" s="170" t="n"/>
      <c r="O654" s="172" t="n"/>
      <c r="P654" s="172" t="n"/>
    </row>
    <row r="655">
      <c r="B655" s="170" t="n"/>
      <c r="C655" s="199" t="n"/>
      <c r="D655" s="312" t="n"/>
      <c r="E655" s="312" t="n"/>
      <c r="F655" s="312" t="n"/>
      <c r="G655" s="312" t="n"/>
      <c r="H655" s="312" t="n"/>
      <c r="I655" s="313" t="n"/>
      <c r="J655" s="199" t="n"/>
      <c r="K655" s="314" t="n"/>
      <c r="L655" s="170" t="n"/>
      <c r="M655" s="170" t="n"/>
      <c r="N655" s="170" t="n"/>
      <c r="O655" s="172" t="n"/>
      <c r="P655" s="172" t="n"/>
    </row>
    <row r="656">
      <c r="B656" s="170" t="n"/>
      <c r="C656" s="199" t="n"/>
      <c r="D656" s="312" t="n"/>
      <c r="E656" s="312" t="n"/>
      <c r="F656" s="312" t="n"/>
      <c r="G656" s="312" t="n"/>
      <c r="H656" s="312" t="n"/>
      <c r="I656" s="313" t="n"/>
      <c r="J656" s="199" t="n"/>
      <c r="K656" s="314" t="n"/>
      <c r="L656" s="170" t="n"/>
      <c r="M656" s="170" t="n"/>
      <c r="N656" s="170" t="n"/>
      <c r="O656" s="172" t="n"/>
      <c r="P656" s="172" t="n"/>
    </row>
    <row r="657">
      <c r="B657" s="170" t="n"/>
      <c r="C657" s="199" t="n"/>
      <c r="D657" s="312" t="n"/>
      <c r="E657" s="312" t="n"/>
      <c r="F657" s="312" t="n"/>
      <c r="G657" s="312" t="n"/>
      <c r="H657" s="312" t="n"/>
      <c r="I657" s="313" t="n"/>
      <c r="J657" s="199" t="n"/>
      <c r="K657" s="314" t="n"/>
      <c r="L657" s="170" t="n"/>
      <c r="M657" s="170" t="n"/>
      <c r="N657" s="170" t="n"/>
      <c r="O657" s="172" t="n"/>
      <c r="P657" s="172" t="n"/>
    </row>
    <row r="658">
      <c r="B658" s="170" t="n"/>
      <c r="C658" s="199" t="n"/>
      <c r="D658" s="312" t="n"/>
      <c r="E658" s="312" t="n"/>
      <c r="F658" s="312" t="n"/>
      <c r="G658" s="312" t="n"/>
      <c r="H658" s="312" t="n"/>
      <c r="I658" s="313" t="n"/>
      <c r="J658" s="199" t="n"/>
      <c r="K658" s="314" t="n"/>
      <c r="L658" s="170" t="n"/>
      <c r="M658" s="170" t="n"/>
      <c r="N658" s="170" t="n"/>
      <c r="O658" s="172" t="n"/>
      <c r="P658" s="172" t="n"/>
    </row>
    <row r="659">
      <c r="B659" s="170" t="n"/>
      <c r="C659" s="199" t="n"/>
      <c r="D659" s="312" t="n"/>
      <c r="E659" s="312" t="n"/>
      <c r="F659" s="312" t="n"/>
      <c r="G659" s="312" t="n"/>
      <c r="H659" s="312" t="n"/>
      <c r="I659" s="313" t="n"/>
      <c r="J659" s="199" t="n"/>
      <c r="K659" s="314" t="n"/>
      <c r="L659" s="170" t="n"/>
      <c r="M659" s="170" t="n"/>
      <c r="N659" s="170" t="n"/>
      <c r="O659" s="172" t="n"/>
      <c r="P659" s="172" t="n"/>
    </row>
    <row r="660">
      <c r="B660" s="170" t="n"/>
      <c r="C660" s="199" t="n"/>
      <c r="D660" s="312" t="n"/>
      <c r="E660" s="312" t="n"/>
      <c r="F660" s="312" t="n"/>
      <c r="G660" s="312" t="n"/>
      <c r="H660" s="312" t="n"/>
      <c r="I660" s="313" t="n"/>
      <c r="J660" s="199" t="n"/>
      <c r="K660" s="314" t="n"/>
      <c r="L660" s="170" t="n"/>
      <c r="M660" s="170" t="n"/>
      <c r="N660" s="170" t="n"/>
      <c r="O660" s="172" t="n"/>
      <c r="P660" s="172" t="n"/>
    </row>
    <row r="661">
      <c r="B661" s="170" t="n"/>
      <c r="C661" s="199" t="n"/>
      <c r="D661" s="312" t="n"/>
      <c r="E661" s="312" t="n"/>
      <c r="F661" s="312" t="n"/>
      <c r="G661" s="312" t="n"/>
      <c r="H661" s="312" t="n"/>
      <c r="I661" s="313" t="n"/>
      <c r="J661" s="199" t="n"/>
      <c r="K661" s="314" t="n"/>
      <c r="L661" s="170" t="n"/>
      <c r="M661" s="170" t="n"/>
      <c r="N661" s="170" t="n"/>
      <c r="O661" s="172" t="n"/>
      <c r="P661" s="172" t="n"/>
    </row>
    <row r="662">
      <c r="B662" s="170" t="n"/>
      <c r="C662" s="199" t="n"/>
      <c r="D662" s="312" t="n"/>
      <c r="E662" s="312" t="n"/>
      <c r="F662" s="312" t="n"/>
      <c r="G662" s="312" t="n"/>
      <c r="H662" s="312" t="n"/>
      <c r="I662" s="313" t="n"/>
      <c r="J662" s="199" t="n"/>
      <c r="K662" s="314" t="n"/>
      <c r="L662" s="170" t="n"/>
      <c r="M662" s="170" t="n"/>
      <c r="N662" s="170" t="n"/>
      <c r="O662" s="172" t="n"/>
      <c r="P662" s="172" t="n"/>
    </row>
    <row r="663">
      <c r="B663" s="170" t="n"/>
      <c r="C663" s="199" t="n"/>
      <c r="D663" s="312" t="n"/>
      <c r="E663" s="312" t="n"/>
      <c r="F663" s="312" t="n"/>
      <c r="G663" s="312" t="n"/>
      <c r="H663" s="312" t="n"/>
      <c r="I663" s="313" t="n"/>
      <c r="J663" s="199" t="n"/>
      <c r="K663" s="314" t="n"/>
      <c r="L663" s="170" t="n"/>
      <c r="M663" s="170" t="n"/>
      <c r="N663" s="170" t="n"/>
      <c r="O663" s="172" t="n"/>
      <c r="P663" s="172" t="n"/>
    </row>
    <row r="664">
      <c r="B664" s="170" t="n"/>
      <c r="C664" s="199" t="n"/>
      <c r="D664" s="312" t="n"/>
      <c r="E664" s="312" t="n"/>
      <c r="F664" s="312" t="n"/>
      <c r="G664" s="312" t="n"/>
      <c r="H664" s="312" t="n"/>
      <c r="I664" s="313" t="n"/>
      <c r="J664" s="199" t="n"/>
      <c r="K664" s="314" t="n"/>
      <c r="L664" s="170" t="n"/>
      <c r="M664" s="170" t="n"/>
      <c r="N664" s="170" t="n"/>
      <c r="O664" s="172" t="n"/>
      <c r="P664" s="172" t="n"/>
    </row>
    <row r="665">
      <c r="B665" s="170" t="n"/>
      <c r="C665" s="199" t="n"/>
      <c r="D665" s="312" t="n"/>
      <c r="E665" s="312" t="n"/>
      <c r="F665" s="312" t="n"/>
      <c r="G665" s="312" t="n"/>
      <c r="H665" s="312" t="n"/>
      <c r="I665" s="313" t="n"/>
      <c r="J665" s="199" t="n"/>
      <c r="K665" s="314" t="n"/>
      <c r="L665" s="170" t="n"/>
      <c r="M665" s="170" t="n"/>
      <c r="N665" s="170" t="n"/>
      <c r="O665" s="172" t="n"/>
      <c r="P665" s="172" t="n"/>
    </row>
    <row r="666">
      <c r="B666" s="170" t="n"/>
      <c r="C666" s="199" t="n"/>
      <c r="D666" s="312" t="n"/>
      <c r="E666" s="312" t="n"/>
      <c r="F666" s="312" t="n"/>
      <c r="G666" s="312" t="n"/>
      <c r="H666" s="312" t="n"/>
      <c r="I666" s="313" t="n"/>
      <c r="J666" s="199" t="n"/>
      <c r="K666" s="314" t="n"/>
      <c r="L666" s="170" t="n"/>
      <c r="M666" s="170" t="n"/>
      <c r="N666" s="170" t="n"/>
      <c r="O666" s="172" t="n"/>
      <c r="P666" s="172" t="n"/>
    </row>
    <row r="667">
      <c r="B667" s="170" t="n"/>
      <c r="C667" s="199" t="n"/>
      <c r="D667" s="312" t="n"/>
      <c r="E667" s="312" t="n"/>
      <c r="F667" s="312" t="n"/>
      <c r="G667" s="312" t="n"/>
      <c r="H667" s="312" t="n"/>
      <c r="I667" s="313" t="n"/>
      <c r="J667" s="199" t="n"/>
      <c r="K667" s="314" t="n"/>
      <c r="L667" s="170" t="n"/>
      <c r="M667" s="170" t="n"/>
      <c r="N667" s="170" t="n"/>
      <c r="O667" s="172" t="n"/>
      <c r="P667" s="172" t="n"/>
    </row>
    <row r="668">
      <c r="B668" s="170" t="n"/>
      <c r="C668" s="199" t="n"/>
      <c r="D668" s="312" t="n"/>
      <c r="E668" s="312" t="n"/>
      <c r="F668" s="312" t="n"/>
      <c r="G668" s="312" t="n"/>
      <c r="H668" s="312" t="n"/>
      <c r="I668" s="313" t="n"/>
      <c r="J668" s="199" t="n"/>
      <c r="K668" s="314" t="n"/>
      <c r="L668" s="170" t="n"/>
      <c r="M668" s="170" t="n"/>
      <c r="N668" s="170" t="n"/>
      <c r="O668" s="172" t="n"/>
      <c r="P668" s="172" t="n"/>
    </row>
    <row r="669">
      <c r="B669" s="170" t="n"/>
      <c r="C669" s="199" t="n"/>
      <c r="D669" s="312" t="n"/>
      <c r="E669" s="312" t="n"/>
      <c r="F669" s="312" t="n"/>
      <c r="G669" s="312" t="n"/>
      <c r="H669" s="312" t="n"/>
      <c r="I669" s="313" t="n"/>
      <c r="J669" s="199" t="n"/>
      <c r="K669" s="314" t="n"/>
      <c r="L669" s="170" t="n"/>
      <c r="M669" s="170" t="n"/>
      <c r="N669" s="170" t="n"/>
      <c r="O669" s="172" t="n"/>
      <c r="P669" s="172" t="n"/>
    </row>
    <row r="670">
      <c r="B670" s="170" t="n"/>
      <c r="C670" s="199" t="n"/>
      <c r="D670" s="312" t="n"/>
      <c r="E670" s="312" t="n"/>
      <c r="F670" s="312" t="n"/>
      <c r="G670" s="312" t="n"/>
      <c r="H670" s="312" t="n"/>
      <c r="I670" s="313" t="n"/>
      <c r="J670" s="199" t="n"/>
      <c r="K670" s="314" t="n"/>
      <c r="L670" s="170" t="n"/>
      <c r="M670" s="170" t="n"/>
      <c r="N670" s="170" t="n"/>
      <c r="O670" s="172" t="n"/>
      <c r="P670" s="172" t="n"/>
    </row>
    <row r="671">
      <c r="B671" s="170" t="n"/>
      <c r="C671" s="199" t="n"/>
      <c r="D671" s="312" t="n"/>
      <c r="E671" s="312" t="n"/>
      <c r="F671" s="312" t="n"/>
      <c r="G671" s="312" t="n"/>
      <c r="H671" s="312" t="n"/>
      <c r="I671" s="313" t="n"/>
      <c r="J671" s="199" t="n"/>
      <c r="K671" s="314" t="n"/>
      <c r="L671" s="170" t="n"/>
      <c r="M671" s="170" t="n"/>
      <c r="N671" s="170" t="n"/>
      <c r="O671" s="172" t="n"/>
      <c r="P671" s="172" t="n"/>
    </row>
    <row r="672">
      <c r="B672" s="170" t="n"/>
      <c r="C672" s="199" t="n"/>
      <c r="D672" s="312" t="n"/>
      <c r="E672" s="312" t="n"/>
      <c r="F672" s="312" t="n"/>
      <c r="G672" s="312" t="n"/>
      <c r="H672" s="312" t="n"/>
      <c r="I672" s="313" t="n"/>
      <c r="J672" s="199" t="n"/>
      <c r="K672" s="314" t="n"/>
      <c r="L672" s="170" t="n"/>
      <c r="M672" s="170" t="n"/>
      <c r="N672" s="170" t="n"/>
      <c r="O672" s="172" t="n"/>
      <c r="P672" s="172" t="n"/>
    </row>
    <row r="673">
      <c r="B673" s="170" t="n"/>
      <c r="C673" s="199" t="n"/>
      <c r="D673" s="312" t="n"/>
      <c r="E673" s="312" t="n"/>
      <c r="F673" s="312" t="n"/>
      <c r="G673" s="312" t="n"/>
      <c r="H673" s="312" t="n"/>
      <c r="I673" s="313" t="n"/>
      <c r="J673" s="199" t="n"/>
      <c r="K673" s="314" t="n"/>
      <c r="L673" s="170" t="n"/>
      <c r="M673" s="170" t="n"/>
      <c r="N673" s="170" t="n"/>
      <c r="O673" s="172" t="n"/>
      <c r="P673" s="172" t="n"/>
    </row>
    <row r="674">
      <c r="B674" s="170" t="n"/>
      <c r="C674" s="199" t="n"/>
      <c r="D674" s="312" t="n"/>
      <c r="E674" s="312" t="n"/>
      <c r="F674" s="312" t="n"/>
      <c r="G674" s="312" t="n"/>
      <c r="H674" s="312" t="n"/>
      <c r="I674" s="313" t="n"/>
      <c r="J674" s="199" t="n"/>
      <c r="K674" s="314" t="n"/>
      <c r="L674" s="170" t="n"/>
      <c r="M674" s="170" t="n"/>
      <c r="N674" s="170" t="n"/>
      <c r="O674" s="172" t="n"/>
      <c r="P674" s="172" t="n"/>
    </row>
    <row r="675">
      <c r="B675" s="170" t="n"/>
      <c r="C675" s="199" t="n"/>
      <c r="D675" s="312" t="n"/>
      <c r="E675" s="312" t="n"/>
      <c r="F675" s="312" t="n"/>
      <c r="G675" s="312" t="n"/>
      <c r="H675" s="312" t="n"/>
      <c r="I675" s="313" t="n"/>
      <c r="J675" s="199" t="n"/>
      <c r="K675" s="314" t="n"/>
      <c r="L675" s="170" t="n"/>
      <c r="M675" s="170" t="n"/>
      <c r="N675" s="170" t="n"/>
      <c r="O675" s="172" t="n"/>
      <c r="P675" s="172" t="n"/>
    </row>
    <row r="676">
      <c r="B676" s="170" t="n"/>
      <c r="C676" s="199" t="n"/>
      <c r="D676" s="312" t="n"/>
      <c r="E676" s="312" t="n"/>
      <c r="F676" s="312" t="n"/>
      <c r="G676" s="312" t="n"/>
      <c r="H676" s="312" t="n"/>
      <c r="I676" s="313" t="n"/>
      <c r="J676" s="199" t="n"/>
      <c r="K676" s="314" t="n"/>
      <c r="L676" s="170" t="n"/>
      <c r="M676" s="170" t="n"/>
      <c r="N676" s="170" t="n"/>
      <c r="O676" s="172" t="n"/>
      <c r="P676" s="172" t="n"/>
    </row>
    <row r="677">
      <c r="B677" s="170" t="n"/>
      <c r="C677" s="199" t="n"/>
      <c r="D677" s="312" t="n"/>
      <c r="E677" s="312" t="n"/>
      <c r="F677" s="312" t="n"/>
      <c r="G677" s="312" t="n"/>
      <c r="H677" s="312" t="n"/>
      <c r="I677" s="313" t="n"/>
      <c r="J677" s="199" t="n"/>
      <c r="K677" s="314" t="n"/>
      <c r="L677" s="170" t="n"/>
      <c r="M677" s="170" t="n"/>
      <c r="N677" s="170" t="n"/>
      <c r="O677" s="172" t="n"/>
      <c r="P677" s="172" t="n"/>
    </row>
    <row r="678">
      <c r="B678" s="170" t="n"/>
      <c r="C678" s="199" t="n"/>
      <c r="D678" s="312" t="n"/>
      <c r="E678" s="312" t="n"/>
      <c r="F678" s="312" t="n"/>
      <c r="G678" s="312" t="n"/>
      <c r="H678" s="312" t="n"/>
      <c r="I678" s="313" t="n"/>
      <c r="J678" s="199" t="n"/>
      <c r="K678" s="314" t="n"/>
      <c r="L678" s="170" t="n"/>
      <c r="M678" s="170" t="n"/>
      <c r="N678" s="170" t="n"/>
      <c r="O678" s="172" t="n"/>
      <c r="P678" s="172" t="n"/>
    </row>
    <row r="679">
      <c r="B679" s="170" t="n"/>
      <c r="C679" s="199" t="n"/>
      <c r="D679" s="312" t="n"/>
      <c r="E679" s="312" t="n"/>
      <c r="F679" s="312" t="n"/>
      <c r="G679" s="312" t="n"/>
      <c r="H679" s="312" t="n"/>
      <c r="I679" s="313" t="n"/>
      <c r="J679" s="199" t="n"/>
      <c r="K679" s="314" t="n"/>
      <c r="L679" s="170" t="n"/>
      <c r="M679" s="170" t="n"/>
      <c r="N679" s="170" t="n"/>
      <c r="O679" s="172" t="n"/>
      <c r="P679" s="172" t="n"/>
    </row>
    <row r="680">
      <c r="B680" s="170" t="n"/>
      <c r="C680" s="199" t="n"/>
      <c r="D680" s="312" t="n"/>
      <c r="E680" s="312" t="n"/>
      <c r="F680" s="312" t="n"/>
      <c r="G680" s="312" t="n"/>
      <c r="H680" s="312" t="n"/>
      <c r="I680" s="313" t="n"/>
      <c r="J680" s="199" t="n"/>
      <c r="K680" s="314" t="n"/>
      <c r="L680" s="170" t="n"/>
      <c r="M680" s="170" t="n"/>
      <c r="N680" s="170" t="n"/>
      <c r="O680" s="172" t="n"/>
      <c r="P680" s="172" t="n"/>
    </row>
    <row r="681">
      <c r="B681" s="170" t="n"/>
      <c r="C681" s="199" t="n"/>
      <c r="D681" s="312" t="n"/>
      <c r="E681" s="312" t="n"/>
      <c r="F681" s="312" t="n"/>
      <c r="G681" s="312" t="n"/>
      <c r="H681" s="312" t="n"/>
      <c r="I681" s="313" t="n"/>
      <c r="J681" s="199" t="n"/>
      <c r="K681" s="314" t="n"/>
      <c r="L681" s="170" t="n"/>
      <c r="M681" s="170" t="n"/>
      <c r="N681" s="170" t="n"/>
      <c r="O681" s="172" t="n"/>
      <c r="P681" s="172" t="n"/>
    </row>
    <row r="682">
      <c r="B682" s="170" t="n"/>
      <c r="C682" s="199" t="n"/>
      <c r="D682" s="312" t="n"/>
      <c r="E682" s="312" t="n"/>
      <c r="F682" s="312" t="n"/>
      <c r="G682" s="312" t="n"/>
      <c r="H682" s="312" t="n"/>
      <c r="I682" s="313" t="n"/>
      <c r="J682" s="199" t="n"/>
      <c r="K682" s="314" t="n"/>
      <c r="L682" s="170" t="n"/>
      <c r="M682" s="170" t="n"/>
      <c r="N682" s="170" t="n"/>
      <c r="O682" s="172" t="n"/>
      <c r="P682" s="172" t="n"/>
    </row>
    <row r="683">
      <c r="B683" s="170" t="n"/>
      <c r="C683" s="199" t="n"/>
      <c r="D683" s="312" t="n"/>
      <c r="E683" s="312" t="n"/>
      <c r="F683" s="312" t="n"/>
      <c r="G683" s="312" t="n"/>
      <c r="H683" s="312" t="n"/>
      <c r="I683" s="313" t="n"/>
      <c r="J683" s="199" t="n"/>
      <c r="K683" s="314" t="n"/>
      <c r="L683" s="170" t="n"/>
      <c r="M683" s="170" t="n"/>
      <c r="N683" s="170" t="n"/>
      <c r="O683" s="172" t="n"/>
      <c r="P683" s="172" t="n"/>
    </row>
    <row r="684">
      <c r="B684" s="170" t="n"/>
      <c r="C684" s="199" t="n"/>
      <c r="D684" s="312" t="n"/>
      <c r="E684" s="312" t="n"/>
      <c r="F684" s="312" t="n"/>
      <c r="G684" s="312" t="n"/>
      <c r="H684" s="312" t="n"/>
      <c r="I684" s="313" t="n"/>
      <c r="J684" s="199" t="n"/>
      <c r="K684" s="314" t="n"/>
      <c r="L684" s="170" t="n"/>
      <c r="M684" s="170" t="n"/>
      <c r="N684" s="170" t="n"/>
      <c r="O684" s="172" t="n"/>
      <c r="P684" s="172" t="n"/>
    </row>
    <row r="685">
      <c r="B685" s="170" t="n"/>
      <c r="C685" s="199" t="n"/>
      <c r="D685" s="312" t="n"/>
      <c r="E685" s="312" t="n"/>
      <c r="F685" s="312" t="n"/>
      <c r="G685" s="312" t="n"/>
      <c r="H685" s="312" t="n"/>
      <c r="I685" s="313" t="n"/>
      <c r="J685" s="199" t="n"/>
      <c r="K685" s="314" t="n"/>
      <c r="L685" s="170" t="n"/>
      <c r="M685" s="170" t="n"/>
      <c r="N685" s="170" t="n"/>
      <c r="O685" s="172" t="n"/>
      <c r="P685" s="172" t="n"/>
    </row>
    <row r="686">
      <c r="B686" s="170" t="n"/>
      <c r="C686" s="199" t="n"/>
      <c r="D686" s="312" t="n"/>
      <c r="E686" s="312" t="n"/>
      <c r="F686" s="312" t="n"/>
      <c r="G686" s="312" t="n"/>
      <c r="H686" s="312" t="n"/>
      <c r="I686" s="313" t="n"/>
      <c r="J686" s="199" t="n"/>
      <c r="K686" s="314" t="n"/>
      <c r="L686" s="170" t="n"/>
      <c r="M686" s="170" t="n"/>
      <c r="N686" s="170" t="n"/>
      <c r="O686" s="172" t="n"/>
      <c r="P686" s="172" t="n"/>
    </row>
    <row r="687">
      <c r="B687" s="170" t="n"/>
      <c r="C687" s="199" t="n"/>
      <c r="D687" s="312" t="n"/>
      <c r="E687" s="312" t="n"/>
      <c r="F687" s="312" t="n"/>
      <c r="G687" s="312" t="n"/>
      <c r="H687" s="312" t="n"/>
      <c r="I687" s="313" t="n"/>
      <c r="J687" s="199" t="n"/>
      <c r="K687" s="314" t="n"/>
      <c r="L687" s="170" t="n"/>
      <c r="M687" s="170" t="n"/>
      <c r="N687" s="170" t="n"/>
      <c r="O687" s="172" t="n"/>
      <c r="P687" s="172" t="n"/>
    </row>
    <row r="688">
      <c r="B688" s="170" t="n"/>
      <c r="C688" s="199" t="n"/>
      <c r="D688" s="312" t="n"/>
      <c r="E688" s="312" t="n"/>
      <c r="F688" s="312" t="n"/>
      <c r="G688" s="312" t="n"/>
      <c r="H688" s="312" t="n"/>
      <c r="I688" s="313" t="n"/>
      <c r="J688" s="199" t="n"/>
      <c r="K688" s="314" t="n"/>
      <c r="L688" s="170" t="n"/>
      <c r="M688" s="170" t="n"/>
      <c r="N688" s="170" t="n"/>
      <c r="O688" s="172" t="n"/>
      <c r="P688" s="172" t="n"/>
    </row>
    <row r="689">
      <c r="B689" s="170" t="n"/>
      <c r="C689" s="199" t="n"/>
      <c r="D689" s="312" t="n"/>
      <c r="E689" s="312" t="n"/>
      <c r="F689" s="312" t="n"/>
      <c r="G689" s="312" t="n"/>
      <c r="H689" s="312" t="n"/>
      <c r="I689" s="313" t="n"/>
      <c r="J689" s="199" t="n"/>
      <c r="K689" s="314" t="n"/>
      <c r="L689" s="170" t="n"/>
      <c r="M689" s="170" t="n"/>
      <c r="N689" s="170" t="n"/>
      <c r="O689" s="172" t="n"/>
      <c r="P689" s="172" t="n"/>
    </row>
    <row r="690">
      <c r="B690" s="170" t="n"/>
      <c r="C690" s="199" t="n"/>
      <c r="D690" s="312" t="n"/>
      <c r="E690" s="312" t="n"/>
      <c r="F690" s="312" t="n"/>
      <c r="G690" s="312" t="n"/>
      <c r="H690" s="312" t="n"/>
      <c r="I690" s="313" t="n"/>
      <c r="J690" s="199" t="n"/>
      <c r="K690" s="314" t="n"/>
      <c r="L690" s="170" t="n"/>
      <c r="M690" s="170" t="n"/>
      <c r="N690" s="170" t="n"/>
      <c r="O690" s="172" t="n"/>
      <c r="P690" s="172" t="n"/>
    </row>
    <row r="691">
      <c r="B691" s="170" t="n"/>
      <c r="C691" s="199" t="n"/>
      <c r="D691" s="312" t="n"/>
      <c r="E691" s="312" t="n"/>
      <c r="F691" s="312" t="n"/>
      <c r="G691" s="312" t="n"/>
      <c r="H691" s="312" t="n"/>
      <c r="I691" s="313" t="n"/>
      <c r="J691" s="199" t="n"/>
      <c r="K691" s="314" t="n"/>
      <c r="L691" s="170" t="n"/>
      <c r="M691" s="170" t="n"/>
      <c r="N691" s="170" t="n"/>
      <c r="O691" s="172" t="n"/>
      <c r="P691" s="172" t="n"/>
    </row>
    <row r="692">
      <c r="B692" s="170" t="n"/>
      <c r="C692" s="199" t="n"/>
      <c r="D692" s="312" t="n"/>
      <c r="E692" s="312" t="n"/>
      <c r="F692" s="312" t="n"/>
      <c r="G692" s="312" t="n"/>
      <c r="H692" s="312" t="n"/>
      <c r="I692" s="313" t="n"/>
      <c r="J692" s="199" t="n"/>
      <c r="K692" s="314" t="n"/>
      <c r="L692" s="170" t="n"/>
      <c r="M692" s="170" t="n"/>
      <c r="N692" s="170" t="n"/>
      <c r="O692" s="172" t="n"/>
      <c r="P692" s="172" t="n"/>
    </row>
    <row r="693">
      <c r="B693" s="170" t="n"/>
      <c r="C693" s="199" t="n"/>
      <c r="D693" s="312" t="n"/>
      <c r="E693" s="312" t="n"/>
      <c r="F693" s="312" t="n"/>
      <c r="G693" s="312" t="n"/>
      <c r="H693" s="312" t="n"/>
      <c r="I693" s="313" t="n"/>
      <c r="J693" s="199" t="n"/>
      <c r="K693" s="314" t="n"/>
      <c r="L693" s="170" t="n"/>
      <c r="M693" s="170" t="n"/>
      <c r="N693" s="170" t="n"/>
      <c r="O693" s="172" t="n"/>
      <c r="P693" s="172" t="n"/>
    </row>
    <row r="694">
      <c r="B694" s="170" t="n"/>
      <c r="C694" s="199" t="n"/>
      <c r="D694" s="312" t="n"/>
      <c r="E694" s="312" t="n"/>
      <c r="F694" s="312" t="n"/>
      <c r="G694" s="312" t="n"/>
      <c r="H694" s="312" t="n"/>
      <c r="I694" s="313" t="n"/>
      <c r="J694" s="199" t="n"/>
      <c r="K694" s="314" t="n"/>
      <c r="L694" s="170" t="n"/>
      <c r="M694" s="170" t="n"/>
      <c r="N694" s="170" t="n"/>
      <c r="O694" s="172" t="n"/>
      <c r="P694" s="172" t="n"/>
    </row>
    <row r="695">
      <c r="B695" s="170" t="n"/>
      <c r="C695" s="199" t="n"/>
      <c r="D695" s="312" t="n"/>
      <c r="E695" s="312" t="n"/>
      <c r="F695" s="312" t="n"/>
      <c r="G695" s="312" t="n"/>
      <c r="H695" s="312" t="n"/>
      <c r="I695" s="313" t="n"/>
      <c r="J695" s="199" t="n"/>
      <c r="K695" s="314" t="n"/>
      <c r="L695" s="170" t="n"/>
      <c r="M695" s="170" t="n"/>
      <c r="N695" s="170" t="n"/>
      <c r="O695" s="172" t="n"/>
      <c r="P695" s="172" t="n"/>
    </row>
    <row r="696">
      <c r="B696" s="170" t="n"/>
      <c r="C696" s="199" t="n"/>
      <c r="D696" s="312" t="n"/>
      <c r="E696" s="312" t="n"/>
      <c r="F696" s="312" t="n"/>
      <c r="G696" s="312" t="n"/>
      <c r="H696" s="312" t="n"/>
      <c r="I696" s="313" t="n"/>
      <c r="J696" s="199" t="n"/>
      <c r="K696" s="314" t="n"/>
      <c r="L696" s="170" t="n"/>
      <c r="M696" s="170" t="n"/>
      <c r="N696" s="170" t="n"/>
      <c r="O696" s="172" t="n"/>
      <c r="P696" s="172" t="n"/>
    </row>
    <row r="697">
      <c r="B697" s="170" t="n"/>
      <c r="C697" s="199" t="n"/>
      <c r="D697" s="312" t="n"/>
      <c r="E697" s="312" t="n"/>
      <c r="F697" s="312" t="n"/>
      <c r="G697" s="312" t="n"/>
      <c r="H697" s="312" t="n"/>
      <c r="I697" s="313" t="n"/>
      <c r="J697" s="199" t="n"/>
      <c r="K697" s="314" t="n"/>
      <c r="L697" s="170" t="n"/>
      <c r="M697" s="170" t="n"/>
      <c r="N697" s="170" t="n"/>
      <c r="O697" s="172" t="n"/>
      <c r="P697" s="172" t="n"/>
    </row>
    <row r="698">
      <c r="B698" s="170" t="n"/>
      <c r="C698" s="199" t="n"/>
      <c r="D698" s="312" t="n"/>
      <c r="E698" s="312" t="n"/>
      <c r="F698" s="312" t="n"/>
      <c r="G698" s="312" t="n"/>
      <c r="H698" s="312" t="n"/>
      <c r="I698" s="313" t="n"/>
      <c r="J698" s="199" t="n"/>
      <c r="K698" s="314" t="n"/>
      <c r="L698" s="170" t="n"/>
      <c r="M698" s="170" t="n"/>
      <c r="N698" s="170" t="n"/>
      <c r="O698" s="172" t="n"/>
      <c r="P698" s="172" t="n"/>
    </row>
    <row r="699">
      <c r="B699" s="170" t="n"/>
      <c r="C699" s="199" t="n"/>
      <c r="D699" s="312" t="n"/>
      <c r="E699" s="312" t="n"/>
      <c r="F699" s="312" t="n"/>
      <c r="G699" s="312" t="n"/>
      <c r="H699" s="312" t="n"/>
      <c r="I699" s="313" t="n"/>
      <c r="J699" s="199" t="n"/>
      <c r="K699" s="314" t="n"/>
      <c r="L699" s="170" t="n"/>
      <c r="M699" s="170" t="n"/>
      <c r="N699" s="170" t="n"/>
      <c r="O699" s="172" t="n"/>
      <c r="P699" s="172" t="n"/>
    </row>
    <row r="700">
      <c r="B700" s="170" t="n"/>
      <c r="C700" s="199" t="n"/>
      <c r="D700" s="312" t="n"/>
      <c r="E700" s="312" t="n"/>
      <c r="F700" s="312" t="n"/>
      <c r="G700" s="312" t="n"/>
      <c r="H700" s="312" t="n"/>
      <c r="I700" s="313" t="n"/>
      <c r="J700" s="199" t="n"/>
      <c r="K700" s="314" t="n"/>
      <c r="L700" s="170" t="n"/>
      <c r="M700" s="170" t="n"/>
      <c r="N700" s="170" t="n"/>
      <c r="O700" s="172" t="n"/>
      <c r="P700" s="172" t="n"/>
    </row>
    <row r="701">
      <c r="B701" s="170" t="n"/>
      <c r="C701" s="199" t="n"/>
      <c r="D701" s="312" t="n"/>
      <c r="E701" s="312" t="n"/>
      <c r="F701" s="312" t="n"/>
      <c r="G701" s="312" t="n"/>
      <c r="H701" s="312" t="n"/>
      <c r="I701" s="313" t="n"/>
      <c r="J701" s="199" t="n"/>
      <c r="K701" s="314" t="n"/>
      <c r="L701" s="170" t="n"/>
      <c r="M701" s="170" t="n"/>
      <c r="N701" s="170" t="n"/>
      <c r="O701" s="172" t="n"/>
      <c r="P701" s="172" t="n"/>
    </row>
    <row r="702">
      <c r="B702" s="170" t="n"/>
      <c r="C702" s="199" t="n"/>
      <c r="D702" s="312" t="n"/>
      <c r="E702" s="312" t="n"/>
      <c r="F702" s="312" t="n"/>
      <c r="G702" s="312" t="n"/>
      <c r="H702" s="312" t="n"/>
      <c r="I702" s="313" t="n"/>
      <c r="J702" s="199" t="n"/>
      <c r="K702" s="314" t="n"/>
      <c r="L702" s="170" t="n"/>
      <c r="M702" s="170" t="n"/>
      <c r="N702" s="170" t="n"/>
      <c r="O702" s="172" t="n"/>
      <c r="P702" s="172" t="n"/>
    </row>
    <row r="703">
      <c r="B703" s="170" t="n"/>
      <c r="C703" s="199" t="n"/>
      <c r="D703" s="312" t="n"/>
      <c r="E703" s="312" t="n"/>
      <c r="F703" s="312" t="n"/>
      <c r="G703" s="312" t="n"/>
      <c r="H703" s="312" t="n"/>
      <c r="I703" s="313" t="n"/>
      <c r="J703" s="199" t="n"/>
      <c r="K703" s="314" t="n"/>
      <c r="L703" s="170" t="n"/>
      <c r="M703" s="170" t="n"/>
      <c r="N703" s="170" t="n"/>
      <c r="O703" s="172" t="n"/>
      <c r="P703" s="172" t="n"/>
    </row>
    <row r="704">
      <c r="B704" s="170" t="n"/>
      <c r="C704" s="199" t="n"/>
      <c r="D704" s="312" t="n"/>
      <c r="E704" s="312" t="n"/>
      <c r="F704" s="312" t="n"/>
      <c r="G704" s="312" t="n"/>
      <c r="H704" s="312" t="n"/>
      <c r="I704" s="313" t="n"/>
      <c r="J704" s="199" t="n"/>
      <c r="K704" s="314" t="n"/>
      <c r="L704" s="170" t="n"/>
      <c r="M704" s="170" t="n"/>
      <c r="N704" s="170" t="n"/>
      <c r="O704" s="172" t="n"/>
      <c r="P704" s="172" t="n"/>
    </row>
    <row r="705">
      <c r="B705" s="170" t="n"/>
      <c r="C705" s="199" t="n"/>
      <c r="D705" s="312" t="n"/>
      <c r="E705" s="312" t="n"/>
      <c r="F705" s="312" t="n"/>
      <c r="G705" s="312" t="n"/>
      <c r="H705" s="312" t="n"/>
      <c r="I705" s="313" t="n"/>
      <c r="J705" s="199" t="n"/>
      <c r="K705" s="314" t="n"/>
      <c r="L705" s="170" t="n"/>
      <c r="M705" s="170" t="n"/>
      <c r="N705" s="170" t="n"/>
      <c r="O705" s="172" t="n"/>
      <c r="P705" s="172" t="n"/>
    </row>
    <row r="706">
      <c r="B706" s="170" t="n"/>
      <c r="C706" s="199" t="n"/>
      <c r="D706" s="312" t="n"/>
      <c r="E706" s="312" t="n"/>
      <c r="F706" s="312" t="n"/>
      <c r="G706" s="312" t="n"/>
      <c r="H706" s="312" t="n"/>
      <c r="I706" s="313" t="n"/>
      <c r="J706" s="199" t="n"/>
      <c r="K706" s="314" t="n"/>
      <c r="L706" s="170" t="n"/>
      <c r="M706" s="170" t="n"/>
      <c r="N706" s="170" t="n"/>
      <c r="O706" s="172" t="n"/>
      <c r="P706" s="172" t="n"/>
    </row>
    <row r="707">
      <c r="B707" s="170" t="n"/>
      <c r="C707" s="199" t="n"/>
      <c r="D707" s="312" t="n"/>
      <c r="E707" s="312" t="n"/>
      <c r="F707" s="312" t="n"/>
      <c r="G707" s="312" t="n"/>
      <c r="H707" s="312" t="n"/>
      <c r="I707" s="313" t="n"/>
      <c r="J707" s="199" t="n"/>
      <c r="K707" s="314" t="n"/>
      <c r="L707" s="170" t="n"/>
      <c r="M707" s="170" t="n"/>
      <c r="N707" s="170" t="n"/>
      <c r="O707" s="172" t="n"/>
      <c r="P707" s="172" t="n"/>
    </row>
    <row r="708">
      <c r="B708" s="170" t="n"/>
      <c r="C708" s="199" t="n"/>
      <c r="D708" s="312" t="n"/>
      <c r="E708" s="312" t="n"/>
      <c r="F708" s="312" t="n"/>
      <c r="G708" s="312" t="n"/>
      <c r="H708" s="312" t="n"/>
      <c r="I708" s="313" t="n"/>
      <c r="J708" s="199" t="n"/>
      <c r="K708" s="314" t="n"/>
      <c r="L708" s="170" t="n"/>
      <c r="M708" s="170" t="n"/>
      <c r="N708" s="170" t="n"/>
      <c r="O708" s="172" t="n"/>
      <c r="P708" s="172" t="n"/>
    </row>
    <row r="709">
      <c r="B709" s="170" t="n"/>
      <c r="C709" s="199" t="n"/>
      <c r="D709" s="312" t="n"/>
      <c r="E709" s="312" t="n"/>
      <c r="F709" s="312" t="n"/>
      <c r="G709" s="312" t="n"/>
      <c r="H709" s="312" t="n"/>
      <c r="I709" s="313" t="n"/>
      <c r="J709" s="199" t="n"/>
      <c r="K709" s="314" t="n"/>
      <c r="L709" s="170" t="n"/>
      <c r="M709" s="170" t="n"/>
      <c r="N709" s="170" t="n"/>
      <c r="O709" s="172" t="n"/>
      <c r="P709" s="172" t="n"/>
    </row>
    <row r="710">
      <c r="B710" s="170" t="n"/>
      <c r="C710" s="199" t="n"/>
      <c r="D710" s="312" t="n"/>
      <c r="E710" s="312" t="n"/>
      <c r="F710" s="312" t="n"/>
      <c r="G710" s="312" t="n"/>
      <c r="H710" s="312" t="n"/>
      <c r="I710" s="313" t="n"/>
      <c r="J710" s="199" t="n"/>
      <c r="K710" s="314" t="n"/>
      <c r="L710" s="170" t="n"/>
      <c r="M710" s="170" t="n"/>
      <c r="N710" s="170" t="n"/>
      <c r="O710" s="172" t="n"/>
      <c r="P710" s="172" t="n"/>
    </row>
    <row r="711">
      <c r="B711" s="170" t="n"/>
      <c r="C711" s="199" t="n"/>
      <c r="D711" s="312" t="n"/>
      <c r="E711" s="312" t="n"/>
      <c r="F711" s="312" t="n"/>
      <c r="G711" s="312" t="n"/>
      <c r="H711" s="312" t="n"/>
      <c r="I711" s="313" t="n"/>
      <c r="J711" s="199" t="n"/>
      <c r="K711" s="314" t="n"/>
      <c r="L711" s="170" t="n"/>
      <c r="M711" s="170" t="n"/>
      <c r="N711" s="170" t="n"/>
      <c r="O711" s="172" t="n"/>
      <c r="P711" s="172" t="n"/>
    </row>
    <row r="712">
      <c r="B712" s="170" t="n"/>
      <c r="C712" s="199" t="n"/>
      <c r="D712" s="312" t="n"/>
      <c r="E712" s="312" t="n"/>
      <c r="F712" s="312" t="n"/>
      <c r="G712" s="312" t="n"/>
      <c r="H712" s="312" t="n"/>
      <c r="I712" s="313" t="n"/>
      <c r="J712" s="199" t="n"/>
      <c r="K712" s="314" t="n"/>
      <c r="L712" s="170" t="n"/>
      <c r="M712" s="170" t="n"/>
      <c r="N712" s="170" t="n"/>
      <c r="O712" s="172" t="n"/>
      <c r="P712" s="172" t="n"/>
    </row>
    <row r="713">
      <c r="B713" s="170" t="n"/>
      <c r="C713" s="199" t="n"/>
      <c r="D713" s="312" t="n"/>
      <c r="E713" s="312" t="n"/>
      <c r="F713" s="312" t="n"/>
      <c r="G713" s="312" t="n"/>
      <c r="H713" s="312" t="n"/>
      <c r="I713" s="313" t="n"/>
      <c r="J713" s="199" t="n"/>
      <c r="K713" s="314" t="n"/>
      <c r="L713" s="170" t="n"/>
      <c r="M713" s="170" t="n"/>
      <c r="N713" s="170" t="n"/>
      <c r="O713" s="172" t="n"/>
      <c r="P713" s="172" t="n"/>
    </row>
    <row r="714">
      <c r="B714" s="170" t="n"/>
      <c r="C714" s="199" t="n"/>
      <c r="D714" s="312" t="n"/>
      <c r="E714" s="312" t="n"/>
      <c r="F714" s="312" t="n"/>
      <c r="G714" s="312" t="n"/>
      <c r="H714" s="312" t="n"/>
      <c r="I714" s="313" t="n"/>
      <c r="J714" s="199" t="n"/>
      <c r="K714" s="314" t="n"/>
      <c r="L714" s="170" t="n"/>
      <c r="M714" s="170" t="n"/>
      <c r="N714" s="170" t="n"/>
      <c r="O714" s="172" t="n"/>
      <c r="P714" s="172" t="n"/>
    </row>
    <row r="715">
      <c r="B715" s="170" t="n"/>
      <c r="C715" s="199" t="n"/>
      <c r="D715" s="312" t="n"/>
      <c r="E715" s="312" t="n"/>
      <c r="F715" s="312" t="n"/>
      <c r="G715" s="312" t="n"/>
      <c r="H715" s="312" t="n"/>
      <c r="I715" s="313" t="n"/>
      <c r="J715" s="199" t="n"/>
      <c r="K715" s="314" t="n"/>
      <c r="L715" s="170" t="n"/>
      <c r="M715" s="170" t="n"/>
      <c r="N715" s="170" t="n"/>
      <c r="O715" s="172" t="n"/>
      <c r="P715" s="172" t="n"/>
    </row>
    <row r="716">
      <c r="B716" s="170" t="n"/>
      <c r="C716" s="199" t="n"/>
      <c r="D716" s="312" t="n"/>
      <c r="E716" s="312" t="n"/>
      <c r="F716" s="312" t="n"/>
      <c r="G716" s="312" t="n"/>
      <c r="H716" s="312" t="n"/>
      <c r="I716" s="313" t="n"/>
      <c r="J716" s="199" t="n"/>
      <c r="K716" s="314" t="n"/>
      <c r="L716" s="170" t="n"/>
      <c r="M716" s="170" t="n"/>
      <c r="N716" s="170" t="n"/>
      <c r="O716" s="172" t="n"/>
      <c r="P716" s="172" t="n"/>
    </row>
    <row r="717">
      <c r="B717" s="170" t="n"/>
      <c r="C717" s="199" t="n"/>
      <c r="D717" s="312" t="n"/>
      <c r="E717" s="312" t="n"/>
      <c r="F717" s="312" t="n"/>
      <c r="G717" s="312" t="n"/>
      <c r="H717" s="312" t="n"/>
      <c r="I717" s="313" t="n"/>
      <c r="J717" s="199" t="n"/>
      <c r="K717" s="314" t="n"/>
      <c r="L717" s="170" t="n"/>
      <c r="M717" s="170" t="n"/>
      <c r="N717" s="170" t="n"/>
      <c r="O717" s="172" t="n"/>
      <c r="P717" s="172" t="n"/>
    </row>
    <row r="718">
      <c r="B718" s="170" t="n"/>
      <c r="C718" s="199" t="n"/>
      <c r="D718" s="312" t="n"/>
      <c r="E718" s="312" t="n"/>
      <c r="F718" s="312" t="n"/>
      <c r="G718" s="312" t="n"/>
      <c r="H718" s="312" t="n"/>
      <c r="I718" s="313" t="n"/>
      <c r="J718" s="199" t="n"/>
      <c r="K718" s="314" t="n"/>
      <c r="L718" s="170" t="n"/>
      <c r="M718" s="170" t="n"/>
      <c r="N718" s="170" t="n"/>
      <c r="O718" s="172" t="n"/>
      <c r="P718" s="172" t="n"/>
    </row>
    <row r="719">
      <c r="B719" s="170" t="n"/>
      <c r="C719" s="199" t="n"/>
      <c r="D719" s="312" t="n"/>
      <c r="E719" s="312" t="n"/>
      <c r="F719" s="312" t="n"/>
      <c r="G719" s="312" t="n"/>
      <c r="H719" s="312" t="n"/>
      <c r="I719" s="313" t="n"/>
      <c r="J719" s="199" t="n"/>
      <c r="K719" s="314" t="n"/>
      <c r="L719" s="170" t="n"/>
      <c r="M719" s="170" t="n"/>
      <c r="N719" s="170" t="n"/>
      <c r="O719" s="172" t="n"/>
      <c r="P719" s="172" t="n"/>
    </row>
    <row r="720">
      <c r="B720" s="170" t="n"/>
      <c r="C720" s="199" t="n"/>
      <c r="D720" s="312" t="n"/>
      <c r="E720" s="312" t="n"/>
      <c r="F720" s="312" t="n"/>
      <c r="G720" s="312" t="n"/>
      <c r="H720" s="312" t="n"/>
      <c r="I720" s="313" t="n"/>
      <c r="J720" s="199" t="n"/>
      <c r="K720" s="314" t="n"/>
      <c r="L720" s="170" t="n"/>
      <c r="M720" s="170" t="n"/>
      <c r="N720" s="170" t="n"/>
      <c r="O720" s="172" t="n"/>
      <c r="P720" s="172" t="n"/>
    </row>
    <row r="721">
      <c r="B721" s="170" t="n"/>
      <c r="C721" s="199" t="n"/>
      <c r="D721" s="312" t="n"/>
      <c r="E721" s="312" t="n"/>
      <c r="F721" s="312" t="n"/>
      <c r="G721" s="312" t="n"/>
      <c r="H721" s="312" t="n"/>
      <c r="I721" s="313" t="n"/>
      <c r="J721" s="199" t="n"/>
      <c r="K721" s="314" t="n"/>
      <c r="L721" s="170" t="n"/>
      <c r="M721" s="170" t="n"/>
      <c r="N721" s="170" t="n"/>
      <c r="O721" s="172" t="n"/>
      <c r="P721" s="172" t="n"/>
    </row>
    <row r="722">
      <c r="B722" s="170" t="n"/>
      <c r="C722" s="199" t="n"/>
      <c r="D722" s="312" t="n"/>
      <c r="E722" s="312" t="n"/>
      <c r="F722" s="312" t="n"/>
      <c r="G722" s="312" t="n"/>
      <c r="H722" s="312" t="n"/>
      <c r="I722" s="313" t="n"/>
      <c r="J722" s="199" t="n"/>
      <c r="K722" s="314" t="n"/>
      <c r="L722" s="170" t="n"/>
      <c r="M722" s="170" t="n"/>
      <c r="N722" s="170" t="n"/>
      <c r="O722" s="172" t="n"/>
      <c r="P722" s="172" t="n"/>
    </row>
    <row r="723">
      <c r="B723" s="170" t="n"/>
      <c r="C723" s="199" t="n"/>
      <c r="D723" s="312" t="n"/>
      <c r="E723" s="312" t="n"/>
      <c r="F723" s="312" t="n"/>
      <c r="G723" s="312" t="n"/>
      <c r="H723" s="312" t="n"/>
      <c r="I723" s="313" t="n"/>
      <c r="J723" s="199" t="n"/>
      <c r="K723" s="314" t="n"/>
      <c r="L723" s="170" t="n"/>
      <c r="M723" s="170" t="n"/>
      <c r="N723" s="170" t="n"/>
      <c r="O723" s="172" t="n"/>
      <c r="P723" s="172" t="n"/>
    </row>
    <row r="724">
      <c r="B724" s="170" t="n"/>
      <c r="C724" s="199" t="n"/>
      <c r="D724" s="312" t="n"/>
      <c r="E724" s="312" t="n"/>
      <c r="F724" s="312" t="n"/>
      <c r="G724" s="312" t="n"/>
      <c r="H724" s="312" t="n"/>
      <c r="I724" s="313" t="n"/>
      <c r="J724" s="199" t="n"/>
      <c r="K724" s="314" t="n"/>
      <c r="L724" s="170" t="n"/>
      <c r="M724" s="170" t="n"/>
      <c r="N724" s="170" t="n"/>
      <c r="O724" s="172" t="n"/>
      <c r="P724" s="172" t="n"/>
    </row>
    <row r="725">
      <c r="B725" s="170" t="n"/>
      <c r="C725" s="199" t="n"/>
      <c r="D725" s="312" t="n"/>
      <c r="E725" s="312" t="n"/>
      <c r="F725" s="312" t="n"/>
      <c r="G725" s="312" t="n"/>
      <c r="H725" s="312" t="n"/>
      <c r="I725" s="313" t="n"/>
      <c r="J725" s="199" t="n"/>
      <c r="K725" s="314" t="n"/>
      <c r="L725" s="170" t="n"/>
      <c r="M725" s="170" t="n"/>
      <c r="N725" s="170" t="n"/>
      <c r="O725" s="172" t="n"/>
      <c r="P725" s="172" t="n"/>
    </row>
    <row r="726">
      <c r="B726" s="170" t="n"/>
      <c r="C726" s="199" t="n"/>
      <c r="D726" s="312" t="n"/>
      <c r="E726" s="312" t="n"/>
      <c r="F726" s="312" t="n"/>
      <c r="G726" s="312" t="n"/>
      <c r="H726" s="312" t="n"/>
      <c r="I726" s="313" t="n"/>
      <c r="J726" s="199" t="n"/>
      <c r="K726" s="314" t="n"/>
      <c r="L726" s="170" t="n"/>
      <c r="M726" s="170" t="n"/>
      <c r="N726" s="170" t="n"/>
      <c r="O726" s="172" t="n"/>
      <c r="P726" s="172" t="n"/>
    </row>
    <row r="727">
      <c r="B727" s="170" t="n"/>
      <c r="C727" s="199" t="n"/>
      <c r="D727" s="312" t="n"/>
      <c r="E727" s="312" t="n"/>
      <c r="F727" s="312" t="n"/>
      <c r="G727" s="312" t="n"/>
      <c r="H727" s="312" t="n"/>
      <c r="I727" s="313" t="n"/>
      <c r="J727" s="199" t="n"/>
      <c r="K727" s="314" t="n"/>
      <c r="L727" s="170" t="n"/>
      <c r="M727" s="170" t="n"/>
      <c r="N727" s="170" t="n"/>
      <c r="O727" s="172" t="n"/>
      <c r="P727" s="172" t="n"/>
    </row>
    <row r="728">
      <c r="B728" s="170" t="n"/>
      <c r="C728" s="199" t="n"/>
      <c r="D728" s="312" t="n"/>
      <c r="E728" s="312" t="n"/>
      <c r="F728" s="312" t="n"/>
      <c r="G728" s="312" t="n"/>
      <c r="H728" s="312" t="n"/>
      <c r="I728" s="313" t="n"/>
      <c r="J728" s="199" t="n"/>
      <c r="K728" s="314" t="n"/>
      <c r="L728" s="170" t="n"/>
      <c r="M728" s="170" t="n"/>
      <c r="N728" s="170" t="n"/>
      <c r="O728" s="172" t="n"/>
      <c r="P728" s="172" t="n"/>
    </row>
    <row r="729">
      <c r="B729" s="170" t="n"/>
      <c r="C729" s="199" t="n"/>
      <c r="D729" s="312" t="n"/>
      <c r="E729" s="312" t="n"/>
      <c r="F729" s="312" t="n"/>
      <c r="G729" s="312" t="n"/>
      <c r="H729" s="312" t="n"/>
      <c r="I729" s="313" t="n"/>
      <c r="J729" s="199" t="n"/>
      <c r="K729" s="314" t="n"/>
      <c r="L729" s="170" t="n"/>
      <c r="M729" s="170" t="n"/>
      <c r="N729" s="170" t="n"/>
      <c r="O729" s="172" t="n"/>
      <c r="P729" s="172" t="n"/>
    </row>
    <row r="730">
      <c r="B730" s="170" t="n"/>
      <c r="C730" s="199" t="n"/>
      <c r="D730" s="312" t="n"/>
      <c r="E730" s="312" t="n"/>
      <c r="F730" s="312" t="n"/>
      <c r="G730" s="312" t="n"/>
      <c r="H730" s="312" t="n"/>
      <c r="I730" s="313" t="n"/>
      <c r="J730" s="199" t="n"/>
      <c r="K730" s="314" t="n"/>
      <c r="L730" s="170" t="n"/>
      <c r="M730" s="170" t="n"/>
      <c r="N730" s="170" t="n"/>
      <c r="O730" s="172" t="n"/>
      <c r="P730" s="172" t="n"/>
    </row>
    <row r="731">
      <c r="B731" s="170" t="n"/>
      <c r="C731" s="199" t="n"/>
      <c r="D731" s="312" t="n"/>
      <c r="E731" s="312" t="n"/>
      <c r="F731" s="312" t="n"/>
      <c r="G731" s="312" t="n"/>
      <c r="H731" s="312" t="n"/>
      <c r="I731" s="313" t="n"/>
      <c r="J731" s="199" t="n"/>
      <c r="K731" s="314" t="n"/>
      <c r="L731" s="170" t="n"/>
      <c r="M731" s="170" t="n"/>
      <c r="N731" s="170" t="n"/>
      <c r="O731" s="172" t="n"/>
      <c r="P731" s="172" t="n"/>
    </row>
    <row r="732">
      <c r="B732" s="170" t="n"/>
      <c r="C732" s="199" t="n"/>
      <c r="D732" s="312" t="n"/>
      <c r="E732" s="312" t="n"/>
      <c r="F732" s="312" t="n"/>
      <c r="G732" s="312" t="n"/>
      <c r="H732" s="312" t="n"/>
      <c r="I732" s="313" t="n"/>
      <c r="J732" s="199" t="n"/>
      <c r="K732" s="314" t="n"/>
      <c r="L732" s="170" t="n"/>
      <c r="M732" s="170" t="n"/>
      <c r="N732" s="170" t="n"/>
      <c r="O732" s="172" t="n"/>
      <c r="P732" s="172" t="n"/>
    </row>
    <row r="733">
      <c r="B733" s="170" t="n"/>
      <c r="C733" s="199" t="n"/>
      <c r="D733" s="312" t="n"/>
      <c r="E733" s="312" t="n"/>
      <c r="F733" s="312" t="n"/>
      <c r="G733" s="312" t="n"/>
      <c r="H733" s="312" t="n"/>
      <c r="I733" s="313" t="n"/>
      <c r="J733" s="199" t="n"/>
      <c r="K733" s="314" t="n"/>
      <c r="L733" s="170" t="n"/>
      <c r="M733" s="170" t="n"/>
      <c r="N733" s="170" t="n"/>
      <c r="O733" s="172" t="n"/>
      <c r="P733" s="172" t="n"/>
    </row>
    <row r="734">
      <c r="B734" s="170" t="n"/>
      <c r="C734" s="199" t="n"/>
      <c r="D734" s="312" t="n"/>
      <c r="E734" s="312" t="n"/>
      <c r="F734" s="312" t="n"/>
      <c r="G734" s="312" t="n"/>
      <c r="H734" s="312" t="n"/>
      <c r="I734" s="313" t="n"/>
      <c r="J734" s="199" t="n"/>
      <c r="K734" s="314" t="n"/>
      <c r="L734" s="170" t="n"/>
      <c r="M734" s="170" t="n"/>
      <c r="N734" s="170" t="n"/>
      <c r="O734" s="172" t="n"/>
      <c r="P734" s="172" t="n"/>
    </row>
    <row r="735">
      <c r="B735" s="170" t="n"/>
      <c r="C735" s="199" t="n"/>
      <c r="D735" s="312" t="n"/>
      <c r="E735" s="312" t="n"/>
      <c r="F735" s="312" t="n"/>
      <c r="G735" s="312" t="n"/>
      <c r="H735" s="312" t="n"/>
      <c r="I735" s="313" t="n"/>
      <c r="J735" s="199" t="n"/>
      <c r="K735" s="314" t="n"/>
      <c r="L735" s="170" t="n"/>
      <c r="M735" s="170" t="n"/>
      <c r="N735" s="170" t="n"/>
      <c r="O735" s="172" t="n"/>
      <c r="P735" s="172" t="n"/>
    </row>
    <row r="736">
      <c r="B736" s="170" t="n"/>
      <c r="C736" s="199" t="n"/>
      <c r="D736" s="312" t="n"/>
      <c r="E736" s="312" t="n"/>
      <c r="F736" s="312" t="n"/>
      <c r="G736" s="312" t="n"/>
      <c r="H736" s="312" t="n"/>
      <c r="I736" s="313" t="n"/>
      <c r="J736" s="199" t="n"/>
      <c r="K736" s="314" t="n"/>
      <c r="L736" s="170" t="n"/>
      <c r="M736" s="170" t="n"/>
      <c r="N736" s="170" t="n"/>
      <c r="O736" s="172" t="n"/>
      <c r="P736" s="172" t="n"/>
    </row>
    <row r="737">
      <c r="B737" s="170" t="n"/>
      <c r="C737" s="199" t="n"/>
      <c r="D737" s="312" t="n"/>
      <c r="E737" s="312" t="n"/>
      <c r="F737" s="312" t="n"/>
      <c r="G737" s="312" t="n"/>
      <c r="H737" s="312" t="n"/>
      <c r="I737" s="313" t="n"/>
      <c r="J737" s="199" t="n"/>
      <c r="K737" s="314" t="n"/>
      <c r="L737" s="170" t="n"/>
      <c r="M737" s="170" t="n"/>
      <c r="N737" s="170" t="n"/>
      <c r="O737" s="172" t="n"/>
      <c r="P737" s="172" t="n"/>
    </row>
    <row r="738">
      <c r="B738" s="170" t="n"/>
      <c r="C738" s="199" t="n"/>
      <c r="D738" s="312" t="n"/>
      <c r="E738" s="312" t="n"/>
      <c r="F738" s="312" t="n"/>
      <c r="G738" s="312" t="n"/>
      <c r="H738" s="312" t="n"/>
      <c r="I738" s="313" t="n"/>
      <c r="J738" s="199" t="n"/>
      <c r="K738" s="314" t="n"/>
      <c r="L738" s="170" t="n"/>
      <c r="M738" s="170" t="n"/>
      <c r="N738" s="170" t="n"/>
      <c r="O738" s="172" t="n"/>
      <c r="P738" s="172" t="n"/>
    </row>
    <row r="739">
      <c r="B739" s="170" t="n"/>
      <c r="C739" s="199" t="n"/>
      <c r="D739" s="312" t="n"/>
      <c r="E739" s="312" t="n"/>
      <c r="F739" s="312" t="n"/>
      <c r="G739" s="312" t="n"/>
      <c r="H739" s="312" t="n"/>
      <c r="I739" s="313" t="n"/>
      <c r="J739" s="199" t="n"/>
      <c r="K739" s="314" t="n"/>
      <c r="L739" s="170" t="n"/>
      <c r="M739" s="170" t="n"/>
      <c r="N739" s="170" t="n"/>
      <c r="O739" s="172" t="n"/>
      <c r="P739" s="172" t="n"/>
    </row>
    <row r="740">
      <c r="B740" s="170" t="n"/>
      <c r="C740" s="199" t="n"/>
      <c r="D740" s="312" t="n"/>
      <c r="E740" s="312" t="n"/>
      <c r="F740" s="312" t="n"/>
      <c r="G740" s="312" t="n"/>
      <c r="H740" s="312" t="n"/>
      <c r="I740" s="313" t="n"/>
      <c r="J740" s="199" t="n"/>
      <c r="K740" s="314" t="n"/>
      <c r="L740" s="170" t="n"/>
      <c r="M740" s="170" t="n"/>
      <c r="N740" s="170" t="n"/>
      <c r="O740" s="172" t="n"/>
      <c r="P740" s="172" t="n"/>
    </row>
    <row r="741">
      <c r="B741" s="170" t="n"/>
      <c r="C741" s="199" t="n"/>
      <c r="D741" s="312" t="n"/>
      <c r="E741" s="312" t="n"/>
      <c r="F741" s="312" t="n"/>
      <c r="G741" s="312" t="n"/>
      <c r="H741" s="312" t="n"/>
      <c r="I741" s="313" t="n"/>
      <c r="J741" s="199" t="n"/>
      <c r="K741" s="314" t="n"/>
      <c r="L741" s="170" t="n"/>
      <c r="M741" s="170" t="n"/>
      <c r="N741" s="170" t="n"/>
      <c r="O741" s="172" t="n"/>
      <c r="P741" s="172" t="n"/>
    </row>
    <row r="742">
      <c r="B742" s="170" t="n"/>
      <c r="C742" s="199" t="n"/>
      <c r="D742" s="312" t="n"/>
      <c r="E742" s="312" t="n"/>
      <c r="F742" s="312" t="n"/>
      <c r="G742" s="312" t="n"/>
      <c r="H742" s="312" t="n"/>
      <c r="I742" s="313" t="n"/>
      <c r="J742" s="199" t="n"/>
      <c r="K742" s="314" t="n"/>
      <c r="L742" s="170" t="n"/>
      <c r="M742" s="170" t="n"/>
      <c r="N742" s="170" t="n"/>
      <c r="O742" s="172" t="n"/>
      <c r="P742" s="172" t="n"/>
    </row>
    <row r="743">
      <c r="B743" s="170" t="n"/>
      <c r="C743" s="199" t="n"/>
      <c r="D743" s="312" t="n"/>
      <c r="E743" s="312" t="n"/>
      <c r="F743" s="312" t="n"/>
      <c r="G743" s="312" t="n"/>
      <c r="H743" s="312" t="n"/>
      <c r="I743" s="313" t="n"/>
      <c r="J743" s="199" t="n"/>
      <c r="K743" s="314" t="n"/>
      <c r="L743" s="170" t="n"/>
      <c r="M743" s="170" t="n"/>
      <c r="N743" s="170" t="n"/>
      <c r="O743" s="172" t="n"/>
      <c r="P743" s="172" t="n"/>
    </row>
    <row r="744">
      <c r="B744" s="170" t="n"/>
      <c r="C744" s="199" t="n"/>
      <c r="D744" s="312" t="n"/>
      <c r="E744" s="312" t="n"/>
      <c r="F744" s="312" t="n"/>
      <c r="G744" s="312" t="n"/>
      <c r="H744" s="312" t="n"/>
      <c r="I744" s="313" t="n"/>
      <c r="J744" s="199" t="n"/>
      <c r="K744" s="314" t="n"/>
      <c r="L744" s="170" t="n"/>
      <c r="M744" s="170" t="n"/>
      <c r="N744" s="170" t="n"/>
      <c r="O744" s="172" t="n"/>
      <c r="P744" s="172" t="n"/>
    </row>
    <row r="745">
      <c r="B745" s="170" t="n"/>
      <c r="C745" s="199" t="n"/>
      <c r="D745" s="312" t="n"/>
      <c r="E745" s="312" t="n"/>
      <c r="F745" s="312" t="n"/>
      <c r="G745" s="312" t="n"/>
      <c r="H745" s="312" t="n"/>
      <c r="I745" s="313" t="n"/>
      <c r="J745" s="199" t="n"/>
      <c r="K745" s="314" t="n"/>
      <c r="L745" s="170" t="n"/>
      <c r="M745" s="170" t="n"/>
      <c r="N745" s="170" t="n"/>
      <c r="O745" s="172" t="n"/>
      <c r="P745" s="172" t="n"/>
    </row>
    <row r="746">
      <c r="B746" s="170" t="n"/>
      <c r="C746" s="199" t="n"/>
      <c r="D746" s="312" t="n"/>
      <c r="E746" s="312" t="n"/>
      <c r="F746" s="312" t="n"/>
      <c r="G746" s="312" t="n"/>
      <c r="H746" s="312" t="n"/>
      <c r="I746" s="313" t="n"/>
      <c r="J746" s="199" t="n"/>
      <c r="K746" s="314" t="n"/>
      <c r="L746" s="170" t="n"/>
      <c r="M746" s="170" t="n"/>
      <c r="N746" s="170" t="n"/>
      <c r="O746" s="172" t="n"/>
      <c r="P746" s="172" t="n"/>
    </row>
    <row r="747">
      <c r="B747" s="170" t="n"/>
      <c r="C747" s="199" t="n"/>
      <c r="D747" s="312" t="n"/>
      <c r="E747" s="312" t="n"/>
      <c r="F747" s="312" t="n"/>
      <c r="G747" s="312" t="n"/>
      <c r="H747" s="312" t="n"/>
      <c r="I747" s="313" t="n"/>
      <c r="J747" s="199" t="n"/>
      <c r="K747" s="314" t="n"/>
      <c r="L747" s="170" t="n"/>
      <c r="M747" s="170" t="n"/>
      <c r="N747" s="170" t="n"/>
      <c r="O747" s="172" t="n"/>
      <c r="P747" s="172" t="n"/>
    </row>
    <row r="748">
      <c r="B748" s="170" t="n"/>
      <c r="C748" s="199" t="n"/>
      <c r="D748" s="312" t="n"/>
      <c r="E748" s="312" t="n"/>
      <c r="F748" s="312" t="n"/>
      <c r="G748" s="312" t="n"/>
      <c r="H748" s="312" t="n"/>
      <c r="I748" s="313" t="n"/>
      <c r="J748" s="199" t="n"/>
      <c r="K748" s="314" t="n"/>
      <c r="L748" s="170" t="n"/>
      <c r="M748" s="170" t="n"/>
      <c r="N748" s="170" t="n"/>
      <c r="O748" s="172" t="n"/>
      <c r="P748" s="172" t="n"/>
    </row>
    <row r="749">
      <c r="B749" s="170" t="n"/>
      <c r="C749" s="199" t="n"/>
      <c r="D749" s="312" t="n"/>
      <c r="E749" s="312" t="n"/>
      <c r="F749" s="312" t="n"/>
      <c r="G749" s="312" t="n"/>
      <c r="H749" s="312" t="n"/>
      <c r="I749" s="313" t="n"/>
      <c r="J749" s="199" t="n"/>
      <c r="K749" s="314" t="n"/>
      <c r="L749" s="170" t="n"/>
      <c r="M749" s="170" t="n"/>
      <c r="N749" s="170" t="n"/>
      <c r="O749" s="172" t="n"/>
      <c r="P749" s="172" t="n"/>
    </row>
    <row r="750">
      <c r="B750" s="170" t="n"/>
      <c r="C750" s="199" t="n"/>
      <c r="D750" s="312" t="n"/>
      <c r="E750" s="312" t="n"/>
      <c r="F750" s="312" t="n"/>
      <c r="G750" s="312" t="n"/>
      <c r="H750" s="312" t="n"/>
      <c r="I750" s="313" t="n"/>
      <c r="J750" s="199" t="n"/>
      <c r="K750" s="314" t="n"/>
      <c r="L750" s="170" t="n"/>
      <c r="M750" s="170" t="n"/>
      <c r="N750" s="170" t="n"/>
      <c r="O750" s="172" t="n"/>
      <c r="P750" s="172" t="n"/>
    </row>
    <row r="751">
      <c r="B751" s="170" t="n"/>
      <c r="C751" s="199" t="n"/>
      <c r="D751" s="312" t="n"/>
      <c r="E751" s="312" t="n"/>
      <c r="F751" s="312" t="n"/>
      <c r="G751" s="312" t="n"/>
      <c r="H751" s="312" t="n"/>
      <c r="I751" s="313" t="n"/>
      <c r="J751" s="199" t="n"/>
      <c r="K751" s="314" t="n"/>
      <c r="L751" s="170" t="n"/>
      <c r="M751" s="170" t="n"/>
      <c r="N751" s="170" t="n"/>
      <c r="O751" s="172" t="n"/>
      <c r="P751" s="172" t="n"/>
    </row>
    <row r="752">
      <c r="B752" s="170" t="n"/>
      <c r="C752" s="199" t="n"/>
      <c r="D752" s="312" t="n"/>
      <c r="E752" s="312" t="n"/>
      <c r="F752" s="312" t="n"/>
      <c r="G752" s="312" t="n"/>
      <c r="H752" s="312" t="n"/>
      <c r="I752" s="313" t="n"/>
      <c r="J752" s="199" t="n"/>
      <c r="K752" s="314" t="n"/>
      <c r="L752" s="170" t="n"/>
      <c r="M752" s="170" t="n"/>
      <c r="N752" s="170" t="n"/>
      <c r="O752" s="172" t="n"/>
      <c r="P752" s="172" t="n"/>
    </row>
    <row r="753">
      <c r="B753" s="170" t="n"/>
      <c r="C753" s="199" t="n"/>
      <c r="D753" s="312" t="n"/>
      <c r="E753" s="312" t="n"/>
      <c r="F753" s="312" t="n"/>
      <c r="G753" s="312" t="n"/>
      <c r="H753" s="312" t="n"/>
      <c r="I753" s="313" t="n"/>
      <c r="J753" s="199" t="n"/>
      <c r="K753" s="314" t="n"/>
      <c r="L753" s="170" t="n"/>
      <c r="M753" s="170" t="n"/>
      <c r="N753" s="170" t="n"/>
      <c r="O753" s="172" t="n"/>
      <c r="P753" s="172" t="n"/>
    </row>
    <row r="754">
      <c r="B754" s="170" t="n"/>
      <c r="C754" s="199" t="n"/>
      <c r="D754" s="312" t="n"/>
      <c r="E754" s="312" t="n"/>
      <c r="F754" s="312" t="n"/>
      <c r="G754" s="312" t="n"/>
      <c r="H754" s="312" t="n"/>
      <c r="I754" s="313" t="n"/>
      <c r="J754" s="199" t="n"/>
      <c r="K754" s="314" t="n"/>
      <c r="L754" s="170" t="n"/>
      <c r="M754" s="170" t="n"/>
      <c r="N754" s="170" t="n"/>
      <c r="O754" s="172" t="n"/>
      <c r="P754" s="172" t="n"/>
    </row>
    <row r="755">
      <c r="B755" s="170" t="n"/>
      <c r="C755" s="199" t="n"/>
      <c r="D755" s="312" t="n"/>
      <c r="E755" s="312" t="n"/>
      <c r="F755" s="312" t="n"/>
      <c r="G755" s="312" t="n"/>
      <c r="H755" s="312" t="n"/>
      <c r="I755" s="313" t="n"/>
      <c r="J755" s="199" t="n"/>
      <c r="K755" s="314" t="n"/>
      <c r="L755" s="170" t="n"/>
      <c r="M755" s="170" t="n"/>
      <c r="N755" s="170" t="n"/>
      <c r="O755" s="172" t="n"/>
      <c r="P755" s="172" t="n"/>
    </row>
    <row r="756">
      <c r="B756" s="170" t="n"/>
      <c r="C756" s="199" t="n"/>
      <c r="D756" s="312" t="n"/>
      <c r="E756" s="312" t="n"/>
      <c r="F756" s="312" t="n"/>
      <c r="G756" s="312" t="n"/>
      <c r="H756" s="312" t="n"/>
      <c r="I756" s="313" t="n"/>
      <c r="J756" s="199" t="n"/>
      <c r="K756" s="314" t="n"/>
      <c r="L756" s="170" t="n"/>
      <c r="M756" s="170" t="n"/>
      <c r="N756" s="170" t="n"/>
      <c r="O756" s="172" t="n"/>
      <c r="P756" s="172" t="n"/>
    </row>
    <row r="757">
      <c r="B757" s="170" t="n"/>
      <c r="C757" s="199" t="n"/>
      <c r="D757" s="312" t="n"/>
      <c r="E757" s="312" t="n"/>
      <c r="F757" s="312" t="n"/>
      <c r="G757" s="312" t="n"/>
      <c r="H757" s="312" t="n"/>
      <c r="I757" s="313" t="n"/>
      <c r="J757" s="199" t="n"/>
      <c r="K757" s="314" t="n"/>
      <c r="L757" s="170" t="n"/>
      <c r="M757" s="170" t="n"/>
      <c r="N757" s="170" t="n"/>
      <c r="O757" s="172" t="n"/>
      <c r="P757" s="172" t="n"/>
    </row>
    <row r="758">
      <c r="B758" s="170" t="n"/>
      <c r="C758" s="199" t="n"/>
      <c r="D758" s="312" t="n"/>
      <c r="E758" s="312" t="n"/>
      <c r="F758" s="312" t="n"/>
      <c r="G758" s="312" t="n"/>
      <c r="H758" s="312" t="n"/>
      <c r="I758" s="313" t="n"/>
      <c r="J758" s="199" t="n"/>
      <c r="K758" s="314" t="n"/>
      <c r="L758" s="170" t="n"/>
      <c r="M758" s="170" t="n"/>
      <c r="N758" s="170" t="n"/>
      <c r="O758" s="172" t="n"/>
      <c r="P758" s="172" t="n"/>
    </row>
    <row r="759">
      <c r="B759" s="170" t="n"/>
      <c r="C759" s="199" t="n"/>
      <c r="D759" s="312" t="n"/>
      <c r="E759" s="312" t="n"/>
      <c r="F759" s="312" t="n"/>
      <c r="G759" s="312" t="n"/>
      <c r="H759" s="312" t="n"/>
      <c r="I759" s="313" t="n"/>
      <c r="J759" s="199" t="n"/>
      <c r="K759" s="314" t="n"/>
      <c r="L759" s="170" t="n"/>
      <c r="M759" s="170" t="n"/>
      <c r="N759" s="170" t="n"/>
      <c r="O759" s="172" t="n"/>
      <c r="P759" s="172" t="n"/>
    </row>
    <row r="760">
      <c r="B760" s="170" t="n"/>
      <c r="C760" s="199" t="n"/>
      <c r="D760" s="312" t="n"/>
      <c r="E760" s="312" t="n"/>
      <c r="F760" s="312" t="n"/>
      <c r="G760" s="312" t="n"/>
      <c r="H760" s="312" t="n"/>
      <c r="I760" s="313" t="n"/>
      <c r="J760" s="199" t="n"/>
      <c r="K760" s="314" t="n"/>
      <c r="L760" s="170" t="n"/>
      <c r="M760" s="170" t="n"/>
      <c r="N760" s="170" t="n"/>
      <c r="O760" s="172" t="n"/>
      <c r="P760" s="172" t="n"/>
    </row>
    <row r="761">
      <c r="B761" s="170" t="n"/>
      <c r="C761" s="199" t="n"/>
      <c r="D761" s="312" t="n"/>
      <c r="E761" s="312" t="n"/>
      <c r="F761" s="312" t="n"/>
      <c r="G761" s="312" t="n"/>
      <c r="H761" s="312" t="n"/>
      <c r="I761" s="313" t="n"/>
      <c r="J761" s="199" t="n"/>
      <c r="K761" s="314" t="n"/>
      <c r="L761" s="170" t="n"/>
      <c r="M761" s="170" t="n"/>
      <c r="N761" s="170" t="n"/>
      <c r="O761" s="172" t="n"/>
      <c r="P761" s="172" t="n"/>
    </row>
    <row r="762">
      <c r="B762" s="170" t="n"/>
      <c r="C762" s="199" t="n"/>
      <c r="D762" s="312" t="n"/>
      <c r="E762" s="312" t="n"/>
      <c r="F762" s="312" t="n"/>
      <c r="G762" s="312" t="n"/>
      <c r="H762" s="312" t="n"/>
      <c r="I762" s="313" t="n"/>
      <c r="J762" s="199" t="n"/>
      <c r="K762" s="314" t="n"/>
      <c r="L762" s="170" t="n"/>
      <c r="M762" s="170" t="n"/>
      <c r="N762" s="170" t="n"/>
      <c r="O762" s="172" t="n"/>
      <c r="P762" s="172" t="n"/>
    </row>
    <row r="763">
      <c r="J763" s="199" t="n"/>
      <c r="N763" s="170" t="n"/>
      <c r="O763" s="172" t="n"/>
      <c r="P763" s="172" t="n"/>
    </row>
    <row r="764">
      <c r="J764" s="199" t="n"/>
    </row>
    <row r="765">
      <c r="J765" s="199" t="n"/>
    </row>
  </sheetData>
  <autoFilter ref="B11:P626"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</autoFilter>
  <mergeCells count="754">
    <mergeCell ref="C262:I262"/>
    <mergeCell ref="C529:I529"/>
    <mergeCell ref="C700:I700"/>
    <mergeCell ref="C237:I237"/>
    <mergeCell ref="C547:I547"/>
    <mergeCell ref="C53:I53"/>
    <mergeCell ref="C28:I28"/>
    <mergeCell ref="C351:I351"/>
    <mergeCell ref="C326:I326"/>
    <mergeCell ref="C593:I593"/>
    <mergeCell ref="C239:I239"/>
    <mergeCell ref="C310:I310"/>
    <mergeCell ref="C608:I608"/>
    <mergeCell ref="C92:I92"/>
    <mergeCell ref="C30:I30"/>
    <mergeCell ref="C695:I695"/>
    <mergeCell ref="C524:I524"/>
    <mergeCell ref="C595:I595"/>
    <mergeCell ref="C97:I97"/>
    <mergeCell ref="C290:I290"/>
    <mergeCell ref="B3:D10"/>
    <mergeCell ref="C624:I624"/>
    <mergeCell ref="C384:I384"/>
    <mergeCell ref="C321:I321"/>
    <mergeCell ref="C255:I255"/>
    <mergeCell ref="C413:I413"/>
    <mergeCell ref="C684:I684"/>
    <mergeCell ref="C242:I242"/>
    <mergeCell ref="C478:I478"/>
    <mergeCell ref="C192:I192"/>
    <mergeCell ref="C21:I21"/>
    <mergeCell ref="C252:I252"/>
    <mergeCell ref="C550:I550"/>
    <mergeCell ref="C379:I379"/>
    <mergeCell ref="C621:I621"/>
    <mergeCell ref="C615:I615"/>
    <mergeCell ref="C244:I244"/>
    <mergeCell ref="C415:I415"/>
    <mergeCell ref="C664:I664"/>
    <mergeCell ref="C542:I542"/>
    <mergeCell ref="C713:I713"/>
    <mergeCell ref="C123:I123"/>
    <mergeCell ref="C316:I316"/>
    <mergeCell ref="C194:I194"/>
    <mergeCell ref="C23:I23"/>
    <mergeCell ref="C492:I492"/>
    <mergeCell ref="C110:I110"/>
    <mergeCell ref="C552:I552"/>
    <mergeCell ref="C181:I181"/>
    <mergeCell ref="C623:I623"/>
    <mergeCell ref="C679:I679"/>
    <mergeCell ref="C650:I650"/>
    <mergeCell ref="C479:I479"/>
    <mergeCell ref="C408:I408"/>
    <mergeCell ref="C606:I606"/>
    <mergeCell ref="C473:I473"/>
    <mergeCell ref="C715:I715"/>
    <mergeCell ref="C544:I544"/>
    <mergeCell ref="C423:I423"/>
    <mergeCell ref="C174:I174"/>
    <mergeCell ref="C616:I616"/>
    <mergeCell ref="C410:I410"/>
    <mergeCell ref="C481:I481"/>
    <mergeCell ref="C189:I189"/>
    <mergeCell ref="C456:I456"/>
    <mergeCell ref="C18:I18"/>
    <mergeCell ref="C34:I34"/>
    <mergeCell ref="C568:I568"/>
    <mergeCell ref="C397:I397"/>
    <mergeCell ref="C555:I555"/>
    <mergeCell ref="C334:I334"/>
    <mergeCell ref="C128:I128"/>
    <mergeCell ref="C570:I570"/>
    <mergeCell ref="C426:I426"/>
    <mergeCell ref="C309:I309"/>
    <mergeCell ref="C113:I113"/>
    <mergeCell ref="C103:I103"/>
    <mergeCell ref="C29:I29"/>
    <mergeCell ref="C100:I100"/>
    <mergeCell ref="C205:I205"/>
    <mergeCell ref="C265:I265"/>
    <mergeCell ref="C94:I94"/>
    <mergeCell ref="C336:I336"/>
    <mergeCell ref="C563:I563"/>
    <mergeCell ref="C65:I65"/>
    <mergeCell ref="C634:I634"/>
    <mergeCell ref="C428:I428"/>
    <mergeCell ref="C311:I311"/>
    <mergeCell ref="C44:I44"/>
    <mergeCell ref="C167:I167"/>
    <mergeCell ref="C609:I609"/>
    <mergeCell ref="C142:I142"/>
    <mergeCell ref="C80:I80"/>
    <mergeCell ref="C403:I403"/>
    <mergeCell ref="C645:I645"/>
    <mergeCell ref="C701:I701"/>
    <mergeCell ref="C129:I129"/>
    <mergeCell ref="C365:I365"/>
    <mergeCell ref="C169:I169"/>
    <mergeCell ref="C611:I611"/>
    <mergeCell ref="C467:I467"/>
    <mergeCell ref="C598:I598"/>
    <mergeCell ref="C703:I703"/>
    <mergeCell ref="C665:I665"/>
    <mergeCell ref="C233:I233"/>
    <mergeCell ref="C640:I640"/>
    <mergeCell ref="C710:I710"/>
    <mergeCell ref="C469:I469"/>
    <mergeCell ref="C131:I131"/>
    <mergeCell ref="C258:I258"/>
    <mergeCell ref="C500:I500"/>
    <mergeCell ref="C556:I556"/>
    <mergeCell ref="C494:I494"/>
    <mergeCell ref="C245:I245"/>
    <mergeCell ref="C49:I49"/>
    <mergeCell ref="C714:I714"/>
    <mergeCell ref="C543:I543"/>
    <mergeCell ref="C614:I614"/>
    <mergeCell ref="C195:I195"/>
    <mergeCell ref="C24:I24"/>
    <mergeCell ref="C266:I266"/>
    <mergeCell ref="C493:I493"/>
    <mergeCell ref="C322:I322"/>
    <mergeCell ref="C431:I431"/>
    <mergeCell ref="C260:I260"/>
    <mergeCell ref="C116:I116"/>
    <mergeCell ref="C558:I558"/>
    <mergeCell ref="C716:I716"/>
    <mergeCell ref="C545:I545"/>
    <mergeCell ref="C259:I259"/>
    <mergeCell ref="C126:I126"/>
    <mergeCell ref="C197:I197"/>
    <mergeCell ref="C88:I88"/>
    <mergeCell ref="C26:I26"/>
    <mergeCell ref="C495:I495"/>
    <mergeCell ref="C324:I324"/>
    <mergeCell ref="C482:I482"/>
    <mergeCell ref="C416:I416"/>
    <mergeCell ref="C432:I432"/>
    <mergeCell ref="C261:I261"/>
    <mergeCell ref="C117:I117"/>
    <mergeCell ref="C55:I55"/>
    <mergeCell ref="C546:I546"/>
    <mergeCell ref="C447:I447"/>
    <mergeCell ref="C115:I115"/>
    <mergeCell ref="C213:I213"/>
    <mergeCell ref="C273:I273"/>
    <mergeCell ref="C571:I571"/>
    <mergeCell ref="C400:I400"/>
    <mergeCell ref="C698:I698"/>
    <mergeCell ref="C52:I52"/>
    <mergeCell ref="C734:I734"/>
    <mergeCell ref="C150:I150"/>
    <mergeCell ref="C39:I39"/>
    <mergeCell ref="C144:I144"/>
    <mergeCell ref="C337:I337"/>
    <mergeCell ref="C442:I442"/>
    <mergeCell ref="C635:I635"/>
    <mergeCell ref="C513:I513"/>
    <mergeCell ref="C573:I573"/>
    <mergeCell ref="C429:I429"/>
    <mergeCell ref="C671:I671"/>
    <mergeCell ref="C727:I727"/>
    <mergeCell ref="C414:I414"/>
    <mergeCell ref="C548:I548"/>
    <mergeCell ref="C352:I352"/>
    <mergeCell ref="C81:I81"/>
    <mergeCell ref="C208:I208"/>
    <mergeCell ref="C37:I37"/>
    <mergeCell ref="C339:I339"/>
    <mergeCell ref="C686:I686"/>
    <mergeCell ref="C637:I637"/>
    <mergeCell ref="C437:I437"/>
    <mergeCell ref="C735:I735"/>
    <mergeCell ref="C419:I419"/>
    <mergeCell ref="C729:I729"/>
    <mergeCell ref="C145:I145"/>
    <mergeCell ref="C406:I406"/>
    <mergeCell ref="C381:I381"/>
    <mergeCell ref="C210:I210"/>
    <mergeCell ref="C185:I185"/>
    <mergeCell ref="C564:I564"/>
    <mergeCell ref="C63:I63"/>
    <mergeCell ref="C330:I330"/>
    <mergeCell ref="C305:I305"/>
    <mergeCell ref="C134:I134"/>
    <mergeCell ref="C566:I566"/>
    <mergeCell ref="C50:I50"/>
    <mergeCell ref="C286:I286"/>
    <mergeCell ref="C553:I553"/>
    <mergeCell ref="C584:I584"/>
    <mergeCell ref="C90:I90"/>
    <mergeCell ref="C503:I503"/>
    <mergeCell ref="C388:I388"/>
    <mergeCell ref="C332:I332"/>
    <mergeCell ref="C630:I630"/>
    <mergeCell ref="C163:I163"/>
    <mergeCell ref="C350:I350"/>
    <mergeCell ref="C617:I617"/>
    <mergeCell ref="C138:I138"/>
    <mergeCell ref="C27:I27"/>
    <mergeCell ref="C76:I76"/>
    <mergeCell ref="C132:I132"/>
    <mergeCell ref="C567:I567"/>
    <mergeCell ref="C119:I119"/>
    <mergeCell ref="C732:I732"/>
    <mergeCell ref="C561:I561"/>
    <mergeCell ref="C632:I632"/>
    <mergeCell ref="C361:I361"/>
    <mergeCell ref="C498:I498"/>
    <mergeCell ref="C327:I327"/>
    <mergeCell ref="C425:I425"/>
    <mergeCell ref="C723:I723"/>
    <mergeCell ref="C661:I661"/>
    <mergeCell ref="C264:I264"/>
    <mergeCell ref="C450:I450"/>
    <mergeCell ref="C279:I279"/>
    <mergeCell ref="C643:I643"/>
    <mergeCell ref="C748:I748"/>
    <mergeCell ref="C387:I387"/>
    <mergeCell ref="C216:I216"/>
    <mergeCell ref="C45:I45"/>
    <mergeCell ref="C685:I685"/>
    <mergeCell ref="C514:I514"/>
    <mergeCell ref="C756:I756"/>
    <mergeCell ref="C452:I452"/>
    <mergeCell ref="C343:I343"/>
    <mergeCell ref="C750:I750"/>
    <mergeCell ref="C501:I501"/>
    <mergeCell ref="C281:I281"/>
    <mergeCell ref="C737:I737"/>
    <mergeCell ref="C353:I353"/>
    <mergeCell ref="C451:I451"/>
    <mergeCell ref="C280:I280"/>
    <mergeCell ref="C218:I218"/>
    <mergeCell ref="C445:I445"/>
    <mergeCell ref="C274:I274"/>
    <mergeCell ref="C687:I687"/>
    <mergeCell ref="C516:I516"/>
    <mergeCell ref="C345:I345"/>
    <mergeCell ref="C147:I147"/>
    <mergeCell ref="C109:I109"/>
    <mergeCell ref="C47:I47"/>
    <mergeCell ref="C211:I211"/>
    <mergeCell ref="C40:I40"/>
    <mergeCell ref="C453:I453"/>
    <mergeCell ref="C282:I282"/>
    <mergeCell ref="C751:I751"/>
    <mergeCell ref="C580:I580"/>
    <mergeCell ref="C71:I71"/>
    <mergeCell ref="C592:I592"/>
    <mergeCell ref="C371:I371"/>
    <mergeCell ref="C165:I165"/>
    <mergeCell ref="C358:I358"/>
    <mergeCell ref="C656:I656"/>
    <mergeCell ref="C66:I66"/>
    <mergeCell ref="C308:I308"/>
    <mergeCell ref="C631:I631"/>
    <mergeCell ref="C569:I569"/>
    <mergeCell ref="C102:I102"/>
    <mergeCell ref="C229:I229"/>
    <mergeCell ref="C77:I77"/>
    <mergeCell ref="C658:I658"/>
    <mergeCell ref="C375:I375"/>
    <mergeCell ref="C179:I179"/>
    <mergeCell ref="C446:I446"/>
    <mergeCell ref="C68:I68"/>
    <mergeCell ref="C682:I682"/>
    <mergeCell ref="C633:I633"/>
    <mergeCell ref="C489:I489"/>
    <mergeCell ref="C464:I464"/>
    <mergeCell ref="C427:I427"/>
    <mergeCell ref="C402:I402"/>
    <mergeCell ref="C166:I166"/>
    <mergeCell ref="C725:I725"/>
    <mergeCell ref="C160:I160"/>
    <mergeCell ref="C141:I141"/>
    <mergeCell ref="C377:I377"/>
    <mergeCell ref="C206:I206"/>
    <mergeCell ref="C662:I662"/>
    <mergeCell ref="C143:I143"/>
    <mergeCell ref="C441:I441"/>
    <mergeCell ref="C270:I270"/>
    <mergeCell ref="C506:I506"/>
    <mergeCell ref="C522:I522"/>
    <mergeCell ref="C59:I59"/>
    <mergeCell ref="C295:I295"/>
    <mergeCell ref="C46:I46"/>
    <mergeCell ref="C380:I380"/>
    <mergeCell ref="C61:I61"/>
    <mergeCell ref="C359:I359"/>
    <mergeCell ref="C159:I159"/>
    <mergeCell ref="C219:I219"/>
    <mergeCell ref="C153:I153"/>
    <mergeCell ref="C48:I48"/>
    <mergeCell ref="C346:I346"/>
    <mergeCell ref="C517:I517"/>
    <mergeCell ref="C688:I688"/>
    <mergeCell ref="C759:I759"/>
    <mergeCell ref="C588:I588"/>
    <mergeCell ref="C395:I395"/>
    <mergeCell ref="C753:I753"/>
    <mergeCell ref="C582:I582"/>
    <mergeCell ref="C653:I653"/>
    <mergeCell ref="C680:I680"/>
    <mergeCell ref="C296:I296"/>
    <mergeCell ref="C740:I740"/>
    <mergeCell ref="C125:I125"/>
    <mergeCell ref="C283:I283"/>
    <mergeCell ref="C217:I217"/>
    <mergeCell ref="C161:I161"/>
    <mergeCell ref="C690:I690"/>
    <mergeCell ref="C519:I519"/>
    <mergeCell ref="C348:I348"/>
    <mergeCell ref="C646:I646"/>
    <mergeCell ref="C298:I298"/>
    <mergeCell ref="C154:I154"/>
    <mergeCell ref="C285:I285"/>
    <mergeCell ref="C390:I390"/>
    <mergeCell ref="C754:I754"/>
    <mergeCell ref="C583:I583"/>
    <mergeCell ref="C648:I648"/>
    <mergeCell ref="C677:I677"/>
    <mergeCell ref="C156:I156"/>
    <mergeCell ref="C74:I74"/>
    <mergeCell ref="C372:I372"/>
    <mergeCell ref="C250:I250"/>
    <mergeCell ref="C706:I706"/>
    <mergeCell ref="C535:I535"/>
    <mergeCell ref="C16:I16"/>
    <mergeCell ref="C374:I374"/>
    <mergeCell ref="C401:I401"/>
    <mergeCell ref="C672:I672"/>
    <mergeCell ref="C472:I472"/>
    <mergeCell ref="C301:I301"/>
    <mergeCell ref="C230:I230"/>
    <mergeCell ref="C466:I466"/>
    <mergeCell ref="C168:I168"/>
    <mergeCell ref="C708:I708"/>
    <mergeCell ref="C659:I659"/>
    <mergeCell ref="C537:I537"/>
    <mergeCell ref="C180:I180"/>
    <mergeCell ref="C118:I118"/>
    <mergeCell ref="C238:I238"/>
    <mergeCell ref="C232:I232"/>
    <mergeCell ref="C674:I674"/>
    <mergeCell ref="C474:I474"/>
    <mergeCell ref="C530:I530"/>
    <mergeCell ref="C303:I303"/>
    <mergeCell ref="C601:I601"/>
    <mergeCell ref="C207:I207"/>
    <mergeCell ref="C182:I182"/>
    <mergeCell ref="C11:I11"/>
    <mergeCell ref="C747:I747"/>
    <mergeCell ref="C532:I532"/>
    <mergeCell ref="C69:I69"/>
    <mergeCell ref="C96:I96"/>
    <mergeCell ref="C87:I87"/>
    <mergeCell ref="C354:I354"/>
    <mergeCell ref="C652:I652"/>
    <mergeCell ref="C627:I627"/>
    <mergeCell ref="C761:I761"/>
    <mergeCell ref="C590:I590"/>
    <mergeCell ref="C62:I62"/>
    <mergeCell ref="C421:I421"/>
    <mergeCell ref="C98:I98"/>
    <mergeCell ref="C369:I369"/>
    <mergeCell ref="C396:I396"/>
    <mergeCell ref="C667:I667"/>
    <mergeCell ref="C89:I89"/>
    <mergeCell ref="C527:I527"/>
    <mergeCell ref="C654:I654"/>
    <mergeCell ref="C629:I629"/>
    <mergeCell ref="C681:I681"/>
    <mergeCell ref="C485:I485"/>
    <mergeCell ref="C752:I752"/>
    <mergeCell ref="C619:I619"/>
    <mergeCell ref="C368:I368"/>
    <mergeCell ref="C306:I306"/>
    <mergeCell ref="C187:I187"/>
    <mergeCell ref="C162:I162"/>
    <mergeCell ref="C64:I64"/>
    <mergeCell ref="C460:I460"/>
    <mergeCell ref="C398:I398"/>
    <mergeCell ref="C349:I349"/>
    <mergeCell ref="C591:I591"/>
    <mergeCell ref="C696:I696"/>
    <mergeCell ref="C683:I683"/>
    <mergeCell ref="C177:I177"/>
    <mergeCell ref="C226:I226"/>
    <mergeCell ref="C364:I364"/>
    <mergeCell ref="C335:I335"/>
    <mergeCell ref="C164:I164"/>
    <mergeCell ref="C93:I93"/>
    <mergeCell ref="C462:I462"/>
    <mergeCell ref="C760:I760"/>
    <mergeCell ref="C222:I222"/>
    <mergeCell ref="C251:I251"/>
    <mergeCell ref="C487:I487"/>
    <mergeCell ref="C17:I17"/>
    <mergeCell ref="C253:I253"/>
    <mergeCell ref="C82:I82"/>
    <mergeCell ref="C551:I551"/>
    <mergeCell ref="C622:I622"/>
    <mergeCell ref="C411:I411"/>
    <mergeCell ref="C240:I240"/>
    <mergeCell ref="C709:I709"/>
    <mergeCell ref="C538:I538"/>
    <mergeCell ref="C190:I190"/>
    <mergeCell ref="C19:I19"/>
    <mergeCell ref="C317:I317"/>
    <mergeCell ref="C111:I111"/>
    <mergeCell ref="C304:I304"/>
    <mergeCell ref="C602:I602"/>
    <mergeCell ref="C480:I480"/>
    <mergeCell ref="C711:I711"/>
    <mergeCell ref="C540:I540"/>
    <mergeCell ref="C254:I254"/>
    <mergeCell ref="C83:I83"/>
    <mergeCell ref="C248:I248"/>
    <mergeCell ref="C515:I515"/>
    <mergeCell ref="C490:I490"/>
    <mergeCell ref="C319:I319"/>
    <mergeCell ref="C175:I175"/>
    <mergeCell ref="C235:I235"/>
    <mergeCell ref="C477:I477"/>
    <mergeCell ref="C604:I604"/>
    <mergeCell ref="E3:P10"/>
    <mergeCell ref="C14:I14"/>
    <mergeCell ref="C579:I579"/>
    <mergeCell ref="C475:I475"/>
    <mergeCell ref="C393:I393"/>
    <mergeCell ref="C137:I137"/>
    <mergeCell ref="C702:I702"/>
    <mergeCell ref="C124:I124"/>
    <mergeCell ref="C422:I422"/>
    <mergeCell ref="C693:I693"/>
    <mergeCell ref="C668:I668"/>
    <mergeCell ref="C201:I201"/>
    <mergeCell ref="C139:I139"/>
    <mergeCell ref="C704:I704"/>
    <mergeCell ref="C188:I188"/>
    <mergeCell ref="C424:I424"/>
    <mergeCell ref="C722:I722"/>
    <mergeCell ref="C399:I399"/>
    <mergeCell ref="C228:I228"/>
    <mergeCell ref="C470:I470"/>
    <mergeCell ref="C526:I526"/>
    <mergeCell ref="C203:I203"/>
    <mergeCell ref="C762:I762"/>
    <mergeCell ref="C488:I488"/>
    <mergeCell ref="C724:I724"/>
    <mergeCell ref="C607:I607"/>
    <mergeCell ref="C292:I292"/>
    <mergeCell ref="C699:I699"/>
    <mergeCell ref="C528:I528"/>
    <mergeCell ref="C636:I636"/>
    <mergeCell ref="C465:I465"/>
    <mergeCell ref="C559:I559"/>
    <mergeCell ref="C108:I108"/>
    <mergeCell ref="C325:I325"/>
    <mergeCell ref="C417:I417"/>
    <mergeCell ref="C20:I20"/>
    <mergeCell ref="C318:I318"/>
    <mergeCell ref="C196:I196"/>
    <mergeCell ref="C560:I560"/>
    <mergeCell ref="C389:I389"/>
    <mergeCell ref="C256:I256"/>
    <mergeCell ref="C554:I554"/>
    <mergeCell ref="C383:I383"/>
    <mergeCell ref="C625:I625"/>
    <mergeCell ref="C183:I183"/>
    <mergeCell ref="C112:I112"/>
    <mergeCell ref="C85:I85"/>
    <mergeCell ref="C541:I541"/>
    <mergeCell ref="C612:I612"/>
    <mergeCell ref="C717:I717"/>
    <mergeCell ref="C133:I133"/>
    <mergeCell ref="C84:I84"/>
    <mergeCell ref="C193:I193"/>
    <mergeCell ref="C127:I127"/>
    <mergeCell ref="C22:I22"/>
    <mergeCell ref="C491:I491"/>
    <mergeCell ref="C320:I320"/>
    <mergeCell ref="C198:I198"/>
    <mergeCell ref="C176:I176"/>
    <mergeCell ref="C418:I418"/>
    <mergeCell ref="C247:I247"/>
    <mergeCell ref="C356:I356"/>
    <mergeCell ref="C412:I412"/>
    <mergeCell ref="C114:I114"/>
    <mergeCell ref="C605:I605"/>
    <mergeCell ref="C483:I483"/>
    <mergeCell ref="C719:I719"/>
    <mergeCell ref="C257:I257"/>
    <mergeCell ref="C51:I51"/>
    <mergeCell ref="C178:I178"/>
    <mergeCell ref="C620:I620"/>
    <mergeCell ref="C443:I443"/>
    <mergeCell ref="C272:I272"/>
    <mergeCell ref="C209:I209"/>
    <mergeCell ref="C38:I38"/>
    <mergeCell ref="C743:I743"/>
    <mergeCell ref="C730:I730"/>
    <mergeCell ref="C140:I140"/>
    <mergeCell ref="C438:I438"/>
    <mergeCell ref="C267:I267"/>
    <mergeCell ref="C509:I509"/>
    <mergeCell ref="C338:I338"/>
    <mergeCell ref="C496:I496"/>
    <mergeCell ref="C204:I204"/>
    <mergeCell ref="C33:I33"/>
    <mergeCell ref="C275:I275"/>
    <mergeCell ref="C104:I104"/>
    <mergeCell ref="C440:I440"/>
    <mergeCell ref="C707:I707"/>
    <mergeCell ref="C511:I511"/>
    <mergeCell ref="C738:I738"/>
    <mergeCell ref="C340:I340"/>
    <mergeCell ref="C269:I269"/>
    <mergeCell ref="C231:I231"/>
    <mergeCell ref="C35:I35"/>
    <mergeCell ref="C504:I504"/>
    <mergeCell ref="C333:I333"/>
    <mergeCell ref="C99:I99"/>
    <mergeCell ref="C130:I130"/>
    <mergeCell ref="C562:I562"/>
    <mergeCell ref="C689:I689"/>
    <mergeCell ref="C409:I409"/>
    <mergeCell ref="C651:I651"/>
    <mergeCell ref="C135:I135"/>
    <mergeCell ref="C328:I328"/>
    <mergeCell ref="C433:I433"/>
    <mergeCell ref="C626:I626"/>
    <mergeCell ref="C430:I430"/>
    <mergeCell ref="C122:I122"/>
    <mergeCell ref="C420:I420"/>
    <mergeCell ref="C224:I224"/>
    <mergeCell ref="C718:I718"/>
    <mergeCell ref="C72:I72"/>
    <mergeCell ref="C199:I199"/>
    <mergeCell ref="C497:I497"/>
    <mergeCell ref="C557:I557"/>
    <mergeCell ref="C435:I435"/>
    <mergeCell ref="C628:I628"/>
    <mergeCell ref="C186:I186"/>
    <mergeCell ref="C655:I655"/>
    <mergeCell ref="C484:I484"/>
    <mergeCell ref="C720:I720"/>
    <mergeCell ref="C136:I136"/>
    <mergeCell ref="C434:I434"/>
    <mergeCell ref="C263:I263"/>
    <mergeCell ref="C323:I323"/>
    <mergeCell ref="C499:I499"/>
    <mergeCell ref="C657:I657"/>
    <mergeCell ref="C486:I486"/>
    <mergeCell ref="C54:I54"/>
    <mergeCell ref="C212:I212"/>
    <mergeCell ref="C146:I146"/>
    <mergeCell ref="C41:I41"/>
    <mergeCell ref="C510:I510"/>
    <mergeCell ref="C581:I581"/>
    <mergeCell ref="C448:I448"/>
    <mergeCell ref="C277:I277"/>
    <mergeCell ref="C746:I746"/>
    <mergeCell ref="C575:I575"/>
    <mergeCell ref="C404:I404"/>
    <mergeCell ref="C733:I733"/>
    <mergeCell ref="C56:I56"/>
    <mergeCell ref="C276:I276"/>
    <mergeCell ref="C105:I105"/>
    <mergeCell ref="C214:I214"/>
    <mergeCell ref="C43:I43"/>
    <mergeCell ref="C512:I512"/>
    <mergeCell ref="C341:I341"/>
    <mergeCell ref="C639:I639"/>
    <mergeCell ref="C439:I439"/>
    <mergeCell ref="C577:I577"/>
    <mergeCell ref="C675:I675"/>
    <mergeCell ref="C731:I731"/>
    <mergeCell ref="C120:I120"/>
    <mergeCell ref="C36:I36"/>
    <mergeCell ref="C278:I278"/>
    <mergeCell ref="C576:I576"/>
    <mergeCell ref="C405:I405"/>
    <mergeCell ref="C370:I370"/>
    <mergeCell ref="C641:I641"/>
    <mergeCell ref="C149:I149"/>
    <mergeCell ref="C385:I385"/>
    <mergeCell ref="C67:I67"/>
    <mergeCell ref="C670:I670"/>
    <mergeCell ref="C367:I367"/>
    <mergeCell ref="C603:I603"/>
    <mergeCell ref="C459:I459"/>
    <mergeCell ref="C726:I726"/>
    <mergeCell ref="C288:I288"/>
    <mergeCell ref="C505:I505"/>
    <mergeCell ref="C741:I741"/>
    <mergeCell ref="C225:I225"/>
    <mergeCell ref="C461:I461"/>
    <mergeCell ref="C728:I728"/>
    <mergeCell ref="C200:I200"/>
    <mergeCell ref="C271:I271"/>
    <mergeCell ref="C436:I436"/>
    <mergeCell ref="C507:I507"/>
    <mergeCell ref="C227:I227"/>
    <mergeCell ref="C721:I721"/>
    <mergeCell ref="C525:I525"/>
    <mergeCell ref="C373:I373"/>
    <mergeCell ref="C202:I202"/>
    <mergeCell ref="C444:I444"/>
    <mergeCell ref="C329:I329"/>
    <mergeCell ref="C31:I31"/>
    <mergeCell ref="C736:I736"/>
    <mergeCell ref="C565:I565"/>
    <mergeCell ref="C291:I291"/>
    <mergeCell ref="C589:I589"/>
    <mergeCell ref="C95:I95"/>
    <mergeCell ref="C60:I60"/>
    <mergeCell ref="C673:I673"/>
    <mergeCell ref="C502:I502"/>
    <mergeCell ref="C331:I331"/>
    <mergeCell ref="C347:I347"/>
    <mergeCell ref="C268:I268"/>
    <mergeCell ref="C360:I360"/>
    <mergeCell ref="C91:I91"/>
    <mergeCell ref="C362:I362"/>
    <mergeCell ref="C454:I454"/>
    <mergeCell ref="C647:I647"/>
    <mergeCell ref="C57:I57"/>
    <mergeCell ref="C739:I739"/>
    <mergeCell ref="C355:I355"/>
    <mergeCell ref="C293:I293"/>
    <mergeCell ref="C155:I155"/>
    <mergeCell ref="C391:I391"/>
    <mergeCell ref="C342:I342"/>
    <mergeCell ref="C220:I220"/>
    <mergeCell ref="C518:I518"/>
    <mergeCell ref="C749:I749"/>
    <mergeCell ref="C578:I578"/>
    <mergeCell ref="C649:I649"/>
    <mergeCell ref="C676:I676"/>
    <mergeCell ref="C86:I86"/>
    <mergeCell ref="C357:I357"/>
    <mergeCell ref="C157:I157"/>
    <mergeCell ref="C42:I42"/>
    <mergeCell ref="C455:I455"/>
    <mergeCell ref="C284:I284"/>
    <mergeCell ref="C344:I344"/>
    <mergeCell ref="C449:I449"/>
    <mergeCell ref="C586:I586"/>
    <mergeCell ref="C691:I691"/>
    <mergeCell ref="C642:I642"/>
    <mergeCell ref="C520:I520"/>
    <mergeCell ref="C151:I151"/>
    <mergeCell ref="C58:I58"/>
    <mergeCell ref="C678:I678"/>
    <mergeCell ref="C294:I294"/>
    <mergeCell ref="C386:I386"/>
    <mergeCell ref="C215:I215"/>
    <mergeCell ref="C644:I644"/>
    <mergeCell ref="C152:I152"/>
    <mergeCell ref="C75:I75"/>
    <mergeCell ref="C531:I531"/>
    <mergeCell ref="C596:I596"/>
    <mergeCell ref="C12:I12"/>
    <mergeCell ref="C297:I297"/>
    <mergeCell ref="C533:I533"/>
    <mergeCell ref="C660:I660"/>
    <mergeCell ref="C241:I241"/>
    <mergeCell ref="C508:I508"/>
    <mergeCell ref="C312:I312"/>
    <mergeCell ref="C70:I70"/>
    <mergeCell ref="C610:I610"/>
    <mergeCell ref="C744:I744"/>
    <mergeCell ref="C106:I106"/>
    <mergeCell ref="C299:I299"/>
    <mergeCell ref="C597:I597"/>
    <mergeCell ref="C32:I32"/>
    <mergeCell ref="C572:I572"/>
    <mergeCell ref="C243:I243"/>
    <mergeCell ref="C366:I366"/>
    <mergeCell ref="C170:I170"/>
    <mergeCell ref="C468:I468"/>
    <mergeCell ref="C307:I307"/>
    <mergeCell ref="C745:I745"/>
    <mergeCell ref="C574:I574"/>
    <mergeCell ref="C101:I101"/>
    <mergeCell ref="C666:I666"/>
    <mergeCell ref="C697:I697"/>
    <mergeCell ref="C246:I246"/>
    <mergeCell ref="C392:I392"/>
    <mergeCell ref="C221:I221"/>
    <mergeCell ref="C463:I463"/>
    <mergeCell ref="C25:I25"/>
    <mergeCell ref="C457:I457"/>
    <mergeCell ref="C755:I755"/>
    <mergeCell ref="C742:I742"/>
    <mergeCell ref="C236:I236"/>
    <mergeCell ref="C594:I594"/>
    <mergeCell ref="C394:I394"/>
    <mergeCell ref="C223:I223"/>
    <mergeCell ref="C692:I692"/>
    <mergeCell ref="C521:I521"/>
    <mergeCell ref="C757:I757"/>
    <mergeCell ref="C300:I300"/>
    <mergeCell ref="C458:I458"/>
    <mergeCell ref="C287:I287"/>
    <mergeCell ref="C585:I585"/>
    <mergeCell ref="C694:I694"/>
    <mergeCell ref="C523:I523"/>
    <mergeCell ref="C158:I158"/>
    <mergeCell ref="C289:I289"/>
    <mergeCell ref="C758:I758"/>
    <mergeCell ref="C587:I587"/>
    <mergeCell ref="C13:I13"/>
    <mergeCell ref="C249:I249"/>
    <mergeCell ref="C78:I78"/>
    <mergeCell ref="C376:I376"/>
    <mergeCell ref="C618:I618"/>
    <mergeCell ref="C314:I314"/>
    <mergeCell ref="C534:I534"/>
    <mergeCell ref="C363:I363"/>
    <mergeCell ref="C539:I539"/>
    <mergeCell ref="C599:I599"/>
    <mergeCell ref="C15:I15"/>
    <mergeCell ref="C313:I313"/>
    <mergeCell ref="C191:I191"/>
    <mergeCell ref="C107:I107"/>
    <mergeCell ref="C549:I549"/>
    <mergeCell ref="C378:I378"/>
    <mergeCell ref="C234:I234"/>
    <mergeCell ref="C476:I476"/>
    <mergeCell ref="C172:I172"/>
    <mergeCell ref="C536:I536"/>
    <mergeCell ref="C712:I712"/>
    <mergeCell ref="C663:I663"/>
    <mergeCell ref="C184:I184"/>
    <mergeCell ref="C79:I79"/>
    <mergeCell ref="C73:I73"/>
    <mergeCell ref="C315:I315"/>
    <mergeCell ref="C638:I638"/>
    <mergeCell ref="C613:I613"/>
    <mergeCell ref="C171:I171"/>
    <mergeCell ref="C302:I302"/>
    <mergeCell ref="C407:I407"/>
    <mergeCell ref="C600:I600"/>
    <mergeCell ref="C705:I705"/>
    <mergeCell ref="C121:I121"/>
    <mergeCell ref="C382:I382"/>
    <mergeCell ref="C173:I173"/>
    <mergeCell ref="C471:I471"/>
    <mergeCell ref="C148:I148"/>
    <mergeCell ref="C669:I669"/>
  </mergeCells>
  <hyperlinks>
    <hyperlink xmlns:r="http://schemas.openxmlformats.org/officeDocument/2006/relationships" ref="P13" r:id="rId1"/>
    <hyperlink xmlns:r="http://schemas.openxmlformats.org/officeDocument/2006/relationships" ref="P14" r:id="rId2"/>
    <hyperlink xmlns:r="http://schemas.openxmlformats.org/officeDocument/2006/relationships" ref="P15" r:id="rId3"/>
    <hyperlink xmlns:r="http://schemas.openxmlformats.org/officeDocument/2006/relationships" ref="P16" r:id="rId4"/>
    <hyperlink xmlns:r="http://schemas.openxmlformats.org/officeDocument/2006/relationships" ref="P17" r:id="rId5"/>
    <hyperlink xmlns:r="http://schemas.openxmlformats.org/officeDocument/2006/relationships" ref="P18" r:id="rId6"/>
    <hyperlink xmlns:r="http://schemas.openxmlformats.org/officeDocument/2006/relationships" ref="P19" r:id="rId7"/>
    <hyperlink xmlns:r="http://schemas.openxmlformats.org/officeDocument/2006/relationships" ref="P20" r:id="rId8"/>
    <hyperlink xmlns:r="http://schemas.openxmlformats.org/officeDocument/2006/relationships" ref="P21" r:id="rId9"/>
    <hyperlink xmlns:r="http://schemas.openxmlformats.org/officeDocument/2006/relationships" ref="P22" r:id="rId10"/>
    <hyperlink xmlns:r="http://schemas.openxmlformats.org/officeDocument/2006/relationships" ref="P23" r:id="rId11"/>
    <hyperlink xmlns:r="http://schemas.openxmlformats.org/officeDocument/2006/relationships" ref="P24" r:id="rId12"/>
    <hyperlink xmlns:r="http://schemas.openxmlformats.org/officeDocument/2006/relationships" ref="P27" r:id="rId13"/>
    <hyperlink xmlns:r="http://schemas.openxmlformats.org/officeDocument/2006/relationships" ref="P28" r:id="rId14"/>
    <hyperlink xmlns:r="http://schemas.openxmlformats.org/officeDocument/2006/relationships" ref="P30" r:id="rId15"/>
    <hyperlink xmlns:r="http://schemas.openxmlformats.org/officeDocument/2006/relationships" ref="P31" r:id="rId16"/>
    <hyperlink xmlns:r="http://schemas.openxmlformats.org/officeDocument/2006/relationships" ref="P32" r:id="rId17"/>
    <hyperlink xmlns:r="http://schemas.openxmlformats.org/officeDocument/2006/relationships" ref="P33" r:id="rId18"/>
    <hyperlink xmlns:r="http://schemas.openxmlformats.org/officeDocument/2006/relationships" ref="P34" r:id="rId19"/>
    <hyperlink xmlns:r="http://schemas.openxmlformats.org/officeDocument/2006/relationships" ref="P35" r:id="rId20"/>
    <hyperlink xmlns:r="http://schemas.openxmlformats.org/officeDocument/2006/relationships" ref="P36" r:id="rId21"/>
    <hyperlink xmlns:r="http://schemas.openxmlformats.org/officeDocument/2006/relationships" ref="P37" r:id="rId22"/>
    <hyperlink xmlns:r="http://schemas.openxmlformats.org/officeDocument/2006/relationships" ref="P38" r:id="rId23"/>
    <hyperlink xmlns:r="http://schemas.openxmlformats.org/officeDocument/2006/relationships" ref="P39" r:id="rId24"/>
    <hyperlink xmlns:r="http://schemas.openxmlformats.org/officeDocument/2006/relationships" ref="P40" r:id="rId25"/>
    <hyperlink xmlns:r="http://schemas.openxmlformats.org/officeDocument/2006/relationships" ref="P41" r:id="rId26"/>
    <hyperlink xmlns:r="http://schemas.openxmlformats.org/officeDocument/2006/relationships" ref="P42" r:id="rId27"/>
    <hyperlink xmlns:r="http://schemas.openxmlformats.org/officeDocument/2006/relationships" ref="P44" r:id="rId28"/>
    <hyperlink xmlns:r="http://schemas.openxmlformats.org/officeDocument/2006/relationships" ref="P45" r:id="rId29"/>
    <hyperlink xmlns:r="http://schemas.openxmlformats.org/officeDocument/2006/relationships" ref="P46" r:id="rId30"/>
    <hyperlink xmlns:r="http://schemas.openxmlformats.org/officeDocument/2006/relationships" ref="P47" r:id="rId31"/>
    <hyperlink xmlns:r="http://schemas.openxmlformats.org/officeDocument/2006/relationships" ref="P48" r:id="rId32"/>
    <hyperlink xmlns:r="http://schemas.openxmlformats.org/officeDocument/2006/relationships" ref="P50" r:id="rId33"/>
    <hyperlink xmlns:r="http://schemas.openxmlformats.org/officeDocument/2006/relationships" ref="P51" r:id="rId34"/>
    <hyperlink xmlns:r="http://schemas.openxmlformats.org/officeDocument/2006/relationships" ref="P52" r:id="rId35"/>
    <hyperlink xmlns:r="http://schemas.openxmlformats.org/officeDocument/2006/relationships" ref="P53" r:id="rId36"/>
    <hyperlink xmlns:r="http://schemas.openxmlformats.org/officeDocument/2006/relationships" ref="P54" r:id="rId37"/>
    <hyperlink xmlns:r="http://schemas.openxmlformats.org/officeDocument/2006/relationships" ref="P55" r:id="rId38"/>
    <hyperlink xmlns:r="http://schemas.openxmlformats.org/officeDocument/2006/relationships" ref="P57" r:id="rId39"/>
    <hyperlink xmlns:r="http://schemas.openxmlformats.org/officeDocument/2006/relationships" ref="P58" r:id="rId40"/>
    <hyperlink xmlns:r="http://schemas.openxmlformats.org/officeDocument/2006/relationships" ref="P59" r:id="rId41"/>
    <hyperlink xmlns:r="http://schemas.openxmlformats.org/officeDocument/2006/relationships" ref="P61" r:id="rId42"/>
    <hyperlink xmlns:r="http://schemas.openxmlformats.org/officeDocument/2006/relationships" ref="P63" r:id="rId43"/>
    <hyperlink xmlns:r="http://schemas.openxmlformats.org/officeDocument/2006/relationships" ref="P64" r:id="rId44"/>
    <hyperlink xmlns:r="http://schemas.openxmlformats.org/officeDocument/2006/relationships" ref="P65" r:id="rId45"/>
    <hyperlink xmlns:r="http://schemas.openxmlformats.org/officeDocument/2006/relationships" ref="P66" r:id="rId46"/>
    <hyperlink xmlns:r="http://schemas.openxmlformats.org/officeDocument/2006/relationships" ref="P67" r:id="rId47"/>
    <hyperlink xmlns:r="http://schemas.openxmlformats.org/officeDocument/2006/relationships" ref="P68" r:id="rId48"/>
    <hyperlink xmlns:r="http://schemas.openxmlformats.org/officeDocument/2006/relationships" ref="P69" r:id="rId49"/>
    <hyperlink xmlns:r="http://schemas.openxmlformats.org/officeDocument/2006/relationships" ref="P70" r:id="rId50"/>
    <hyperlink xmlns:r="http://schemas.openxmlformats.org/officeDocument/2006/relationships" ref="P72" r:id="rId51"/>
    <hyperlink xmlns:r="http://schemas.openxmlformats.org/officeDocument/2006/relationships" ref="P73" r:id="rId52"/>
    <hyperlink xmlns:r="http://schemas.openxmlformats.org/officeDocument/2006/relationships" ref="P74" r:id="rId53"/>
    <hyperlink xmlns:r="http://schemas.openxmlformats.org/officeDocument/2006/relationships" ref="P75" r:id="rId54"/>
    <hyperlink xmlns:r="http://schemas.openxmlformats.org/officeDocument/2006/relationships" ref="P76" r:id="rId55"/>
    <hyperlink xmlns:r="http://schemas.openxmlformats.org/officeDocument/2006/relationships" ref="P78" r:id="rId56"/>
    <hyperlink xmlns:r="http://schemas.openxmlformats.org/officeDocument/2006/relationships" ref="P79" r:id="rId57"/>
    <hyperlink xmlns:r="http://schemas.openxmlformats.org/officeDocument/2006/relationships" ref="P80" r:id="rId58"/>
    <hyperlink xmlns:r="http://schemas.openxmlformats.org/officeDocument/2006/relationships" ref="P81" r:id="rId59"/>
    <hyperlink xmlns:r="http://schemas.openxmlformats.org/officeDocument/2006/relationships" ref="P83" r:id="rId60"/>
    <hyperlink xmlns:r="http://schemas.openxmlformats.org/officeDocument/2006/relationships" ref="P84" r:id="rId61"/>
    <hyperlink xmlns:r="http://schemas.openxmlformats.org/officeDocument/2006/relationships" ref="P85" r:id="rId62"/>
    <hyperlink xmlns:r="http://schemas.openxmlformats.org/officeDocument/2006/relationships" ref="P86" r:id="rId63"/>
    <hyperlink xmlns:r="http://schemas.openxmlformats.org/officeDocument/2006/relationships" ref="P87" r:id="rId64"/>
    <hyperlink xmlns:r="http://schemas.openxmlformats.org/officeDocument/2006/relationships" ref="P88" r:id="rId65"/>
    <hyperlink xmlns:r="http://schemas.openxmlformats.org/officeDocument/2006/relationships" ref="P89" r:id="rId66"/>
    <hyperlink xmlns:r="http://schemas.openxmlformats.org/officeDocument/2006/relationships" ref="P90" r:id="rId67"/>
    <hyperlink xmlns:r="http://schemas.openxmlformats.org/officeDocument/2006/relationships" ref="P91" r:id="rId68"/>
    <hyperlink xmlns:r="http://schemas.openxmlformats.org/officeDocument/2006/relationships" ref="P92" r:id="rId69"/>
    <hyperlink xmlns:r="http://schemas.openxmlformats.org/officeDocument/2006/relationships" ref="P93" r:id="rId70"/>
    <hyperlink xmlns:r="http://schemas.openxmlformats.org/officeDocument/2006/relationships" ref="P94" r:id="rId71"/>
    <hyperlink xmlns:r="http://schemas.openxmlformats.org/officeDocument/2006/relationships" ref="P95" r:id="rId72"/>
    <hyperlink xmlns:r="http://schemas.openxmlformats.org/officeDocument/2006/relationships" ref="P96" r:id="rId73"/>
    <hyperlink xmlns:r="http://schemas.openxmlformats.org/officeDocument/2006/relationships" ref="P98" r:id="rId74"/>
    <hyperlink xmlns:r="http://schemas.openxmlformats.org/officeDocument/2006/relationships" ref="P99" r:id="rId75"/>
    <hyperlink xmlns:r="http://schemas.openxmlformats.org/officeDocument/2006/relationships" ref="P100" r:id="rId76"/>
    <hyperlink xmlns:r="http://schemas.openxmlformats.org/officeDocument/2006/relationships" ref="P101" r:id="rId77"/>
    <hyperlink xmlns:r="http://schemas.openxmlformats.org/officeDocument/2006/relationships" ref="P102" r:id="rId78"/>
    <hyperlink xmlns:r="http://schemas.openxmlformats.org/officeDocument/2006/relationships" ref="P103" r:id="rId79"/>
    <hyperlink xmlns:r="http://schemas.openxmlformats.org/officeDocument/2006/relationships" ref="P104" r:id="rId80"/>
    <hyperlink xmlns:r="http://schemas.openxmlformats.org/officeDocument/2006/relationships" ref="P105" r:id="rId81"/>
    <hyperlink xmlns:r="http://schemas.openxmlformats.org/officeDocument/2006/relationships" ref="P106" r:id="rId82"/>
    <hyperlink xmlns:r="http://schemas.openxmlformats.org/officeDocument/2006/relationships" ref="P107" r:id="rId83"/>
    <hyperlink xmlns:r="http://schemas.openxmlformats.org/officeDocument/2006/relationships" ref="P108" r:id="rId84"/>
    <hyperlink xmlns:r="http://schemas.openxmlformats.org/officeDocument/2006/relationships" ref="P109" r:id="rId85"/>
    <hyperlink xmlns:r="http://schemas.openxmlformats.org/officeDocument/2006/relationships" ref="P110" r:id="rId86"/>
    <hyperlink xmlns:r="http://schemas.openxmlformats.org/officeDocument/2006/relationships" ref="P111" r:id="rId87"/>
    <hyperlink xmlns:r="http://schemas.openxmlformats.org/officeDocument/2006/relationships" ref="P113" r:id="rId88"/>
    <hyperlink xmlns:r="http://schemas.openxmlformats.org/officeDocument/2006/relationships" ref="P114" r:id="rId89"/>
    <hyperlink xmlns:r="http://schemas.openxmlformats.org/officeDocument/2006/relationships" ref="P115" r:id="rId90"/>
    <hyperlink xmlns:r="http://schemas.openxmlformats.org/officeDocument/2006/relationships" ref="P117" r:id="rId91"/>
    <hyperlink xmlns:r="http://schemas.openxmlformats.org/officeDocument/2006/relationships" ref="P118" r:id="rId92"/>
    <hyperlink xmlns:r="http://schemas.openxmlformats.org/officeDocument/2006/relationships" ref="P119" r:id="rId93"/>
    <hyperlink xmlns:r="http://schemas.openxmlformats.org/officeDocument/2006/relationships" ref="P121" r:id="rId94"/>
    <hyperlink xmlns:r="http://schemas.openxmlformats.org/officeDocument/2006/relationships" ref="P124" r:id="rId95"/>
    <hyperlink xmlns:r="http://schemas.openxmlformats.org/officeDocument/2006/relationships" ref="P125" r:id="rId96"/>
    <hyperlink xmlns:r="http://schemas.openxmlformats.org/officeDocument/2006/relationships" ref="P126" r:id="rId97"/>
    <hyperlink xmlns:r="http://schemas.openxmlformats.org/officeDocument/2006/relationships" ref="P128" r:id="rId98"/>
    <hyperlink xmlns:r="http://schemas.openxmlformats.org/officeDocument/2006/relationships" ref="P130" r:id="rId99"/>
    <hyperlink xmlns:r="http://schemas.openxmlformats.org/officeDocument/2006/relationships" ref="P131" r:id="rId100"/>
    <hyperlink xmlns:r="http://schemas.openxmlformats.org/officeDocument/2006/relationships" ref="P132" r:id="rId101"/>
    <hyperlink xmlns:r="http://schemas.openxmlformats.org/officeDocument/2006/relationships" ref="P134" r:id="rId102"/>
    <hyperlink xmlns:r="http://schemas.openxmlformats.org/officeDocument/2006/relationships" ref="P135" r:id="rId103"/>
    <hyperlink xmlns:r="http://schemas.openxmlformats.org/officeDocument/2006/relationships" ref="P136" r:id="rId104"/>
    <hyperlink xmlns:r="http://schemas.openxmlformats.org/officeDocument/2006/relationships" ref="P138" r:id="rId105"/>
    <hyperlink xmlns:r="http://schemas.openxmlformats.org/officeDocument/2006/relationships" ref="P139" r:id="rId106"/>
    <hyperlink xmlns:r="http://schemas.openxmlformats.org/officeDocument/2006/relationships" ref="P140" r:id="rId107"/>
    <hyperlink xmlns:r="http://schemas.openxmlformats.org/officeDocument/2006/relationships" ref="P141" r:id="rId108"/>
    <hyperlink xmlns:r="http://schemas.openxmlformats.org/officeDocument/2006/relationships" ref="P142" r:id="rId109"/>
    <hyperlink xmlns:r="http://schemas.openxmlformats.org/officeDocument/2006/relationships" ref="P143" r:id="rId110"/>
    <hyperlink xmlns:r="http://schemas.openxmlformats.org/officeDocument/2006/relationships" ref="P145" r:id="rId111"/>
    <hyperlink xmlns:r="http://schemas.openxmlformats.org/officeDocument/2006/relationships" ref="P146" r:id="rId112"/>
    <hyperlink xmlns:r="http://schemas.openxmlformats.org/officeDocument/2006/relationships" ref="P147" r:id="rId113"/>
    <hyperlink xmlns:r="http://schemas.openxmlformats.org/officeDocument/2006/relationships" ref="P148" r:id="rId114"/>
    <hyperlink xmlns:r="http://schemas.openxmlformats.org/officeDocument/2006/relationships" ref="P149" r:id="rId115"/>
    <hyperlink xmlns:r="http://schemas.openxmlformats.org/officeDocument/2006/relationships" ref="P150" r:id="rId116"/>
    <hyperlink xmlns:r="http://schemas.openxmlformats.org/officeDocument/2006/relationships" ref="P151" r:id="rId117"/>
    <hyperlink xmlns:r="http://schemas.openxmlformats.org/officeDocument/2006/relationships" ref="P152" r:id="rId118"/>
    <hyperlink xmlns:r="http://schemas.openxmlformats.org/officeDocument/2006/relationships" ref="P153" r:id="rId119"/>
    <hyperlink xmlns:r="http://schemas.openxmlformats.org/officeDocument/2006/relationships" ref="P155" r:id="rId120"/>
    <hyperlink xmlns:r="http://schemas.openxmlformats.org/officeDocument/2006/relationships" ref="P157" r:id="rId121"/>
    <hyperlink xmlns:r="http://schemas.openxmlformats.org/officeDocument/2006/relationships" ref="P158" r:id="rId122"/>
    <hyperlink xmlns:r="http://schemas.openxmlformats.org/officeDocument/2006/relationships" ref="P159" r:id="rId123"/>
    <hyperlink xmlns:r="http://schemas.openxmlformats.org/officeDocument/2006/relationships" ref="P160" r:id="rId124"/>
    <hyperlink xmlns:r="http://schemas.openxmlformats.org/officeDocument/2006/relationships" ref="P162" r:id="rId125"/>
    <hyperlink xmlns:r="http://schemas.openxmlformats.org/officeDocument/2006/relationships" ref="P163" r:id="rId126"/>
    <hyperlink xmlns:r="http://schemas.openxmlformats.org/officeDocument/2006/relationships" ref="P164" r:id="rId127"/>
    <hyperlink xmlns:r="http://schemas.openxmlformats.org/officeDocument/2006/relationships" ref="P165" r:id="rId128"/>
    <hyperlink xmlns:r="http://schemas.openxmlformats.org/officeDocument/2006/relationships" ref="P166" r:id="rId129"/>
    <hyperlink xmlns:r="http://schemas.openxmlformats.org/officeDocument/2006/relationships" ref="P167" r:id="rId130"/>
    <hyperlink xmlns:r="http://schemas.openxmlformats.org/officeDocument/2006/relationships" ref="P168" r:id="rId131"/>
    <hyperlink xmlns:r="http://schemas.openxmlformats.org/officeDocument/2006/relationships" ref="P169" r:id="rId132"/>
    <hyperlink xmlns:r="http://schemas.openxmlformats.org/officeDocument/2006/relationships" ref="P170" r:id="rId133"/>
    <hyperlink xmlns:r="http://schemas.openxmlformats.org/officeDocument/2006/relationships" ref="P171" r:id="rId134"/>
    <hyperlink xmlns:r="http://schemas.openxmlformats.org/officeDocument/2006/relationships" ref="P173" r:id="rId135"/>
    <hyperlink xmlns:r="http://schemas.openxmlformats.org/officeDocument/2006/relationships" ref="P174" r:id="rId136"/>
    <hyperlink xmlns:r="http://schemas.openxmlformats.org/officeDocument/2006/relationships" ref="P175" r:id="rId137"/>
    <hyperlink xmlns:r="http://schemas.openxmlformats.org/officeDocument/2006/relationships" ref="P176" r:id="rId138"/>
    <hyperlink xmlns:r="http://schemas.openxmlformats.org/officeDocument/2006/relationships" ref="P178" r:id="rId139"/>
    <hyperlink xmlns:r="http://schemas.openxmlformats.org/officeDocument/2006/relationships" ref="P179" r:id="rId140"/>
    <hyperlink xmlns:r="http://schemas.openxmlformats.org/officeDocument/2006/relationships" ref="P180" r:id="rId141"/>
    <hyperlink xmlns:r="http://schemas.openxmlformats.org/officeDocument/2006/relationships" ref="P181" r:id="rId142"/>
    <hyperlink xmlns:r="http://schemas.openxmlformats.org/officeDocument/2006/relationships" ref="P182" r:id="rId143"/>
    <hyperlink xmlns:r="http://schemas.openxmlformats.org/officeDocument/2006/relationships" ref="P183" r:id="rId144"/>
    <hyperlink xmlns:r="http://schemas.openxmlformats.org/officeDocument/2006/relationships" ref="P184" r:id="rId145"/>
    <hyperlink xmlns:r="http://schemas.openxmlformats.org/officeDocument/2006/relationships" ref="P185" r:id="rId146"/>
    <hyperlink xmlns:r="http://schemas.openxmlformats.org/officeDocument/2006/relationships" ref="P186" r:id="rId147"/>
    <hyperlink xmlns:r="http://schemas.openxmlformats.org/officeDocument/2006/relationships" ref="P187" r:id="rId148"/>
    <hyperlink xmlns:r="http://schemas.openxmlformats.org/officeDocument/2006/relationships" ref="P188" r:id="rId149"/>
    <hyperlink xmlns:r="http://schemas.openxmlformats.org/officeDocument/2006/relationships" ref="P189" r:id="rId150"/>
    <hyperlink xmlns:r="http://schemas.openxmlformats.org/officeDocument/2006/relationships" ref="P190" r:id="rId151"/>
    <hyperlink xmlns:r="http://schemas.openxmlformats.org/officeDocument/2006/relationships" ref="P191" r:id="rId152"/>
    <hyperlink xmlns:r="http://schemas.openxmlformats.org/officeDocument/2006/relationships" ref="P192" r:id="rId153"/>
    <hyperlink xmlns:r="http://schemas.openxmlformats.org/officeDocument/2006/relationships" ref="P193" r:id="rId154"/>
    <hyperlink xmlns:r="http://schemas.openxmlformats.org/officeDocument/2006/relationships" ref="P194" r:id="rId155"/>
    <hyperlink xmlns:r="http://schemas.openxmlformats.org/officeDocument/2006/relationships" ref="P195" r:id="rId156"/>
    <hyperlink xmlns:r="http://schemas.openxmlformats.org/officeDocument/2006/relationships" ref="P196" r:id="rId157"/>
    <hyperlink xmlns:r="http://schemas.openxmlformats.org/officeDocument/2006/relationships" ref="P197" r:id="rId158"/>
    <hyperlink xmlns:r="http://schemas.openxmlformats.org/officeDocument/2006/relationships" ref="P198" r:id="rId159"/>
    <hyperlink xmlns:r="http://schemas.openxmlformats.org/officeDocument/2006/relationships" ref="P200" r:id="rId160"/>
    <hyperlink xmlns:r="http://schemas.openxmlformats.org/officeDocument/2006/relationships" ref="P201" r:id="rId161"/>
    <hyperlink xmlns:r="http://schemas.openxmlformats.org/officeDocument/2006/relationships" ref="P202" r:id="rId162"/>
    <hyperlink xmlns:r="http://schemas.openxmlformats.org/officeDocument/2006/relationships" ref="P204" r:id="rId163"/>
    <hyperlink xmlns:r="http://schemas.openxmlformats.org/officeDocument/2006/relationships" ref="P205" r:id="rId164"/>
    <hyperlink xmlns:r="http://schemas.openxmlformats.org/officeDocument/2006/relationships" ref="P206" r:id="rId165"/>
    <hyperlink xmlns:r="http://schemas.openxmlformats.org/officeDocument/2006/relationships" ref="P208" r:id="rId166"/>
    <hyperlink xmlns:r="http://schemas.openxmlformats.org/officeDocument/2006/relationships" ref="P209" r:id="rId167"/>
    <hyperlink xmlns:r="http://schemas.openxmlformats.org/officeDocument/2006/relationships" ref="P210" r:id="rId168"/>
    <hyperlink xmlns:r="http://schemas.openxmlformats.org/officeDocument/2006/relationships" ref="P211" r:id="rId169"/>
    <hyperlink xmlns:r="http://schemas.openxmlformats.org/officeDocument/2006/relationships" ref="P212" r:id="rId170"/>
    <hyperlink xmlns:r="http://schemas.openxmlformats.org/officeDocument/2006/relationships" ref="P213" r:id="rId171"/>
    <hyperlink xmlns:r="http://schemas.openxmlformats.org/officeDocument/2006/relationships" ref="P214" r:id="rId172"/>
    <hyperlink xmlns:r="http://schemas.openxmlformats.org/officeDocument/2006/relationships" ref="P215" r:id="rId173"/>
    <hyperlink xmlns:r="http://schemas.openxmlformats.org/officeDocument/2006/relationships" ref="P216" r:id="rId174"/>
    <hyperlink xmlns:r="http://schemas.openxmlformats.org/officeDocument/2006/relationships" ref="P218" r:id="rId175"/>
    <hyperlink xmlns:r="http://schemas.openxmlformats.org/officeDocument/2006/relationships" ref="P219" r:id="rId176"/>
    <hyperlink xmlns:r="http://schemas.openxmlformats.org/officeDocument/2006/relationships" ref="P220" r:id="rId177"/>
    <hyperlink xmlns:r="http://schemas.openxmlformats.org/officeDocument/2006/relationships" ref="P221" r:id="rId178"/>
    <hyperlink xmlns:r="http://schemas.openxmlformats.org/officeDocument/2006/relationships" ref="P222" r:id="rId179"/>
    <hyperlink xmlns:r="http://schemas.openxmlformats.org/officeDocument/2006/relationships" ref="P223" r:id="rId180"/>
    <hyperlink xmlns:r="http://schemas.openxmlformats.org/officeDocument/2006/relationships" ref="P224" r:id="rId181"/>
    <hyperlink xmlns:r="http://schemas.openxmlformats.org/officeDocument/2006/relationships" ref="P225" r:id="rId182"/>
    <hyperlink xmlns:r="http://schemas.openxmlformats.org/officeDocument/2006/relationships" ref="P226" r:id="rId183"/>
    <hyperlink xmlns:r="http://schemas.openxmlformats.org/officeDocument/2006/relationships" ref="P227" r:id="rId184"/>
    <hyperlink xmlns:r="http://schemas.openxmlformats.org/officeDocument/2006/relationships" ref="P228" r:id="rId185"/>
    <hyperlink xmlns:r="http://schemas.openxmlformats.org/officeDocument/2006/relationships" ref="P230" r:id="rId186"/>
    <hyperlink xmlns:r="http://schemas.openxmlformats.org/officeDocument/2006/relationships" ref="P231" r:id="rId187"/>
    <hyperlink xmlns:r="http://schemas.openxmlformats.org/officeDocument/2006/relationships" ref="P232" r:id="rId188"/>
    <hyperlink xmlns:r="http://schemas.openxmlformats.org/officeDocument/2006/relationships" ref="P233" r:id="rId189"/>
    <hyperlink xmlns:r="http://schemas.openxmlformats.org/officeDocument/2006/relationships" ref="P234" r:id="rId190"/>
    <hyperlink xmlns:r="http://schemas.openxmlformats.org/officeDocument/2006/relationships" ref="P235" r:id="rId191"/>
    <hyperlink xmlns:r="http://schemas.openxmlformats.org/officeDocument/2006/relationships" ref="P236" r:id="rId192"/>
    <hyperlink xmlns:r="http://schemas.openxmlformats.org/officeDocument/2006/relationships" ref="P237" r:id="rId193"/>
    <hyperlink xmlns:r="http://schemas.openxmlformats.org/officeDocument/2006/relationships" ref="P238" r:id="rId194"/>
    <hyperlink xmlns:r="http://schemas.openxmlformats.org/officeDocument/2006/relationships" ref="P239" r:id="rId195"/>
    <hyperlink xmlns:r="http://schemas.openxmlformats.org/officeDocument/2006/relationships" ref="P240" r:id="rId196"/>
    <hyperlink xmlns:r="http://schemas.openxmlformats.org/officeDocument/2006/relationships" ref="P241" r:id="rId197"/>
    <hyperlink xmlns:r="http://schemas.openxmlformats.org/officeDocument/2006/relationships" ref="P242" r:id="rId198"/>
    <hyperlink xmlns:r="http://schemas.openxmlformats.org/officeDocument/2006/relationships" ref="P243" r:id="rId199"/>
    <hyperlink xmlns:r="http://schemas.openxmlformats.org/officeDocument/2006/relationships" ref="P244" r:id="rId200"/>
    <hyperlink xmlns:r="http://schemas.openxmlformats.org/officeDocument/2006/relationships" ref="P245" r:id="rId201"/>
    <hyperlink xmlns:r="http://schemas.openxmlformats.org/officeDocument/2006/relationships" ref="P246" r:id="rId202"/>
    <hyperlink xmlns:r="http://schemas.openxmlformats.org/officeDocument/2006/relationships" ref="P248" r:id="rId203"/>
    <hyperlink xmlns:r="http://schemas.openxmlformats.org/officeDocument/2006/relationships" ref="P249" r:id="rId204"/>
    <hyperlink xmlns:r="http://schemas.openxmlformats.org/officeDocument/2006/relationships" ref="P250" r:id="rId205"/>
    <hyperlink xmlns:r="http://schemas.openxmlformats.org/officeDocument/2006/relationships" ref="P251" r:id="rId206"/>
    <hyperlink xmlns:r="http://schemas.openxmlformats.org/officeDocument/2006/relationships" ref="P253" r:id="rId207"/>
    <hyperlink xmlns:r="http://schemas.openxmlformats.org/officeDocument/2006/relationships" ref="P254" r:id="rId208"/>
    <hyperlink xmlns:r="http://schemas.openxmlformats.org/officeDocument/2006/relationships" ref="P255" r:id="rId209"/>
    <hyperlink xmlns:r="http://schemas.openxmlformats.org/officeDocument/2006/relationships" ref="P256" r:id="rId210"/>
    <hyperlink xmlns:r="http://schemas.openxmlformats.org/officeDocument/2006/relationships" ref="P257" r:id="rId211"/>
    <hyperlink xmlns:r="http://schemas.openxmlformats.org/officeDocument/2006/relationships" ref="P258" r:id="rId212"/>
    <hyperlink xmlns:r="http://schemas.openxmlformats.org/officeDocument/2006/relationships" ref="P259" r:id="rId213"/>
    <hyperlink xmlns:r="http://schemas.openxmlformats.org/officeDocument/2006/relationships" ref="P260" r:id="rId214"/>
    <hyperlink xmlns:r="http://schemas.openxmlformats.org/officeDocument/2006/relationships" ref="P261" r:id="rId215"/>
    <hyperlink xmlns:r="http://schemas.openxmlformats.org/officeDocument/2006/relationships" ref="P262" r:id="rId216"/>
    <hyperlink xmlns:r="http://schemas.openxmlformats.org/officeDocument/2006/relationships" ref="P264" r:id="rId217"/>
    <hyperlink xmlns:r="http://schemas.openxmlformats.org/officeDocument/2006/relationships" ref="P265" r:id="rId218"/>
    <hyperlink xmlns:r="http://schemas.openxmlformats.org/officeDocument/2006/relationships" ref="P266" r:id="rId219"/>
    <hyperlink xmlns:r="http://schemas.openxmlformats.org/officeDocument/2006/relationships" ref="P267" r:id="rId220"/>
    <hyperlink xmlns:r="http://schemas.openxmlformats.org/officeDocument/2006/relationships" ref="P268" r:id="rId221"/>
    <hyperlink xmlns:r="http://schemas.openxmlformats.org/officeDocument/2006/relationships" ref="P269" r:id="rId222"/>
    <hyperlink xmlns:r="http://schemas.openxmlformats.org/officeDocument/2006/relationships" ref="P270" r:id="rId223"/>
    <hyperlink xmlns:r="http://schemas.openxmlformats.org/officeDocument/2006/relationships" ref="P271" r:id="rId224"/>
    <hyperlink xmlns:r="http://schemas.openxmlformats.org/officeDocument/2006/relationships" ref="P272" r:id="rId225"/>
    <hyperlink xmlns:r="http://schemas.openxmlformats.org/officeDocument/2006/relationships" ref="P273" r:id="rId226"/>
    <hyperlink xmlns:r="http://schemas.openxmlformats.org/officeDocument/2006/relationships" ref="P274" r:id="rId227"/>
    <hyperlink xmlns:r="http://schemas.openxmlformats.org/officeDocument/2006/relationships" ref="P275" r:id="rId228"/>
    <hyperlink xmlns:r="http://schemas.openxmlformats.org/officeDocument/2006/relationships" ref="P276" r:id="rId229"/>
    <hyperlink xmlns:r="http://schemas.openxmlformats.org/officeDocument/2006/relationships" ref="P277" r:id="rId230"/>
    <hyperlink xmlns:r="http://schemas.openxmlformats.org/officeDocument/2006/relationships" ref="P278" r:id="rId231"/>
    <hyperlink xmlns:r="http://schemas.openxmlformats.org/officeDocument/2006/relationships" ref="P279" r:id="rId232"/>
    <hyperlink xmlns:r="http://schemas.openxmlformats.org/officeDocument/2006/relationships" ref="P280" r:id="rId233"/>
    <hyperlink xmlns:r="http://schemas.openxmlformats.org/officeDocument/2006/relationships" ref="P281" r:id="rId234"/>
    <hyperlink xmlns:r="http://schemas.openxmlformats.org/officeDocument/2006/relationships" ref="P282" r:id="rId235"/>
    <hyperlink xmlns:r="http://schemas.openxmlformats.org/officeDocument/2006/relationships" ref="P283" r:id="rId236"/>
    <hyperlink xmlns:r="http://schemas.openxmlformats.org/officeDocument/2006/relationships" ref="P284" r:id="rId237"/>
    <hyperlink xmlns:r="http://schemas.openxmlformats.org/officeDocument/2006/relationships" ref="P285" r:id="rId238"/>
    <hyperlink xmlns:r="http://schemas.openxmlformats.org/officeDocument/2006/relationships" ref="P286" r:id="rId239"/>
    <hyperlink xmlns:r="http://schemas.openxmlformats.org/officeDocument/2006/relationships" ref="P287" r:id="rId240"/>
    <hyperlink xmlns:r="http://schemas.openxmlformats.org/officeDocument/2006/relationships" ref="P288" r:id="rId241"/>
    <hyperlink xmlns:r="http://schemas.openxmlformats.org/officeDocument/2006/relationships" ref="P289" r:id="rId242"/>
    <hyperlink xmlns:r="http://schemas.openxmlformats.org/officeDocument/2006/relationships" ref="P291" r:id="rId243"/>
    <hyperlink xmlns:r="http://schemas.openxmlformats.org/officeDocument/2006/relationships" ref="P292" r:id="rId244"/>
    <hyperlink xmlns:r="http://schemas.openxmlformats.org/officeDocument/2006/relationships" ref="P293" r:id="rId245"/>
    <hyperlink xmlns:r="http://schemas.openxmlformats.org/officeDocument/2006/relationships" ref="P294" r:id="rId246"/>
    <hyperlink xmlns:r="http://schemas.openxmlformats.org/officeDocument/2006/relationships" ref="P295" r:id="rId247"/>
    <hyperlink xmlns:r="http://schemas.openxmlformats.org/officeDocument/2006/relationships" ref="P296" r:id="rId248"/>
    <hyperlink xmlns:r="http://schemas.openxmlformats.org/officeDocument/2006/relationships" ref="P297" r:id="rId249"/>
    <hyperlink xmlns:r="http://schemas.openxmlformats.org/officeDocument/2006/relationships" ref="P298" r:id="rId250"/>
    <hyperlink xmlns:r="http://schemas.openxmlformats.org/officeDocument/2006/relationships" ref="P299" r:id="rId251"/>
    <hyperlink xmlns:r="http://schemas.openxmlformats.org/officeDocument/2006/relationships" ref="P300" display="mailto:heder.cardozo@isciviles.com.co" r:id="rId252"/>
    <hyperlink xmlns:r="http://schemas.openxmlformats.org/officeDocument/2006/relationships" ref="P302" r:id="rId253"/>
    <hyperlink xmlns:r="http://schemas.openxmlformats.org/officeDocument/2006/relationships" ref="P303" r:id="rId254"/>
    <hyperlink xmlns:r="http://schemas.openxmlformats.org/officeDocument/2006/relationships" ref="P304" r:id="rId255"/>
    <hyperlink xmlns:r="http://schemas.openxmlformats.org/officeDocument/2006/relationships" ref="P305" r:id="rId256"/>
    <hyperlink xmlns:r="http://schemas.openxmlformats.org/officeDocument/2006/relationships" ref="P306" r:id="rId257"/>
    <hyperlink xmlns:r="http://schemas.openxmlformats.org/officeDocument/2006/relationships" ref="P307" r:id="rId258"/>
    <hyperlink xmlns:r="http://schemas.openxmlformats.org/officeDocument/2006/relationships" ref="P308" r:id="rId259"/>
    <hyperlink xmlns:r="http://schemas.openxmlformats.org/officeDocument/2006/relationships" ref="P309" r:id="rId260"/>
    <hyperlink xmlns:r="http://schemas.openxmlformats.org/officeDocument/2006/relationships" ref="P310" r:id="rId261"/>
    <hyperlink xmlns:r="http://schemas.openxmlformats.org/officeDocument/2006/relationships" ref="P311" display="mailto:david.lopera@socomes.com" r:id="rId262"/>
    <hyperlink xmlns:r="http://schemas.openxmlformats.org/officeDocument/2006/relationships" ref="P312" r:id="rId263"/>
    <hyperlink xmlns:r="http://schemas.openxmlformats.org/officeDocument/2006/relationships" ref="P313" r:id="rId264"/>
    <hyperlink xmlns:r="http://schemas.openxmlformats.org/officeDocument/2006/relationships" ref="P314" r:id="rId265"/>
    <hyperlink xmlns:r="http://schemas.openxmlformats.org/officeDocument/2006/relationships" ref="P317" r:id="rId266"/>
    <hyperlink xmlns:r="http://schemas.openxmlformats.org/officeDocument/2006/relationships" ref="P318" r:id="rId267"/>
    <hyperlink xmlns:r="http://schemas.openxmlformats.org/officeDocument/2006/relationships" ref="P319" r:id="rId268"/>
    <hyperlink xmlns:r="http://schemas.openxmlformats.org/officeDocument/2006/relationships" ref="P320" r:id="rId269"/>
    <hyperlink xmlns:r="http://schemas.openxmlformats.org/officeDocument/2006/relationships" ref="P322" r:id="rId270"/>
    <hyperlink xmlns:r="http://schemas.openxmlformats.org/officeDocument/2006/relationships" ref="P323" r:id="rId271"/>
    <hyperlink xmlns:r="http://schemas.openxmlformats.org/officeDocument/2006/relationships" ref="P325" r:id="rId272"/>
    <hyperlink xmlns:r="http://schemas.openxmlformats.org/officeDocument/2006/relationships" ref="P327" r:id="rId273"/>
    <hyperlink xmlns:r="http://schemas.openxmlformats.org/officeDocument/2006/relationships" ref="P328" r:id="rId274"/>
    <hyperlink xmlns:r="http://schemas.openxmlformats.org/officeDocument/2006/relationships" ref="P331" r:id="rId275"/>
    <hyperlink xmlns:r="http://schemas.openxmlformats.org/officeDocument/2006/relationships" ref="P332" r:id="rId276"/>
    <hyperlink xmlns:r="http://schemas.openxmlformats.org/officeDocument/2006/relationships" ref="P334" r:id="rId277"/>
    <hyperlink xmlns:r="http://schemas.openxmlformats.org/officeDocument/2006/relationships" ref="P335" r:id="rId278"/>
    <hyperlink xmlns:r="http://schemas.openxmlformats.org/officeDocument/2006/relationships" ref="P336" r:id="rId279"/>
    <hyperlink xmlns:r="http://schemas.openxmlformats.org/officeDocument/2006/relationships" ref="P337" r:id="rId280"/>
    <hyperlink xmlns:r="http://schemas.openxmlformats.org/officeDocument/2006/relationships" ref="P338" r:id="rId281"/>
    <hyperlink xmlns:r="http://schemas.openxmlformats.org/officeDocument/2006/relationships" ref="P339" r:id="rId282"/>
    <hyperlink xmlns:r="http://schemas.openxmlformats.org/officeDocument/2006/relationships" ref="P340" r:id="rId283"/>
    <hyperlink xmlns:r="http://schemas.openxmlformats.org/officeDocument/2006/relationships" ref="P341" r:id="rId284"/>
    <hyperlink xmlns:r="http://schemas.openxmlformats.org/officeDocument/2006/relationships" ref="P342" r:id="rId285"/>
    <hyperlink xmlns:r="http://schemas.openxmlformats.org/officeDocument/2006/relationships" ref="P343" r:id="rId286"/>
    <hyperlink xmlns:r="http://schemas.openxmlformats.org/officeDocument/2006/relationships" ref="P344" r:id="rId287"/>
    <hyperlink xmlns:r="http://schemas.openxmlformats.org/officeDocument/2006/relationships" ref="P345" r:id="rId288"/>
    <hyperlink xmlns:r="http://schemas.openxmlformats.org/officeDocument/2006/relationships" ref="P346" r:id="rId289"/>
    <hyperlink xmlns:r="http://schemas.openxmlformats.org/officeDocument/2006/relationships" ref="P347" r:id="rId290"/>
    <hyperlink xmlns:r="http://schemas.openxmlformats.org/officeDocument/2006/relationships" ref="P348" r:id="rId291"/>
    <hyperlink xmlns:r="http://schemas.openxmlformats.org/officeDocument/2006/relationships" ref="P349" r:id="rId292"/>
    <hyperlink xmlns:r="http://schemas.openxmlformats.org/officeDocument/2006/relationships" ref="P350" r:id="rId293"/>
    <hyperlink xmlns:r="http://schemas.openxmlformats.org/officeDocument/2006/relationships" ref="P351" r:id="rId294"/>
    <hyperlink xmlns:r="http://schemas.openxmlformats.org/officeDocument/2006/relationships" ref="P352" r:id="rId295"/>
    <hyperlink xmlns:r="http://schemas.openxmlformats.org/officeDocument/2006/relationships" ref="P353" r:id="rId296"/>
    <hyperlink xmlns:r="http://schemas.openxmlformats.org/officeDocument/2006/relationships" ref="P356" r:id="rId297"/>
    <hyperlink xmlns:r="http://schemas.openxmlformats.org/officeDocument/2006/relationships" ref="P357" r:id="rId298"/>
    <hyperlink xmlns:r="http://schemas.openxmlformats.org/officeDocument/2006/relationships" ref="P358" r:id="rId299"/>
    <hyperlink xmlns:r="http://schemas.openxmlformats.org/officeDocument/2006/relationships" ref="P359" r:id="rId300"/>
    <hyperlink xmlns:r="http://schemas.openxmlformats.org/officeDocument/2006/relationships" ref="P361" r:id="rId301"/>
    <hyperlink xmlns:r="http://schemas.openxmlformats.org/officeDocument/2006/relationships" ref="P362" r:id="rId302"/>
    <hyperlink xmlns:r="http://schemas.openxmlformats.org/officeDocument/2006/relationships" ref="P363" r:id="rId303"/>
    <hyperlink xmlns:r="http://schemas.openxmlformats.org/officeDocument/2006/relationships" ref="P364" r:id="rId304"/>
    <hyperlink xmlns:r="http://schemas.openxmlformats.org/officeDocument/2006/relationships" ref="P365" r:id="rId305"/>
    <hyperlink xmlns:r="http://schemas.openxmlformats.org/officeDocument/2006/relationships" ref="P366" r:id="rId306"/>
    <hyperlink xmlns:r="http://schemas.openxmlformats.org/officeDocument/2006/relationships" ref="P367" r:id="rId307"/>
    <hyperlink xmlns:r="http://schemas.openxmlformats.org/officeDocument/2006/relationships" ref="P368" r:id="rId308"/>
    <hyperlink xmlns:r="http://schemas.openxmlformats.org/officeDocument/2006/relationships" ref="P369" r:id="rId309"/>
    <hyperlink xmlns:r="http://schemas.openxmlformats.org/officeDocument/2006/relationships" ref="P370" r:id="rId310"/>
    <hyperlink xmlns:r="http://schemas.openxmlformats.org/officeDocument/2006/relationships" ref="P371" r:id="rId311"/>
    <hyperlink xmlns:r="http://schemas.openxmlformats.org/officeDocument/2006/relationships" ref="P372" r:id="rId312"/>
    <hyperlink xmlns:r="http://schemas.openxmlformats.org/officeDocument/2006/relationships" ref="P373" r:id="rId313"/>
    <hyperlink xmlns:r="http://schemas.openxmlformats.org/officeDocument/2006/relationships" ref="P374" r:id="rId314"/>
    <hyperlink xmlns:r="http://schemas.openxmlformats.org/officeDocument/2006/relationships" ref="P375" r:id="rId315"/>
    <hyperlink xmlns:r="http://schemas.openxmlformats.org/officeDocument/2006/relationships" ref="P376" r:id="rId316"/>
    <hyperlink xmlns:r="http://schemas.openxmlformats.org/officeDocument/2006/relationships" ref="P377" r:id="rId317"/>
    <hyperlink xmlns:r="http://schemas.openxmlformats.org/officeDocument/2006/relationships" ref="P378" r:id="rId318"/>
    <hyperlink xmlns:r="http://schemas.openxmlformats.org/officeDocument/2006/relationships" ref="P379" r:id="rId319"/>
    <hyperlink xmlns:r="http://schemas.openxmlformats.org/officeDocument/2006/relationships" ref="P380" r:id="rId320"/>
    <hyperlink xmlns:r="http://schemas.openxmlformats.org/officeDocument/2006/relationships" ref="P381" r:id="rId321"/>
    <hyperlink xmlns:r="http://schemas.openxmlformats.org/officeDocument/2006/relationships" ref="P382" r:id="rId322"/>
    <hyperlink xmlns:r="http://schemas.openxmlformats.org/officeDocument/2006/relationships" ref="P383" r:id="rId323"/>
    <hyperlink xmlns:r="http://schemas.openxmlformats.org/officeDocument/2006/relationships" ref="P384" r:id="rId324"/>
    <hyperlink xmlns:r="http://schemas.openxmlformats.org/officeDocument/2006/relationships" ref="P385" r:id="rId325"/>
    <hyperlink xmlns:r="http://schemas.openxmlformats.org/officeDocument/2006/relationships" ref="P386" r:id="rId326"/>
    <hyperlink xmlns:r="http://schemas.openxmlformats.org/officeDocument/2006/relationships" ref="P387" r:id="rId327"/>
    <hyperlink xmlns:r="http://schemas.openxmlformats.org/officeDocument/2006/relationships" ref="P388" r:id="rId328"/>
    <hyperlink xmlns:r="http://schemas.openxmlformats.org/officeDocument/2006/relationships" ref="P389" r:id="rId329"/>
    <hyperlink xmlns:r="http://schemas.openxmlformats.org/officeDocument/2006/relationships" ref="P390" r:id="rId330"/>
    <hyperlink xmlns:r="http://schemas.openxmlformats.org/officeDocument/2006/relationships" ref="P391" r:id="rId331"/>
    <hyperlink xmlns:r="http://schemas.openxmlformats.org/officeDocument/2006/relationships" ref="P392" r:id="rId332"/>
    <hyperlink xmlns:r="http://schemas.openxmlformats.org/officeDocument/2006/relationships" ref="P393" r:id="rId333"/>
    <hyperlink xmlns:r="http://schemas.openxmlformats.org/officeDocument/2006/relationships" ref="P394" r:id="rId334"/>
    <hyperlink xmlns:r="http://schemas.openxmlformats.org/officeDocument/2006/relationships" ref="P395" r:id="rId335"/>
    <hyperlink xmlns:r="http://schemas.openxmlformats.org/officeDocument/2006/relationships" ref="P396" r:id="rId336"/>
    <hyperlink xmlns:r="http://schemas.openxmlformats.org/officeDocument/2006/relationships" ref="P397" r:id="rId337"/>
    <hyperlink xmlns:r="http://schemas.openxmlformats.org/officeDocument/2006/relationships" ref="P398" r:id="rId338"/>
    <hyperlink xmlns:r="http://schemas.openxmlformats.org/officeDocument/2006/relationships" ref="P399" r:id="rId339"/>
    <hyperlink xmlns:r="http://schemas.openxmlformats.org/officeDocument/2006/relationships" ref="P400" r:id="rId340"/>
    <hyperlink xmlns:r="http://schemas.openxmlformats.org/officeDocument/2006/relationships" ref="P401" r:id="rId341"/>
    <hyperlink xmlns:r="http://schemas.openxmlformats.org/officeDocument/2006/relationships" ref="P402" r:id="rId342"/>
    <hyperlink xmlns:r="http://schemas.openxmlformats.org/officeDocument/2006/relationships" ref="P403" r:id="rId343"/>
    <hyperlink xmlns:r="http://schemas.openxmlformats.org/officeDocument/2006/relationships" ref="P405" r:id="rId344"/>
    <hyperlink xmlns:r="http://schemas.openxmlformats.org/officeDocument/2006/relationships" ref="P406" r:id="rId345"/>
    <hyperlink xmlns:r="http://schemas.openxmlformats.org/officeDocument/2006/relationships" ref="P407" r:id="rId346"/>
    <hyperlink xmlns:r="http://schemas.openxmlformats.org/officeDocument/2006/relationships" ref="P408" r:id="rId347"/>
    <hyperlink xmlns:r="http://schemas.openxmlformats.org/officeDocument/2006/relationships" ref="P409" r:id="rId348"/>
    <hyperlink xmlns:r="http://schemas.openxmlformats.org/officeDocument/2006/relationships" ref="P410" r:id="rId349"/>
    <hyperlink xmlns:r="http://schemas.openxmlformats.org/officeDocument/2006/relationships" ref="P411" r:id="rId350"/>
    <hyperlink xmlns:r="http://schemas.openxmlformats.org/officeDocument/2006/relationships" ref="P412" r:id="rId351"/>
    <hyperlink xmlns:r="http://schemas.openxmlformats.org/officeDocument/2006/relationships" ref="P413" r:id="rId352"/>
    <hyperlink xmlns:r="http://schemas.openxmlformats.org/officeDocument/2006/relationships" ref="P414" r:id="rId353"/>
    <hyperlink xmlns:r="http://schemas.openxmlformats.org/officeDocument/2006/relationships" ref="P415" r:id="rId354"/>
    <hyperlink xmlns:r="http://schemas.openxmlformats.org/officeDocument/2006/relationships" ref="P416" r:id="rId355"/>
    <hyperlink xmlns:r="http://schemas.openxmlformats.org/officeDocument/2006/relationships" ref="P417" r:id="rId356"/>
    <hyperlink xmlns:r="http://schemas.openxmlformats.org/officeDocument/2006/relationships" ref="P418" r:id="rId357"/>
    <hyperlink xmlns:r="http://schemas.openxmlformats.org/officeDocument/2006/relationships" ref="P419" r:id="rId358"/>
    <hyperlink xmlns:r="http://schemas.openxmlformats.org/officeDocument/2006/relationships" ref="P420" r:id="rId359"/>
    <hyperlink xmlns:r="http://schemas.openxmlformats.org/officeDocument/2006/relationships" ref="P421" r:id="rId360"/>
    <hyperlink xmlns:r="http://schemas.openxmlformats.org/officeDocument/2006/relationships" ref="P422" r:id="rId361"/>
    <hyperlink xmlns:r="http://schemas.openxmlformats.org/officeDocument/2006/relationships" ref="P423" r:id="rId362"/>
    <hyperlink xmlns:r="http://schemas.openxmlformats.org/officeDocument/2006/relationships" ref="P424" r:id="rId363"/>
    <hyperlink xmlns:r="http://schemas.openxmlformats.org/officeDocument/2006/relationships" ref="P425" r:id="rId364"/>
    <hyperlink xmlns:r="http://schemas.openxmlformats.org/officeDocument/2006/relationships" ref="P426" r:id="rId365"/>
    <hyperlink xmlns:r="http://schemas.openxmlformats.org/officeDocument/2006/relationships" ref="P427" r:id="rId366"/>
    <hyperlink xmlns:r="http://schemas.openxmlformats.org/officeDocument/2006/relationships" ref="P428" r:id="rId367"/>
    <hyperlink xmlns:r="http://schemas.openxmlformats.org/officeDocument/2006/relationships" ref="P429" r:id="rId368"/>
    <hyperlink xmlns:r="http://schemas.openxmlformats.org/officeDocument/2006/relationships" ref="P430" r:id="rId369"/>
    <hyperlink xmlns:r="http://schemas.openxmlformats.org/officeDocument/2006/relationships" ref="P431" r:id="rId370"/>
    <hyperlink xmlns:r="http://schemas.openxmlformats.org/officeDocument/2006/relationships" ref="P432" r:id="rId371"/>
    <hyperlink xmlns:r="http://schemas.openxmlformats.org/officeDocument/2006/relationships" ref="P433" r:id="rId372"/>
    <hyperlink xmlns:r="http://schemas.openxmlformats.org/officeDocument/2006/relationships" ref="P434" r:id="rId373"/>
    <hyperlink xmlns:r="http://schemas.openxmlformats.org/officeDocument/2006/relationships" ref="P435" display="mailto:jvenegas@conexoinmobiliario.com" r:id="rId374"/>
    <hyperlink xmlns:r="http://schemas.openxmlformats.org/officeDocument/2006/relationships" ref="P436" r:id="rId375"/>
    <hyperlink xmlns:r="http://schemas.openxmlformats.org/officeDocument/2006/relationships" ref="P437" r:id="rId376"/>
    <hyperlink xmlns:r="http://schemas.openxmlformats.org/officeDocument/2006/relationships" ref="P438" r:id="rId377"/>
    <hyperlink xmlns:r="http://schemas.openxmlformats.org/officeDocument/2006/relationships" ref="P439" r:id="rId378"/>
    <hyperlink xmlns:r="http://schemas.openxmlformats.org/officeDocument/2006/relationships" ref="P440" r:id="rId379"/>
    <hyperlink xmlns:r="http://schemas.openxmlformats.org/officeDocument/2006/relationships" ref="P441" r:id="rId380"/>
    <hyperlink xmlns:r="http://schemas.openxmlformats.org/officeDocument/2006/relationships" ref="P442" display="mailto:diseno4@gyd.com.co" r:id="rId381"/>
    <hyperlink xmlns:r="http://schemas.openxmlformats.org/officeDocument/2006/relationships" ref="P443" r:id="rId382"/>
    <hyperlink xmlns:r="http://schemas.openxmlformats.org/officeDocument/2006/relationships" ref="P444" r:id="rId383"/>
    <hyperlink xmlns:r="http://schemas.openxmlformats.org/officeDocument/2006/relationships" ref="P445" r:id="rId384"/>
    <hyperlink xmlns:r="http://schemas.openxmlformats.org/officeDocument/2006/relationships" ref="P446" r:id="rId385"/>
    <hyperlink xmlns:r="http://schemas.openxmlformats.org/officeDocument/2006/relationships" ref="P447" r:id="rId386"/>
    <hyperlink xmlns:r="http://schemas.openxmlformats.org/officeDocument/2006/relationships" ref="P448" r:id="rId387"/>
    <hyperlink xmlns:r="http://schemas.openxmlformats.org/officeDocument/2006/relationships" ref="P449" r:id="rId388"/>
    <hyperlink xmlns:r="http://schemas.openxmlformats.org/officeDocument/2006/relationships" ref="P450" r:id="rId389"/>
    <hyperlink xmlns:r="http://schemas.openxmlformats.org/officeDocument/2006/relationships" ref="P451" r:id="rId390"/>
    <hyperlink xmlns:r="http://schemas.openxmlformats.org/officeDocument/2006/relationships" ref="P452" r:id="rId391"/>
    <hyperlink xmlns:r="http://schemas.openxmlformats.org/officeDocument/2006/relationships" ref="P453" r:id="rId392"/>
    <hyperlink xmlns:r="http://schemas.openxmlformats.org/officeDocument/2006/relationships" ref="P454" r:id="rId393"/>
    <hyperlink xmlns:r="http://schemas.openxmlformats.org/officeDocument/2006/relationships" ref="P455" r:id="rId394"/>
    <hyperlink xmlns:r="http://schemas.openxmlformats.org/officeDocument/2006/relationships" ref="P456" r:id="rId395"/>
    <hyperlink xmlns:r="http://schemas.openxmlformats.org/officeDocument/2006/relationships" ref="P457" r:id="rId396"/>
    <hyperlink xmlns:r="http://schemas.openxmlformats.org/officeDocument/2006/relationships" ref="P458" r:id="rId397"/>
    <hyperlink xmlns:r="http://schemas.openxmlformats.org/officeDocument/2006/relationships" ref="P459" r:id="rId398"/>
    <hyperlink xmlns:r="http://schemas.openxmlformats.org/officeDocument/2006/relationships" ref="P460" r:id="rId399"/>
    <hyperlink xmlns:r="http://schemas.openxmlformats.org/officeDocument/2006/relationships" ref="P461" r:id="rId400"/>
    <hyperlink xmlns:r="http://schemas.openxmlformats.org/officeDocument/2006/relationships" ref="P462" r:id="rId401"/>
    <hyperlink xmlns:r="http://schemas.openxmlformats.org/officeDocument/2006/relationships" ref="P463" r:id="rId402"/>
    <hyperlink xmlns:r="http://schemas.openxmlformats.org/officeDocument/2006/relationships" ref="P464" r:id="rId403"/>
    <hyperlink xmlns:r="http://schemas.openxmlformats.org/officeDocument/2006/relationships" ref="P465" display="mailto:detectarsystems@gmail.com" r:id="rId404"/>
    <hyperlink xmlns:r="http://schemas.openxmlformats.org/officeDocument/2006/relationships" ref="P466" r:id="rId405"/>
    <hyperlink xmlns:r="http://schemas.openxmlformats.org/officeDocument/2006/relationships" ref="P467" r:id="rId406"/>
    <hyperlink xmlns:r="http://schemas.openxmlformats.org/officeDocument/2006/relationships" ref="P470" r:id="rId407"/>
    <hyperlink xmlns:r="http://schemas.openxmlformats.org/officeDocument/2006/relationships" ref="P471" r:id="rId408"/>
    <hyperlink xmlns:r="http://schemas.openxmlformats.org/officeDocument/2006/relationships" ref="P473" r:id="rId409"/>
    <hyperlink xmlns:r="http://schemas.openxmlformats.org/officeDocument/2006/relationships" ref="P474" r:id="rId410"/>
    <hyperlink xmlns:r="http://schemas.openxmlformats.org/officeDocument/2006/relationships" ref="P475" r:id="rId411"/>
    <hyperlink xmlns:r="http://schemas.openxmlformats.org/officeDocument/2006/relationships" ref="P476" r:id="rId412"/>
    <hyperlink xmlns:r="http://schemas.openxmlformats.org/officeDocument/2006/relationships" ref="P477" r:id="rId413"/>
    <hyperlink xmlns:r="http://schemas.openxmlformats.org/officeDocument/2006/relationships" ref="P478" r:id="rId414"/>
    <hyperlink xmlns:r="http://schemas.openxmlformats.org/officeDocument/2006/relationships" ref="P479" r:id="rId415"/>
    <hyperlink xmlns:r="http://schemas.openxmlformats.org/officeDocument/2006/relationships" ref="P480" r:id="rId416"/>
    <hyperlink xmlns:r="http://schemas.openxmlformats.org/officeDocument/2006/relationships" ref="P481" r:id="rId417"/>
    <hyperlink xmlns:r="http://schemas.openxmlformats.org/officeDocument/2006/relationships" ref="P482" r:id="rId418"/>
    <hyperlink xmlns:r="http://schemas.openxmlformats.org/officeDocument/2006/relationships" ref="P484" r:id="rId419"/>
    <hyperlink xmlns:r="http://schemas.openxmlformats.org/officeDocument/2006/relationships" ref="P485" r:id="rId420"/>
    <hyperlink xmlns:r="http://schemas.openxmlformats.org/officeDocument/2006/relationships" ref="P486" r:id="rId421"/>
    <hyperlink xmlns:r="http://schemas.openxmlformats.org/officeDocument/2006/relationships" ref="P487" r:id="rId422"/>
    <hyperlink xmlns:r="http://schemas.openxmlformats.org/officeDocument/2006/relationships" ref="P488" r:id="rId423"/>
    <hyperlink xmlns:r="http://schemas.openxmlformats.org/officeDocument/2006/relationships" ref="P489" r:id="rId424"/>
    <hyperlink xmlns:r="http://schemas.openxmlformats.org/officeDocument/2006/relationships" ref="P490" r:id="rId425"/>
    <hyperlink xmlns:r="http://schemas.openxmlformats.org/officeDocument/2006/relationships" ref="P491" r:id="rId426"/>
    <hyperlink xmlns:r="http://schemas.openxmlformats.org/officeDocument/2006/relationships" ref="P492" r:id="rId427"/>
    <hyperlink xmlns:r="http://schemas.openxmlformats.org/officeDocument/2006/relationships" ref="P494" r:id="rId428"/>
    <hyperlink xmlns:r="http://schemas.openxmlformats.org/officeDocument/2006/relationships" ref="P495" r:id="rId429"/>
    <hyperlink xmlns:r="http://schemas.openxmlformats.org/officeDocument/2006/relationships" ref="P496" r:id="rId430"/>
    <hyperlink xmlns:r="http://schemas.openxmlformats.org/officeDocument/2006/relationships" ref="P497" r:id="rId431"/>
    <hyperlink xmlns:r="http://schemas.openxmlformats.org/officeDocument/2006/relationships" ref="P498" r:id="rId432"/>
    <hyperlink xmlns:r="http://schemas.openxmlformats.org/officeDocument/2006/relationships" ref="P500" r:id="rId433"/>
    <hyperlink xmlns:r="http://schemas.openxmlformats.org/officeDocument/2006/relationships" ref="P501" r:id="rId434"/>
    <hyperlink xmlns:r="http://schemas.openxmlformats.org/officeDocument/2006/relationships" ref="P502" r:id="rId435"/>
    <hyperlink xmlns:r="http://schemas.openxmlformats.org/officeDocument/2006/relationships" ref="P503" r:id="rId436"/>
    <hyperlink xmlns:r="http://schemas.openxmlformats.org/officeDocument/2006/relationships" ref="P504" r:id="rId437"/>
    <hyperlink xmlns:r="http://schemas.openxmlformats.org/officeDocument/2006/relationships" ref="P505" r:id="rId438"/>
    <hyperlink xmlns:r="http://schemas.openxmlformats.org/officeDocument/2006/relationships" ref="P506" r:id="rId439"/>
    <hyperlink xmlns:r="http://schemas.openxmlformats.org/officeDocument/2006/relationships" ref="P507" r:id="rId440"/>
    <hyperlink xmlns:r="http://schemas.openxmlformats.org/officeDocument/2006/relationships" ref="P508" r:id="rId441"/>
    <hyperlink xmlns:r="http://schemas.openxmlformats.org/officeDocument/2006/relationships" ref="P509" r:id="rId442"/>
    <hyperlink xmlns:r="http://schemas.openxmlformats.org/officeDocument/2006/relationships" ref="P510" r:id="rId443"/>
    <hyperlink xmlns:r="http://schemas.openxmlformats.org/officeDocument/2006/relationships" ref="P511" r:id="rId444"/>
    <hyperlink xmlns:r="http://schemas.openxmlformats.org/officeDocument/2006/relationships" ref="P512" r:id="rId445"/>
    <hyperlink xmlns:r="http://schemas.openxmlformats.org/officeDocument/2006/relationships" ref="P513" r:id="rId446"/>
    <hyperlink xmlns:r="http://schemas.openxmlformats.org/officeDocument/2006/relationships" ref="P514" r:id="rId447"/>
    <hyperlink xmlns:r="http://schemas.openxmlformats.org/officeDocument/2006/relationships" ref="P515" r:id="rId448"/>
    <hyperlink xmlns:r="http://schemas.openxmlformats.org/officeDocument/2006/relationships" ref="P516" r:id="rId449"/>
    <hyperlink xmlns:r="http://schemas.openxmlformats.org/officeDocument/2006/relationships" ref="P517" r:id="rId450"/>
    <hyperlink xmlns:r="http://schemas.openxmlformats.org/officeDocument/2006/relationships" ref="P518" r:id="rId451"/>
    <hyperlink xmlns:r="http://schemas.openxmlformats.org/officeDocument/2006/relationships" ref="P519" display="mailto:awhite@mt.com.co" r:id="rId452"/>
    <hyperlink xmlns:r="http://schemas.openxmlformats.org/officeDocument/2006/relationships" ref="P520" r:id="rId453"/>
    <hyperlink xmlns:r="http://schemas.openxmlformats.org/officeDocument/2006/relationships" ref="P521" r:id="rId454"/>
    <hyperlink xmlns:r="http://schemas.openxmlformats.org/officeDocument/2006/relationships" ref="P522" r:id="rId455"/>
    <hyperlink xmlns:r="http://schemas.openxmlformats.org/officeDocument/2006/relationships" ref="P523" r:id="rId456"/>
    <hyperlink xmlns:r="http://schemas.openxmlformats.org/officeDocument/2006/relationships" ref="P524" r:id="rId457"/>
    <hyperlink xmlns:r="http://schemas.openxmlformats.org/officeDocument/2006/relationships" ref="P525" r:id="rId458"/>
    <hyperlink xmlns:r="http://schemas.openxmlformats.org/officeDocument/2006/relationships" ref="P526" r:id="rId459"/>
    <hyperlink xmlns:r="http://schemas.openxmlformats.org/officeDocument/2006/relationships" ref="P527" r:id="rId460"/>
    <hyperlink xmlns:r="http://schemas.openxmlformats.org/officeDocument/2006/relationships" ref="P528" r:id="rId461"/>
    <hyperlink xmlns:r="http://schemas.openxmlformats.org/officeDocument/2006/relationships" ref="P529" r:id="rId462"/>
    <hyperlink xmlns:r="http://schemas.openxmlformats.org/officeDocument/2006/relationships" ref="P531" r:id="rId463"/>
    <hyperlink xmlns:r="http://schemas.openxmlformats.org/officeDocument/2006/relationships" ref="P533" r:id="rId464"/>
    <hyperlink xmlns:r="http://schemas.openxmlformats.org/officeDocument/2006/relationships" ref="P534" r:id="rId465"/>
    <hyperlink xmlns:r="http://schemas.openxmlformats.org/officeDocument/2006/relationships" ref="P536" r:id="rId466"/>
    <hyperlink xmlns:r="http://schemas.openxmlformats.org/officeDocument/2006/relationships" ref="P537" r:id="rId467"/>
    <hyperlink xmlns:r="http://schemas.openxmlformats.org/officeDocument/2006/relationships" ref="P538" r:id="rId468"/>
    <hyperlink xmlns:r="http://schemas.openxmlformats.org/officeDocument/2006/relationships" ref="P539" r:id="rId469"/>
    <hyperlink xmlns:r="http://schemas.openxmlformats.org/officeDocument/2006/relationships" ref="P540" r:id="rId470"/>
    <hyperlink xmlns:r="http://schemas.openxmlformats.org/officeDocument/2006/relationships" ref="P541" r:id="rId471"/>
    <hyperlink xmlns:r="http://schemas.openxmlformats.org/officeDocument/2006/relationships" ref="P542" r:id="rId472"/>
    <hyperlink xmlns:r="http://schemas.openxmlformats.org/officeDocument/2006/relationships" ref="P543" r:id="rId473"/>
    <hyperlink xmlns:r="http://schemas.openxmlformats.org/officeDocument/2006/relationships" ref="P544" display="mailto:posventas@perfek.com.co" r:id="rId474"/>
    <hyperlink xmlns:r="http://schemas.openxmlformats.org/officeDocument/2006/relationships" ref="P545" r:id="rId475"/>
    <hyperlink xmlns:r="http://schemas.openxmlformats.org/officeDocument/2006/relationships" ref="P547" r:id="rId476"/>
    <hyperlink xmlns:r="http://schemas.openxmlformats.org/officeDocument/2006/relationships" ref="P548" r:id="rId477"/>
    <hyperlink xmlns:r="http://schemas.openxmlformats.org/officeDocument/2006/relationships" ref="P549" r:id="rId478"/>
    <hyperlink xmlns:r="http://schemas.openxmlformats.org/officeDocument/2006/relationships" ref="P552" r:id="rId479"/>
    <hyperlink xmlns:r="http://schemas.openxmlformats.org/officeDocument/2006/relationships" ref="P553" r:id="rId480"/>
    <hyperlink xmlns:r="http://schemas.openxmlformats.org/officeDocument/2006/relationships" ref="P555" r:id="rId481"/>
    <hyperlink xmlns:r="http://schemas.openxmlformats.org/officeDocument/2006/relationships" ref="P556" r:id="rId482"/>
    <hyperlink xmlns:r="http://schemas.openxmlformats.org/officeDocument/2006/relationships" ref="P557" r:id="rId483"/>
    <hyperlink xmlns:r="http://schemas.openxmlformats.org/officeDocument/2006/relationships" ref="P558" r:id="rId484"/>
    <hyperlink xmlns:r="http://schemas.openxmlformats.org/officeDocument/2006/relationships" ref="P559" r:id="rId485"/>
    <hyperlink xmlns:r="http://schemas.openxmlformats.org/officeDocument/2006/relationships" ref="P560" r:id="rId486"/>
    <hyperlink xmlns:r="http://schemas.openxmlformats.org/officeDocument/2006/relationships" ref="P561" r:id="rId487"/>
    <hyperlink xmlns:r="http://schemas.openxmlformats.org/officeDocument/2006/relationships" ref="P562" r:id="rId488"/>
    <hyperlink xmlns:r="http://schemas.openxmlformats.org/officeDocument/2006/relationships" ref="P563" r:id="rId489"/>
    <hyperlink xmlns:r="http://schemas.openxmlformats.org/officeDocument/2006/relationships" ref="P565" r:id="rId490"/>
    <hyperlink xmlns:r="http://schemas.openxmlformats.org/officeDocument/2006/relationships" ref="P566" r:id="rId491"/>
    <hyperlink xmlns:r="http://schemas.openxmlformats.org/officeDocument/2006/relationships" ref="P567" r:id="rId492"/>
    <hyperlink xmlns:r="http://schemas.openxmlformats.org/officeDocument/2006/relationships" ref="P568" r:id="rId493"/>
    <hyperlink xmlns:r="http://schemas.openxmlformats.org/officeDocument/2006/relationships" ref="P569" r:id="rId494"/>
    <hyperlink xmlns:r="http://schemas.openxmlformats.org/officeDocument/2006/relationships" ref="P570" r:id="rId495"/>
    <hyperlink xmlns:r="http://schemas.openxmlformats.org/officeDocument/2006/relationships" ref="P571" r:id="rId496"/>
    <hyperlink xmlns:r="http://schemas.openxmlformats.org/officeDocument/2006/relationships" ref="P572" r:id="rId497"/>
    <hyperlink xmlns:r="http://schemas.openxmlformats.org/officeDocument/2006/relationships" ref="P573" r:id="rId498"/>
    <hyperlink xmlns:r="http://schemas.openxmlformats.org/officeDocument/2006/relationships" ref="P574" r:id="rId499"/>
    <hyperlink xmlns:r="http://schemas.openxmlformats.org/officeDocument/2006/relationships" ref="P575" r:id="rId500"/>
    <hyperlink xmlns:r="http://schemas.openxmlformats.org/officeDocument/2006/relationships" ref="P576" r:id="rId501"/>
    <hyperlink xmlns:r="http://schemas.openxmlformats.org/officeDocument/2006/relationships" ref="P577" r:id="rId502"/>
    <hyperlink xmlns:r="http://schemas.openxmlformats.org/officeDocument/2006/relationships" ref="P580" r:id="rId503"/>
    <hyperlink xmlns:r="http://schemas.openxmlformats.org/officeDocument/2006/relationships" ref="P581" r:id="rId504"/>
    <hyperlink xmlns:r="http://schemas.openxmlformats.org/officeDocument/2006/relationships" ref="P582" r:id="rId505"/>
    <hyperlink xmlns:r="http://schemas.openxmlformats.org/officeDocument/2006/relationships" ref="P584" r:id="rId506"/>
    <hyperlink xmlns:r="http://schemas.openxmlformats.org/officeDocument/2006/relationships" ref="P585" r:id="rId507"/>
    <hyperlink xmlns:r="http://schemas.openxmlformats.org/officeDocument/2006/relationships" ref="P586" r:id="rId508"/>
    <hyperlink xmlns:r="http://schemas.openxmlformats.org/officeDocument/2006/relationships" ref="P587" r:id="rId509"/>
    <hyperlink xmlns:r="http://schemas.openxmlformats.org/officeDocument/2006/relationships" ref="P589" r:id="rId510"/>
    <hyperlink xmlns:r="http://schemas.openxmlformats.org/officeDocument/2006/relationships" ref="P590" r:id="rId511"/>
    <hyperlink xmlns:r="http://schemas.openxmlformats.org/officeDocument/2006/relationships" ref="P591" r:id="rId512"/>
    <hyperlink xmlns:r="http://schemas.openxmlformats.org/officeDocument/2006/relationships" ref="P592" r:id="rId513"/>
    <hyperlink xmlns:r="http://schemas.openxmlformats.org/officeDocument/2006/relationships" ref="P593" r:id="rId514"/>
    <hyperlink xmlns:r="http://schemas.openxmlformats.org/officeDocument/2006/relationships" ref="P594" r:id="rId515"/>
    <hyperlink xmlns:r="http://schemas.openxmlformats.org/officeDocument/2006/relationships" ref="P595" r:id="rId516"/>
    <hyperlink xmlns:r="http://schemas.openxmlformats.org/officeDocument/2006/relationships" ref="P596" r:id="rId517"/>
    <hyperlink xmlns:r="http://schemas.openxmlformats.org/officeDocument/2006/relationships" ref="P597" r:id="rId518"/>
    <hyperlink xmlns:r="http://schemas.openxmlformats.org/officeDocument/2006/relationships" ref="P598" r:id="rId519"/>
    <hyperlink xmlns:r="http://schemas.openxmlformats.org/officeDocument/2006/relationships" ref="P599" r:id="rId520"/>
    <hyperlink xmlns:r="http://schemas.openxmlformats.org/officeDocument/2006/relationships" ref="P600" r:id="rId521"/>
    <hyperlink xmlns:r="http://schemas.openxmlformats.org/officeDocument/2006/relationships" ref="P601" r:id="rId522"/>
    <hyperlink xmlns:r="http://schemas.openxmlformats.org/officeDocument/2006/relationships" ref="P602" r:id="rId523"/>
    <hyperlink xmlns:r="http://schemas.openxmlformats.org/officeDocument/2006/relationships" ref="P606" r:id="rId524"/>
    <hyperlink xmlns:r="http://schemas.openxmlformats.org/officeDocument/2006/relationships" ref="P607" r:id="rId525"/>
    <hyperlink xmlns:r="http://schemas.openxmlformats.org/officeDocument/2006/relationships" ref="P609" r:id="rId526"/>
    <hyperlink xmlns:r="http://schemas.openxmlformats.org/officeDocument/2006/relationships" ref="P610" r:id="rId527"/>
    <hyperlink xmlns:r="http://schemas.openxmlformats.org/officeDocument/2006/relationships" ref="P612" r:id="rId528"/>
    <hyperlink xmlns:r="http://schemas.openxmlformats.org/officeDocument/2006/relationships" ref="P613" r:id="rId529"/>
    <hyperlink xmlns:r="http://schemas.openxmlformats.org/officeDocument/2006/relationships" ref="P616" r:id="rId530"/>
    <hyperlink xmlns:r="http://schemas.openxmlformats.org/officeDocument/2006/relationships" ref="P617" r:id="rId531"/>
    <hyperlink xmlns:r="http://schemas.openxmlformats.org/officeDocument/2006/relationships" ref="P618" r:id="rId532"/>
    <hyperlink xmlns:r="http://schemas.openxmlformats.org/officeDocument/2006/relationships" ref="P620" r:id="rId533"/>
    <hyperlink xmlns:r="http://schemas.openxmlformats.org/officeDocument/2006/relationships" ref="P621" r:id="rId534"/>
    <hyperlink xmlns:r="http://schemas.openxmlformats.org/officeDocument/2006/relationships" ref="P623" r:id="rId535"/>
    <hyperlink xmlns:r="http://schemas.openxmlformats.org/officeDocument/2006/relationships" ref="P624" r:id="rId536"/>
    <hyperlink xmlns:r="http://schemas.openxmlformats.org/officeDocument/2006/relationships" ref="P625" r:id="rId537"/>
    <hyperlink xmlns:r="http://schemas.openxmlformats.org/officeDocument/2006/relationships" ref="P626" r:id="rId538"/>
  </hyperlink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P765"/>
  <sheetViews>
    <sheetView topLeftCell="A3" zoomScale="85" zoomScaleNormal="85" workbookViewId="0">
      <pane ySplit="8" topLeftCell="A319" activePane="bottomLeft" state="frozen"/>
      <selection activeCell="A3" sqref="A3"/>
      <selection pane="bottomLeft" activeCell="J631" sqref="J631:O631"/>
    </sheetView>
  </sheetViews>
  <sheetFormatPr baseColWidth="10" defaultColWidth="11.44140625" defaultRowHeight="14.4"/>
  <cols>
    <col width="3.109375" customWidth="1" min="1" max="1"/>
    <col width="12.44140625" customWidth="1" min="2" max="2"/>
    <col width="13.5546875" customWidth="1" min="3" max="3"/>
    <col width="19.109375" customWidth="1" min="4" max="4"/>
    <col width="18.5546875" customWidth="1" min="5" max="5"/>
    <col width="18.88671875" customWidth="1" min="6" max="6"/>
    <col width="18.109375" customWidth="1" min="7" max="7"/>
    <col width="18" customWidth="1" min="8" max="8"/>
    <col width="30.44140625" customWidth="1" min="9" max="9"/>
    <col width="17.109375" bestFit="1" customWidth="1" min="10" max="10"/>
    <col width="12.5546875" customWidth="1" min="11" max="11"/>
    <col width="10.44140625" bestFit="1" customWidth="1" min="12" max="12"/>
    <col width="23.5546875" customWidth="1" min="13" max="13"/>
    <col width="32.44140625" customWidth="1" min="14" max="14"/>
    <col width="39" customWidth="1" min="15" max="15"/>
  </cols>
  <sheetData>
    <row r="1" ht="15" customHeight="1" thickBot="1">
      <c r="A1" s="108" t="n"/>
      <c r="B1" s="109" t="n"/>
      <c r="C1" s="275" t="n"/>
      <c r="D1" s="275" t="n"/>
      <c r="E1" s="275" t="n"/>
      <c r="F1" s="275" t="n"/>
      <c r="G1" s="275" t="n"/>
      <c r="H1" s="275" t="n"/>
      <c r="I1" s="275" t="n"/>
      <c r="J1" s="109" t="n"/>
      <c r="K1" s="109" t="n"/>
      <c r="L1" s="109" t="n"/>
      <c r="M1" s="109" t="n"/>
      <c r="N1" s="109" t="n"/>
      <c r="O1" s="109" t="n"/>
    </row>
    <row r="2">
      <c r="A2" s="108" t="n"/>
      <c r="B2" s="335" t="n"/>
      <c r="C2" s="296" t="n"/>
      <c r="D2" s="331" t="inlineStr">
        <is>
          <t>SEGUIMIENTO A COTIZACIONES - 2025</t>
        </is>
      </c>
      <c r="E2" s="296" t="n"/>
      <c r="F2" s="296" t="n"/>
      <c r="G2" s="296" t="n"/>
      <c r="H2" s="296" t="n"/>
      <c r="I2" s="296" t="n"/>
      <c r="J2" s="296" t="n"/>
      <c r="K2" s="296" t="n"/>
      <c r="L2" s="296" t="n"/>
      <c r="M2" s="296" t="n"/>
      <c r="N2" s="296" t="n"/>
      <c r="O2" s="298" t="n"/>
    </row>
    <row r="3">
      <c r="A3" s="108" t="n"/>
      <c r="B3" s="299" t="n"/>
      <c r="D3" s="299" t="n"/>
      <c r="O3" s="300" t="n"/>
    </row>
    <row r="4">
      <c r="A4" s="108" t="n"/>
      <c r="B4" s="299" t="n"/>
      <c r="D4" s="299" t="n"/>
      <c r="O4" s="300" t="n"/>
    </row>
    <row r="5">
      <c r="A5" s="108" t="n"/>
      <c r="B5" s="299" t="n"/>
      <c r="D5" s="299" t="n"/>
      <c r="O5" s="300" t="n"/>
    </row>
    <row r="6">
      <c r="A6" s="108" t="n"/>
      <c r="B6" s="299" t="n"/>
      <c r="D6" s="299" t="n"/>
      <c r="O6" s="300" t="n"/>
    </row>
    <row r="7">
      <c r="A7" s="108" t="n"/>
      <c r="B7" s="299" t="n"/>
      <c r="D7" s="299" t="n"/>
      <c r="O7" s="300" t="n"/>
    </row>
    <row r="8">
      <c r="A8" s="108" t="n"/>
      <c r="B8" s="299" t="n"/>
      <c r="D8" s="299" t="n"/>
      <c r="O8" s="300" t="n"/>
    </row>
    <row r="9" ht="15" customHeight="1" thickBot="1">
      <c r="A9" s="108" t="n"/>
      <c r="B9" s="301" t="n"/>
      <c r="C9" s="302" t="n"/>
      <c r="D9" s="301" t="n"/>
      <c r="E9" s="302" t="n"/>
      <c r="F9" s="302" t="n"/>
      <c r="G9" s="302" t="n"/>
      <c r="H9" s="302" t="n"/>
      <c r="I9" s="302" t="n"/>
      <c r="J9" s="302" t="n"/>
      <c r="K9" s="302" t="n"/>
      <c r="L9" s="302" t="n"/>
      <c r="M9" s="302" t="n"/>
      <c r="N9" s="302" t="n"/>
      <c r="O9" s="303" t="n"/>
    </row>
    <row r="10" ht="27.6" customHeight="1">
      <c r="A10" s="108" t="n"/>
      <c r="B10" s="179" t="inlineStr">
        <is>
          <t>Número de cotización</t>
        </is>
      </c>
      <c r="C10" s="236" t="inlineStr">
        <is>
          <t>Descripción de la cotización</t>
        </is>
      </c>
      <c r="D10" s="332" t="n"/>
      <c r="E10" s="332" t="n"/>
      <c r="F10" s="332" t="n"/>
      <c r="G10" s="332" t="n"/>
      <c r="H10" s="333" t="n"/>
      <c r="I10" s="195" t="inlineStr">
        <is>
          <t>Cliente</t>
        </is>
      </c>
      <c r="J10" s="191" t="inlineStr">
        <is>
          <t>Valor sin IVA</t>
        </is>
      </c>
      <c r="K10" s="193" t="inlineStr">
        <is>
          <t>Fecha de cotización</t>
        </is>
      </c>
      <c r="L10" s="193" t="inlineStr">
        <is>
          <t>Aprobado</t>
        </is>
      </c>
      <c r="M10" s="195" t="inlineStr">
        <is>
          <t>Telefono</t>
        </is>
      </c>
      <c r="N10" s="195" t="inlineStr">
        <is>
          <t>Persona Encargada</t>
        </is>
      </c>
      <c r="O10" s="195" t="inlineStr">
        <is>
          <t>Correo</t>
        </is>
      </c>
    </row>
    <row r="11" hidden="1">
      <c r="A11" s="108" t="n"/>
      <c r="B11" s="39" t="n">
        <v>1</v>
      </c>
      <c r="C11" s="279" t="inlineStr">
        <is>
          <t>COTIZACION DEL ANÁLISIS DE SEGURIDAD HUMANA - MALL LA KONDINA</t>
        </is>
      </c>
      <c r="I11" s="39" t="inlineStr">
        <is>
          <t>Raíz Constructora</t>
        </is>
      </c>
      <c r="J11" s="336" t="n">
        <v>4950000</v>
      </c>
      <c r="K11" s="112" t="n">
        <v>45666</v>
      </c>
      <c r="L11" s="39" t="n"/>
      <c r="M11" s="39" t="n">
        <v>3113555383</v>
      </c>
      <c r="N11" s="113" t="inlineStr">
        <is>
          <t>Daniel Fernando Hernandez</t>
        </is>
      </c>
      <c r="O11" s="114" t="inlineStr">
        <is>
          <t>coordinadorobra@gruporaiz.com.co</t>
        </is>
      </c>
    </row>
    <row r="12" hidden="1">
      <c r="A12" s="108" t="n"/>
      <c r="B12" s="39" t="n">
        <v>2</v>
      </c>
      <c r="C12" s="279" t="inlineStr">
        <is>
          <t>COTIZACION DEL ANÁLISIS DE SEGURIDAD HUMANA - ALTA KONDINA</t>
        </is>
      </c>
      <c r="I12" s="39" t="inlineStr">
        <is>
          <t>Raíz Constructora</t>
        </is>
      </c>
      <c r="J12" s="336" t="n">
        <v>7550000</v>
      </c>
      <c r="K12" s="112" t="n">
        <v>45666</v>
      </c>
      <c r="L12" s="39" t="n"/>
      <c r="M12" s="39" t="n">
        <v>3113555383</v>
      </c>
      <c r="N12" s="113" t="inlineStr">
        <is>
          <t>Daniel Fernando Hernandez</t>
        </is>
      </c>
      <c r="O12" s="114" t="inlineStr">
        <is>
          <t>coordinadorobra@gruporaiz.com.co</t>
        </is>
      </c>
    </row>
    <row r="13" hidden="1">
      <c r="A13" s="108" t="n"/>
      <c r="B13" s="39" t="n">
        <v>3</v>
      </c>
      <c r="C13" s="278" t="inlineStr">
        <is>
          <t>COTIZACION DE LOS DISEÑOS DE PROTECCIÓN CONTRA INCENDIOS - VILLA CAMPESTRE</t>
        </is>
      </c>
      <c r="I13" s="39" t="inlineStr">
        <is>
          <t>Fire y Equipos</t>
        </is>
      </c>
      <c r="J13" s="336" t="n">
        <v>15950000</v>
      </c>
      <c r="K13" s="112" t="n">
        <v>45670</v>
      </c>
      <c r="L13" s="39" t="n"/>
      <c r="M13" s="39" t="n">
        <v>3134451063</v>
      </c>
      <c r="N13" s="39" t="inlineStr">
        <is>
          <t>Juan Jose Monsalve</t>
        </is>
      </c>
      <c r="O13" s="116" t="inlineStr">
        <is>
          <t>dir.proyectos@goodgroup.com.co</t>
        </is>
      </c>
    </row>
    <row r="14" hidden="1">
      <c r="A14" s="108" t="n"/>
      <c r="B14" s="39" t="n">
        <v>4</v>
      </c>
      <c r="C14" s="278" t="inlineStr">
        <is>
          <t>COTIZACION DE LOS DISEÑOS DE SEGURIDAD HUMANA Y PROTECCIÓN CONTRA INCENDIOS - OLMO</t>
        </is>
      </c>
      <c r="I14" s="39" t="inlineStr">
        <is>
          <t>Vértice</t>
        </is>
      </c>
      <c r="J14" s="336" t="n">
        <v>26590000</v>
      </c>
      <c r="K14" s="112" t="n">
        <v>45671</v>
      </c>
      <c r="L14" s="39" t="n"/>
      <c r="M14" s="39" t="n">
        <v>3216438520</v>
      </c>
      <c r="N14" s="39" t="inlineStr">
        <is>
          <t>Luz Aleidy Cuartas Pérez</t>
        </is>
      </c>
      <c r="O14" s="52" t="inlineStr">
        <is>
          <t>dcv@altosdelaabadia.com</t>
        </is>
      </c>
    </row>
    <row r="15" hidden="1">
      <c r="A15" s="108" t="n"/>
      <c r="B15" s="39" t="n">
        <v>5</v>
      </c>
      <c r="C15" s="278" t="inlineStr">
        <is>
          <t>COTIZACION DE LOS DISEÑOS DE SEGURIDAD HUMANA Y DETECCIÓN DE INCENDIOS - VIEW POINT ETAPA 2</t>
        </is>
      </c>
      <c r="I15" s="39" t="inlineStr">
        <is>
          <t>Coninsa</t>
        </is>
      </c>
      <c r="J15" s="336" t="n">
        <v>10960000</v>
      </c>
      <c r="K15" s="112" t="n">
        <v>45671</v>
      </c>
      <c r="L15" s="39" t="n"/>
      <c r="M15" s="39" t="n">
        <v>3155264386</v>
      </c>
      <c r="N15" s="102" t="inlineStr">
        <is>
          <t xml:space="preserve"> Yuliana Tamayo Zapata </t>
        </is>
      </c>
      <c r="O15" s="52" t="inlineStr">
        <is>
          <t>ytamayo@coninsa.co</t>
        </is>
      </c>
    </row>
    <row r="16" hidden="1">
      <c r="A16" s="108" t="n"/>
      <c r="B16" s="39" t="n">
        <v>6</v>
      </c>
      <c r="C16" s="278" t="inlineStr">
        <is>
          <t>COTIZACION DE LOS DISEÑOS DE SEGURIDAD HUMANA Y PROTECCIÓN CONTRA INCENDIOS - ACC Y ADS PAILITAS</t>
        </is>
      </c>
      <c r="I16" s="39" t="inlineStr">
        <is>
          <t>SRAIC</t>
        </is>
      </c>
      <c r="J16" s="336" t="inlineStr">
        <is>
          <t>Variable</t>
        </is>
      </c>
      <c r="K16" s="112" t="n">
        <v>45671</v>
      </c>
      <c r="L16" s="39" t="n"/>
      <c r="M16" s="39" t="n">
        <v>3022295772</v>
      </c>
      <c r="N16" s="39" t="inlineStr">
        <is>
          <t>Aurora Rios</t>
        </is>
      </c>
      <c r="O16" s="52" t="inlineStr">
        <is>
          <t>proyectos@santiagorojas.com.co</t>
        </is>
      </c>
    </row>
    <row r="17" hidden="1">
      <c r="A17" s="108" t="n"/>
      <c r="B17" s="39" t="n">
        <v>7</v>
      </c>
      <c r="C17" s="278" t="inlineStr">
        <is>
          <t>CRISTIAM NO PASÓ A TIEMPO LA INFORMACIÓN Y NO SE PUDO COTIZAR EL PROYECTO</t>
        </is>
      </c>
      <c r="I17" s="39" t="inlineStr">
        <is>
          <t>SPCI</t>
        </is>
      </c>
      <c r="J17" s="336" t="inlineStr">
        <is>
          <t>NO SE COTIZÓ</t>
        </is>
      </c>
      <c r="K17" s="112" t="n">
        <v>45671</v>
      </c>
      <c r="L17" s="39" t="n"/>
      <c r="M17" s="39" t="n">
        <v>3104165783</v>
      </c>
      <c r="N17" s="39" t="inlineStr">
        <is>
          <t>Cristiam Gustavo Mondragon</t>
        </is>
      </c>
      <c r="O17" s="52" t="inlineStr">
        <is>
          <t>dir.tecnico@spci.com.co</t>
        </is>
      </c>
    </row>
    <row r="18" hidden="1">
      <c r="A18" s="108" t="n"/>
      <c r="B18" s="39" t="n">
        <v>8</v>
      </c>
      <c r="C18" s="278" t="inlineStr">
        <is>
          <t>COTIZACION DEL DISEÑO DE DETECCIÓN DE INCENDIOS - DETECCIÓN ZONA GLP</t>
        </is>
      </c>
      <c r="I18" s="39" t="inlineStr">
        <is>
          <t>SPCI</t>
        </is>
      </c>
      <c r="J18" s="336" t="n">
        <v>2500000</v>
      </c>
      <c r="K18" s="112" t="n">
        <v>45671</v>
      </c>
      <c r="L18" s="39" t="n"/>
      <c r="M18" s="39" t="n">
        <v>3104203649</v>
      </c>
      <c r="N18" s="39" t="inlineStr">
        <is>
          <t>Mauricio Guzman</t>
        </is>
      </c>
      <c r="O18" s="52" t="inlineStr">
        <is>
          <t>mauricio.guzman@spci.com.co</t>
        </is>
      </c>
    </row>
    <row r="19" hidden="1">
      <c r="A19" s="108" t="n"/>
      <c r="B19" s="39" t="n">
        <v>9</v>
      </c>
      <c r="C19" s="278" t="inlineStr">
        <is>
          <t>COTIZACION DE LOS DISEÑOS DE PROTECCIÓN CONTRA INCENDIOS - PLAZA DE MERCADO ANDES</t>
        </is>
      </c>
      <c r="I19" s="39" t="inlineStr">
        <is>
          <t>Socomes</t>
        </is>
      </c>
      <c r="J19" s="336" t="n">
        <v>13170000</v>
      </c>
      <c r="K19" s="112" t="n">
        <v>45671</v>
      </c>
      <c r="L19" s="39" t="n"/>
      <c r="M19" s="39" t="n">
        <v>3137851941</v>
      </c>
      <c r="N19" s="39" t="inlineStr">
        <is>
          <t>David Lopera medina</t>
        </is>
      </c>
      <c r="O19" s="52" t="inlineStr">
        <is>
          <t>david.lopera@socomes.com</t>
        </is>
      </c>
    </row>
    <row r="20" hidden="1">
      <c r="A20" s="108" t="n"/>
      <c r="B20" s="39" t="n">
        <v>10</v>
      </c>
      <c r="C20" s="278" t="inlineStr">
        <is>
          <t>COTIZACION DE LOS DISEÑOS DE PROTECCIÓN CONTRA INCENDIOS - PLAZA DE MERCADO ANDES</t>
        </is>
      </c>
      <c r="I20" s="39" t="inlineStr">
        <is>
          <t>Ingesed</t>
        </is>
      </c>
      <c r="J20" s="336" t="n">
        <v>13170000</v>
      </c>
      <c r="K20" s="112" t="n">
        <v>45671</v>
      </c>
      <c r="L20" s="39" t="n"/>
      <c r="M20" s="39" t="n">
        <v>3135401714</v>
      </c>
      <c r="N20" s="39" t="inlineStr">
        <is>
          <t xml:space="preserve"> Eliana Isabel Cardona Ríos</t>
        </is>
      </c>
      <c r="O20" s="52" t="inlineStr">
        <is>
          <t>comercial@ingesed.com</t>
        </is>
      </c>
    </row>
    <row r="21" hidden="1">
      <c r="A21" s="108" t="n"/>
      <c r="B21" s="39" t="n">
        <v>11</v>
      </c>
      <c r="C21" s="278" t="inlineStr">
        <is>
          <t>COTIZACION DE LOS DISEÑOS DE SEGURIDAD HUMANA Y PROTECCIÓN CONTRA INCENDIOS - MIC GUARNE</t>
        </is>
      </c>
      <c r="I21" s="39" t="inlineStr">
        <is>
          <t>Jomark Seguridad SAS</t>
        </is>
      </c>
      <c r="J21" s="336" t="n">
        <v>19950000</v>
      </c>
      <c r="K21" s="112" t="n">
        <v>45671</v>
      </c>
      <c r="L21" s="39" t="n"/>
      <c r="M21" s="39" t="n">
        <v>3194913179</v>
      </c>
      <c r="N21" s="103" t="inlineStr">
        <is>
          <t>Carlos Almanya Patiño</t>
        </is>
      </c>
      <c r="O21" s="52" t="inlineStr">
        <is>
          <t>calmanya@jomarkseguridad.com</t>
        </is>
      </c>
    </row>
    <row r="22" hidden="1">
      <c r="A22" s="108" t="n"/>
      <c r="B22" s="39" t="n">
        <v>12</v>
      </c>
      <c r="C22" s="278" t="inlineStr">
        <is>
          <t>COTIZACION DE LOS DISEÑOS DE SEGURIDAD HUMANA Y PROTECCIÓN CONTRA INCENDIOS - MAZDA VEGAS</t>
        </is>
      </c>
      <c r="I22" s="39" t="inlineStr">
        <is>
          <t>Jomark Seguridad SAS</t>
        </is>
      </c>
      <c r="J22" s="336" t="n">
        <v>19850000</v>
      </c>
      <c r="K22" s="112" t="n">
        <v>45671</v>
      </c>
      <c r="L22" s="39" t="n"/>
      <c r="M22" s="39" t="n">
        <v>3194913179</v>
      </c>
      <c r="N22" s="103" t="inlineStr">
        <is>
          <t>Carlos Almanya Patiño</t>
        </is>
      </c>
      <c r="O22" s="52" t="inlineStr">
        <is>
          <t>calmanya@jomarkseguridad.com</t>
        </is>
      </c>
    </row>
    <row r="23" hidden="1">
      <c r="A23" s="108" t="n"/>
      <c r="B23" s="39" t="n">
        <v>13</v>
      </c>
      <c r="C23" s="278" t="inlineStr">
        <is>
          <t>COTIZACION DE LOS DISEÑOS DE SEGURIDAD HUMANA Y PROTECCIÓN CONTRA INCENDIOS - CANCHAS PADEL</t>
        </is>
      </c>
      <c r="I23" s="39" t="inlineStr">
        <is>
          <t>Coninsa</t>
        </is>
      </c>
      <c r="J23" s="336" t="n">
        <v>6950000</v>
      </c>
      <c r="K23" s="112" t="n">
        <v>45672</v>
      </c>
      <c r="L23" s="39" t="n"/>
      <c r="M23" s="39" t="n">
        <v>3155264386</v>
      </c>
      <c r="N23" s="102" t="inlineStr">
        <is>
          <t xml:space="preserve"> Yuliana Tamayo Zapata </t>
        </is>
      </c>
      <c r="O23" s="52" t="inlineStr">
        <is>
          <t>ytamayo@coninsa.co</t>
        </is>
      </c>
    </row>
    <row r="24" hidden="1">
      <c r="A24" s="108" t="n"/>
      <c r="B24" s="39" t="n">
        <v>14</v>
      </c>
      <c r="C24" s="278" t="inlineStr">
        <is>
          <t>COTIZACION DEL DISEÑO DE EXTINCIÓN DE INCENDIOS - BODEGA 4000 M2 LA ESTRELLA</t>
        </is>
      </c>
      <c r="I24" s="39" t="inlineStr">
        <is>
          <t>ITC Diseños</t>
        </is>
      </c>
      <c r="J24" s="336" t="n">
        <v>18000000</v>
      </c>
      <c r="K24" s="112" t="n">
        <v>45674</v>
      </c>
      <c r="L24" s="39" t="n"/>
      <c r="M24" s="39" t="n">
        <v>3044003430</v>
      </c>
      <c r="N24" s="39" t="inlineStr">
        <is>
          <t>Gino Alejandro Montoya</t>
        </is>
      </c>
      <c r="O24" s="52" t="inlineStr">
        <is>
          <t>gino1037@hotmail.com</t>
        </is>
      </c>
    </row>
    <row r="25" hidden="1">
      <c r="A25" s="108" t="n"/>
      <c r="B25" s="39" t="n">
        <v>15</v>
      </c>
      <c r="C25" s="278" t="inlineStr">
        <is>
          <t>COTIZACION DE LOS DISEÑOS DE PROTECCIÓN CONTRA INCENDIOS - CREACIONES APICE</t>
        </is>
      </c>
      <c r="I25" s="39" t="inlineStr">
        <is>
          <t>SPCI</t>
        </is>
      </c>
      <c r="J25" s="336" t="n">
        <v>25810000</v>
      </c>
      <c r="K25" s="112" t="n">
        <v>45674</v>
      </c>
      <c r="L25" s="39" t="n"/>
      <c r="M25" s="39" t="n">
        <v>3104165783</v>
      </c>
      <c r="N25" s="39" t="inlineStr">
        <is>
          <t>Cristiam Gustavo Mondragon</t>
        </is>
      </c>
      <c r="O25" s="52" t="inlineStr">
        <is>
          <t>dir.tecnico@spci.com.co</t>
        </is>
      </c>
    </row>
    <row r="26" hidden="1">
      <c r="A26" s="108" t="n"/>
      <c r="B26" s="39" t="n">
        <v>16</v>
      </c>
      <c r="C26" s="278" t="inlineStr">
        <is>
          <t>COTIZACION DEL ANÁLISIS DE SEGURIDAD HUMANA - EL PRADO</t>
        </is>
      </c>
      <c r="I26" s="39" t="inlineStr">
        <is>
          <t>OTACC</t>
        </is>
      </c>
      <c r="J26" s="336" t="n">
        <v>10670000</v>
      </c>
      <c r="K26" s="112" t="n">
        <v>45677</v>
      </c>
      <c r="L26" s="39" t="n"/>
      <c r="M26" s="39" t="n">
        <v>3107195105</v>
      </c>
      <c r="N26" s="39" t="inlineStr">
        <is>
          <t>Alejandra Rodriguez Sandoval</t>
        </is>
      </c>
      <c r="O26" s="52" t="inlineStr">
        <is>
          <t>jrodriguez@otacc.com</t>
        </is>
      </c>
    </row>
    <row r="27" hidden="1">
      <c r="A27" s="108" t="n"/>
      <c r="B27" s="39" t="n">
        <v>17</v>
      </c>
      <c r="C27" s="278" t="inlineStr">
        <is>
          <t>COTIZACION DE LOS DISEÑOS DE SEGURIDAD HUMANA Y PROTECCIÓN CONTRA INCENDIOS - EL ESMERALDAL</t>
        </is>
      </c>
      <c r="I27" s="39" t="inlineStr">
        <is>
          <t>Ingesed</t>
        </is>
      </c>
      <c r="J27" s="336" t="n">
        <v>17950000</v>
      </c>
      <c r="K27" s="112" t="n">
        <v>45677</v>
      </c>
      <c r="L27" s="39" t="n"/>
      <c r="M27" s="39" t="n">
        <v>3135401714</v>
      </c>
      <c r="N27" s="39" t="inlineStr">
        <is>
          <t xml:space="preserve"> Eliana Isabel Cardona Ríos</t>
        </is>
      </c>
      <c r="O27" s="52" t="inlineStr">
        <is>
          <t>comercial@ingesed.com</t>
        </is>
      </c>
    </row>
    <row r="28" hidden="1">
      <c r="A28" s="108" t="n"/>
      <c r="B28" s="39" t="n">
        <v>18</v>
      </c>
      <c r="C28" s="278" t="inlineStr">
        <is>
          <t>COTIZACION DE LOS DISEÑOS DE SEGURIDAD HUMANA Y PROTECCIÓN CONTRA INCENDIOS - VERMONTE TORRE 3</t>
        </is>
      </c>
      <c r="I28" s="39" t="inlineStr">
        <is>
          <t>Intervé</t>
        </is>
      </c>
      <c r="J28" s="336" t="n">
        <v>7650000</v>
      </c>
      <c r="K28" s="112" t="n">
        <v>45674</v>
      </c>
      <c r="L28" s="39" t="n"/>
      <c r="M28" s="39" t="n">
        <v>3012409366</v>
      </c>
      <c r="N28" s="39" t="inlineStr">
        <is>
          <t xml:space="preserve">Humberto Acevedo </t>
        </is>
      </c>
      <c r="O28" s="52" t="inlineStr">
        <is>
          <t>hacevedo@interve.co</t>
        </is>
      </c>
    </row>
    <row r="29" hidden="1">
      <c r="A29" s="108" t="n"/>
      <c r="B29" s="39" t="n">
        <v>19</v>
      </c>
      <c r="C29" s="278" t="inlineStr">
        <is>
          <t>COTIZACION DE LOS DISEÑOS DE SEGURIDAD HUMANA Y PROTECCIÓN CONTRA INCENDIOS - PLAZA EL AGUA</t>
        </is>
      </c>
      <c r="I29" s="39" t="inlineStr">
        <is>
          <t>Condiseño</t>
        </is>
      </c>
      <c r="J29" s="336" t="n">
        <v>14850000</v>
      </c>
      <c r="K29" s="112" t="n">
        <v>45677</v>
      </c>
      <c r="L29" s="39" t="n"/>
      <c r="M29" s="39" t="n">
        <v>3175594091</v>
      </c>
      <c r="N29" s="39" t="inlineStr">
        <is>
          <t>Nakary Garcia Romero</t>
        </is>
      </c>
      <c r="O29" s="52" t="inlineStr">
        <is>
          <t>n.garcia@condiseno.co</t>
        </is>
      </c>
    </row>
    <row r="30" hidden="1" ht="14.25" customHeight="1">
      <c r="A30" s="108" t="n"/>
      <c r="B30" s="39" t="n">
        <v>20</v>
      </c>
      <c r="C30" s="278" t="inlineStr">
        <is>
          <t>COTIZACION DE LOS DISEÑOS DE PROTECCIÓN CONTRA INCENDIOS Y SEGURIDAD HUMANA PARA EL PROYECTO MALL COMERCIAL NATAL</t>
        </is>
      </c>
      <c r="I30" s="39" t="inlineStr">
        <is>
          <t>RRP</t>
        </is>
      </c>
      <c r="J30" s="336" t="n">
        <v>11520000</v>
      </c>
      <c r="K30" s="112" t="n">
        <v>45677</v>
      </c>
      <c r="L30" s="39" t="n"/>
      <c r="M30" s="39" t="n"/>
      <c r="N30" s="39" t="inlineStr">
        <is>
          <t>Daniel Andrés Restrepo Ríos</t>
        </is>
      </c>
      <c r="O30" s="52" t="inlineStr">
        <is>
          <t>danielrestrepo0804@gmail.com</t>
        </is>
      </c>
    </row>
    <row r="31" hidden="1">
      <c r="A31" s="108" t="n"/>
      <c r="B31" s="39" t="n">
        <v>21</v>
      </c>
      <c r="C31" s="278" t="inlineStr">
        <is>
          <t>COTIZACION DE LOS DISEÑOS DE SEGURIDAD HUMANA Y PROTECCIÓN CONTRA INCENDIOS - PROYECTO GIN</t>
        </is>
      </c>
      <c r="I31" s="39" t="inlineStr">
        <is>
          <t>FCR</t>
        </is>
      </c>
      <c r="J31" s="336" t="n">
        <v>24840000</v>
      </c>
      <c r="K31" s="112" t="n">
        <v>45677</v>
      </c>
      <c r="L31" s="39" t="n"/>
      <c r="M31" s="39" t="inlineStr">
        <is>
          <t>310 5304562</t>
        </is>
      </c>
      <c r="N31" s="39" t="inlineStr">
        <is>
          <t xml:space="preserve">Vanessa Zapata </t>
        </is>
      </c>
      <c r="O31" s="52" t="inlineStr">
        <is>
          <t>vanessazapata.fcr@gmail.com</t>
        </is>
      </c>
    </row>
    <row r="32" hidden="1">
      <c r="A32" s="108" t="n"/>
      <c r="B32" s="39" t="n">
        <v>22</v>
      </c>
      <c r="C32" s="278" t="inlineStr">
        <is>
          <t>COTIZACION DEL ANÁLISIS DE SEGURIDAD HUMANA - CLÍNICA PEDIÁTRICA COLSUBSIDIO</t>
        </is>
      </c>
      <c r="I32" s="39" t="inlineStr">
        <is>
          <t>Condiseño</t>
        </is>
      </c>
      <c r="J32" s="336" t="n">
        <v>14000000</v>
      </c>
      <c r="K32" s="112" t="n">
        <v>45678</v>
      </c>
      <c r="L32" s="39" t="n"/>
      <c r="M32" s="39" t="n">
        <v>3175594091</v>
      </c>
      <c r="N32" s="39" t="inlineStr">
        <is>
          <t>Nakary Garcia Romero</t>
        </is>
      </c>
      <c r="O32" s="52" t="inlineStr">
        <is>
          <t>n.garcia@condiseno.co</t>
        </is>
      </c>
    </row>
    <row r="33" hidden="1">
      <c r="A33" s="108" t="n"/>
      <c r="B33" s="39" t="n">
        <v>23</v>
      </c>
      <c r="C33" s="278" t="inlineStr">
        <is>
          <t>COTIZACION DE LOS DISEÑOS DE PROTECCIÓN CONTRA INCENDIOS - PISOS 36 37 38 Y 40 TORRE COLPATRIA</t>
        </is>
      </c>
      <c r="I33" s="39" t="inlineStr">
        <is>
          <t>SPCI</t>
        </is>
      </c>
      <c r="J33" s="336">
        <f>7900000+4010000</f>
        <v/>
      </c>
      <c r="K33" s="112" t="n">
        <v>45679</v>
      </c>
      <c r="L33" s="39" t="n"/>
      <c r="M33" s="39" t="n">
        <v>3104165783</v>
      </c>
      <c r="N33" s="39" t="inlineStr">
        <is>
          <t>Cristiam Gustavo Mondragon</t>
        </is>
      </c>
      <c r="O33" s="52" t="inlineStr">
        <is>
          <t>dir.tecnico@spci.com.co</t>
        </is>
      </c>
    </row>
    <row r="34" hidden="1">
      <c r="A34" s="108" t="n"/>
      <c r="B34" s="39" t="n">
        <v>24</v>
      </c>
      <c r="C34" s="278" t="inlineStr">
        <is>
          <t>COTIZACION DE LOS PLANOS Y CANTIDADES DE SEÑALIZACIÓN DE EMERGENCIA - BODEGA CA-20</t>
        </is>
      </c>
      <c r="I34" s="39" t="inlineStr">
        <is>
          <t>Fire Marshal</t>
        </is>
      </c>
      <c r="J34" s="336" t="n">
        <v>2500000</v>
      </c>
      <c r="K34" s="112" t="n">
        <v>45679</v>
      </c>
      <c r="L34" s="39" t="n"/>
      <c r="M34" s="39" t="n">
        <v>3224188478</v>
      </c>
      <c r="N34" s="39" t="inlineStr">
        <is>
          <t>Andrea Núñez</t>
        </is>
      </c>
      <c r="O34" s="52" t="inlineStr">
        <is>
          <t>andreanunez@firemarshal.com.co</t>
        </is>
      </c>
    </row>
    <row r="35" hidden="1" ht="15" customHeight="1">
      <c r="A35" s="108" t="n"/>
      <c r="B35" s="39" t="n">
        <v>25</v>
      </c>
      <c r="C35" s="278" t="inlineStr">
        <is>
          <t>COTIZACION DEL ANÁLISIS DE SEGURIDAD HUMANA - SERENA</t>
        </is>
      </c>
      <c r="I35" s="39" t="inlineStr">
        <is>
          <t>Conconcreto</t>
        </is>
      </c>
      <c r="J35" s="336" t="n">
        <v>6270000</v>
      </c>
      <c r="K35" s="112" t="n">
        <v>45679</v>
      </c>
      <c r="L35" s="39" t="n"/>
      <c r="M35" s="39" t="n">
        <v>3148721400</v>
      </c>
      <c r="N35" s="39" t="inlineStr">
        <is>
          <t>Adriana Agudelo López</t>
        </is>
      </c>
      <c r="O35" s="52" t="inlineStr">
        <is>
          <t>aagudelol@conconcreto.com</t>
        </is>
      </c>
    </row>
    <row r="36" hidden="1">
      <c r="A36" s="108" t="n"/>
      <c r="B36" s="39" t="n">
        <v>26</v>
      </c>
      <c r="C36" s="278" t="inlineStr">
        <is>
          <t>COTIZACION DE LOS DISEÑOS DE SEGURIDAD HUMANA Y PROTECCIÓN CONTRA INCENDIOS - CENTRO DE CONVENCIONES ABURRA SUR</t>
        </is>
      </c>
      <c r="I36" s="39" t="inlineStr">
        <is>
          <t>Convel</t>
        </is>
      </c>
      <c r="J36" s="336" t="n">
        <v>14450000</v>
      </c>
      <c r="K36" s="112" t="n">
        <v>45679</v>
      </c>
      <c r="L36" s="39" t="n"/>
      <c r="M36" s="39" t="n">
        <v>3137337587</v>
      </c>
      <c r="N36" s="39" t="inlineStr">
        <is>
          <t>Juan Naranjo</t>
        </is>
      </c>
      <c r="O36" s="117" t="inlineStr">
        <is>
          <t>juannarajo@convel.co</t>
        </is>
      </c>
    </row>
    <row r="37" hidden="1">
      <c r="A37" s="108" t="n"/>
      <c r="B37" s="39" t="n">
        <v>27</v>
      </c>
      <c r="C37" s="278" t="inlineStr">
        <is>
          <t>COTIZACION DEL ANÁLISIS DE SEGURIDAD HUMANA - MAKURA</t>
        </is>
      </c>
      <c r="I37" s="39" t="inlineStr">
        <is>
          <t>Perfek</t>
        </is>
      </c>
      <c r="J37" s="336" t="n">
        <v>6270000</v>
      </c>
      <c r="K37" s="112" t="n">
        <v>45679</v>
      </c>
      <c r="L37" s="39" t="n"/>
      <c r="M37" s="39" t="n">
        <v>3148600291</v>
      </c>
      <c r="N37" s="39" t="inlineStr">
        <is>
          <t>Laura Cardona Cardona</t>
        </is>
      </c>
      <c r="O37" s="52" t="inlineStr">
        <is>
          <t>laura.cardona@perfek.com.co</t>
        </is>
      </c>
    </row>
    <row r="38" hidden="1">
      <c r="A38" s="108" t="n"/>
      <c r="B38" s="39" t="n">
        <v>28</v>
      </c>
      <c r="C38" s="278" t="inlineStr">
        <is>
          <t>COTIZACION DEL ANÁLISIS DE SEGURIDAD HUMANA - CLINICA CUCUTA 6.850 M2</t>
        </is>
      </c>
      <c r="I38" s="39" t="inlineStr">
        <is>
          <t>Condiseño</t>
        </is>
      </c>
      <c r="J38" s="336" t="n">
        <v>8780000</v>
      </c>
      <c r="K38" s="112" t="n">
        <v>45679</v>
      </c>
      <c r="L38" s="39" t="n"/>
      <c r="M38" s="39" t="n">
        <v>3175594091</v>
      </c>
      <c r="N38" s="39" t="inlineStr">
        <is>
          <t>Nakary Garcia Romero</t>
        </is>
      </c>
      <c r="O38" s="52" t="inlineStr">
        <is>
          <t>n.garcia@condiseno.co</t>
        </is>
      </c>
    </row>
    <row r="39" hidden="1">
      <c r="A39" s="108" t="n"/>
      <c r="B39" s="39" t="n">
        <v>29</v>
      </c>
      <c r="C39" s="278" t="inlineStr">
        <is>
          <t>COTIZACION DEL DISEÑO DE DETECCIÓN DE INCENDIOS - BODEGA QUIMICOS IMUSA</t>
        </is>
      </c>
      <c r="I39" s="39" t="inlineStr">
        <is>
          <t>SPCI</t>
        </is>
      </c>
      <c r="J39" s="336" t="n">
        <v>2500000</v>
      </c>
      <c r="K39" s="112" t="n">
        <v>45679</v>
      </c>
      <c r="L39" s="39" t="n"/>
      <c r="M39" s="39" t="n">
        <v>3104165783</v>
      </c>
      <c r="N39" s="39" t="inlineStr">
        <is>
          <t>Cristiam Gustavo Mondragon</t>
        </is>
      </c>
      <c r="O39" s="52" t="inlineStr">
        <is>
          <t>dir.tecnico@spci.com.co</t>
        </is>
      </c>
    </row>
    <row r="40" hidden="1">
      <c r="A40" s="108" t="n"/>
      <c r="B40" s="39" t="n">
        <v>30</v>
      </c>
      <c r="C40" s="278" t="inlineStr">
        <is>
          <t>COTIZACION DEL DISEÑO DE EXTINCIÓN DE INCENDIOS - BODEGAS PEREIRA</t>
        </is>
      </c>
      <c r="I40" s="39" t="inlineStr">
        <is>
          <t>Proyect &amp; solution</t>
        </is>
      </c>
      <c r="J40" s="336" t="n">
        <v>12500000</v>
      </c>
      <c r="K40" s="112" t="n">
        <v>45680</v>
      </c>
      <c r="L40" s="39" t="n"/>
      <c r="M40" s="39" t="inlineStr">
        <is>
          <t>311 3079477</t>
        </is>
      </c>
      <c r="N40" s="39" t="inlineStr">
        <is>
          <t>Sebastian Lopez Duque</t>
        </is>
      </c>
      <c r="O40" s="52" t="inlineStr">
        <is>
          <t>gerencia@projectsolutions.com.co</t>
        </is>
      </c>
    </row>
    <row r="41" hidden="1">
      <c r="A41" s="108" t="n"/>
      <c r="B41" s="39" t="n">
        <v>31</v>
      </c>
      <c r="C41" s="278" t="inlineStr">
        <is>
          <t>COTIZACION DE LOS DISEÑOS DE PROTECCIÓN CONTRA INCENDIOS - INSTITUCION EDUCATIVA LA LIBERTAD</t>
        </is>
      </c>
      <c r="I41" s="39" t="inlineStr">
        <is>
          <t>Desarrollo urbano Edu</t>
        </is>
      </c>
      <c r="J41" s="336" t="inlineStr">
        <is>
          <t>Variable</t>
        </is>
      </c>
      <c r="K41" s="112" t="n">
        <v>45681</v>
      </c>
      <c r="L41" s="39" t="n"/>
      <c r="M41" s="39" t="n">
        <v>3012547727</v>
      </c>
      <c r="N41" s="39" t="inlineStr">
        <is>
          <t>Mauricio Sepulveda</t>
        </is>
      </c>
      <c r="O41" s="116" t="n"/>
    </row>
    <row r="42" hidden="1" ht="15" customHeight="1">
      <c r="A42" s="108" t="n"/>
      <c r="B42" s="39" t="n">
        <v>32</v>
      </c>
      <c r="C42" s="278" t="inlineStr">
        <is>
          <t>COTIZACION DE LOS DISEÑOS DE PROTECCIÓN CONTRA INCENDIOS - ALTAMONTE</t>
        </is>
      </c>
      <c r="I42" s="39" t="inlineStr">
        <is>
          <t>Bitacora ingenieria</t>
        </is>
      </c>
      <c r="J42" s="336" t="n">
        <v>2950000</v>
      </c>
      <c r="K42" s="112" t="n">
        <v>45685</v>
      </c>
      <c r="L42" s="39" t="n"/>
      <c r="M42" s="39" t="n">
        <v>3006940601</v>
      </c>
      <c r="N42" s="39" t="inlineStr">
        <is>
          <t>Luisa Alarcón</t>
        </is>
      </c>
      <c r="O42" s="116" t="inlineStr">
        <is>
          <t>luisa.alarcon@bitacoraingenieria.com</t>
        </is>
      </c>
    </row>
    <row r="43" hidden="1">
      <c r="A43" s="108" t="n"/>
      <c r="B43" s="39" t="n">
        <v>33</v>
      </c>
      <c r="C43" s="278" t="inlineStr">
        <is>
          <t>COTIZACION DE LOS DISEÑOS DE SEGURIDAD HUMANA Y PROTECCIÓN CONTRA INCENDIOS - MALL SANTA CLARA (VIVARI)</t>
        </is>
      </c>
      <c r="I43" s="39" t="inlineStr">
        <is>
          <t>Arquitectura y concreto</t>
        </is>
      </c>
      <c r="J43" s="336" t="n">
        <v>66750000</v>
      </c>
      <c r="K43" s="112" t="n">
        <v>45684</v>
      </c>
      <c r="L43" s="39" t="n"/>
      <c r="M43" s="39" t="n">
        <v>3127218621</v>
      </c>
      <c r="N43" s="39" t="inlineStr">
        <is>
          <t xml:space="preserve">Robinson Marulanda Guarín </t>
        </is>
      </c>
      <c r="O43" s="116" t="inlineStr">
        <is>
          <t>robinsonmarulanda@arquitecturayconcreto.com</t>
        </is>
      </c>
    </row>
    <row r="44" hidden="1">
      <c r="A44" s="108" t="n"/>
      <c r="B44" s="39" t="n">
        <v>34</v>
      </c>
      <c r="C44" s="278" t="inlineStr">
        <is>
          <t>COTIZACION DE LOS DISEÑOS DE SEGURIDAD HUMANA Y PROTECCIÓN CONTRA INCENDIOS - SE VICTOR G Y N</t>
        </is>
      </c>
      <c r="I44" s="39" t="inlineStr">
        <is>
          <t>Entretangencia</t>
        </is>
      </c>
      <c r="J44" s="336" t="n">
        <v>21950000</v>
      </c>
      <c r="K44" s="112" t="n">
        <v>45684</v>
      </c>
      <c r="L44" s="39" t="n"/>
      <c r="M44" s="39" t="n">
        <v>3045239213</v>
      </c>
      <c r="N44" s="39" t="inlineStr">
        <is>
          <t>Daniel Bustamante</t>
        </is>
      </c>
      <c r="O44" s="116" t="inlineStr">
        <is>
          <t>gerencia@entretangencia.com</t>
        </is>
      </c>
    </row>
    <row r="45" hidden="1">
      <c r="A45" s="108" t="n"/>
      <c r="B45" s="39" t="n">
        <v>35</v>
      </c>
      <c r="C45" s="278" t="inlineStr">
        <is>
          <t>COTIZACION DEL DISEÑO DE DETECCIÓN DE INCENDIOS - HB FULLER</t>
        </is>
      </c>
      <c r="I45" s="39" t="inlineStr">
        <is>
          <t>Seriinco</t>
        </is>
      </c>
      <c r="J45" s="314" t="n">
        <v>12540000</v>
      </c>
      <c r="K45" s="112" t="n">
        <v>45685</v>
      </c>
      <c r="L45" s="2" t="n"/>
      <c r="M45" s="39" t="n">
        <v>3113391008</v>
      </c>
      <c r="N45" s="39" t="inlineStr">
        <is>
          <t>Carlos Henao</t>
        </is>
      </c>
      <c r="O45" s="155" t="inlineStr">
        <is>
          <t>carlos.henao@seriinco.com</t>
        </is>
      </c>
    </row>
    <row r="46" hidden="1">
      <c r="A46" s="108" t="n"/>
      <c r="B46" s="39" t="n">
        <v>36</v>
      </c>
      <c r="C46" s="278" t="inlineStr">
        <is>
          <t>COTIZACION DEL DISEÑO DE EXTINCIÓN DE INCENDIOS - CARPINELO</t>
        </is>
      </c>
      <c r="I46" s="39" t="inlineStr">
        <is>
          <t>Good group</t>
        </is>
      </c>
      <c r="J46" s="336" t="n">
        <v>1950000</v>
      </c>
      <c r="K46" s="112" t="n">
        <v>45685</v>
      </c>
      <c r="L46" s="39" t="n"/>
      <c r="M46" s="39" t="n">
        <v>3162963854</v>
      </c>
      <c r="N46" s="39" t="inlineStr">
        <is>
          <t>Deisy Duque</t>
        </is>
      </c>
      <c r="O46" s="116" t="inlineStr">
        <is>
          <t>operaciones@goodgroup.com.co</t>
        </is>
      </c>
    </row>
    <row r="47" hidden="1">
      <c r="A47" s="108" t="n"/>
      <c r="B47" s="39" t="n">
        <v>37</v>
      </c>
      <c r="C47" s="278" t="inlineStr">
        <is>
          <t>COTIZACION DE LOS DISEÑOS DE SEGURIDAD HUMANA Y PROTECCIÓN CONTRA INCENDIOS - VERBENA</t>
        </is>
      </c>
      <c r="I47" s="39" t="inlineStr">
        <is>
          <t>FCR</t>
        </is>
      </c>
      <c r="J47" s="336" t="n">
        <v>39510000</v>
      </c>
      <c r="K47" s="112" t="n">
        <v>45685</v>
      </c>
      <c r="L47" s="39" t="n"/>
      <c r="M47" s="39" t="n">
        <v>3014317086</v>
      </c>
      <c r="N47" s="39" t="inlineStr">
        <is>
          <t>Tamara Puerta</t>
        </is>
      </c>
      <c r="O47" s="116" t="inlineStr">
        <is>
          <t>fcrtamarapuerta@gmail.com</t>
        </is>
      </c>
    </row>
    <row r="48" hidden="1">
      <c r="A48" s="108" t="n"/>
      <c r="B48" s="39" t="n">
        <v>38</v>
      </c>
      <c r="C48" s="278" t="inlineStr">
        <is>
          <t>COTIZACION DE LOS DISEÑOS DE PROTECCIÓN CONTRA INCENDIOS - REFRIDCOL-KOBA</t>
        </is>
      </c>
      <c r="I48" s="39" t="inlineStr">
        <is>
          <t>SPCI</t>
        </is>
      </c>
      <c r="J48" s="336" t="n">
        <v>6590000</v>
      </c>
      <c r="K48" s="112" t="n">
        <v>45685</v>
      </c>
      <c r="L48" s="39" t="n"/>
      <c r="M48" s="39" t="n">
        <v>3104165783</v>
      </c>
      <c r="N48" s="39" t="inlineStr">
        <is>
          <t>Cristiam Gustavo Mondragon</t>
        </is>
      </c>
      <c r="O48" s="52" t="inlineStr">
        <is>
          <t>dir.tecnico@spci.com.co</t>
        </is>
      </c>
    </row>
    <row r="49" hidden="1" ht="15" customHeight="1">
      <c r="A49" s="108" t="n"/>
      <c r="B49" s="39" t="n">
        <v>39</v>
      </c>
      <c r="C49" s="278" t="inlineStr">
        <is>
          <t>COTIZACION DE LOS DISEÑOS DE SEGURIDAD HUMANA Y PROTECCIÓN CONTRA INCENDIOS - BOLERA DGREEN</t>
        </is>
      </c>
      <c r="I49" s="39" t="inlineStr">
        <is>
          <t>Ingesed</t>
        </is>
      </c>
      <c r="J49" s="336" t="n">
        <v>15920000</v>
      </c>
      <c r="K49" s="112" t="n">
        <v>45685</v>
      </c>
      <c r="L49" s="39" t="n"/>
      <c r="M49" s="39" t="inlineStr">
        <is>
          <t>321 8338189</t>
        </is>
      </c>
      <c r="N49" s="39" t="inlineStr">
        <is>
          <t>Laura Delgado</t>
        </is>
      </c>
      <c r="O49" s="52" t="inlineStr">
        <is>
          <t>operacionesingesed@gmail.com</t>
        </is>
      </c>
    </row>
    <row r="50" hidden="1" ht="15" customHeight="1">
      <c r="A50" s="108" t="n"/>
      <c r="B50" s="39" t="n">
        <v>40</v>
      </c>
      <c r="C50" s="278" t="inlineStr">
        <is>
          <t>COTIZACION DE LOS DISEÑOS DE SEGURIDAD HUMANA Y PROTECCIÓN CONTRA INCENDIOS - SERRERIA JERICO</t>
        </is>
      </c>
      <c r="I50" s="39" t="inlineStr">
        <is>
          <t>Go ingenieria y soluciones</t>
        </is>
      </c>
      <c r="J50" s="336" t="inlineStr">
        <is>
          <t>NO SE COTIZÓ</t>
        </is>
      </c>
      <c r="K50" s="112" t="n">
        <v>45685</v>
      </c>
      <c r="L50" s="39" t="n"/>
      <c r="M50" s="39" t="inlineStr">
        <is>
          <t>310 5104288</t>
        </is>
      </c>
      <c r="N50" s="39" t="inlineStr">
        <is>
          <t>Christian Gañan Ibarra</t>
        </is>
      </c>
      <c r="O50" s="52" t="inlineStr">
        <is>
          <t>goingenieriaysoluciones@gmail.com</t>
        </is>
      </c>
    </row>
    <row r="51" hidden="1">
      <c r="A51" s="108" t="n"/>
      <c r="B51" s="39" t="n">
        <v>41</v>
      </c>
      <c r="C51" s="278" t="inlineStr">
        <is>
          <t>COTIZACION DE LOS DISEÑOS DE SEGURIDAD HUMANA Y PROTECCIÓN CONTRA INCENDIOS - COLEGIO JORGE ROBLEDO</t>
        </is>
      </c>
      <c r="I51" s="39" t="inlineStr">
        <is>
          <t>Detectar Systems</t>
        </is>
      </c>
      <c r="J51" s="336" t="n">
        <v>20450000</v>
      </c>
      <c r="K51" s="112" t="n">
        <v>45685</v>
      </c>
      <c r="L51" s="39" t="n"/>
      <c r="M51" s="39" t="n"/>
      <c r="N51" s="39" t="inlineStr">
        <is>
          <t>Julián Ortega Gómez</t>
        </is>
      </c>
      <c r="O51" s="116" t="inlineStr">
        <is>
          <t>detectarsystems@gmail.com</t>
        </is>
      </c>
    </row>
    <row r="52" hidden="1">
      <c r="A52" s="108" t="n"/>
      <c r="B52" s="39" t="n">
        <v>42</v>
      </c>
      <c r="C52" s="278" t="inlineStr">
        <is>
          <t>COTIZACION DEL DISEÑO DE DETECCIÓN DE INCENDIOS - MUMA</t>
        </is>
      </c>
      <c r="I52" s="39" t="inlineStr">
        <is>
          <t>SPCI</t>
        </is>
      </c>
      <c r="J52" s="336" t="n">
        <v>24960000</v>
      </c>
      <c r="K52" s="112" t="n">
        <v>45685</v>
      </c>
      <c r="L52" s="39" t="n"/>
      <c r="M52" s="39" t="n">
        <v>3104165783</v>
      </c>
      <c r="N52" s="39" t="inlineStr">
        <is>
          <t>Cristiam Gustavo Mondragon</t>
        </is>
      </c>
      <c r="O52" s="52" t="inlineStr">
        <is>
          <t>dir.tecnico@spci.com.co</t>
        </is>
      </c>
    </row>
    <row r="53" hidden="1">
      <c r="A53" s="108" t="n"/>
      <c r="B53" s="39" t="n">
        <v>43</v>
      </c>
      <c r="C53" s="278" t="inlineStr">
        <is>
          <t>COTIZACIÓN DE LOS CÁLCULOS SE SUCCIÓN Y PLANOS RECORD DEL CUARTO DE BOMBAS PARA EL PROYECTO PRIMEIRO</t>
        </is>
      </c>
      <c r="I53" s="39" t="inlineStr">
        <is>
          <t>Estructurar</t>
        </is>
      </c>
      <c r="J53" s="336" t="n">
        <v>4000000</v>
      </c>
      <c r="K53" s="112" t="n">
        <v>45686</v>
      </c>
      <c r="L53" s="39" t="n"/>
      <c r="M53" s="39" t="n">
        <v>3045281069</v>
      </c>
      <c r="N53" s="39" t="inlineStr">
        <is>
          <t>Ángela Molina</t>
        </is>
      </c>
      <c r="O53" s="52" t="inlineStr">
        <is>
          <t xml:space="preserve">posventas@estructurar.co </t>
        </is>
      </c>
    </row>
    <row r="54" hidden="1">
      <c r="A54" s="108" t="n"/>
      <c r="B54" s="39" t="n">
        <v>43</v>
      </c>
      <c r="C54" s="278" t="inlineStr">
        <is>
          <t>COTIZACION DEL DISEÑO DE EXTINCIÓN DE INCENDIOS - CC ALMENDROS</t>
        </is>
      </c>
      <c r="I54" s="39" t="inlineStr">
        <is>
          <t>SPCI</t>
        </is>
      </c>
      <c r="J54" s="336" t="inlineStr">
        <is>
          <t>VARIABLE</t>
        </is>
      </c>
      <c r="K54" s="112" t="n">
        <v>45687</v>
      </c>
      <c r="L54" s="39" t="n"/>
      <c r="M54" s="39" t="n">
        <v>3104165783</v>
      </c>
      <c r="N54" s="39" t="inlineStr">
        <is>
          <t>Cristiam Gustavo Mondragon</t>
        </is>
      </c>
      <c r="O54" s="52" t="inlineStr">
        <is>
          <t>dir.tecnico@spci.com.co</t>
        </is>
      </c>
    </row>
    <row r="55" hidden="1">
      <c r="A55" s="108" t="n"/>
      <c r="B55" s="39" t="n">
        <v>44</v>
      </c>
      <c r="C55" s="278" t="inlineStr">
        <is>
          <t>COTIZACIÓN DE LOS DISEÑOS DE EXTINCIÓN DE INCENDIOS DEL PROYECTO PIAMONTE</t>
        </is>
      </c>
      <c r="I55" s="39" t="inlineStr">
        <is>
          <t>Ingesed</t>
        </is>
      </c>
      <c r="J55" s="336" t="n">
        <v>17950000</v>
      </c>
      <c r="K55" s="112" t="n">
        <v>45687</v>
      </c>
      <c r="L55" s="39" t="n"/>
      <c r="M55" s="39" t="n">
        <v>3014201614</v>
      </c>
      <c r="N55" s="39" t="inlineStr">
        <is>
          <t>Jhon Rodriguez</t>
        </is>
      </c>
      <c r="O55" s="52" t="inlineStr">
        <is>
          <t xml:space="preserve">jrodriguez@ingesed.com </t>
        </is>
      </c>
    </row>
    <row r="56" hidden="1">
      <c r="A56" s="108" t="n"/>
      <c r="B56" s="39" t="n">
        <v>45</v>
      </c>
      <c r="C56" s="278" t="inlineStr">
        <is>
          <t xml:space="preserve">COTIZACIÓN DE LOS DISEÑOS DE EXTINCIÓN DE INCENDIOS DEL PROYECTO  </t>
        </is>
      </c>
      <c r="I56" s="39" t="inlineStr">
        <is>
          <t>Proyecto ARQ</t>
        </is>
      </c>
      <c r="J56" s="336" t="n">
        <v>2905100</v>
      </c>
      <c r="K56" s="112" t="n">
        <v>45701</v>
      </c>
      <c r="L56" s="39" t="n"/>
      <c r="M56" s="39" t="n">
        <v>3125447366</v>
      </c>
      <c r="N56" s="39" t="inlineStr">
        <is>
          <t>Andrea Ruiz</t>
        </is>
      </c>
      <c r="O56" s="116" t="n"/>
    </row>
    <row r="57" hidden="1">
      <c r="A57" s="108" t="n"/>
      <c r="B57" s="39" t="n">
        <v>46</v>
      </c>
      <c r="C57" s="278" t="inlineStr">
        <is>
          <t>COTIZACION DE LOS DISEÑOS DE SEGURIDAD HUMANA Y PROTECCIÓN CONTRA INCENDIOS - ANGELES CUSTODIOS</t>
        </is>
      </c>
      <c r="I57" s="39" t="inlineStr">
        <is>
          <t>E&amp;F Construcciones</t>
        </is>
      </c>
      <c r="J57" s="336" t="n">
        <v>5640000</v>
      </c>
      <c r="K57" s="112" t="n">
        <v>45687</v>
      </c>
      <c r="L57" s="39" t="n"/>
      <c r="M57" s="39" t="n">
        <v>3122426622</v>
      </c>
      <c r="N57" s="39" t="inlineStr">
        <is>
          <t>Santiago Castañeda</t>
        </is>
      </c>
      <c r="O57" s="52" t="inlineStr">
        <is>
          <t>ef.construccionessas@gmail.com</t>
        </is>
      </c>
    </row>
    <row r="58" hidden="1">
      <c r="A58" s="108" t="n"/>
      <c r="B58" s="39" t="n">
        <v>47</v>
      </c>
      <c r="C58" s="278" t="inlineStr">
        <is>
          <t>COTIZACION DEL DISEÑO DE DETECCIÓN DE INCENDIOS - BODEGA GROUPE SEB RIONEGRO</t>
        </is>
      </c>
      <c r="I58" s="39" t="inlineStr">
        <is>
          <t>SPCI</t>
        </is>
      </c>
      <c r="J58" s="336" t="n">
        <v>14950000</v>
      </c>
      <c r="K58" s="112" t="n">
        <v>45688</v>
      </c>
      <c r="L58" s="39" t="n"/>
      <c r="M58" s="39" t="n">
        <v>3104165783</v>
      </c>
      <c r="N58" s="39" t="inlineStr">
        <is>
          <t>Cristiam Gustavo Mondragon</t>
        </is>
      </c>
      <c r="O58" s="52" t="inlineStr">
        <is>
          <t>dir.tecnico@spci.com.co</t>
        </is>
      </c>
    </row>
    <row r="59" hidden="1">
      <c r="A59" s="108" t="n"/>
      <c r="B59" s="39" t="n">
        <v>48</v>
      </c>
      <c r="C59" s="278" t="inlineStr">
        <is>
          <t>COTIZACION DE LOS DISEÑOS DE SEGURIDAD HUMANA Y PROTECCIÓN CONTRA INCENDIOS - URBIT HUB</t>
        </is>
      </c>
      <c r="I59" s="39" t="inlineStr">
        <is>
          <t>Juan Arango</t>
        </is>
      </c>
      <c r="J59" s="336" t="n">
        <v>22850000</v>
      </c>
      <c r="K59" s="112" t="n">
        <v>45688</v>
      </c>
      <c r="L59" s="39" t="n"/>
      <c r="M59" s="39" t="n"/>
      <c r="N59" s="39" t="inlineStr">
        <is>
          <t>Juan Arango</t>
        </is>
      </c>
      <c r="O59" s="116" t="inlineStr">
        <is>
          <t>jmarangom22@gmail.com</t>
        </is>
      </c>
    </row>
    <row r="60" hidden="1">
      <c r="A60" s="108" t="n"/>
      <c r="B60" s="39" t="n">
        <v>49</v>
      </c>
      <c r="C60" s="278" t="inlineStr">
        <is>
          <t>COTIZACION DE LOS DISEÑOS DE PROTECCIÓN CONTRA INCENDIOS - SUCURSAL EL RETIRO (415)</t>
        </is>
      </c>
      <c r="I60" s="39" t="inlineStr">
        <is>
          <t>Trazados Arquitectura</t>
        </is>
      </c>
      <c r="J60" s="336" t="n">
        <v>4950000</v>
      </c>
      <c r="K60" s="112" t="n">
        <v>45692</v>
      </c>
      <c r="L60" s="39" t="n"/>
      <c r="M60" s="39" t="n">
        <v>3167417025</v>
      </c>
      <c r="N60" s="39" t="n"/>
      <c r="O60" s="116" t="inlineStr">
        <is>
          <t>escapeto28@gmail.com</t>
        </is>
      </c>
    </row>
    <row r="61" hidden="1">
      <c r="A61" s="108" t="n"/>
      <c r="B61" s="39" t="n">
        <v>50</v>
      </c>
      <c r="C61" s="278" t="inlineStr">
        <is>
          <t>COTIZACION DE LOS DISEÑOS DE SEGURIDAD HUMANA Y PROTECCIÓN CONTRA INCENDIOS - VILLA CIELO APARTAMENTOS T1</t>
        </is>
      </c>
      <c r="I61" s="39" t="inlineStr">
        <is>
          <t>Detectar Systems</t>
        </is>
      </c>
      <c r="J61" s="336" t="n">
        <v>26340000</v>
      </c>
      <c r="K61" s="112" t="n">
        <v>45692</v>
      </c>
      <c r="L61" s="39" t="n"/>
      <c r="M61" s="39" t="n"/>
      <c r="N61" s="39" t="inlineStr">
        <is>
          <t>Julián Ortega Gómez</t>
        </is>
      </c>
      <c r="O61" s="116" t="inlineStr">
        <is>
          <t>detectarsystems@gmail.com</t>
        </is>
      </c>
    </row>
    <row r="62" hidden="1">
      <c r="A62" s="108" t="n"/>
      <c r="B62" s="39" t="n">
        <v>51</v>
      </c>
      <c r="C62" s="278" t="inlineStr">
        <is>
          <t>COTIZACION DEL ANÁLISIS DE SEGURIDAD HUMANA - ANTILLAS</t>
        </is>
      </c>
      <c r="I62" s="39" t="inlineStr">
        <is>
          <t>Maz</t>
        </is>
      </c>
      <c r="J62" s="336" t="n">
        <v>29650000</v>
      </c>
      <c r="K62" s="112" t="n">
        <v>45693</v>
      </c>
      <c r="L62" s="39" t="n"/>
      <c r="M62" s="39" t="inlineStr">
        <is>
          <t>601 6108010</t>
        </is>
      </c>
      <c r="N62" s="39" t="inlineStr">
        <is>
          <t>Diego Alejandro Arango Gómez</t>
        </is>
      </c>
      <c r="O62" s="116" t="inlineStr">
        <is>
          <t>darango@maz.com.co</t>
        </is>
      </c>
    </row>
    <row r="63" hidden="1">
      <c r="A63" s="108" t="n"/>
      <c r="B63" s="39" t="n">
        <v>52</v>
      </c>
      <c r="C63" s="278" t="inlineStr">
        <is>
          <t>COTIZACION DE LOS DISEÑOS DE SEGURIDAD HUMANA Y PROTECCIÓN CONTRA INCENDIOS - EDF. PSICOLOGIA UNIVALLE</t>
        </is>
      </c>
      <c r="I63" s="39" t="inlineStr">
        <is>
          <t>IngenioBIM</t>
        </is>
      </c>
      <c r="J63" s="336" t="n">
        <v>39510000</v>
      </c>
      <c r="K63" s="112" t="n">
        <v>45693</v>
      </c>
      <c r="L63" s="39" t="n"/>
      <c r="M63" s="39" t="n">
        <v>3014170260</v>
      </c>
      <c r="N63" s="39" t="inlineStr">
        <is>
          <t>Jenifer Vanessa Orozco Ordoñez</t>
        </is>
      </c>
      <c r="O63" s="116" t="inlineStr">
        <is>
          <t>jenifer.orozco@ingeniobim.co</t>
        </is>
      </c>
    </row>
    <row r="64" hidden="1">
      <c r="A64" s="108" t="n"/>
      <c r="B64" s="39" t="n">
        <v>53</v>
      </c>
      <c r="C64" s="278" t="inlineStr">
        <is>
          <t>COTIZACION DE LOS DISEÑOS DE SEGURIDAD HUMANA Y PROTECCIÓN CONTRA INCENDIOS - MONTEMERANO</t>
        </is>
      </c>
      <c r="I64" s="39" t="inlineStr">
        <is>
          <t>Constructora Guasandi</t>
        </is>
      </c>
      <c r="J64" s="336" t="n">
        <v>28850000</v>
      </c>
      <c r="K64" s="112" t="n">
        <v>45692</v>
      </c>
      <c r="L64" s="39" t="n"/>
      <c r="M64" s="39" t="n"/>
      <c r="N64" s="39" t="inlineStr">
        <is>
          <t>Laura Jiménez Grajales</t>
        </is>
      </c>
      <c r="O64" s="52" t="inlineStr">
        <is>
          <t>dircambulos@constructoradeobras.com</t>
        </is>
      </c>
    </row>
    <row r="65" hidden="1">
      <c r="A65" s="108" t="n"/>
      <c r="B65" s="39" t="n">
        <v>54</v>
      </c>
      <c r="C65" s="278" t="inlineStr">
        <is>
          <t>COTIZACION DEL DISEÑO DE EXTINCIÓN DE INCENDIOS - GIMNASIO Y CANCHA DE SQUASH PROYECTO MAZANTTI</t>
        </is>
      </c>
      <c r="I65" s="39" t="inlineStr">
        <is>
          <t>Conintel</t>
        </is>
      </c>
      <c r="J65" s="336" t="n">
        <v>1500000</v>
      </c>
      <c r="K65" s="112" t="n">
        <v>45692</v>
      </c>
      <c r="L65" s="39" t="n"/>
      <c r="M65" s="39" t="inlineStr">
        <is>
          <t>320 6284446</t>
        </is>
      </c>
      <c r="N65" s="39" t="inlineStr">
        <is>
          <t>Marcela Cardona</t>
        </is>
      </c>
      <c r="O65" s="116" t="inlineStr">
        <is>
          <t xml:space="preserve">direccionmazanti@gmail.com </t>
        </is>
      </c>
    </row>
    <row r="66" hidden="1">
      <c r="A66" s="108" t="n"/>
      <c r="B66" s="39" t="n">
        <v>55</v>
      </c>
      <c r="C66" s="278" t="inlineStr">
        <is>
          <t>COTIZACION DEL DIAGNÓSTICO DE LOS SISTEMAS DE PROTECCIÓN CONTRA INCENDIOS - CLÍNICA IMBANACO CALI</t>
        </is>
      </c>
      <c r="I66" s="39" t="inlineStr">
        <is>
          <t>IMBANACO</t>
        </is>
      </c>
      <c r="J66" s="336" t="n">
        <v>16600000</v>
      </c>
      <c r="K66" s="112" t="n">
        <v>45694</v>
      </c>
      <c r="L66" s="39" t="n"/>
      <c r="M66" s="39" t="n">
        <v>3205535416</v>
      </c>
      <c r="N66" s="39" t="inlineStr">
        <is>
          <t>Camilo Andrés Chávez Sandoval</t>
        </is>
      </c>
      <c r="O66" s="116" t="inlineStr">
        <is>
          <t>Camilo.Chavez@quironsalud.com</t>
        </is>
      </c>
    </row>
    <row r="67" hidden="1">
      <c r="A67" s="108" t="n"/>
      <c r="B67" s="39" t="n">
        <v>56</v>
      </c>
      <c r="C67" s="278" t="inlineStr">
        <is>
          <t>COTIZACION DE LOS DISEÑOS DE SEGURIDAD HUMANA Y PROTECCIÓN CONTRA INCENDIOS - VERMONTE LOCALES COMERCIALES</t>
        </is>
      </c>
      <c r="I67" s="39" t="inlineStr">
        <is>
          <t>Intervé</t>
        </is>
      </c>
      <c r="J67" s="314" t="n">
        <v>6950000</v>
      </c>
      <c r="K67" s="112" t="n">
        <v>45694</v>
      </c>
      <c r="L67" s="170" t="n"/>
      <c r="M67" s="39" t="n">
        <v>3004659012</v>
      </c>
      <c r="N67" s="39" t="inlineStr">
        <is>
          <t>Martha Lucia Ferrer</t>
        </is>
      </c>
      <c r="O67" s="52" t="inlineStr">
        <is>
          <t>mferrer@interve.co</t>
        </is>
      </c>
    </row>
    <row r="68" hidden="1">
      <c r="A68" s="108" t="n"/>
      <c r="B68" s="39" t="n">
        <v>57</v>
      </c>
      <c r="C68" s="278" t="inlineStr">
        <is>
          <t>COTIZACION DE LOS DISEÑOS DE SEGURIDAD HUMANA Y PROTECCIÓN CONTRA INCENDIOS - ETAPA 2 LA SALLE</t>
        </is>
      </c>
      <c r="I68" s="39" t="inlineStr">
        <is>
          <t>Intervé</t>
        </is>
      </c>
      <c r="J68" s="336" t="n">
        <v>31950000</v>
      </c>
      <c r="K68" s="112" t="n">
        <v>45695</v>
      </c>
      <c r="L68" s="39" t="n"/>
      <c r="M68" s="39" t="n">
        <v>3007808119</v>
      </c>
      <c r="N68" s="39" t="inlineStr">
        <is>
          <t>Luis Felipe Arboleda Monsalve</t>
        </is>
      </c>
      <c r="O68" s="116" t="inlineStr">
        <is>
          <t>farboleda@interve.co</t>
        </is>
      </c>
    </row>
    <row r="69" hidden="1">
      <c r="A69" s="108" t="n"/>
      <c r="B69" s="39" t="n">
        <v>58</v>
      </c>
      <c r="C69" s="278" t="inlineStr">
        <is>
          <t>COTIZACION DEL DISEÑO DE EXTINCIÓN DE INCENDIOS - TERMILENIO TEXTILES</t>
        </is>
      </c>
      <c r="I69" s="39" t="inlineStr">
        <is>
          <t>SPCI</t>
        </is>
      </c>
      <c r="J69" s="336" t="n">
        <v>15000000</v>
      </c>
      <c r="K69" s="112" t="n">
        <v>45700</v>
      </c>
      <c r="L69" s="39" t="n"/>
      <c r="M69" s="39" t="n">
        <v>3104165783</v>
      </c>
      <c r="N69" s="39" t="inlineStr">
        <is>
          <t>Cristiam Gustavo Mondragon</t>
        </is>
      </c>
      <c r="O69" s="52" t="inlineStr">
        <is>
          <t>dir.tecnico@spci.com.co</t>
        </is>
      </c>
    </row>
    <row r="70" hidden="1" ht="15" customHeight="1">
      <c r="A70" s="108" t="n"/>
      <c r="B70" s="39" t="n">
        <v>59</v>
      </c>
      <c r="C70" s="278" t="inlineStr">
        <is>
          <t>COTIZACION DEL DISEÑO DE DETECCIÓN DE INCENDIOS - HOTEL YORK LUXURY SUITES</t>
        </is>
      </c>
      <c r="I70" s="39" t="inlineStr">
        <is>
          <t>Detectar Systems</t>
        </is>
      </c>
      <c r="J70" s="336" t="n">
        <v>6250000</v>
      </c>
      <c r="K70" s="112" t="n">
        <v>45698</v>
      </c>
      <c r="L70" s="39" t="n"/>
      <c r="M70" s="39" t="n"/>
      <c r="N70" s="39" t="inlineStr">
        <is>
          <t>Julián Ortega Gómez</t>
        </is>
      </c>
      <c r="O70" s="116" t="inlineStr">
        <is>
          <t>detectarsystems@gmail.com</t>
        </is>
      </c>
    </row>
    <row r="71" hidden="1">
      <c r="A71" s="108" t="n"/>
      <c r="B71" s="39" t="n">
        <v>60</v>
      </c>
      <c r="C71" s="278" t="inlineStr">
        <is>
          <t>COTIZACION DEL ANÁLISIS DE SEGURIDAD HUMANA - MERAKI ETAPA 3</t>
        </is>
      </c>
      <c r="I71" s="39" t="inlineStr">
        <is>
          <t>Grupo Valor</t>
        </is>
      </c>
      <c r="J71" s="336" t="n">
        <v>4750000</v>
      </c>
      <c r="K71" s="112" t="n">
        <v>45699</v>
      </c>
      <c r="L71" s="39" t="n"/>
      <c r="M71" s="39" t="n">
        <v>3054231775</v>
      </c>
      <c r="N71" s="39" t="inlineStr">
        <is>
          <t>Laura Valentina Bello Tovar</t>
        </is>
      </c>
      <c r="O71" s="116" t="inlineStr">
        <is>
          <t>arquitectura1@grupovalor.com.co</t>
        </is>
      </c>
    </row>
    <row r="72" hidden="1">
      <c r="A72" s="108" t="n"/>
      <c r="B72" s="39" t="n">
        <v>61</v>
      </c>
      <c r="C72" s="278" t="inlineStr">
        <is>
          <t>COTIZACION DE LOS DISEÑOS DE SEGURIDAD HUMANA Y PROTECCIÓN CONTRA INCENDIOS - PUEBLO PANACA</t>
        </is>
      </c>
      <c r="I72" s="39" t="inlineStr">
        <is>
          <t>Perfek</t>
        </is>
      </c>
      <c r="J72" s="336" t="n">
        <v>35550000</v>
      </c>
      <c r="K72" s="112" t="n">
        <v>45699</v>
      </c>
      <c r="L72" s="39" t="n"/>
      <c r="M72" s="39" t="n"/>
      <c r="N72" s="39" t="inlineStr">
        <is>
          <t>Johana Montoya Zapata</t>
        </is>
      </c>
      <c r="O72" s="116" t="inlineStr">
        <is>
          <t>Johana.montoya@perfek.com.co</t>
        </is>
      </c>
    </row>
    <row r="73" hidden="1">
      <c r="A73" s="108" t="n"/>
      <c r="B73" s="39" t="n">
        <v>62</v>
      </c>
      <c r="C73" s="278" t="inlineStr">
        <is>
          <t>COTIZACION DE LOS DISEÑOS DE PROTECCIÓN CONTRA INCENDIOS - CORNARE</t>
        </is>
      </c>
      <c r="I73" s="39" t="inlineStr">
        <is>
          <t>Coinsi</t>
        </is>
      </c>
      <c r="J73" s="336" t="n">
        <v>2500000</v>
      </c>
      <c r="K73" s="112" t="n">
        <v>45699</v>
      </c>
      <c r="L73" s="39" t="n"/>
      <c r="M73" s="39" t="n">
        <v>3117208541</v>
      </c>
      <c r="N73" s="39" t="inlineStr">
        <is>
          <t>Sergio Rodriguez</t>
        </is>
      </c>
      <c r="O73" s="116" t="inlineStr">
        <is>
          <t>diseno4@gyd.com.co</t>
        </is>
      </c>
    </row>
    <row r="74" hidden="1" ht="15" customHeight="1">
      <c r="A74" s="108" t="n"/>
      <c r="B74" s="39" t="n">
        <v>63</v>
      </c>
      <c r="C74" s="278" t="inlineStr">
        <is>
          <t>COTIZACION DEL DISEÑO DE EXTINCIÓN DE INCENDIOS - SMART FIT GRAN PLAZA SOL</t>
        </is>
      </c>
      <c r="I74" s="39" t="inlineStr">
        <is>
          <t>Hidraulica y Montajes</t>
        </is>
      </c>
      <c r="J74" s="336" t="n">
        <v>4000000</v>
      </c>
      <c r="K74" s="112" t="n">
        <v>45699</v>
      </c>
      <c r="L74" s="39" t="n"/>
      <c r="M74" s="39" t="inlineStr">
        <is>
          <t>301 4487912</t>
        </is>
      </c>
      <c r="N74" s="39" t="inlineStr">
        <is>
          <t>Evelin Rojas</t>
        </is>
      </c>
      <c r="O74" s="116" t="inlineStr">
        <is>
          <t>hidraulicaymontajes@gmail.com</t>
        </is>
      </c>
    </row>
    <row r="75" hidden="1">
      <c r="A75" s="108" t="n"/>
      <c r="B75" s="39" t="n">
        <v>64</v>
      </c>
      <c r="C75" s="278" t="inlineStr">
        <is>
          <t>COTIZACION DEL DISEÑO DE EXTINCIÓN DE INCENDIOS - SMART FIT ECOTEK</t>
        </is>
      </c>
      <c r="I75" s="39" t="inlineStr">
        <is>
          <t>Hidraulica y Montajes</t>
        </is>
      </c>
      <c r="J75" s="336" t="n">
        <v>4000000</v>
      </c>
      <c r="K75" s="112" t="n">
        <v>45699</v>
      </c>
      <c r="L75" s="39" t="n"/>
      <c r="M75" s="39" t="inlineStr">
        <is>
          <t>301 4487912</t>
        </is>
      </c>
      <c r="N75" s="39" t="inlineStr">
        <is>
          <t>Evelin Rojas</t>
        </is>
      </c>
      <c r="O75" s="116" t="inlineStr">
        <is>
          <t>hidraulicaymontajes@gmail.com</t>
        </is>
      </c>
    </row>
    <row r="76" hidden="1">
      <c r="A76" s="108" t="n"/>
      <c r="B76" s="39" t="n">
        <v>65</v>
      </c>
      <c r="C76" s="278" t="inlineStr">
        <is>
          <t>COTIZACION DE LOS DISEÑOS DE SEGURIDAD HUMANA Y PROTECCIÓN CONTRA INCENDIOS - MIIT</t>
        </is>
      </c>
      <c r="I76" s="39" t="inlineStr">
        <is>
          <t>Arquitectura y concreto</t>
        </is>
      </c>
      <c r="J76" s="336" t="n">
        <v>26250000</v>
      </c>
      <c r="K76" s="112" t="n">
        <v>45700</v>
      </c>
      <c r="L76" s="39" t="n"/>
      <c r="M76" s="39" t="n">
        <v>3127218621</v>
      </c>
      <c r="N76" s="39" t="inlineStr">
        <is>
          <t xml:space="preserve">Robinson Marulanda Guarín </t>
        </is>
      </c>
      <c r="O76" s="116" t="inlineStr">
        <is>
          <t>robinsonmarulanda@arquitecturayconcreto.com</t>
        </is>
      </c>
    </row>
    <row r="77" hidden="1">
      <c r="A77" s="108" t="n"/>
      <c r="B77" s="39" t="n">
        <v>66</v>
      </c>
      <c r="C77" s="278" t="inlineStr">
        <is>
          <t>COTIZACION DE LOS DISEÑOS DE PROTECCIÓN CONTRA INCENDIOS - PLANTA DE PRODUCCION DE BISUTERIA</t>
        </is>
      </c>
      <c r="I77" s="39" t="inlineStr">
        <is>
          <t>SPCI</t>
        </is>
      </c>
      <c r="J77" s="336" t="n">
        <v>54180000</v>
      </c>
      <c r="K77" s="112" t="n">
        <v>45701</v>
      </c>
      <c r="L77" s="39" t="n"/>
      <c r="M77" s="39" t="n">
        <v>3104165783</v>
      </c>
      <c r="N77" s="39" t="inlineStr">
        <is>
          <t>Cristiam Gustavo Mondragon</t>
        </is>
      </c>
      <c r="O77" s="52" t="inlineStr">
        <is>
          <t>dir.tecnico@spci.com.co</t>
        </is>
      </c>
    </row>
    <row r="78" hidden="1">
      <c r="A78" s="108" t="n"/>
      <c r="B78" s="39" t="n">
        <v>67</v>
      </c>
      <c r="C78" s="278" t="inlineStr">
        <is>
          <t>COTIZACION DEL DISEÑO DE EXTINCIÓN DE INCENDIOS - PLANTA DE REACTIVOS NACIONALES</t>
        </is>
      </c>
      <c r="I78" s="39" t="inlineStr">
        <is>
          <t>Consultores e ingenieros Q&amp;M</t>
        </is>
      </c>
      <c r="J78" s="336" t="n">
        <v>11950</v>
      </c>
      <c r="K78" s="112" t="n">
        <v>45700</v>
      </c>
      <c r="L78" s="39" t="n"/>
      <c r="M78" s="39" t="inlineStr">
        <is>
          <t xml:space="preserve"> +51 940500519</t>
        </is>
      </c>
      <c r="N78" s="39" t="inlineStr">
        <is>
          <t>Luis Martinez</t>
        </is>
      </c>
      <c r="O78" s="116" t="inlineStr">
        <is>
          <t>luis.martinez@qymsac.com</t>
        </is>
      </c>
    </row>
    <row r="79" hidden="1">
      <c r="A79" s="108" t="n"/>
      <c r="B79" s="39" t="n">
        <v>68</v>
      </c>
      <c r="C79" s="278" t="inlineStr">
        <is>
          <t>COTIZACION DEL DISEÑO DE DETECCIÓN DE INCENDIOS - LA MAYORIA</t>
        </is>
      </c>
      <c r="I79" s="39" t="inlineStr">
        <is>
          <t>INVERSIONES ORBET S.A.S.</t>
        </is>
      </c>
      <c r="J79" s="336" t="n"/>
      <c r="K79" s="112" t="n">
        <v>45701</v>
      </c>
      <c r="L79" s="39" t="n"/>
      <c r="M79" s="39" t="inlineStr">
        <is>
          <t>3178701188-3505490874</t>
        </is>
      </c>
      <c r="N79" s="39" t="inlineStr">
        <is>
          <t xml:space="preserve"> Catalina Hernandez</t>
        </is>
      </c>
      <c r="O79" s="116" t="inlineStr">
        <is>
          <t>reservas@lamayoria.com</t>
        </is>
      </c>
    </row>
    <row r="80" hidden="1">
      <c r="A80" s="108" t="n"/>
      <c r="B80" s="39" t="n">
        <v>69</v>
      </c>
      <c r="C80" s="278" t="inlineStr">
        <is>
          <t>COTIZACION DEL REDISEÑO DE EXTINCIÓN DE INCENDIOS - USHUAYA</t>
        </is>
      </c>
      <c r="I80" s="39" t="inlineStr">
        <is>
          <t>Edyfica</t>
        </is>
      </c>
      <c r="J80" s="336" t="n">
        <v>2950000</v>
      </c>
      <c r="K80" s="112" t="n">
        <v>45701</v>
      </c>
      <c r="L80" s="39" t="n"/>
      <c r="M80" s="39" t="inlineStr">
        <is>
          <t>310 4057513</t>
        </is>
      </c>
      <c r="N80" s="39" t="inlineStr">
        <is>
          <t>Claudia Ramirez</t>
        </is>
      </c>
      <c r="O80" s="116" t="inlineStr">
        <is>
          <t>claudia.ramirez@edyfica.co</t>
        </is>
      </c>
    </row>
    <row r="81" hidden="1">
      <c r="A81" s="108" t="n"/>
      <c r="B81" s="39" t="n">
        <v>70</v>
      </c>
      <c r="C81" s="278" t="inlineStr">
        <is>
          <t>COTIZACION DEL DISEÑO DE EXTINCIÓN DE INCENDIOS - ACTION BLACK FLORIDA</t>
        </is>
      </c>
      <c r="I81" s="39" t="inlineStr">
        <is>
          <t>Hidraulica y Montajes</t>
        </is>
      </c>
      <c r="J81" s="336" t="n">
        <v>4000000</v>
      </c>
      <c r="K81" s="112" t="n">
        <v>45701</v>
      </c>
      <c r="L81" s="39" t="n"/>
      <c r="M81" s="39" t="inlineStr">
        <is>
          <t>301 4487912</t>
        </is>
      </c>
      <c r="N81" s="39" t="inlineStr">
        <is>
          <t>Evelin Rojas</t>
        </is>
      </c>
      <c r="O81" s="116" t="inlineStr">
        <is>
          <t>hidraulicaymontajes@gmail.com</t>
        </is>
      </c>
    </row>
    <row r="82" hidden="1" ht="15" customHeight="1">
      <c r="A82" s="108" t="n"/>
      <c r="B82" s="39" t="n">
        <v>71</v>
      </c>
      <c r="C82" s="278" t="inlineStr">
        <is>
          <t>COTIZACION DE LOS DISEÑOS DE SEGURIDAD HUMANA Y PROTECCIÓN CONTRA INCENDIOS - PUEBLO PANACA</t>
        </is>
      </c>
      <c r="I82" s="39" t="inlineStr">
        <is>
          <t>Hidraulica y Montajes</t>
        </is>
      </c>
      <c r="J82" s="336" t="n">
        <v>35550000</v>
      </c>
      <c r="K82" s="112" t="n">
        <v>45701</v>
      </c>
      <c r="L82" s="39" t="n"/>
      <c r="M82" s="39" t="inlineStr">
        <is>
          <t>301 4487912</t>
        </is>
      </c>
      <c r="N82" s="39" t="inlineStr">
        <is>
          <t>Evelin Rojas</t>
        </is>
      </c>
      <c r="O82" s="116" t="inlineStr">
        <is>
          <t>hidraulicaymontajes@gmail.com</t>
        </is>
      </c>
    </row>
    <row r="83" hidden="1">
      <c r="A83" s="108" t="n"/>
      <c r="B83" s="39" t="n">
        <v>72</v>
      </c>
      <c r="C83" s="278" t="inlineStr">
        <is>
          <t>COTIZACION DE LOS DISEÑOS DE SEGURIDAD HUMANA Y PROTECCIÓN CONTRA INCENDIOS - VERDDE</t>
        </is>
      </c>
      <c r="I83" s="39" t="inlineStr">
        <is>
          <t>TIP Interventoria</t>
        </is>
      </c>
      <c r="J83" s="336" t="n">
        <v>21950000</v>
      </c>
      <c r="K83" s="112" t="n">
        <v>45701</v>
      </c>
      <c r="L83" s="39" t="n"/>
      <c r="M83" s="39" t="n">
        <v>3053308954</v>
      </c>
      <c r="N83" s="39" t="inlineStr">
        <is>
          <t>Juan David Lopez Toro</t>
        </is>
      </c>
      <c r="O83" s="116" t="inlineStr">
        <is>
          <t>supervisionflexliving@tipinterventoria.com</t>
        </is>
      </c>
    </row>
    <row r="84" hidden="1">
      <c r="A84" s="108" t="n"/>
      <c r="B84" s="39" t="n">
        <v>73</v>
      </c>
      <c r="C84" s="278" t="inlineStr">
        <is>
          <t>COTIZACION DE LOS DISEÑOS DE SEGURIDAD HUMANA Y PROTECCIÓN CONTRA INCENDIOS - DITRANSA BODEGA CARTAGENA</t>
        </is>
      </c>
      <c r="I84" s="39" t="inlineStr">
        <is>
          <t>Ingesed</t>
        </is>
      </c>
      <c r="J84" s="336" t="n">
        <v>13800000</v>
      </c>
      <c r="K84" s="112" t="n">
        <v>45701</v>
      </c>
      <c r="L84" s="39" t="n"/>
      <c r="M84" s="39" t="n">
        <v>3135401714</v>
      </c>
      <c r="N84" s="39" t="inlineStr">
        <is>
          <t>Eliana Isabel Cardona Ríos</t>
        </is>
      </c>
      <c r="O84" s="116" t="inlineStr">
        <is>
          <t>comercial@ingesed.com</t>
        </is>
      </c>
    </row>
    <row r="85" hidden="1">
      <c r="A85" s="108" t="n"/>
      <c r="B85" s="39" t="n">
        <v>74</v>
      </c>
      <c r="C85" s="278" t="inlineStr">
        <is>
          <t>COTIZACION DE LOS DISEÑOS DE SEGURIDAD HUMANA Y PROTECCIÓN CONTRA INCENDIOS - DITRANSA BODEGA HOMED ITAGUI</t>
        </is>
      </c>
      <c r="I85" s="39" t="inlineStr">
        <is>
          <t>Ingesed</t>
        </is>
      </c>
      <c r="J85" s="336" t="n">
        <v>21950000</v>
      </c>
      <c r="K85" s="112" t="n">
        <v>45701</v>
      </c>
      <c r="L85" s="39" t="n"/>
      <c r="M85" s="39" t="n">
        <v>3135401714</v>
      </c>
      <c r="N85" s="39" t="inlineStr">
        <is>
          <t>Eliana Isabel Cardona Ríos</t>
        </is>
      </c>
      <c r="O85" s="116" t="inlineStr">
        <is>
          <t>comercial@ingesed.com</t>
        </is>
      </c>
    </row>
    <row r="86" hidden="1">
      <c r="A86" s="108" t="n"/>
      <c r="B86" s="39" t="n">
        <v>75</v>
      </c>
      <c r="C86" s="278" t="inlineStr">
        <is>
          <t>COTIZACION DE LOS DISEÑOS DE SEGURIDAD HUMANA Y PROTECCIÓN CONTRA INCENDIOS - DITRANSA BODEGA PREMIUM</t>
        </is>
      </c>
      <c r="I86" s="39" t="inlineStr">
        <is>
          <t>Ingesed</t>
        </is>
      </c>
      <c r="J86" s="336" t="n">
        <v>9970000</v>
      </c>
      <c r="K86" s="112" t="n">
        <v>45701</v>
      </c>
      <c r="L86" s="39" t="n"/>
      <c r="M86" s="39" t="n">
        <v>3135401714</v>
      </c>
      <c r="N86" s="39" t="inlineStr">
        <is>
          <t>Eliana Isabel Cardona Ríos</t>
        </is>
      </c>
      <c r="O86" s="116" t="inlineStr">
        <is>
          <t>comercial@ingesed.com</t>
        </is>
      </c>
    </row>
    <row r="87" hidden="1">
      <c r="A87" s="108" t="n"/>
      <c r="B87" s="39" t="n">
        <v>76</v>
      </c>
      <c r="C87" s="278" t="inlineStr">
        <is>
          <t>COTIZACION DE LOS DISEÑOS DE PROTECCIÓN CONTRA INCENDIOS - TANQUE GLP PREMAC</t>
        </is>
      </c>
      <c r="I87" s="39" t="inlineStr">
        <is>
          <t>Ingesed</t>
        </is>
      </c>
      <c r="J87" s="336" t="n">
        <v>8970000</v>
      </c>
      <c r="K87" s="112" t="n">
        <v>45702</v>
      </c>
      <c r="L87" s="39" t="n"/>
      <c r="M87" s="39" t="n">
        <v>3135401714</v>
      </c>
      <c r="N87" s="39" t="inlineStr">
        <is>
          <t>Eliana Isabel Cardona Ríos</t>
        </is>
      </c>
      <c r="O87" s="116" t="inlineStr">
        <is>
          <t>comercial@ingesed.com</t>
        </is>
      </c>
    </row>
    <row r="88" hidden="1">
      <c r="A88" s="108" t="n"/>
      <c r="B88" s="39" t="n">
        <v>77</v>
      </c>
      <c r="C88" s="278" t="inlineStr">
        <is>
          <t>COTIZACION DEL DISEÑO DE DETECCIÓN DE INCENDIOS - ANTILLAS</t>
        </is>
      </c>
      <c r="I88" s="39" t="inlineStr">
        <is>
          <t>Fire Marshal</t>
        </is>
      </c>
      <c r="J88" s="336" t="n">
        <v>7650000</v>
      </c>
      <c r="K88" s="112" t="n">
        <v>45701</v>
      </c>
      <c r="L88" s="39" t="n"/>
      <c r="M88" s="39" t="n">
        <v>3224188478</v>
      </c>
      <c r="N88" s="39" t="inlineStr">
        <is>
          <t>Andrea Núñez</t>
        </is>
      </c>
      <c r="O88" s="116" t="inlineStr">
        <is>
          <t>andreanunez@firemarshal.com.co</t>
        </is>
      </c>
    </row>
    <row r="89" hidden="1">
      <c r="A89" s="108" t="n"/>
      <c r="B89" s="39" t="n">
        <v>78</v>
      </c>
      <c r="C89" s="278" t="inlineStr">
        <is>
          <t>COTIZACION DEL ANÁLISIS DE SEGURIDAD HUMANA - SENA DE OCCIDENTE</t>
        </is>
      </c>
      <c r="I89" s="39" t="inlineStr">
        <is>
          <t>DESur</t>
        </is>
      </c>
      <c r="J89" s="336" t="n">
        <v>3760000</v>
      </c>
      <c r="K89" s="112" t="n">
        <v>45707</v>
      </c>
      <c r="L89" s="39" t="n"/>
      <c r="M89" s="39" t="inlineStr">
        <is>
          <t>(604) 4801300 Ext 148</t>
        </is>
      </c>
      <c r="N89" s="39" t="inlineStr">
        <is>
          <t>Manuela Henao López</t>
        </is>
      </c>
      <c r="O89" s="116" t="inlineStr">
        <is>
          <t>manuela.henao@desur.gov.co</t>
        </is>
      </c>
    </row>
    <row r="90" hidden="1" ht="15" customHeight="1">
      <c r="A90" s="108" t="n"/>
      <c r="B90" s="39" t="n">
        <v>79</v>
      </c>
      <c r="C90" s="278" t="inlineStr">
        <is>
          <t xml:space="preserve">COTIZACION DEL ANÁLISIS DE SEGURIDAD HUMANA - FRAKTAL_47 </t>
        </is>
      </c>
      <c r="I90" s="39" t="inlineStr">
        <is>
          <t>Tres cubos proyectos SAS</t>
        </is>
      </c>
      <c r="J90" s="336" t="n">
        <v>5270000</v>
      </c>
      <c r="K90" s="112" t="n">
        <v>45707</v>
      </c>
      <c r="L90" s="39" t="n"/>
      <c r="M90" s="39" t="n">
        <v>3103964703</v>
      </c>
      <c r="N90" s="39" t="inlineStr">
        <is>
          <t>Gabriel Meneses Patiño</t>
        </is>
      </c>
      <c r="O90" s="116" t="inlineStr">
        <is>
          <t>gtrescubos@gmail.com</t>
        </is>
      </c>
    </row>
    <row r="91" hidden="1" ht="15" customHeight="1">
      <c r="A91" s="108" t="n"/>
      <c r="B91" s="39" t="n">
        <v>80</v>
      </c>
      <c r="C91" s="278" t="inlineStr">
        <is>
          <t>COTIZACION DEL DISEÑO DE DETECCIÓN DE INCENDIOS - FRAKTAL_47</t>
        </is>
      </c>
      <c r="I91" s="39" t="inlineStr">
        <is>
          <t>Tres cubos proyectos SAS</t>
        </is>
      </c>
      <c r="J91" s="336" t="n">
        <v>6770000</v>
      </c>
      <c r="K91" s="112" t="n">
        <v>45707</v>
      </c>
      <c r="L91" s="39" t="n"/>
      <c r="M91" s="39" t="n">
        <v>3103964703</v>
      </c>
      <c r="N91" s="39" t="inlineStr">
        <is>
          <t>Gabriel Meneses Patiño</t>
        </is>
      </c>
      <c r="O91" s="116" t="inlineStr">
        <is>
          <t>gtrescubos@gmail.com</t>
        </is>
      </c>
    </row>
    <row r="92" hidden="1">
      <c r="A92" s="108" t="n"/>
      <c r="B92" s="39" t="n">
        <v>81</v>
      </c>
      <c r="C92" s="278" t="inlineStr">
        <is>
          <t>COTIZACION DEL DISEÑO DE EXTINCIÓN DE INCENDIOS - FRAKTAL_47</t>
        </is>
      </c>
      <c r="I92" s="39" t="inlineStr">
        <is>
          <t>Tres cubos proyectos SAS</t>
        </is>
      </c>
      <c r="J92" s="336" t="n">
        <v>15240000</v>
      </c>
      <c r="K92" s="112" t="n">
        <v>45707</v>
      </c>
      <c r="L92" s="39" t="n"/>
      <c r="M92" s="39" t="n">
        <v>3103964703</v>
      </c>
      <c r="N92" s="39" t="inlineStr">
        <is>
          <t>Gabriel Meneses Patiño</t>
        </is>
      </c>
      <c r="O92" s="116" t="inlineStr">
        <is>
          <t>gtrescubos@gmail.com</t>
        </is>
      </c>
    </row>
    <row r="93" hidden="1">
      <c r="A93" s="108" t="n"/>
      <c r="B93" s="39" t="n">
        <v>82</v>
      </c>
      <c r="C93" s="278" t="inlineStr">
        <is>
          <t>COTIZACION DEL DISEÑO DE DETECCIÓN DE INCENDIOS - D1 BODEGA P4</t>
        </is>
      </c>
      <c r="I93" s="39" t="inlineStr">
        <is>
          <t>Ingesed</t>
        </is>
      </c>
      <c r="J93" s="336" t="n">
        <v>4950000</v>
      </c>
      <c r="K93" s="112" t="n">
        <v>45707</v>
      </c>
      <c r="L93" s="39" t="n"/>
      <c r="M93" s="39" t="n">
        <v>3135401714</v>
      </c>
      <c r="N93" s="39" t="inlineStr">
        <is>
          <t>Eliana Isabel Cardona Ríos</t>
        </is>
      </c>
      <c r="O93" s="116" t="inlineStr">
        <is>
          <t>comercial@ingesed.com</t>
        </is>
      </c>
    </row>
    <row r="94" hidden="1">
      <c r="A94" s="108" t="n"/>
      <c r="B94" s="39" t="n">
        <v>83</v>
      </c>
      <c r="C94" s="278" t="inlineStr">
        <is>
          <t>COTIZACION DE LOS DISEÑOS DE SEGURIDAD HUMANA Y PROTECCIÓN CONTRA INCENDIOS - D1 BODEGA P8</t>
        </is>
      </c>
      <c r="I94" s="39" t="inlineStr">
        <is>
          <t>Ingesed</t>
        </is>
      </c>
      <c r="J94" s="336" t="n">
        <v>17940000</v>
      </c>
      <c r="K94" s="112" t="n">
        <v>45707</v>
      </c>
      <c r="L94" s="39" t="n"/>
      <c r="M94" s="39" t="n">
        <v>3135401714</v>
      </c>
      <c r="N94" s="39" t="inlineStr">
        <is>
          <t>Eliana Isabel Cardona Ríos</t>
        </is>
      </c>
      <c r="O94" s="116" t="inlineStr">
        <is>
          <t>comercial@ingesed.com</t>
        </is>
      </c>
    </row>
    <row r="95" hidden="1">
      <c r="A95" s="108" t="n"/>
      <c r="B95" s="39" t="n">
        <v>84</v>
      </c>
      <c r="C95" s="278" t="inlineStr">
        <is>
          <t>COTIZACION DEL ANÁLISIS DE SEGURIDAD HUMANA - FRUTOS VERDES TORRE 12</t>
        </is>
      </c>
      <c r="I95" s="39" t="inlineStr">
        <is>
          <t>Conintel</t>
        </is>
      </c>
      <c r="J95" s="336" t="n">
        <v>1000000</v>
      </c>
      <c r="K95" s="112" t="n">
        <v>45707</v>
      </c>
      <c r="L95" s="39" t="n"/>
      <c r="M95" s="39" t="inlineStr">
        <is>
          <t>(604) 2662377 ext 129</t>
        </is>
      </c>
      <c r="N95" s="39" t="inlineStr">
        <is>
          <t>Yessica Osorno Cardeño</t>
        </is>
      </c>
      <c r="O95" s="116" t="inlineStr">
        <is>
          <t>liderbim@conintel.com.co</t>
        </is>
      </c>
    </row>
    <row r="96" hidden="1">
      <c r="A96" s="108" t="n"/>
      <c r="B96" s="39" t="n">
        <v>85</v>
      </c>
      <c r="C96" s="278" t="inlineStr">
        <is>
          <t>COTIZACION DEL DISEÑO DE EXTINCIÓN DE INCENDIOS - CEINTEC</t>
        </is>
      </c>
      <c r="I96" s="39" t="inlineStr">
        <is>
          <t>SPCI</t>
        </is>
      </c>
      <c r="J96" s="336" t="n">
        <v>9970000</v>
      </c>
      <c r="K96" s="112" t="n">
        <v>45706</v>
      </c>
      <c r="L96" s="39" t="n"/>
      <c r="M96" s="39" t="n">
        <v>3104165783</v>
      </c>
      <c r="N96" s="39" t="inlineStr">
        <is>
          <t>Cristiam Gustavo Mondragon</t>
        </is>
      </c>
      <c r="O96" s="116" t="inlineStr">
        <is>
          <t>dir.tecnico@spci.com.co</t>
        </is>
      </c>
    </row>
    <row r="97" hidden="1">
      <c r="A97" s="108" t="n"/>
      <c r="B97" s="39" t="n">
        <v>86</v>
      </c>
      <c r="C97" s="278" t="inlineStr">
        <is>
          <t>COTIZACION DE LOS DISEÑOS DE SEGURIDAD HUMANA Y PROTECCIÓN CONTRA INCENDIOS - SANFRCO</t>
        </is>
      </c>
      <c r="I97" s="39" t="inlineStr">
        <is>
          <t>Invigeo</t>
        </is>
      </c>
      <c r="J97" s="336" t="n">
        <v>15990000</v>
      </c>
      <c r="K97" s="112" t="n">
        <v>45706</v>
      </c>
      <c r="L97" s="39" t="n"/>
      <c r="M97" s="39" t="n">
        <v>3148620055</v>
      </c>
      <c r="N97" s="39" t="inlineStr">
        <is>
          <t>Sebastián Amaya</t>
        </is>
      </c>
      <c r="O97" s="116" t="inlineStr">
        <is>
          <t>Proyectos.invigeo@gmail.com</t>
        </is>
      </c>
    </row>
    <row r="98" hidden="1">
      <c r="A98" s="108" t="n"/>
      <c r="B98" s="39" t="n">
        <v>87</v>
      </c>
      <c r="C98" s="278" t="inlineStr">
        <is>
          <t>COTIZACION DEL DISEÑO DE EXTINCIÓN DE INCENDIOS - BODEGAS INVESA</t>
        </is>
      </c>
      <c r="I98" s="39" t="inlineStr">
        <is>
          <t>Invesa</t>
        </is>
      </c>
      <c r="J98" s="336" t="n">
        <v>55850000</v>
      </c>
      <c r="K98" s="112" t="n">
        <v>45706</v>
      </c>
      <c r="L98" s="39" t="n"/>
      <c r="M98" s="39" t="inlineStr">
        <is>
          <t>604 3342727</t>
        </is>
      </c>
      <c r="N98" s="39" t="inlineStr">
        <is>
          <t>Juan Carlos Marín</t>
        </is>
      </c>
      <c r="O98" s="116" t="inlineStr">
        <is>
          <t>jmarin@invesa.com</t>
        </is>
      </c>
    </row>
    <row r="99" hidden="1">
      <c r="A99" s="108" t="n"/>
      <c r="B99" s="39" t="n">
        <v>88</v>
      </c>
      <c r="C99" s="278" t="inlineStr">
        <is>
          <t>COTIZACION DE LOS DISEÑOS DE SEGURIDAD HUMANA Y PROTECCIÓN CONTRA INCENDIOS - MULTIFAMILY</t>
        </is>
      </c>
      <c r="I99" s="39" t="inlineStr">
        <is>
          <t>Soluciones civiles</t>
        </is>
      </c>
      <c r="J99" s="336" t="n">
        <v>32550000</v>
      </c>
      <c r="K99" s="112" t="n">
        <v>45707</v>
      </c>
      <c r="L99" s="39" t="n"/>
      <c r="M99" s="39" t="inlineStr">
        <is>
          <t>604 4483960</t>
        </is>
      </c>
      <c r="N99" s="39" t="inlineStr">
        <is>
          <t>Gustavo Aguirre Arcila</t>
        </is>
      </c>
      <c r="O99" s="116" t="inlineStr">
        <is>
          <t>gaguirre@solciviles.com</t>
        </is>
      </c>
    </row>
    <row r="100" hidden="1">
      <c r="A100" s="108" t="n"/>
      <c r="B100" s="39" t="n">
        <v>89</v>
      </c>
      <c r="C100" s="278" t="inlineStr">
        <is>
          <t>COTIZACION DEL ANÁLISIS DE SEGURIDAD HUMANA - EL ROCIO 9</t>
        </is>
      </c>
      <c r="I100" s="39" t="inlineStr">
        <is>
          <t>OTACC</t>
        </is>
      </c>
      <c r="J100" s="336" t="n">
        <v>7110000</v>
      </c>
      <c r="K100" s="112" t="n">
        <v>45709</v>
      </c>
      <c r="L100" s="39" t="n"/>
      <c r="M100" s="39" t="n">
        <v>3107195105</v>
      </c>
      <c r="N100" s="39" t="inlineStr">
        <is>
          <t>Alejandra Rodríguez Sandoval</t>
        </is>
      </c>
      <c r="O100" s="116" t="inlineStr">
        <is>
          <t>jrodriguez@otacc.com</t>
        </is>
      </c>
    </row>
    <row r="101" hidden="1">
      <c r="A101" s="108" t="n"/>
      <c r="B101" s="39" t="n">
        <v>90</v>
      </c>
      <c r="C101" s="278" t="inlineStr">
        <is>
          <t>COTIZACION DE LOS DISEÑOS DE SEGURIDAD HUMANA Y PROTECCIÓN CONTRA INCENDIOS - TRIALA</t>
        </is>
      </c>
      <c r="I101" s="39" t="inlineStr">
        <is>
          <t>Fundamental Arquitectura y Urbanismo</t>
        </is>
      </c>
      <c r="J101" s="336" t="n">
        <v>27950000</v>
      </c>
      <c r="K101" s="112" t="n">
        <v>45708</v>
      </c>
      <c r="L101" s="39" t="n"/>
      <c r="M101" s="39" t="n">
        <v>3148128006</v>
      </c>
      <c r="N101" s="39" t="inlineStr">
        <is>
          <t>Manuela Uribe B</t>
        </is>
      </c>
      <c r="O101" s="116" t="inlineStr">
        <is>
          <t>muribe@fundamental-au.com</t>
        </is>
      </c>
    </row>
    <row r="102" hidden="1">
      <c r="A102" s="108" t="n"/>
      <c r="B102" s="39" t="n">
        <v>91</v>
      </c>
      <c r="C102" s="278" t="inlineStr">
        <is>
          <t>COTIZACION DEL ANÁLISIS DE SEGURIDAD HUMANA - PROYECTO BELEN</t>
        </is>
      </c>
      <c r="I102" s="39" t="inlineStr">
        <is>
          <t>Perspectiva A y C</t>
        </is>
      </c>
      <c r="J102" s="336" t="n">
        <v>3150000</v>
      </c>
      <c r="K102" s="112" t="n">
        <v>45708</v>
      </c>
      <c r="L102" s="39" t="n"/>
      <c r="M102" s="39" t="n">
        <v>3163069332</v>
      </c>
      <c r="N102" s="39" t="inlineStr">
        <is>
          <t>John Valencia</t>
        </is>
      </c>
      <c r="O102" s="116" t="inlineStr">
        <is>
          <t>John.valencia@perspectivaayc.com</t>
        </is>
      </c>
    </row>
    <row r="103" hidden="1">
      <c r="A103" s="108" t="n"/>
      <c r="B103" s="39" t="n">
        <v>92</v>
      </c>
      <c r="C103" s="278" t="inlineStr">
        <is>
          <t>COTIZACION DE LOS DISEÑOS DE SEGURIDAD HUMANA Y PROTECCIÓN CONTRA INCENDIOS - USHUAYA TORRE 2</t>
        </is>
      </c>
      <c r="I103" s="39" t="inlineStr">
        <is>
          <t>Edyfica</t>
        </is>
      </c>
      <c r="J103" s="336" t="n">
        <v>20700000</v>
      </c>
      <c r="K103" s="112" t="n">
        <v>45709</v>
      </c>
      <c r="L103" s="39" t="n"/>
      <c r="M103" s="39" t="n">
        <v>3127575897</v>
      </c>
      <c r="N103" s="39" t="inlineStr">
        <is>
          <t>Juan Manuel Russi</t>
        </is>
      </c>
      <c r="O103" s="116" t="n"/>
    </row>
    <row r="104" hidden="1">
      <c r="A104" s="108" t="n"/>
      <c r="B104" s="39" t="n">
        <v>93</v>
      </c>
      <c r="C104" s="278" t="inlineStr">
        <is>
          <t>COTIZACION DE LOS DISEÑOS DE SEGURIDAD HUMANA Y PROTECCIÓN CONTRA INCENDIOS - ALGECIRAS</t>
        </is>
      </c>
      <c r="I104" s="39" t="inlineStr">
        <is>
          <t>Geinner Montoya</t>
        </is>
      </c>
      <c r="J104" s="336" t="n">
        <v>20950000</v>
      </c>
      <c r="K104" s="112" t="n">
        <v>45709</v>
      </c>
      <c r="L104" s="39" t="n"/>
      <c r="M104" s="39" t="n">
        <v>3045950866</v>
      </c>
      <c r="N104" s="39" t="inlineStr">
        <is>
          <t>Geinner Montoya</t>
        </is>
      </c>
      <c r="O104" s="116" t="inlineStr">
        <is>
          <t>Geinermontoya2015@gmail.com</t>
        </is>
      </c>
    </row>
    <row r="105" hidden="1" ht="15" customHeight="1">
      <c r="A105" s="108" t="n"/>
      <c r="B105" s="39" t="n">
        <v>94</v>
      </c>
      <c r="C105" s="278" t="inlineStr">
        <is>
          <t>COTIZACION DE LOS DISEÑOS DE SEGURIDAD HUMANA Y PROTECCIÓN CONTRA INCENDIOS - UNIK</t>
        </is>
      </c>
      <c r="I105" s="39" t="inlineStr">
        <is>
          <t>FCR</t>
        </is>
      </c>
      <c r="J105" s="336" t="n">
        <v>23960000</v>
      </c>
      <c r="K105" s="112" t="n">
        <v>45709</v>
      </c>
      <c r="L105" s="39" t="n"/>
      <c r="M105" s="39" t="inlineStr">
        <is>
          <t>311 3304231</t>
        </is>
      </c>
      <c r="N105" s="39" t="inlineStr">
        <is>
          <t>Daniela Vélez</t>
        </is>
      </c>
      <c r="O105" s="116" t="inlineStr">
        <is>
          <t>danielavelez.fcr@gmail.com</t>
        </is>
      </c>
    </row>
    <row r="106" hidden="1">
      <c r="A106" s="108" t="n"/>
      <c r="B106" s="39" t="n">
        <v>95</v>
      </c>
      <c r="C106" s="278" t="inlineStr">
        <is>
          <t>COTIZACION DE LOS DISEÑOS DE SEGURIDAD HUMANA Y PROTECCIÓN CONTRA INCENDIOS - MOKARA TORRE 3</t>
        </is>
      </c>
      <c r="I106" s="39" t="inlineStr">
        <is>
          <t>FCR</t>
        </is>
      </c>
      <c r="J106" s="336" t="n">
        <v>16930000</v>
      </c>
      <c r="K106" s="112" t="n">
        <v>45709</v>
      </c>
      <c r="L106" s="39" t="n"/>
      <c r="M106" s="39" t="inlineStr">
        <is>
          <t>311 3304231</t>
        </is>
      </c>
      <c r="N106" s="39" t="inlineStr">
        <is>
          <t>Daniela Vélez</t>
        </is>
      </c>
      <c r="O106" s="116" t="inlineStr">
        <is>
          <t>danielavelez.fcr@gmail.com</t>
        </is>
      </c>
    </row>
    <row r="107" hidden="1">
      <c r="A107" s="108" t="n"/>
      <c r="B107" s="39" t="n">
        <v>96</v>
      </c>
      <c r="C107" s="278" t="inlineStr">
        <is>
          <t>COTIZACION DEL DISEÑO DE EXTINCIÓN DE INCENDIOS - PROYECTO BODEGA 39 INTEXZONA</t>
        </is>
      </c>
      <c r="I107" s="39" t="inlineStr">
        <is>
          <t>SPCI</t>
        </is>
      </c>
      <c r="J107" s="336" t="n">
        <v>18820000</v>
      </c>
      <c r="K107" s="112" t="n">
        <v>45709</v>
      </c>
      <c r="L107" s="39" t="n"/>
      <c r="M107" s="39" t="n">
        <v>3104165783</v>
      </c>
      <c r="N107" s="39" t="inlineStr">
        <is>
          <t>Cristiam Gustavo Mondragon</t>
        </is>
      </c>
      <c r="O107" s="116" t="inlineStr">
        <is>
          <t>dir.tecnico@spci.com.co</t>
        </is>
      </c>
    </row>
    <row r="108" hidden="1">
      <c r="A108" s="108" t="n"/>
      <c r="B108" s="39" t="n">
        <v>97</v>
      </c>
      <c r="C108" s="278" t="inlineStr">
        <is>
          <t>COTIZACION DE LOS DISEÑOS DE SEGURIDAD HUMANA Y PROTECCIÓN CONTRA INCENDIOS - EL CARMEN COLONIAL</t>
        </is>
      </c>
      <c r="I108" s="39" t="inlineStr">
        <is>
          <t>FP Civiles</t>
        </is>
      </c>
      <c r="J108" s="336" t="n">
        <v>16450000</v>
      </c>
      <c r="K108" s="112" t="n">
        <v>45709</v>
      </c>
      <c r="L108" s="39" t="n"/>
      <c r="M108" s="39" t="n">
        <v>3135204138</v>
      </c>
      <c r="N108" s="39" t="inlineStr">
        <is>
          <t>Cristian Miguel Cabrera Rivas</t>
        </is>
      </c>
      <c r="O108" s="116" t="inlineStr">
        <is>
          <t>ccabrera@fpciviles.com</t>
        </is>
      </c>
    </row>
    <row r="109" hidden="1">
      <c r="A109" s="108" t="n"/>
      <c r="B109" s="39" t="n">
        <v>98</v>
      </c>
      <c r="C109" s="278" t="inlineStr">
        <is>
          <t>COTIZACION DE LOS DISEÑOS DE SEGURIDAD HUMANA Y PROTECCIÓN CONTRA INCENDIOS - UMA ARMENIA</t>
        </is>
      </c>
      <c r="I109" s="39" t="inlineStr">
        <is>
          <t>Sohinco</t>
        </is>
      </c>
      <c r="J109" s="336" t="n">
        <v>29950000</v>
      </c>
      <c r="K109" s="112" t="n">
        <v>45709</v>
      </c>
      <c r="L109" s="39" t="n"/>
      <c r="M109" s="39" t="n">
        <v>3045430256</v>
      </c>
      <c r="N109" s="125" t="inlineStr">
        <is>
          <t>Maritza Muñoz Villa</t>
        </is>
      </c>
      <c r="O109" s="116" t="inlineStr">
        <is>
          <t>maritzam@sohinco.com</t>
        </is>
      </c>
    </row>
    <row r="110" hidden="1">
      <c r="A110" s="108" t="n"/>
      <c r="B110" s="39" t="n">
        <v>99</v>
      </c>
      <c r="C110" s="278" t="inlineStr">
        <is>
          <t>COTIZACION DE LOS DISEÑOS DE SEGURIDAD HUMANA Y PROTECCIÓN CONTRA INCENDIOS - FLOR DEL MONTE</t>
        </is>
      </c>
      <c r="I110" s="39" t="inlineStr">
        <is>
          <t>Conexo</t>
        </is>
      </c>
      <c r="J110" s="336" t="n">
        <v>5500000</v>
      </c>
      <c r="K110" s="112" t="n">
        <v>45709</v>
      </c>
      <c r="L110" s="39" t="n"/>
      <c r="M110" s="39" t="n">
        <v>3006007770</v>
      </c>
      <c r="N110" s="39" t="inlineStr">
        <is>
          <t>Juan Diego Mesa Gutierrez</t>
        </is>
      </c>
      <c r="O110" s="116" t="inlineStr">
        <is>
          <t>jmesa@conexoinmobiliario.com</t>
        </is>
      </c>
    </row>
    <row r="111" hidden="1">
      <c r="A111" s="108" t="n"/>
      <c r="B111" s="39" t="n">
        <v>100</v>
      </c>
      <c r="C111" s="278" t="inlineStr">
        <is>
          <t>COTIZACION DEL DISEÑO DE DETECCIÓN DE INCENDIOS - SUCURSAL LOS PATIOS</t>
        </is>
      </c>
      <c r="I111" s="39" t="inlineStr">
        <is>
          <t>Toro Posada</t>
        </is>
      </c>
      <c r="J111" s="336" t="n"/>
      <c r="K111" s="112" t="n">
        <v>45709</v>
      </c>
      <c r="L111" s="39" t="n"/>
      <c r="M111" s="39" t="n">
        <v>3116728287</v>
      </c>
      <c r="N111" s="39" t="inlineStr">
        <is>
          <t>Rafael Botero Villa</t>
        </is>
      </c>
      <c r="O111" s="116" t="inlineStr">
        <is>
          <t>rafaelb@toroposada.com</t>
        </is>
      </c>
    </row>
    <row r="112" hidden="1">
      <c r="A112" s="108" t="n"/>
      <c r="B112" s="39" t="n">
        <v>101</v>
      </c>
      <c r="C112" s="278" t="inlineStr">
        <is>
          <t>COTIZACION DEL DISEÑO DE EXTINCIÓN DE INCENDIOS - PARQUEADEROS LATITUD SUR</t>
        </is>
      </c>
      <c r="I112" s="39" t="inlineStr">
        <is>
          <t>Prosoma</t>
        </is>
      </c>
      <c r="J112" s="336" t="n">
        <v>7500000</v>
      </c>
      <c r="K112" s="112" t="n">
        <v>45712</v>
      </c>
      <c r="L112" s="39" t="n"/>
      <c r="M112" s="39" t="n">
        <v>3147537411</v>
      </c>
      <c r="N112" s="39" t="inlineStr">
        <is>
          <t>Adolfo Flores Cossio</t>
        </is>
      </c>
      <c r="O112" s="116" t="inlineStr">
        <is>
          <t>proyectos@prosoma.com.co</t>
        </is>
      </c>
    </row>
    <row r="113" hidden="1">
      <c r="A113" s="108" t="n"/>
      <c r="B113" s="39" t="n">
        <v>102</v>
      </c>
      <c r="C113" s="278" t="inlineStr">
        <is>
          <t>COTIZACION DE LOS DISEÑOS DE PROTECCIÓN CONTRA INCENDIOS - BODEGA CHIMITA</t>
        </is>
      </c>
      <c r="I113" s="39" t="inlineStr">
        <is>
          <t>SPCI</t>
        </is>
      </c>
      <c r="J113" s="336" t="n">
        <v>12920000</v>
      </c>
      <c r="K113" s="112" t="n">
        <v>45712</v>
      </c>
      <c r="L113" s="39" t="n"/>
      <c r="M113" s="39" t="n">
        <v>3104165783</v>
      </c>
      <c r="N113" s="39" t="inlineStr">
        <is>
          <t>Cristiam Gustavo Mondragon</t>
        </is>
      </c>
      <c r="O113" s="116" t="inlineStr">
        <is>
          <t>dir.tecnico@spci.com.co</t>
        </is>
      </c>
    </row>
    <row r="114" hidden="1">
      <c r="A114" s="108" t="n"/>
      <c r="B114" s="39" t="n">
        <v>103</v>
      </c>
      <c r="C114" s="278" t="inlineStr">
        <is>
          <t>COTIZACION DE LOS DISEÑOS DE SEGURIDAD HUMANA Y PROTECCIÓN CONTRA INCENDIOS - VILLA CIELO T1</t>
        </is>
      </c>
      <c r="I114" s="39" t="inlineStr">
        <is>
          <t>Construcciones e Inversiones Asociativas S.A.S.</t>
        </is>
      </c>
      <c r="J114" s="336" t="n">
        <v>23840000</v>
      </c>
      <c r="K114" s="112" t="n">
        <v>45713</v>
      </c>
      <c r="L114" s="39" t="n"/>
      <c r="M114" s="39" t="n">
        <v>3015201382</v>
      </c>
      <c r="N114" s="39" t="inlineStr">
        <is>
          <t>Andrea Katherine Franco</t>
        </is>
      </c>
      <c r="O114" s="52" t="inlineStr">
        <is>
          <t>supervisionvillacielo@gmail.com</t>
        </is>
      </c>
    </row>
    <row r="115" hidden="1">
      <c r="A115" s="108" t="n"/>
      <c r="B115" s="39" t="n">
        <v>104</v>
      </c>
      <c r="C115" s="278" t="inlineStr">
        <is>
          <t>COTIZACION DE LOS DISEÑOS DE SEGURIDAD HUMANA Y PROTECCIÓN CONTRA INCENDIOS - TABUN</t>
        </is>
      </c>
      <c r="I115" s="39" t="inlineStr">
        <is>
          <t>SPCI</t>
        </is>
      </c>
      <c r="J115" s="336" t="n">
        <v>10770000</v>
      </c>
      <c r="K115" s="112" t="n">
        <v>45713</v>
      </c>
      <c r="L115" s="39" t="n"/>
      <c r="M115" s="39" t="n">
        <v>3104165783</v>
      </c>
      <c r="N115" s="39" t="inlineStr">
        <is>
          <t>Cristiam Gustavo Mondragon</t>
        </is>
      </c>
      <c r="O115" s="116" t="inlineStr">
        <is>
          <t>dir.tecnico@spci.com.co</t>
        </is>
      </c>
    </row>
    <row r="116" hidden="1">
      <c r="A116" s="108" t="n"/>
      <c r="B116" s="39" t="n">
        <v>105</v>
      </c>
      <c r="C116" s="278" t="inlineStr">
        <is>
          <t>COTIZACION DE LOS DISEÑOS DE SEGURIDAD HUMANA Y PROTECCIÓN CONTRA INCENDIOS - LOTE 16C SUR</t>
        </is>
      </c>
      <c r="I116" s="39" t="inlineStr">
        <is>
          <t>Mensula</t>
        </is>
      </c>
      <c r="J116" s="336" t="n">
        <v>25950000</v>
      </c>
      <c r="K116" s="112" t="n">
        <v>45714</v>
      </c>
      <c r="L116" s="39" t="n"/>
      <c r="M116" s="39" t="n">
        <v>3117797497</v>
      </c>
      <c r="N116" s="39" t="inlineStr">
        <is>
          <t>Alejandro Hernández</t>
        </is>
      </c>
      <c r="O116" s="52" t="inlineStr">
        <is>
          <t>alejandrohernandez@mensulaingenieros.com</t>
        </is>
      </c>
    </row>
    <row r="117" hidden="1" ht="15" customHeight="1">
      <c r="A117" s="108" t="n"/>
      <c r="B117" s="39" t="n">
        <v>106</v>
      </c>
      <c r="C117" s="278" t="inlineStr">
        <is>
          <t>COTIZACION DEL DISEÑO DE EXTINCIÓN DE INCENDIOS - ACTION BLACK JARDINES</t>
        </is>
      </c>
      <c r="I117" s="39" t="inlineStr">
        <is>
          <t>Hidraulica y Montajes</t>
        </is>
      </c>
      <c r="J117" s="336" t="n">
        <v>5000000</v>
      </c>
      <c r="K117" s="112" t="n">
        <v>45714</v>
      </c>
      <c r="L117" s="39" t="n"/>
      <c r="M117" s="39" t="n">
        <v>3014487912</v>
      </c>
      <c r="N117" s="39" t="inlineStr">
        <is>
          <t>Evelin Rojas</t>
        </is>
      </c>
      <c r="O117" s="116" t="inlineStr">
        <is>
          <t>hidraulicaymontajes@gmail.com</t>
        </is>
      </c>
    </row>
    <row r="118" hidden="1">
      <c r="A118" s="108" t="n"/>
      <c r="B118" s="39" t="n">
        <v>107</v>
      </c>
      <c r="C118" s="278" t="inlineStr">
        <is>
          <t>COTIZACION DEL DISEÑO DE DETECCIÓN DE INCENDIOS - EL COLOMBIANO</t>
        </is>
      </c>
      <c r="I118" s="39" t="inlineStr">
        <is>
          <t>Seriinco</t>
        </is>
      </c>
      <c r="J118" s="336" t="n">
        <v>7500000</v>
      </c>
      <c r="K118" s="112" t="n">
        <v>45716</v>
      </c>
      <c r="L118" s="39" t="n"/>
      <c r="M118" s="39" t="n">
        <v>3213005574</v>
      </c>
      <c r="N118" s="39" t="inlineStr">
        <is>
          <t>Mauricio Castellanos Villamizar</t>
        </is>
      </c>
      <c r="O118" s="116" t="inlineStr">
        <is>
          <t>analista.presupuesto@seriinco.com</t>
        </is>
      </c>
    </row>
    <row r="119" hidden="1">
      <c r="A119" s="108" t="n"/>
      <c r="B119" s="39" t="n">
        <v>108</v>
      </c>
      <c r="C119" s="278" t="inlineStr">
        <is>
          <t>COTIZACION DEL DISEÑO DE EXTINCIÓN DE INCENDIOS - CUARTO FRIO TC1</t>
        </is>
      </c>
      <c r="I119" s="39" t="inlineStr">
        <is>
          <t xml:space="preserve">Fire Protection Solutions Group </t>
        </is>
      </c>
      <c r="J119" s="314" t="n">
        <v>11950000</v>
      </c>
      <c r="K119" s="112" t="n">
        <v>45716</v>
      </c>
      <c r="L119" s="2" t="n"/>
      <c r="M119" s="39" t="n">
        <v>3108227462</v>
      </c>
      <c r="N119" s="39" t="inlineStr">
        <is>
          <t>Alvaro Manosalva</t>
        </is>
      </c>
      <c r="O119" s="116" t="inlineStr">
        <is>
          <t>alvaromanosalva@sfiregroup.com</t>
        </is>
      </c>
    </row>
    <row r="120" hidden="1" ht="15" customHeight="1">
      <c r="A120" s="108" t="n"/>
      <c r="B120" s="39" t="n">
        <v>109</v>
      </c>
      <c r="C120" s="278" t="inlineStr">
        <is>
          <t>COTIZACION DEL DISEÑO DE DETECCIÓN DE INCENDIOS - MANILA</t>
        </is>
      </c>
      <c r="I120" s="39" t="inlineStr">
        <is>
          <t>G4 Proyectos Inmobiliarios</t>
        </is>
      </c>
      <c r="J120" s="336" t="n">
        <v>2500000</v>
      </c>
      <c r="K120" s="112" t="n">
        <v>45694</v>
      </c>
      <c r="L120" s="39" t="n"/>
      <c r="M120" s="39" t="n">
        <v>3052501777</v>
      </c>
      <c r="N120" s="39" t="inlineStr">
        <is>
          <t>Steven 	Maya</t>
        </is>
      </c>
      <c r="O120" s="116" t="inlineStr">
        <is>
          <t>coordinadorproyectos1@g4ingenieros.com</t>
        </is>
      </c>
    </row>
    <row r="121" hidden="1" ht="15" customHeight="1">
      <c r="A121" s="108" t="n"/>
      <c r="B121" s="39" t="n">
        <v>110</v>
      </c>
      <c r="C121" s="278" t="inlineStr">
        <is>
          <t>COTIZACION DEL ANÁLISIS DE SEGURIDAD HUMANA - COOTRA</t>
        </is>
      </c>
      <c r="I121" s="39" t="inlineStr">
        <is>
          <t>Mauricio Gonzalez</t>
        </is>
      </c>
      <c r="J121" s="336" t="n">
        <v>950000</v>
      </c>
      <c r="K121" s="112" t="n">
        <v>45719</v>
      </c>
      <c r="L121" s="39" t="n"/>
      <c r="M121" s="39" t="n"/>
      <c r="N121" s="39" t="n"/>
      <c r="O121" s="116" t="n"/>
    </row>
    <row r="122" hidden="1">
      <c r="A122" s="108" t="n"/>
      <c r="B122" s="39" t="n">
        <v>111</v>
      </c>
      <c r="C122" s="278" t="inlineStr">
        <is>
          <t>COTIZACION DEL ANÁLISIS DE SEGURIDAD HUMANA - PATIO BUSES ELECTRICOS</t>
        </is>
      </c>
      <c r="I122" s="39" t="inlineStr">
        <is>
          <t>Conconcreto</t>
        </is>
      </c>
      <c r="J122" s="336" t="n">
        <v>7270000</v>
      </c>
      <c r="K122" s="112" t="n">
        <v>45722</v>
      </c>
      <c r="L122" s="39" t="n"/>
      <c r="M122" s="39" t="n">
        <v>3006563981</v>
      </c>
      <c r="N122" s="39" t="inlineStr">
        <is>
          <t>Milena Hernandez</t>
        </is>
      </c>
      <c r="O122" s="116" t="inlineStr">
        <is>
          <t xml:space="preserve"> mhernandezm@conconcreto.com</t>
        </is>
      </c>
    </row>
    <row r="123" hidden="1">
      <c r="A123" s="108" t="n"/>
      <c r="B123" s="39" t="n">
        <v>112</v>
      </c>
      <c r="C123" s="278" t="inlineStr">
        <is>
          <t>COTIZACION DE LOS DISEÑOS DE SEGURIDAD HUMANA Y PROTECCIÓN CONTRA INCENDIOS - COLEGIO CUMBRES TABLAZO</t>
        </is>
      </c>
      <c r="I123" s="39" t="inlineStr">
        <is>
          <t>Convel</t>
        </is>
      </c>
      <c r="J123" s="336" t="n">
        <v>47500000</v>
      </c>
      <c r="K123" s="112" t="n">
        <v>45730</v>
      </c>
      <c r="L123" s="39" t="n"/>
      <c r="M123" s="39" t="n"/>
      <c r="N123" s="39" t="inlineStr">
        <is>
          <t>Juan Carlos Naranjo</t>
        </is>
      </c>
      <c r="O123" s="116" t="inlineStr">
        <is>
          <t>juannaranjo@convel.co</t>
        </is>
      </c>
    </row>
    <row r="124" hidden="1">
      <c r="A124" s="108" t="n"/>
      <c r="B124" s="39" t="n">
        <v>113</v>
      </c>
      <c r="C124" s="278" t="inlineStr">
        <is>
          <t>COTIZACION DE LOS DISEÑOS DE PROTECCIÓN CONTRA INCENDIOS - HOTEL HAVEN</t>
        </is>
      </c>
      <c r="I124" s="39" t="inlineStr">
        <is>
          <t>Mensula</t>
        </is>
      </c>
      <c r="J124" s="336" t="n">
        <v>10170000</v>
      </c>
      <c r="K124" s="112" t="n">
        <v>45721</v>
      </c>
      <c r="L124" s="39" t="n"/>
      <c r="M124" s="39" t="n">
        <v>3008643710</v>
      </c>
      <c r="N124" s="39" t="inlineStr">
        <is>
          <t>Cristina Palacio Perez</t>
        </is>
      </c>
      <c r="O124" s="116" t="inlineStr">
        <is>
          <t>cristinapalacio@mensulaingenieros.com</t>
        </is>
      </c>
    </row>
    <row r="125" hidden="1">
      <c r="A125" s="108" t="n"/>
      <c r="B125" s="39" t="n">
        <v>114</v>
      </c>
      <c r="C125" s="278" t="inlineStr">
        <is>
          <t>COTIZACION DEL DISEÑO DE DETECCIÓN DE INCENDIOS - ESCUELA CONRADO GONZALES MEJIA</t>
        </is>
      </c>
      <c r="I125" s="39" t="inlineStr">
        <is>
          <t>DYCONH S.A.S.</t>
        </is>
      </c>
      <c r="J125" s="336" t="n">
        <v>4000000</v>
      </c>
      <c r="K125" s="112" t="n">
        <v>45721</v>
      </c>
      <c r="L125" s="39" t="n"/>
      <c r="M125" s="39" t="n">
        <v>3194419426</v>
      </c>
      <c r="N125" s="39" t="inlineStr">
        <is>
          <t>Camilo Orrego Salazar</t>
        </is>
      </c>
      <c r="O125" s="116" t="inlineStr">
        <is>
          <t>dchidraulicas@gmail.com</t>
        </is>
      </c>
    </row>
    <row r="126" hidden="1" ht="15" customHeight="1">
      <c r="A126" s="108" t="n"/>
      <c r="B126" s="39" t="n">
        <v>115</v>
      </c>
      <c r="C126" s="278" t="inlineStr">
        <is>
          <t>COTIZACION DEL DISEÑO DE DETECCIÓN DE INCENDIOS - NEXO</t>
        </is>
      </c>
      <c r="I126" s="39" t="inlineStr">
        <is>
          <t>DYCONH S.A.S.</t>
        </is>
      </c>
      <c r="J126" s="336" t="n">
        <v>3500000</v>
      </c>
      <c r="K126" s="112" t="n">
        <v>45721</v>
      </c>
      <c r="L126" s="39" t="n"/>
      <c r="M126" s="39" t="n">
        <v>3194419426</v>
      </c>
      <c r="N126" s="39" t="inlineStr">
        <is>
          <t>Camilo Orrego Salazar</t>
        </is>
      </c>
      <c r="O126" s="116" t="inlineStr">
        <is>
          <t>dchidraulicas@gmail.com</t>
        </is>
      </c>
    </row>
    <row r="127" hidden="1">
      <c r="A127" s="108" t="n"/>
      <c r="B127" s="39" t="n">
        <v>116</v>
      </c>
      <c r="C127" s="278" t="inlineStr">
        <is>
          <t>COTIZACION DEL DISEÑO DE EXTINCIÓN DE INCENDIOS - PARQUE EMPRESARIAL EL HATO</t>
        </is>
      </c>
      <c r="I127" s="39" t="inlineStr">
        <is>
          <t>Administradora parque empresarial</t>
        </is>
      </c>
      <c r="J127" s="336" t="n">
        <v>10910000</v>
      </c>
      <c r="K127" s="112" t="n">
        <v>45722</v>
      </c>
      <c r="L127" s="39" t="n"/>
      <c r="M127" s="39" t="n">
        <v>3007853269</v>
      </c>
      <c r="N127" s="39" t="inlineStr">
        <is>
          <t>Ana María Bedoya</t>
        </is>
      </c>
      <c r="O127" s="116" t="n"/>
    </row>
    <row r="128" hidden="1">
      <c r="A128" s="108" t="n"/>
      <c r="B128" s="39" t="n">
        <v>117</v>
      </c>
      <c r="C128" s="278" t="inlineStr">
        <is>
          <t>COTIZACION DE LOS DISEÑOS DE SEGURIDAD HUMANA Y PROTECCIÓN CONTRA INCENDIOS - IPS CARDIOCENTRO PEDIATRICO DE SUCRE</t>
        </is>
      </c>
      <c r="I128" s="39" t="inlineStr">
        <is>
          <t>Apcom Ingeniería</t>
        </is>
      </c>
      <c r="J128" s="336" t="n">
        <v>10990000</v>
      </c>
      <c r="K128" s="112" t="n">
        <v>45722</v>
      </c>
      <c r="L128" s="39" t="n"/>
      <c r="M128" s="39" t="n">
        <v>3012468674</v>
      </c>
      <c r="N128" s="39" t="inlineStr">
        <is>
          <t>Alberto Pastor</t>
        </is>
      </c>
      <c r="O128" s="116" t="inlineStr">
        <is>
          <t>Apcom2.0@gmail.com</t>
        </is>
      </c>
    </row>
    <row r="129" hidden="1">
      <c r="A129" s="108" t="n"/>
      <c r="B129" s="39" t="n">
        <v>118</v>
      </c>
      <c r="C129" s="278" t="inlineStr">
        <is>
          <t>COTIZACION DE LOS DISEÑOS DE SEGURIDAD HUMANA Y PROTECCIÓN CONTRA INCENDIOS - MUNAY</t>
        </is>
      </c>
      <c r="I129" s="39" t="inlineStr">
        <is>
          <t>Conaltura</t>
        </is>
      </c>
      <c r="J129" s="336" t="n">
        <v>29720000</v>
      </c>
      <c r="K129" s="112" t="n">
        <v>45722</v>
      </c>
      <c r="L129" s="39" t="n"/>
      <c r="M129" s="39" t="n">
        <v>3122310202</v>
      </c>
      <c r="N129" s="39" t="inlineStr">
        <is>
          <t>Yesenia Pareja</t>
        </is>
      </c>
      <c r="O129" s="116" t="inlineStr">
        <is>
          <t>ypareja@conaltura.com</t>
        </is>
      </c>
    </row>
    <row r="130" hidden="1" ht="15" customHeight="1">
      <c r="A130" s="108" t="n"/>
      <c r="B130" s="39" t="n">
        <v>119</v>
      </c>
      <c r="C130" s="278" t="inlineStr">
        <is>
          <t>COTIZACION DE LOS DISEÑOS DE SEGURIDAD HUMANA Y PROTECCIÓN CONTRA INCENDIOS - AZZURI</t>
        </is>
      </c>
      <c r="I130" s="39" t="inlineStr">
        <is>
          <t>Conaltura</t>
        </is>
      </c>
      <c r="J130" s="336" t="n">
        <v>33860000</v>
      </c>
      <c r="K130" s="112" t="n">
        <v>45722</v>
      </c>
      <c r="L130" s="39" t="n"/>
      <c r="M130" s="39" t="n">
        <v>3122310202</v>
      </c>
      <c r="N130" s="39" t="inlineStr">
        <is>
          <t>Yesenia Pareja</t>
        </is>
      </c>
      <c r="O130" s="116" t="inlineStr">
        <is>
          <t>ypareja@conaltura.com</t>
        </is>
      </c>
    </row>
    <row r="131" hidden="1">
      <c r="A131" s="108" t="n"/>
      <c r="B131" s="39" t="n">
        <v>120</v>
      </c>
      <c r="C131" s="278" t="inlineStr">
        <is>
          <t>COTIZACION DE LOS DISEÑOS DE SEGURIDAD HUMANA Y PROTECCIÓN CONTRA INCENDIOS - PUNTEO</t>
        </is>
      </c>
      <c r="I131" s="39" t="inlineStr">
        <is>
          <t>ARTIKA, KAVAN Grupo Constructor</t>
        </is>
      </c>
      <c r="J131" s="336" t="n">
        <v>10980000</v>
      </c>
      <c r="K131" s="112" t="n">
        <v>45722</v>
      </c>
      <c r="L131" s="39" t="n"/>
      <c r="M131" s="39" t="inlineStr">
        <is>
          <t>321 8268554</t>
        </is>
      </c>
      <c r="N131" s="39" t="inlineStr">
        <is>
          <t>Jorge Castro</t>
        </is>
      </c>
      <c r="O131" s="116" t="inlineStr">
        <is>
          <t>materialesysuministros@constructorakavan.com</t>
        </is>
      </c>
    </row>
    <row r="132" hidden="1">
      <c r="A132" s="108" t="n"/>
      <c r="B132" s="39" t="n">
        <v>121</v>
      </c>
      <c r="C132" s="278" t="inlineStr">
        <is>
          <t>COTIZACION DE LOS DISEÑOS DE SEGURIDAD HUMANA Y PROTECCIÓN CONTRA INCENDIOS - HOM</t>
        </is>
      </c>
      <c r="I132" s="39" t="inlineStr">
        <is>
          <t>Estructurar</t>
        </is>
      </c>
      <c r="J132" s="336" t="n">
        <v>38950000</v>
      </c>
      <c r="K132" s="112" t="n">
        <v>45722</v>
      </c>
      <c r="L132" s="39" t="n"/>
      <c r="M132" s="39" t="n">
        <v>3127769261</v>
      </c>
      <c r="N132" s="39" t="inlineStr">
        <is>
          <t>Catalina Madrid Zuluaga</t>
        </is>
      </c>
      <c r="O132" s="116" t="inlineStr">
        <is>
          <t>catalinamadrid@estructurar.co</t>
        </is>
      </c>
    </row>
    <row r="133" hidden="1" ht="15" customHeight="1">
      <c r="A133" s="108" t="n"/>
      <c r="B133" s="39" t="n">
        <v>122</v>
      </c>
      <c r="C133" s="278" t="inlineStr">
        <is>
          <t>COTIZACION DEL DISEÑO DE DETECCIÓN DE INCENDIO - CAMPUS FLORIDABLANCA</t>
        </is>
      </c>
      <c r="I133" s="39" t="inlineStr">
        <is>
          <t>Ingesed</t>
        </is>
      </c>
      <c r="J133" s="336" t="n">
        <v>12500000</v>
      </c>
      <c r="K133" s="112" t="n">
        <v>45723</v>
      </c>
      <c r="L133" s="39" t="n"/>
      <c r="M133" s="39" t="n">
        <v>3135401714</v>
      </c>
      <c r="N133" s="39" t="inlineStr">
        <is>
          <t>Eliana Isabel Cardona Ríos</t>
        </is>
      </c>
      <c r="O133" s="116" t="inlineStr">
        <is>
          <t>comercial@ingesed.com</t>
        </is>
      </c>
    </row>
    <row r="134" hidden="1">
      <c r="A134" s="108" t="n"/>
      <c r="B134" s="39" t="n">
        <v>123</v>
      </c>
      <c r="C134" s="278" t="inlineStr">
        <is>
          <t>COTIZACION DE LOS DISEÑOS DE SEGURIDAD HUMANA Y PROTECCIÓN CONTRA INCENDIOS - BELEN GRANADA</t>
        </is>
      </c>
      <c r="I134" s="39" t="inlineStr">
        <is>
          <t>Dobleele</t>
        </is>
      </c>
      <c r="J134" s="336" t="n">
        <v>16850000</v>
      </c>
      <c r="K134" s="112" t="n">
        <v>45723</v>
      </c>
      <c r="L134" s="39" t="n"/>
      <c r="M134" s="39" t="n">
        <v>3165767257</v>
      </c>
      <c r="N134" s="39" t="inlineStr">
        <is>
          <t>Elizabeth  Gomez</t>
        </is>
      </c>
      <c r="O134" s="116" t="inlineStr">
        <is>
          <t>egomez@dobleele.co</t>
        </is>
      </c>
    </row>
    <row r="135" hidden="1">
      <c r="A135" s="108" t="n"/>
      <c r="B135" s="39" t="n">
        <v>124</v>
      </c>
      <c r="C135" s="278" t="inlineStr">
        <is>
          <t>COTIZACION DE LOS DISEÑOS DE SEGURIDAD HUMANA Y PROTECCIÓN CONTRA INCENDIOS - ARTIKA</t>
        </is>
      </c>
      <c r="I135" s="39" t="inlineStr">
        <is>
          <t>Proyect &amp; solution</t>
        </is>
      </c>
      <c r="J135" s="336" t="n">
        <v>10980000</v>
      </c>
      <c r="K135" s="112" t="n">
        <v>45723</v>
      </c>
      <c r="L135" s="39" t="n"/>
      <c r="M135" s="39" t="inlineStr">
        <is>
          <t>311 3079477</t>
        </is>
      </c>
      <c r="N135" s="39" t="inlineStr">
        <is>
          <t>Sebastian Lopez Duque</t>
        </is>
      </c>
      <c r="O135" s="116" t="inlineStr">
        <is>
          <t>gerencia@projectsolutions.com.co</t>
        </is>
      </c>
    </row>
    <row r="136" hidden="1">
      <c r="A136" s="108" t="n"/>
      <c r="B136" s="39" t="n">
        <v>125</v>
      </c>
      <c r="C136" s="278" t="inlineStr">
        <is>
          <t>COTIZACION DEL ANÁLISIS DE SEGURIDAD HUMANA - VILLA MARIA ETAPA II</t>
        </is>
      </c>
      <c r="I136" s="39" t="inlineStr">
        <is>
          <t>Coinser</t>
        </is>
      </c>
      <c r="J136" s="336" t="n"/>
      <c r="K136" s="112" t="n">
        <v>45726</v>
      </c>
      <c r="L136" s="39" t="n"/>
      <c r="M136" s="39" t="inlineStr">
        <is>
          <t xml:space="preserve">3102928763-3208115202 </t>
        </is>
      </c>
      <c r="N136" s="39" t="n"/>
      <c r="O136" s="52" t="inlineStr">
        <is>
          <t>coinsersas2@gmail.com</t>
        </is>
      </c>
    </row>
    <row r="137" hidden="1" ht="14.4" customHeight="1">
      <c r="A137" s="108" t="n"/>
      <c r="B137" s="39" t="n">
        <v>126</v>
      </c>
      <c r="C137" s="278" t="inlineStr">
        <is>
          <t>COTIZACION DE LOS DISEÑOS DE PROTECCIÓN CONTRA INCENDIOS - PLANTA PREVENTIVA SALUD IPS</t>
        </is>
      </c>
      <c r="I137" s="39" t="inlineStr">
        <is>
          <t>Socomes</t>
        </is>
      </c>
      <c r="J137" s="336" t="n">
        <v>5000000</v>
      </c>
      <c r="K137" s="112" t="n">
        <v>45726</v>
      </c>
      <c r="L137" s="39" t="n"/>
      <c r="M137" s="39" t="n">
        <v>3137851941</v>
      </c>
      <c r="N137" s="39" t="inlineStr">
        <is>
          <t>David Lopera</t>
        </is>
      </c>
      <c r="O137" s="116" t="inlineStr">
        <is>
          <t>david.lopera@socomes.com</t>
        </is>
      </c>
    </row>
    <row r="138" hidden="1">
      <c r="A138" s="108" t="n"/>
      <c r="B138" s="39" t="n">
        <v>127</v>
      </c>
      <c r="C138" s="278" t="inlineStr">
        <is>
          <t>COTIZACION DE LOS DISEÑOS DE SEGURIDAD HUMANA Y PROTECCIÓN CONTRA INCENDIOS - VILLA FATIMA</t>
        </is>
      </c>
      <c r="I138" s="39" t="inlineStr">
        <is>
          <t>Ingesed</t>
        </is>
      </c>
      <c r="J138" s="336" t="n">
        <v>16930000</v>
      </c>
      <c r="K138" s="112" t="n">
        <v>45727</v>
      </c>
      <c r="L138" s="39" t="n"/>
      <c r="M138" s="39" t="n">
        <v>3014201614</v>
      </c>
      <c r="N138" s="39" t="inlineStr">
        <is>
          <t>Jhon Rodriguez</t>
        </is>
      </c>
      <c r="O138" s="116" t="inlineStr">
        <is>
          <t xml:space="preserve">jrodriguez@ingesed.com </t>
        </is>
      </c>
    </row>
    <row r="139" hidden="1" ht="15" customHeight="1">
      <c r="A139" s="108" t="n"/>
      <c r="B139" s="39" t="n">
        <v>128</v>
      </c>
      <c r="C139" s="278" t="inlineStr">
        <is>
          <t>COTIZACION DE LOS DISEÑOS DE SEGURIDAD HUMANA Y PROTECCIÓN CONTRA INCENDIOS - ESMERALDAL</t>
        </is>
      </c>
      <c r="I139" s="39" t="inlineStr">
        <is>
          <t>Jomark Seguridad SAS</t>
        </is>
      </c>
      <c r="J139" s="336" t="n">
        <v>17950000</v>
      </c>
      <c r="K139" s="112" t="n">
        <v>45726</v>
      </c>
      <c r="L139" s="39" t="n"/>
      <c r="M139" s="39" t="n">
        <v>3194306523</v>
      </c>
      <c r="N139" s="39" t="inlineStr">
        <is>
          <t>Laura Zapata Zapata</t>
        </is>
      </c>
      <c r="O139" s="116" t="inlineStr">
        <is>
          <t>directoraadmonjomarkseguridad@gmail.com</t>
        </is>
      </c>
    </row>
    <row r="140" hidden="1" ht="15" customHeight="1">
      <c r="A140" s="108" t="n"/>
      <c r="B140" s="39" t="n">
        <v>129</v>
      </c>
      <c r="C140" s="278" t="inlineStr">
        <is>
          <t>COTIZACION DE LOS DISEÑOS DE SEGURIDAD HUMANA Y PROTECCIÓN CONTRA INCENDIOS - COLEGIO MARIA POUSSEPIN</t>
        </is>
      </c>
      <c r="I140" s="39" t="inlineStr">
        <is>
          <t>DESur</t>
        </is>
      </c>
      <c r="J140" s="336" t="n">
        <v>6500000</v>
      </c>
      <c r="K140" s="112" t="n">
        <v>45726</v>
      </c>
      <c r="L140" s="39" t="n"/>
      <c r="M140" s="39" t="inlineStr">
        <is>
          <t>(604) 4801300 Ext 148</t>
        </is>
      </c>
      <c r="N140" s="126" t="inlineStr">
        <is>
          <t>Manuela Henao López</t>
        </is>
      </c>
      <c r="O140" s="116" t="inlineStr">
        <is>
          <t>manuela.henao@desur.gov.co</t>
        </is>
      </c>
    </row>
    <row r="141" hidden="1" ht="15" customHeight="1">
      <c r="A141" s="108" t="n"/>
      <c r="B141" s="39" t="n">
        <v>130</v>
      </c>
      <c r="C141" s="278" t="inlineStr">
        <is>
          <t>COTIZACION DE LOS DISEÑOS DE SEGURIDAD HUMANA Y DETECCIÓN DE INCENDIOS - BANCOLOMBIA SUC. SAN NICOLAS</t>
        </is>
      </c>
      <c r="I141" s="39" t="inlineStr">
        <is>
          <t>SRAIC</t>
        </is>
      </c>
      <c r="J141" s="336" t="n">
        <v>4730000</v>
      </c>
      <c r="K141" s="112" t="n">
        <v>45726</v>
      </c>
      <c r="L141" s="39" t="n"/>
      <c r="M141" s="39" t="n">
        <v>3012567186</v>
      </c>
      <c r="N141" s="39" t="inlineStr">
        <is>
          <t>Michelle Landazabal</t>
        </is>
      </c>
      <c r="O141" s="116" t="inlineStr">
        <is>
          <t>sraic.diseno@gmail.com</t>
        </is>
      </c>
    </row>
    <row r="142" hidden="1" ht="15" customHeight="1">
      <c r="A142" s="108" t="n"/>
      <c r="B142" s="39" t="n">
        <v>131</v>
      </c>
      <c r="C142" s="278" t="inlineStr">
        <is>
          <t>COTIZACION DE LOS DISEÑOS DE SEGURIDAD HUMANA Y PROTECCIÓN CONTRA INCENDIOS - BANCOLOMBIA SUCURSAL CC MAYORCA</t>
        </is>
      </c>
      <c r="I142" s="39" t="inlineStr">
        <is>
          <t>SRAIC</t>
        </is>
      </c>
      <c r="J142" s="336" t="n">
        <v>10910000</v>
      </c>
      <c r="K142" s="112" t="n">
        <v>45726</v>
      </c>
      <c r="L142" s="39" t="n"/>
      <c r="M142" s="39" t="n">
        <v>3008594811</v>
      </c>
      <c r="N142" s="39" t="inlineStr">
        <is>
          <t>Valeria Montoya</t>
        </is>
      </c>
      <c r="O142" s="116" t="inlineStr">
        <is>
          <t>sraic.diseno@gmail.com</t>
        </is>
      </c>
    </row>
    <row r="143" hidden="1" ht="15" customHeight="1">
      <c r="A143" s="108" t="n"/>
      <c r="B143" s="39" t="n">
        <v>132</v>
      </c>
      <c r="C143" s="278" t="inlineStr">
        <is>
          <t>COTIZACION DEL DISEÑO DE EXTINCIÓN DE INCENDIOS - UNAD SANTA FE DE ANTIOQUIA</t>
        </is>
      </c>
      <c r="I143" s="39" t="inlineStr">
        <is>
          <t>Hidro F Salinas</t>
        </is>
      </c>
      <c r="J143" s="336" t="n">
        <v>19950000</v>
      </c>
      <c r="K143" s="112" t="n">
        <v>45730</v>
      </c>
      <c r="L143" s="39" t="n"/>
      <c r="M143" s="39" t="n">
        <v>3104139821</v>
      </c>
      <c r="N143" s="39" t="inlineStr">
        <is>
          <t>Carolina Volkmar R.</t>
        </is>
      </c>
      <c r="O143" s="116" t="inlineStr">
        <is>
          <t>carolina@hidrofsalinas.com</t>
        </is>
      </c>
    </row>
    <row r="144" hidden="1">
      <c r="A144" s="108" t="n"/>
      <c r="B144" s="39" t="n">
        <v>133</v>
      </c>
      <c r="C144" s="278" t="inlineStr">
        <is>
          <t>COTIZACION DE LOS DISEÑOS DE SEGURIDAD HUMANA Y PROTECCIÓN CONTRA INCENDIOS - ELEC AUDITORIO</t>
        </is>
      </c>
      <c r="I144" s="39" t="inlineStr">
        <is>
          <t>David Duque</t>
        </is>
      </c>
      <c r="J144" s="336" t="n">
        <v>14930000</v>
      </c>
      <c r="K144" s="112" t="n">
        <v>45728</v>
      </c>
      <c r="L144" s="170" t="n"/>
      <c r="M144" s="39" t="inlineStr">
        <is>
          <t>322 6861576</t>
        </is>
      </c>
      <c r="N144" s="39" t="inlineStr">
        <is>
          <t>David Duque</t>
        </is>
      </c>
      <c r="O144" s="116" t="n"/>
    </row>
    <row r="145" hidden="1">
      <c r="A145" s="108" t="n"/>
      <c r="B145" s="39" t="n">
        <v>134</v>
      </c>
      <c r="C145" s="278" t="inlineStr">
        <is>
          <t>COTIZACION DE LOS DISEÑOS DE SEGURIDAD HUMANA Y PROTECCIÓN CONTRA INCENDIOS - CAMPUS RC</t>
        </is>
      </c>
      <c r="I145" s="39" t="inlineStr">
        <is>
          <t>Coninsa</t>
        </is>
      </c>
      <c r="J145" s="336" t="n">
        <v>47500000</v>
      </c>
      <c r="K145" s="112" t="n">
        <v>45728</v>
      </c>
      <c r="L145" s="39" t="n"/>
      <c r="M145" s="39" t="n">
        <v>3155264386</v>
      </c>
      <c r="N145" s="39" t="inlineStr">
        <is>
          <t>Yuliana Tamayo Zapata</t>
        </is>
      </c>
      <c r="O145" s="116" t="inlineStr">
        <is>
          <t>ytamayo@coninsa.co</t>
        </is>
      </c>
    </row>
    <row r="146" hidden="1">
      <c r="A146" s="108" t="n"/>
      <c r="B146" s="39" t="n">
        <v>135</v>
      </c>
      <c r="C146" s="278" t="inlineStr">
        <is>
          <t>COTIZACION DE LOS DISEÑOS DE SEGURIDAD HUMANA Y PROTECCIÓN CONTRA INCENDIOS - CLINICA SHAIO</t>
        </is>
      </c>
      <c r="I146" s="39" t="inlineStr">
        <is>
          <t>Condiseño</t>
        </is>
      </c>
      <c r="J146" s="336" t="n">
        <v>9400000</v>
      </c>
      <c r="K146" s="112" t="n">
        <v>45730</v>
      </c>
      <c r="L146" s="39" t="n"/>
      <c r="M146" s="39" t="n">
        <v>3175594091</v>
      </c>
      <c r="N146" s="39" t="inlineStr">
        <is>
          <t>Nakary García</t>
        </is>
      </c>
      <c r="O146" s="52" t="inlineStr">
        <is>
          <t>n.garcia@condiseno.co</t>
        </is>
      </c>
    </row>
    <row r="147" hidden="1">
      <c r="A147" s="108" t="n"/>
      <c r="B147" s="39" t="n">
        <v>136</v>
      </c>
      <c r="C147" s="278" t="inlineStr">
        <is>
          <t>COTIZACION DE LOS DISEÑOS DE PROTECCIÓN CONTRA INCENDIOS - DISLICORES</t>
        </is>
      </c>
      <c r="I147" s="39" t="inlineStr">
        <is>
          <t>SPCI</t>
        </is>
      </c>
      <c r="J147" s="336" t="n">
        <v>22580000</v>
      </c>
      <c r="K147" s="112" t="n">
        <v>45733</v>
      </c>
      <c r="L147" s="39" t="n"/>
      <c r="M147" s="39" t="n">
        <v>3104165783</v>
      </c>
      <c r="N147" s="39" t="inlineStr">
        <is>
          <t>Cristiam Gustavo Mondragon</t>
        </is>
      </c>
      <c r="O147" s="116" t="inlineStr">
        <is>
          <t>dir.tecnico@spci.com.co</t>
        </is>
      </c>
    </row>
    <row r="148" hidden="1">
      <c r="A148" s="108" t="n"/>
      <c r="B148" s="39" t="n">
        <v>137</v>
      </c>
      <c r="C148" s="278" t="inlineStr">
        <is>
          <t>COTIZACION DE LOS DISEÑOS DE SEGURIDAD HUMANA Y PROTECCIÓN CONTRA INCENDIOS - CLINICA UNIVERSITARIA UPB ROBLEDO</t>
        </is>
      </c>
      <c r="I148" s="39" t="inlineStr">
        <is>
          <t>Coninsa</t>
        </is>
      </c>
      <c r="J148" s="336" t="n">
        <v>13170000</v>
      </c>
      <c r="K148" s="112" t="n">
        <v>45733</v>
      </c>
      <c r="L148" s="39" t="n"/>
      <c r="M148" s="39" t="n">
        <v>3155264386</v>
      </c>
      <c r="N148" s="39" t="inlineStr">
        <is>
          <t>Yuliana Tamayo Zapata</t>
        </is>
      </c>
      <c r="O148" s="116" t="inlineStr">
        <is>
          <t>ytamayo@coninsa.co</t>
        </is>
      </c>
    </row>
    <row r="149" hidden="1">
      <c r="A149" s="108" t="n"/>
      <c r="B149" s="39" t="n">
        <v>138</v>
      </c>
      <c r="C149" s="278" t="inlineStr">
        <is>
          <t>COTIZACION DE LOS DISEÑOS DE SEGURIDAD HUMANA Y PROTECCIÓN CONTRA INCENDIOS - PTAR ESCOBERO</t>
        </is>
      </c>
      <c r="I149" s="39" t="inlineStr">
        <is>
          <t>Coninsa</t>
        </is>
      </c>
      <c r="J149" s="336" t="n">
        <v>14420000</v>
      </c>
      <c r="K149" s="112" t="n">
        <v>45733</v>
      </c>
      <c r="L149" s="39" t="n"/>
      <c r="M149" s="39" t="n">
        <v>3006194323</v>
      </c>
      <c r="N149" s="39" t="inlineStr">
        <is>
          <t>Clara I. Mesa López de Mesa</t>
        </is>
      </c>
      <c r="O149" s="116" t="inlineStr">
        <is>
          <t>cmesa@coninsa.co</t>
        </is>
      </c>
    </row>
    <row r="150" hidden="1">
      <c r="A150" s="108" t="n"/>
      <c r="B150" s="39" t="n">
        <v>139</v>
      </c>
      <c r="C150" s="278" t="inlineStr">
        <is>
          <t>COTIZACION DEL DISEÑO DE EXTINCIÓN DE INCENDIOS - PARQUE FABRICATO ETAPA 2.2</t>
        </is>
      </c>
      <c r="I150" s="39" t="inlineStr">
        <is>
          <t>Intervé</t>
        </is>
      </c>
      <c r="J150" s="336" t="n">
        <v>24950000</v>
      </c>
      <c r="K150" s="112" t="n">
        <v>45729</v>
      </c>
      <c r="L150" s="39" t="n"/>
      <c r="M150" s="39" t="n">
        <v>3103861763</v>
      </c>
      <c r="N150" s="39" t="inlineStr">
        <is>
          <t>Dario A. Saldarriaga R.</t>
        </is>
      </c>
      <c r="O150" s="116" t="inlineStr">
        <is>
          <t>dsaldarriaga@interve.co</t>
        </is>
      </c>
    </row>
    <row r="151" hidden="1">
      <c r="A151" s="108" t="n"/>
      <c r="B151" s="39" t="n">
        <v>140</v>
      </c>
      <c r="C151" s="278" t="inlineStr">
        <is>
          <t>COTIZACION DEL DISEÑO DE DETECCIÓN DE INCENDIOS - TEATRO METROPOLITANO</t>
        </is>
      </c>
      <c r="I151" s="39" t="inlineStr">
        <is>
          <t>Securetec</t>
        </is>
      </c>
      <c r="J151" s="336" t="n">
        <v>5950000</v>
      </c>
      <c r="K151" s="112" t="n">
        <v>45729</v>
      </c>
      <c r="L151" s="39" t="n"/>
      <c r="M151" s="39" t="n">
        <v>3206698730</v>
      </c>
      <c r="N151" s="39" t="inlineStr">
        <is>
          <t>Alba Lucia Ricardo Sanchez</t>
        </is>
      </c>
      <c r="O151" s="116" t="inlineStr">
        <is>
          <t>ascomercial@securetec.com.co</t>
        </is>
      </c>
    </row>
    <row r="152" hidden="1">
      <c r="A152" s="108" t="n"/>
      <c r="B152" s="39" t="n">
        <v>141</v>
      </c>
      <c r="C152" s="278" t="inlineStr">
        <is>
          <t>COTIZACION DEL ANÁLISIS DE SEGURIDAD HUMANA - EL TURPIAL</t>
        </is>
      </c>
      <c r="I152" s="39" t="inlineStr">
        <is>
          <t>Conconcreto</t>
        </is>
      </c>
      <c r="J152" s="336" t="n">
        <v>8780000</v>
      </c>
      <c r="K152" s="112" t="n">
        <v>45733</v>
      </c>
      <c r="L152" s="39" t="n"/>
      <c r="M152" s="39" t="n">
        <v>3006563981</v>
      </c>
      <c r="N152" s="39" t="inlineStr">
        <is>
          <t>Martha Milena Hernandez Marin</t>
        </is>
      </c>
      <c r="O152" s="116" t="inlineStr">
        <is>
          <t>mhernandezm@conconcreto.com</t>
        </is>
      </c>
    </row>
    <row r="153" hidden="1">
      <c r="A153" s="108" t="n"/>
      <c r="B153" s="39" t="n">
        <v>142</v>
      </c>
      <c r="C153" s="278" t="inlineStr">
        <is>
          <t>COTIZACION DE LOS DISEÑOS DE SEGURIDAD HUMANA Y PROTECCIÓN CONTRA INCENDIOS - MOTEL COPACABANA</t>
        </is>
      </c>
      <c r="I153" s="39" t="inlineStr">
        <is>
          <t>Inversiones Correa Jaramilo</t>
        </is>
      </c>
      <c r="J153" s="336" t="n">
        <v>25970000</v>
      </c>
      <c r="K153" s="112" t="n">
        <v>45733</v>
      </c>
      <c r="L153" s="39" t="n"/>
      <c r="M153" s="39" t="n">
        <v>3104654784</v>
      </c>
      <c r="N153" s="39" t="inlineStr">
        <is>
          <t>Felipe Ochoa</t>
        </is>
      </c>
      <c r="O153" s="116" t="inlineStr">
        <is>
          <t>inversionescjsas@gmail.com</t>
        </is>
      </c>
    </row>
    <row r="154" hidden="1">
      <c r="A154" s="108" t="n"/>
      <c r="B154" s="39" t="n">
        <v>143</v>
      </c>
      <c r="C154" s="278" t="inlineStr">
        <is>
          <t>COTIZACION DEL DISEÑO DE EXTINCIÓN DE INCENDIOS - 43 AVENIDA</t>
        </is>
      </c>
      <c r="I154" s="39" t="inlineStr">
        <is>
          <t>Conjunto inmobiliario 43 Avenida</t>
        </is>
      </c>
      <c r="J154" s="336" t="n">
        <v>1000000</v>
      </c>
      <c r="K154" s="112" t="n">
        <v>45734</v>
      </c>
      <c r="L154" s="39" t="n"/>
      <c r="M154" s="39" t="n"/>
      <c r="N154" s="39" t="inlineStr">
        <is>
          <t>Hector Laverde</t>
        </is>
      </c>
      <c r="O154" s="116" t="inlineStr">
        <is>
          <t>administracion.43avenida@aceis.com.co</t>
        </is>
      </c>
    </row>
    <row r="155" hidden="1">
      <c r="A155" s="108" t="n"/>
      <c r="B155" s="39" t="n">
        <v>144</v>
      </c>
      <c r="C155" s="278" t="inlineStr">
        <is>
          <t>COTIZACION DE LOS DISEÑOS DE SEGURIDAD HUMANA Y PROTECCIÓN CONTRA INCENDIOS - ASTORGA</t>
        </is>
      </c>
      <c r="I155" s="39" t="inlineStr">
        <is>
          <t>Gino Montoya</t>
        </is>
      </c>
      <c r="J155" s="336" t="inlineStr">
        <is>
          <t>Variable</t>
        </is>
      </c>
      <c r="K155" s="112" t="n">
        <v>45737</v>
      </c>
      <c r="L155" s="39" t="n"/>
      <c r="M155" s="39" t="n">
        <v>3044003430</v>
      </c>
      <c r="N155" s="39" t="inlineStr">
        <is>
          <t>Gino Montoya</t>
        </is>
      </c>
      <c r="O155" s="116" t="inlineStr">
        <is>
          <t>gino1037@hotmail.com</t>
        </is>
      </c>
    </row>
    <row r="156" hidden="1">
      <c r="A156" s="108" t="n"/>
      <c r="B156" s="39" t="n">
        <v>145</v>
      </c>
      <c r="C156" s="278" t="inlineStr">
        <is>
          <t>COTIZACION DE LOS DISEÑOS DE SEGURIDAD HUMANA Y PROTECCIÓN CONTRA INCENDIOS - LOTE SOBRE LA 25</t>
        </is>
      </c>
      <c r="I156" s="39" t="inlineStr">
        <is>
          <t>Gino Montoya</t>
        </is>
      </c>
      <c r="J156" s="336" t="inlineStr">
        <is>
          <t>Variable</t>
        </is>
      </c>
      <c r="K156" s="112" t="n">
        <v>45737</v>
      </c>
      <c r="L156" s="39" t="n"/>
      <c r="M156" s="39" t="n">
        <v>3044003430</v>
      </c>
      <c r="N156" s="39" t="inlineStr">
        <is>
          <t>Gino Montoya</t>
        </is>
      </c>
      <c r="O156" s="116" t="inlineStr">
        <is>
          <t>gino1037@hotmail.com</t>
        </is>
      </c>
    </row>
    <row r="157" hidden="1">
      <c r="A157" s="108" t="n"/>
      <c r="B157" s="39" t="n">
        <v>146</v>
      </c>
      <c r="C157" s="278" t="inlineStr">
        <is>
          <t>COTIZACION DE LOS DISEÑOS DE SEGURIDAD HUMANA Y PROTECCIÓN CONTRA INCENDIOS - NUV</t>
        </is>
      </c>
      <c r="I157" s="39" t="inlineStr">
        <is>
          <t>Gino Montoya</t>
        </is>
      </c>
      <c r="J157" s="336" t="inlineStr">
        <is>
          <t>Variable</t>
        </is>
      </c>
      <c r="K157" s="112" t="n">
        <v>45737</v>
      </c>
      <c r="L157" s="39" t="n"/>
      <c r="M157" s="39" t="n">
        <v>3044003430</v>
      </c>
      <c r="N157" s="39" t="inlineStr">
        <is>
          <t>Gino Montoya</t>
        </is>
      </c>
      <c r="O157" s="116" t="inlineStr">
        <is>
          <t>gino1037@hotmail.com</t>
        </is>
      </c>
    </row>
    <row r="158" hidden="1">
      <c r="A158" s="108" t="n"/>
      <c r="B158" s="39" t="n">
        <v>147</v>
      </c>
      <c r="C158" s="278" t="inlineStr">
        <is>
          <t>COTIZACION DE LOS DISEÑOS DE SEGURIDAD HUMANA Y PROTECCIÓN CONTRA INCENDIOS - PALMAS ASIA</t>
        </is>
      </c>
      <c r="I158" s="39" t="inlineStr">
        <is>
          <t>Gino Montoya</t>
        </is>
      </c>
      <c r="J158" s="336" t="inlineStr">
        <is>
          <t>Variable</t>
        </is>
      </c>
      <c r="K158" s="112" t="n">
        <v>45737</v>
      </c>
      <c r="L158" s="39" t="n"/>
      <c r="M158" s="39" t="n">
        <v>3044003430</v>
      </c>
      <c r="N158" s="39" t="inlineStr">
        <is>
          <t>Gino Montoya</t>
        </is>
      </c>
      <c r="O158" s="116" t="inlineStr">
        <is>
          <t>gino1037@hotmail.com</t>
        </is>
      </c>
    </row>
    <row r="159" hidden="1">
      <c r="A159" s="108" t="n"/>
      <c r="B159" s="39" t="n">
        <v>148</v>
      </c>
      <c r="C159" s="278" t="inlineStr">
        <is>
          <t>COTIZACION DE LOS DISEÑOS DE SEGURIDAD HUMANA Y PROTECCIÓN CONTRA INCENDIOS - SALVAVIGNON</t>
        </is>
      </c>
      <c r="I159" s="39" t="inlineStr">
        <is>
          <t>Gino Montoya</t>
        </is>
      </c>
      <c r="J159" s="336" t="inlineStr">
        <is>
          <t>Variable</t>
        </is>
      </c>
      <c r="K159" s="112" t="n">
        <v>45737</v>
      </c>
      <c r="L159" s="39" t="n"/>
      <c r="M159" s="39" t="n">
        <v>3044003430</v>
      </c>
      <c r="N159" s="39" t="inlineStr">
        <is>
          <t>Gino Montoya</t>
        </is>
      </c>
      <c r="O159" s="116" t="inlineStr">
        <is>
          <t>gino1037@hotmail.com</t>
        </is>
      </c>
    </row>
    <row r="160" hidden="1">
      <c r="A160" s="108" t="n"/>
      <c r="B160" s="39" t="n">
        <v>149</v>
      </c>
      <c r="C160" s="278" t="inlineStr">
        <is>
          <t>COTIZACION DE LOS DISEÑOS DE PROTECCIÓN CONTRA INCENDIOS - GRANJA UNITROPICO</t>
        </is>
      </c>
      <c r="I160" s="39" t="inlineStr">
        <is>
          <t>Gino Montoya</t>
        </is>
      </c>
      <c r="J160" s="336" t="n">
        <v>7840000</v>
      </c>
      <c r="K160" s="112" t="n">
        <v>45737</v>
      </c>
      <c r="L160" s="39" t="n"/>
      <c r="M160" s="39" t="n">
        <v>3044003430</v>
      </c>
      <c r="N160" s="39" t="inlineStr">
        <is>
          <t>Gino Montoya</t>
        </is>
      </c>
      <c r="O160" s="116" t="inlineStr">
        <is>
          <t>gino1037@hotmail.com</t>
        </is>
      </c>
    </row>
    <row r="161" hidden="1">
      <c r="A161" s="108" t="n"/>
      <c r="B161" s="39" t="n">
        <v>150</v>
      </c>
      <c r="C161" s="278" t="inlineStr">
        <is>
          <t>COTIZACION DE LOS DISEÑOS DE SEGURIDAD HUMANA Y PROTECCIÓN CONTRA INCENDIOS - GUARNE LAZZO</t>
        </is>
      </c>
      <c r="I161" s="39" t="inlineStr">
        <is>
          <t>FCR</t>
        </is>
      </c>
      <c r="J161" s="336" t="n">
        <v>28850000</v>
      </c>
      <c r="K161" s="112" t="n">
        <v>45735</v>
      </c>
      <c r="L161" s="39" t="n"/>
      <c r="M161" s="39" t="n"/>
      <c r="N161" s="39" t="inlineStr">
        <is>
          <t>Oscar Andrés Álvarez</t>
        </is>
      </c>
      <c r="O161" s="116" t="inlineStr">
        <is>
          <t>oscarfcr2@gmail.com</t>
        </is>
      </c>
    </row>
    <row r="162" hidden="1">
      <c r="A162" s="108" t="n"/>
      <c r="B162" s="39" t="n">
        <v>151</v>
      </c>
      <c r="C162" s="278" t="inlineStr">
        <is>
          <t>COTIZACION DEL DISEÑO DE DETECCIÓN DE INCENDIOS - LATEXPORT</t>
        </is>
      </c>
      <c r="I162" s="39" t="inlineStr">
        <is>
          <t xml:space="preserve">FP Services </t>
        </is>
      </c>
      <c r="J162" s="336" t="n">
        <v>7950000</v>
      </c>
      <c r="K162" s="112" t="n">
        <v>45735</v>
      </c>
      <c r="L162" s="39" t="n"/>
      <c r="M162" s="39" t="n">
        <v>3104513967</v>
      </c>
      <c r="N162" s="39" t="inlineStr">
        <is>
          <t>Julio Millan Trujillo</t>
        </is>
      </c>
      <c r="O162" s="116" t="inlineStr">
        <is>
          <t>juliomillan@fpservices.com.co</t>
        </is>
      </c>
    </row>
    <row r="163" hidden="1">
      <c r="A163" s="108" t="n"/>
      <c r="B163" s="39" t="n">
        <v>152</v>
      </c>
      <c r="C163" s="278" t="inlineStr">
        <is>
          <t>COTIZACION DE LOS DISEÑOS DE SEGURIDAD HUMANA Y PROTECCIÓN CONTRA INCENDIOS - VALLE VERDE T4</t>
        </is>
      </c>
      <c r="I163" s="39" t="inlineStr">
        <is>
          <t>Mensula</t>
        </is>
      </c>
      <c r="J163" s="336" t="n">
        <v>11950000</v>
      </c>
      <c r="K163" s="112" t="n">
        <v>45736</v>
      </c>
      <c r="L163" s="39" t="n"/>
      <c r="M163" s="39" t="n">
        <v>3017284784</v>
      </c>
      <c r="N163" s="39" t="inlineStr">
        <is>
          <t>Karen Yulianna Mendez Castañeda</t>
        </is>
      </c>
      <c r="O163" s="116" t="inlineStr">
        <is>
          <t>Karenmendez@mensulaingenieros.com</t>
        </is>
      </c>
    </row>
    <row r="164" hidden="1">
      <c r="A164" s="108" t="n"/>
      <c r="B164" s="39" t="n">
        <v>153</v>
      </c>
      <c r="C164" s="278" t="inlineStr">
        <is>
          <t>COTIZACION DE LOS DISEÑOS DE SEGURIDAD HUMANA Y PROTECCIÓN CONTRA INCENDIOS - CALMO</t>
        </is>
      </c>
      <c r="I164" s="39" t="inlineStr">
        <is>
          <t>Proyectos urbanos</t>
        </is>
      </c>
      <c r="J164" s="336" t="n">
        <v>3000000</v>
      </c>
      <c r="K164" s="112" t="n">
        <v>45736</v>
      </c>
      <c r="L164" s="39" t="n"/>
      <c r="M164" s="39" t="n"/>
      <c r="N164" s="39" t="inlineStr">
        <is>
          <t>Priscila Quintero Alvis</t>
        </is>
      </c>
      <c r="O164" s="116" t="inlineStr">
        <is>
          <t>pquintero@proyectosurbanos.com.co</t>
        </is>
      </c>
    </row>
    <row r="165" hidden="1">
      <c r="A165" s="108" t="n"/>
      <c r="B165" s="39" t="n">
        <v>154</v>
      </c>
      <c r="C165" s="278" t="inlineStr">
        <is>
          <t>COTIZACION DEL DISEÑO DE DETECCIÓN DE INCENDIOS - SOCO</t>
        </is>
      </c>
      <c r="I165" s="39" t="inlineStr">
        <is>
          <t xml:space="preserve">FP Services </t>
        </is>
      </c>
      <c r="J165" s="336" t="n">
        <v>3750000</v>
      </c>
      <c r="K165" s="112" t="n">
        <v>45736</v>
      </c>
      <c r="L165" s="39" t="n"/>
      <c r="M165" s="39" t="n">
        <v>3104513967</v>
      </c>
      <c r="N165" s="39" t="inlineStr">
        <is>
          <t>Julio Millan Trujillo</t>
        </is>
      </c>
      <c r="O165" s="116" t="inlineStr">
        <is>
          <t>juliomillan@fpservices.com.co</t>
        </is>
      </c>
    </row>
    <row r="166" hidden="1">
      <c r="A166" s="108" t="n"/>
      <c r="B166" s="39" t="n">
        <v>155</v>
      </c>
      <c r="C166" s="278" t="inlineStr">
        <is>
          <t>COTIZACION DE LOS DISEÑOS DE SEGURIDAD HUMANA Y DETECCIÓN DE INCENDIOS - MUSEO</t>
        </is>
      </c>
      <c r="I166" s="39" t="inlineStr">
        <is>
          <t>2Be commerce</t>
        </is>
      </c>
      <c r="J166" s="336" t="n">
        <v>5000000</v>
      </c>
      <c r="K166" s="112" t="n">
        <v>45737</v>
      </c>
      <c r="L166" s="39" t="n"/>
      <c r="M166" s="39" t="n">
        <v>3128051452</v>
      </c>
      <c r="N166" s="39" t="inlineStr">
        <is>
          <t>Alejandra Restrepo</t>
        </is>
      </c>
      <c r="O166" s="116" t="inlineStr">
        <is>
          <t>alejandra.restrepo@2becommerce.com</t>
        </is>
      </c>
    </row>
    <row r="167" hidden="1" ht="15" customHeight="1">
      <c r="A167" s="108" t="n"/>
      <c r="B167" s="39" t="n">
        <v>156</v>
      </c>
      <c r="C167" s="278" t="inlineStr">
        <is>
          <t>COTIZACION DEL DISEÑO DE DETECCIÓN DE INCENDIOS - TRES CANTOS PLANTAS</t>
        </is>
      </c>
      <c r="I167" s="39" t="inlineStr">
        <is>
          <t>Construir obras civiles SAS</t>
        </is>
      </c>
      <c r="J167" s="336" t="n">
        <v>3950000</v>
      </c>
      <c r="K167" s="112" t="n">
        <v>45737</v>
      </c>
      <c r="L167" s="39" t="n"/>
      <c r="M167" s="39" t="n">
        <v>3008113522</v>
      </c>
      <c r="N167" s="39" t="inlineStr">
        <is>
          <t>Katty Castro</t>
        </is>
      </c>
      <c r="O167" s="116" t="inlineStr">
        <is>
          <t>trescantost3@gmail.com</t>
        </is>
      </c>
    </row>
    <row r="168" hidden="1">
      <c r="A168" s="108" t="n"/>
      <c r="B168" s="39" t="n">
        <v>157</v>
      </c>
      <c r="C168" s="278" t="inlineStr">
        <is>
          <t>COTIZACION DEL ANÁLISIS DE SEGURIDAD HUMANA - INSTITUCIONES EDUCATIVAS MEDELLIN</t>
        </is>
      </c>
      <c r="I168" s="39" t="inlineStr">
        <is>
          <t>Risk Solution Group</t>
        </is>
      </c>
      <c r="J168" s="336">
        <f>1200000*76</f>
        <v/>
      </c>
      <c r="K168" s="112" t="n">
        <v>45738</v>
      </c>
      <c r="L168" s="39" t="n"/>
      <c r="M168" s="39" t="n">
        <v>3104473509</v>
      </c>
      <c r="N168" s="172" t="inlineStr">
        <is>
          <t>Carlos Alberto Gil Valencia</t>
        </is>
      </c>
      <c r="O168" s="116" t="inlineStr">
        <is>
          <t>carlos.gil@risksg.com</t>
        </is>
      </c>
    </row>
    <row r="169" hidden="1">
      <c r="A169" s="108" t="n"/>
      <c r="B169" s="39" t="n">
        <v>158</v>
      </c>
      <c r="C169" s="278" t="inlineStr">
        <is>
          <t>COTIZACION DE LOS DISEÑOS DE SEGURIDAD HUMANA Y PROTECCIÓN CONTRA INCENDIOS - TORRE VIS</t>
        </is>
      </c>
      <c r="I169" s="39" t="inlineStr">
        <is>
          <t xml:space="preserve">Construimos Espacios </t>
        </is>
      </c>
      <c r="J169" s="337" t="n">
        <v>10500000</v>
      </c>
      <c r="K169" s="112" t="n">
        <v>45741</v>
      </c>
      <c r="L169" s="39" t="n"/>
      <c r="M169" s="39" t="n"/>
      <c r="N169" s="39" t="inlineStr">
        <is>
          <t>Hernando de Jesús Giraldo</t>
        </is>
      </c>
      <c r="O169" s="116" t="inlineStr">
        <is>
          <t>construimosespacioss@gmail.com</t>
        </is>
      </c>
    </row>
    <row r="170" hidden="1">
      <c r="A170" s="108" t="n"/>
      <c r="B170" s="39" t="n">
        <v>159</v>
      </c>
      <c r="C170" s="278" t="inlineStr">
        <is>
          <t>COTIZACION DE LOS DISEÑOS DE PROTECCIÓN CONTRA INCENDIOS - GNL</t>
        </is>
      </c>
      <c r="I170" s="39" t="inlineStr">
        <is>
          <t>SPCI</t>
        </is>
      </c>
      <c r="J170" s="336" t="n">
        <v>27600000</v>
      </c>
      <c r="K170" s="112" t="n">
        <v>45741</v>
      </c>
      <c r="L170" s="39" t="n"/>
      <c r="M170" s="39" t="n">
        <v>3104165783</v>
      </c>
      <c r="N170" s="39" t="inlineStr">
        <is>
          <t>Cristiam Gustavo Mondragon</t>
        </is>
      </c>
      <c r="O170" s="116" t="inlineStr">
        <is>
          <t>dir.tecnico@spci.com.co</t>
        </is>
      </c>
    </row>
    <row r="171" hidden="1">
      <c r="A171" s="108" t="n"/>
      <c r="B171" s="39" t="n">
        <v>160</v>
      </c>
      <c r="C171" s="278" t="inlineStr">
        <is>
          <t>COTIZACION DE LOS DISEÑOS DE PROTECCIÓN CONTRA INCENDIOS - PLANTA GRUPO EXCALA</t>
        </is>
      </c>
      <c r="I171" s="39" t="inlineStr">
        <is>
          <t>Securetec</t>
        </is>
      </c>
      <c r="J171" s="336" t="n">
        <v>46850000</v>
      </c>
      <c r="K171" s="112" t="n">
        <v>45741</v>
      </c>
      <c r="L171" s="39" t="n"/>
      <c r="M171" s="39" t="n">
        <v>3206678830</v>
      </c>
      <c r="N171" s="39" t="inlineStr">
        <is>
          <t>Jhonny A. Castro</t>
        </is>
      </c>
      <c r="O171" s="116" t="inlineStr">
        <is>
          <t>dirproyectos@securetec.com.co</t>
        </is>
      </c>
    </row>
    <row r="172" hidden="1">
      <c r="A172" s="108" t="n"/>
      <c r="B172" s="39" t="n">
        <v>161</v>
      </c>
      <c r="C172" s="278" t="inlineStr">
        <is>
          <t>COTIZACION DE LOS DISEÑOS DE SEGURIDAD HUMANA Y PROTECCIÓN CONTRA INCENDIOS - MANILA</t>
        </is>
      </c>
      <c r="I172" s="39" t="inlineStr">
        <is>
          <t>G4 Proyectos Inmobiliarios</t>
        </is>
      </c>
      <c r="J172" s="336" t="n">
        <v>9570000</v>
      </c>
      <c r="K172" s="112" t="n">
        <v>45742</v>
      </c>
      <c r="L172" s="39" t="n"/>
      <c r="M172" s="39" t="n">
        <v>3052501777</v>
      </c>
      <c r="N172" s="39" t="inlineStr">
        <is>
          <t>Steven 	Maya</t>
        </is>
      </c>
      <c r="O172" s="116" t="inlineStr">
        <is>
          <t>coordinadorproyectos1@g4ingenieros.com</t>
        </is>
      </c>
    </row>
    <row r="173" hidden="1">
      <c r="A173" s="108" t="n"/>
      <c r="B173" s="39" t="n">
        <v>162</v>
      </c>
      <c r="C173" s="278" t="inlineStr">
        <is>
          <t>COTIZACION DE LOS DISEÑOS DE SEGURIDAD HUMANA Y PROTECCIÓN CONTRA INCENDIOS - TIERRA DULCE</t>
        </is>
      </c>
      <c r="I173" s="39" t="inlineStr">
        <is>
          <t>FCR</t>
        </is>
      </c>
      <c r="J173" s="336" t="n">
        <v>56370000</v>
      </c>
      <c r="K173" s="112" t="n">
        <v>45744</v>
      </c>
      <c r="L173" s="39" t="n"/>
      <c r="M173" s="39" t="n">
        <v>3014317086</v>
      </c>
      <c r="N173" s="39" t="inlineStr">
        <is>
          <t>Tamara Puerta</t>
        </is>
      </c>
      <c r="O173" s="116" t="inlineStr">
        <is>
          <t>fcrtamarapuerta@gmail.com</t>
        </is>
      </c>
    </row>
    <row r="174" hidden="1">
      <c r="A174" s="108" t="n"/>
      <c r="B174" s="39" t="n">
        <v>163</v>
      </c>
      <c r="C174" s="278" t="inlineStr">
        <is>
          <t>COTIZACION DE LOS DISEÑOS DE SEGURIDAD HUMANA Y PROTECCIÓN CONTRA INCENDIOS - CONINSER</t>
        </is>
      </c>
      <c r="I174" s="39" t="inlineStr">
        <is>
          <t>Jomark Seguridad SAS</t>
        </is>
      </c>
      <c r="J174" s="336" t="n">
        <v>16930000</v>
      </c>
      <c r="K174" s="112" t="n">
        <v>45744</v>
      </c>
      <c r="L174" s="39" t="n"/>
      <c r="M174" s="39" t="n">
        <v>3194306523</v>
      </c>
      <c r="N174" s="39" t="inlineStr">
        <is>
          <t>Laura Zapata Zapata</t>
        </is>
      </c>
      <c r="O174" s="116" t="inlineStr">
        <is>
          <t>directoraadmonjomarkseguridad@gmail.com</t>
        </is>
      </c>
    </row>
    <row r="175" hidden="1" ht="15" customHeight="1">
      <c r="A175" s="108" t="n"/>
      <c r="B175" s="39" t="n">
        <v>164</v>
      </c>
      <c r="C175" s="278" t="inlineStr">
        <is>
          <t>COTIZACION DEL ANÁLISIS DE SEGURIDAD HUMANA - CANCHA DE FUTBOL EL CHOCHO</t>
        </is>
      </c>
      <c r="I175" s="39" t="inlineStr">
        <is>
          <t>DESur</t>
        </is>
      </c>
      <c r="J175" s="336" t="n">
        <v>2950000</v>
      </c>
      <c r="K175" s="112" t="n">
        <v>45745</v>
      </c>
      <c r="L175" s="39" t="n"/>
      <c r="M175" s="39" t="inlineStr">
        <is>
          <t>4801300 Ext 147</t>
        </is>
      </c>
      <c r="N175" s="39" t="inlineStr">
        <is>
          <t>Simon Mesa</t>
        </is>
      </c>
      <c r="O175" s="52" t="inlineStr">
        <is>
          <t>simon.mesa@desur.gov.co</t>
        </is>
      </c>
    </row>
    <row r="176" hidden="1" ht="15" customHeight="1">
      <c r="A176" s="108" t="n"/>
      <c r="B176" s="39" t="n">
        <v>165</v>
      </c>
      <c r="C176" s="278" t="inlineStr">
        <is>
          <t>COTIZACION DEL ANÁLISIS DE SEGURIDAD HUMANA - CANCHA EL SALADO</t>
        </is>
      </c>
      <c r="I176" s="39" t="inlineStr">
        <is>
          <t>DESur</t>
        </is>
      </c>
      <c r="J176" s="336" t="n">
        <v>3500000</v>
      </c>
      <c r="K176" s="112" t="n">
        <v>45745</v>
      </c>
      <c r="L176" s="39" t="n"/>
      <c r="M176" s="39" t="inlineStr">
        <is>
          <t>4801300 Ext 147</t>
        </is>
      </c>
      <c r="N176" s="39" t="inlineStr">
        <is>
          <t>Simon Mesa</t>
        </is>
      </c>
      <c r="O176" s="116" t="inlineStr">
        <is>
          <t>simon.mesa@desur.gov.co</t>
        </is>
      </c>
    </row>
    <row r="177" hidden="1">
      <c r="A177" s="108" t="n"/>
      <c r="B177" s="39" t="n">
        <v>166</v>
      </c>
      <c r="C177" s="278" t="inlineStr">
        <is>
          <t>COTIZACION DEL DISEÑO DE EXTINCIÓN DE INCENDIOS - BODEGA CLARO</t>
        </is>
      </c>
      <c r="I177" s="39" t="inlineStr">
        <is>
          <t>Hidraulica y Montajes</t>
        </is>
      </c>
      <c r="J177" s="336" t="n">
        <v>19950000</v>
      </c>
      <c r="K177" s="112" t="n">
        <v>45745</v>
      </c>
      <c r="L177" s="39" t="n"/>
      <c r="M177" s="39" t="n">
        <v>3014487912</v>
      </c>
      <c r="N177" s="39" t="inlineStr">
        <is>
          <t>Evelin Rojas</t>
        </is>
      </c>
      <c r="O177" s="116" t="inlineStr">
        <is>
          <t>hidraulicaymontajes@gmail.com</t>
        </is>
      </c>
    </row>
    <row r="178" hidden="1">
      <c r="A178" s="108" t="n"/>
      <c r="B178" s="39" t="n">
        <v>167</v>
      </c>
      <c r="C178" s="278" t="inlineStr">
        <is>
          <t>COTIZACION DE LOS DISEÑOS DE SEGURIDAD HUMANA Y PROTECCIÓN CONTRA INCENDIOS - PTAR EL ESCOBERO</t>
        </is>
      </c>
      <c r="I178" s="39" t="inlineStr">
        <is>
          <t>SPCI</t>
        </is>
      </c>
      <c r="J178" s="336" t="n">
        <v>14420000</v>
      </c>
      <c r="K178" s="112" t="n">
        <v>45745</v>
      </c>
      <c r="L178" s="39" t="n"/>
      <c r="M178" s="39" t="n">
        <v>3104165783</v>
      </c>
      <c r="N178" s="39" t="inlineStr">
        <is>
          <t>Cristiam Gustavo Mondragon</t>
        </is>
      </c>
      <c r="O178" s="116" t="inlineStr">
        <is>
          <t>dir.tecnico@spci.com.co</t>
        </is>
      </c>
    </row>
    <row r="179" hidden="1" ht="15" customHeight="1">
      <c r="A179" s="108" t="n"/>
      <c r="B179" s="39" t="n">
        <v>168</v>
      </c>
      <c r="C179" s="278" t="inlineStr">
        <is>
          <t>COTIZACION DE LOS DISEÑOS DE SEGURIDAD HUMANA Y PROTECCIÓN CONTRA INCENDIOS - TERRAMONTE</t>
        </is>
      </c>
      <c r="I179" s="39" t="inlineStr">
        <is>
          <t>PROMOTORA INMOBILIARIA MONTENEGRO S.A.S</t>
        </is>
      </c>
      <c r="J179" s="336" t="n">
        <v>29750000</v>
      </c>
      <c r="K179" s="112" t="n">
        <v>45744</v>
      </c>
      <c r="L179" s="39" t="n"/>
      <c r="M179" s="39" t="n">
        <v>3024787538</v>
      </c>
      <c r="N179" s="39" t="inlineStr">
        <is>
          <t>Gloria Sierra Calle</t>
        </is>
      </c>
      <c r="O179" s="116" t="inlineStr">
        <is>
          <t>directoraterramonte@gmail.com</t>
        </is>
      </c>
    </row>
    <row r="180" hidden="1">
      <c r="A180" s="108" t="n"/>
      <c r="B180" s="39" t="n">
        <v>169</v>
      </c>
      <c r="C180" s="278" t="inlineStr">
        <is>
          <t>COTIZACION DEL DISEÑO DE EXTINCIÓN DE INCENDIOS - BABY FRESH CARTAGENA</t>
        </is>
      </c>
      <c r="I180" s="39" t="inlineStr">
        <is>
          <t>NIVELUM</t>
        </is>
      </c>
      <c r="J180" s="336" t="n">
        <v>3056170</v>
      </c>
      <c r="K180" s="112" t="n">
        <v>45748</v>
      </c>
      <c r="L180" s="39" t="n"/>
      <c r="M180" s="39" t="inlineStr">
        <is>
          <t>300 2571471</t>
        </is>
      </c>
      <c r="N180" s="39" t="inlineStr">
        <is>
          <t>Elizabeth  Barrientos</t>
        </is>
      </c>
      <c r="O180" s="116" t="n"/>
    </row>
    <row r="181" hidden="1">
      <c r="A181" s="108" t="n"/>
      <c r="B181" s="39" t="n">
        <v>170</v>
      </c>
      <c r="C181" s="278" t="inlineStr">
        <is>
          <t>COTIZACION DEL ANÁLISIS DE SEGURIDAD HUMANA - CENTRO POLICLINICO EL OLAYA</t>
        </is>
      </c>
      <c r="I181" s="39" t="inlineStr">
        <is>
          <t>Centro Policlínico del Olaya</t>
        </is>
      </c>
      <c r="J181" s="336" t="n">
        <v>12500000</v>
      </c>
      <c r="K181" s="112" t="n">
        <v>45747</v>
      </c>
      <c r="L181" s="39" t="n"/>
      <c r="M181" s="39" t="inlineStr">
        <is>
          <t>3612888 ext 216</t>
        </is>
      </c>
      <c r="N181" s="39" t="inlineStr">
        <is>
          <t>Maria del Mar Cabezas</t>
        </is>
      </c>
      <c r="O181" s="116" t="inlineStr">
        <is>
          <t>coorinfraestructura@cpolaya.com.co</t>
        </is>
      </c>
    </row>
    <row r="182" hidden="1">
      <c r="A182" s="108" t="n"/>
      <c r="B182" s="39" t="n">
        <v>171</v>
      </c>
      <c r="C182" s="278" t="inlineStr">
        <is>
          <t>COTIZACION DE LOS DISEÑOS DE PROTECCIÓN CONTRA INCENDIOS - LOCAL HUMO BARRILES</t>
        </is>
      </c>
      <c r="I182" s="39" t="inlineStr">
        <is>
          <t>SPCI</t>
        </is>
      </c>
      <c r="J182" s="336" t="n">
        <v>2440000</v>
      </c>
      <c r="K182" s="112" t="n">
        <v>45749</v>
      </c>
      <c r="L182" s="39" t="n"/>
      <c r="M182" s="39" t="n">
        <v>3104165783</v>
      </c>
      <c r="N182" s="39" t="inlineStr">
        <is>
          <t>Cristiam Gustavo Mondragon</t>
        </is>
      </c>
      <c r="O182" s="116" t="inlineStr">
        <is>
          <t>dir.tecnico@spci.com.co</t>
        </is>
      </c>
    </row>
    <row r="183" hidden="1">
      <c r="A183" s="108" t="n"/>
      <c r="B183" s="39" t="n">
        <v>172</v>
      </c>
      <c r="C183" s="278" t="inlineStr">
        <is>
          <t>COTIZACION DEL DISEÑO DE EXTINCIÓN DE INCENDIOS - LITOPLAS</t>
        </is>
      </c>
      <c r="I183" s="39" t="inlineStr">
        <is>
          <t>SPCI</t>
        </is>
      </c>
      <c r="J183" s="336" t="n">
        <v>68950000</v>
      </c>
      <c r="K183" s="112" t="n">
        <v>45749</v>
      </c>
      <c r="L183" s="39" t="n"/>
      <c r="M183" s="39" t="n">
        <v>3006047984</v>
      </c>
      <c r="N183" s="39" t="inlineStr">
        <is>
          <t>Natalia Martínez</t>
        </is>
      </c>
      <c r="O183" s="116" t="inlineStr">
        <is>
          <t>coor.relacionamiento@spci.com.co</t>
        </is>
      </c>
    </row>
    <row r="184" hidden="1">
      <c r="A184" s="108" t="n"/>
      <c r="B184" s="39" t="n">
        <v>173</v>
      </c>
      <c r="C184" s="278" t="inlineStr">
        <is>
          <t>COTIZACION DE LOS DISEÑOS DE SEGURIDAD HUMANA Y PROTECCIÓN CONTRA INCENDIOS - CLINICA DE TRAUMAS Y FRACTURAS</t>
        </is>
      </c>
      <c r="I184" s="39" t="inlineStr">
        <is>
          <t>A3 Consulting</t>
        </is>
      </c>
      <c r="J184" s="336" t="n">
        <v>37250000</v>
      </c>
      <c r="K184" s="112" t="n">
        <v>45749</v>
      </c>
      <c r="L184" s="39" t="n"/>
      <c r="M184" s="39" t="n">
        <v>3127846921</v>
      </c>
      <c r="N184" s="39" t="inlineStr">
        <is>
          <t>Jorge Toro</t>
        </is>
      </c>
      <c r="O184" s="116" t="inlineStr">
        <is>
          <t>jorge@a3consulting.com.co</t>
        </is>
      </c>
    </row>
    <row r="185" hidden="1">
      <c r="A185" s="108" t="n"/>
      <c r="B185" s="39" t="n">
        <v>174</v>
      </c>
      <c r="C185" s="278" t="inlineStr">
        <is>
          <t>COTIZACION DEL DISEÑO DE DETECCIÓN DE INCENDIOS - CREACIONES NADAR</t>
        </is>
      </c>
      <c r="I185" s="39" t="inlineStr">
        <is>
          <t>SPCI</t>
        </is>
      </c>
      <c r="J185" s="336" t="n">
        <v>6250000</v>
      </c>
      <c r="K185" s="112" t="n">
        <v>45749</v>
      </c>
      <c r="L185" s="39" t="n"/>
      <c r="M185" s="39" t="n">
        <v>3006047984</v>
      </c>
      <c r="N185" s="39" t="inlineStr">
        <is>
          <t>Natalia Martínez</t>
        </is>
      </c>
      <c r="O185" s="116" t="inlineStr">
        <is>
          <t>coor.relacionamiento@spci.com.co</t>
        </is>
      </c>
    </row>
    <row r="186" hidden="1">
      <c r="A186" s="108" t="n"/>
      <c r="B186" s="39" t="n">
        <v>175</v>
      </c>
      <c r="C186" s="278" t="inlineStr">
        <is>
          <t>COTIZACION DE LOS DISEÑOS DE PROTECCIÓN CONTRA INCENDIOS - VILLA MONTECITO CASA 32 PARCELACION LA QUERENCIA</t>
        </is>
      </c>
      <c r="I186" s="39" t="inlineStr">
        <is>
          <t>TIP Interventoria</t>
        </is>
      </c>
      <c r="J186" s="336" t="n">
        <v>4950000</v>
      </c>
      <c r="K186" s="112" t="n">
        <v>45749</v>
      </c>
      <c r="L186" s="39" t="n"/>
      <c r="M186" s="39" t="n">
        <v>3217007270</v>
      </c>
      <c r="N186" s="39" t="inlineStr">
        <is>
          <t>Paola Andrea Estrada López</t>
        </is>
      </c>
      <c r="O186" s="116" t="inlineStr">
        <is>
          <t>costosypresupuesto@tipinterventoria.com</t>
        </is>
      </c>
    </row>
    <row r="187" hidden="1" ht="15" customHeight="1">
      <c r="A187" s="108" t="n"/>
      <c r="B187" s="39" t="n">
        <v>176</v>
      </c>
      <c r="C187" s="278" t="inlineStr">
        <is>
          <t>COTIZACION DE LOS DISEÑOS DE PROTECCIÓN CONTRA INCENDIOS - BAHAMAS RESORT</t>
        </is>
      </c>
      <c r="I187" s="39" t="inlineStr">
        <is>
          <t>Doublec</t>
        </is>
      </c>
      <c r="J187" s="336" t="n">
        <v>87700000</v>
      </c>
      <c r="K187" s="112" t="n">
        <v>45754</v>
      </c>
      <c r="L187" s="39" t="n"/>
      <c r="M187" s="39" t="n">
        <v>3055907396</v>
      </c>
      <c r="N187" s="39" t="inlineStr">
        <is>
          <t>Jhon Mario Rendón</t>
        </is>
      </c>
      <c r="O187" s="116" t="inlineStr">
        <is>
          <t>jrendon@doublec.com</t>
        </is>
      </c>
    </row>
    <row r="188" hidden="1" ht="15" customHeight="1">
      <c r="A188" s="108" t="n"/>
      <c r="B188" s="39" t="n">
        <v>177</v>
      </c>
      <c r="C188" s="278" t="inlineStr">
        <is>
          <t>COTIZACION DE LOS DISEÑOS DE PROTECCIÓN CONTRA INCENDIOS - MALL</t>
        </is>
      </c>
      <c r="I188" s="39" t="inlineStr">
        <is>
          <t>SPCI</t>
        </is>
      </c>
      <c r="J188" s="336" t="n">
        <v>11920000</v>
      </c>
      <c r="K188" s="112" t="n">
        <v>45749</v>
      </c>
      <c r="L188" s="39" t="n"/>
      <c r="M188" s="39" t="n">
        <v>3104165783</v>
      </c>
      <c r="N188" s="39" t="inlineStr">
        <is>
          <t>Cristiam Gustavo Mondragon</t>
        </is>
      </c>
      <c r="O188" s="116" t="inlineStr">
        <is>
          <t>dir.tecnico@spci.com.co</t>
        </is>
      </c>
    </row>
    <row r="189" hidden="1">
      <c r="A189" s="108" t="n"/>
      <c r="B189" s="39" t="n">
        <v>178</v>
      </c>
      <c r="C189" s="278" t="inlineStr">
        <is>
          <t>COTIZACION DE LOS DISEÑOS DE SEGURIDAD HUMANA Y PROTECCIÓN CONTRA INCENDIOS -CENTRO POLICLINICO EL OLAYA</t>
        </is>
      </c>
      <c r="I189" s="39" t="inlineStr">
        <is>
          <t>Centro Policlínico del Olaya</t>
        </is>
      </c>
      <c r="J189" s="336" t="n">
        <v>45160000</v>
      </c>
      <c r="K189" s="112" t="n">
        <v>45750</v>
      </c>
      <c r="L189" s="39" t="n"/>
      <c r="M189" s="39" t="inlineStr">
        <is>
          <t>3612888 ext 216</t>
        </is>
      </c>
      <c r="N189" s="39" t="inlineStr">
        <is>
          <t>Maria del Mar Cabezas</t>
        </is>
      </c>
      <c r="O189" s="116" t="inlineStr">
        <is>
          <t>coorinfraestructura@cpolaya.com.co</t>
        </is>
      </c>
    </row>
    <row r="190" hidden="1">
      <c r="A190" s="108" t="n"/>
      <c r="B190" s="39" t="n">
        <v>179</v>
      </c>
      <c r="C190" s="278" t="inlineStr">
        <is>
          <t xml:space="preserve"> COTIZACION DE LOS DISEÑOS DE SEGURIDAD HUMANA Y PROTECCIÓN CONTRA INCENDIOS - WTC</t>
        </is>
      </c>
      <c r="I190" s="39" t="inlineStr">
        <is>
          <t>Arquitectura y concreto</t>
        </is>
      </c>
      <c r="J190" s="336" t="n">
        <v>59250000</v>
      </c>
      <c r="K190" s="112" t="n">
        <v>45751</v>
      </c>
      <c r="L190" s="39" t="n"/>
      <c r="M190" s="39" t="n">
        <v>3127218621</v>
      </c>
      <c r="N190" s="39" t="inlineStr">
        <is>
          <t>Robinson Marulanda Guarin</t>
        </is>
      </c>
      <c r="O190" s="116" t="inlineStr">
        <is>
          <t>robinsonmarulanda@arquitecturayconcreto.com</t>
        </is>
      </c>
    </row>
    <row r="191" hidden="1">
      <c r="A191" s="108" t="n"/>
      <c r="B191" s="39" t="n">
        <v>180</v>
      </c>
      <c r="C191" s="278" t="inlineStr">
        <is>
          <t>COTIZACION DE LOS DISEÑOS DE PROTECCIÓN CONTRA INCENDIOS - LOCAL SOFASA</t>
        </is>
      </c>
      <c r="I191" s="39" t="inlineStr">
        <is>
          <t>Ingesed</t>
        </is>
      </c>
      <c r="J191" s="336" t="n">
        <v>9970000</v>
      </c>
      <c r="K191" s="112" t="n">
        <v>45751</v>
      </c>
      <c r="L191" s="39" t="n"/>
      <c r="M191" s="39" t="n">
        <v>3218338189</v>
      </c>
      <c r="N191" s="39" t="inlineStr">
        <is>
          <t>Laura Delgado</t>
        </is>
      </c>
      <c r="O191" s="116" t="inlineStr">
        <is>
          <t>operacionesingesed@gmail.com</t>
        </is>
      </c>
    </row>
    <row r="192" hidden="1">
      <c r="A192" s="108" t="n"/>
      <c r="B192" s="39" t="n">
        <v>181</v>
      </c>
      <c r="C192" s="278" t="inlineStr">
        <is>
          <t>COTIZACION DEL DISEÑO DE EXTINCIÓN DE INCENDIOS - PLAZA CASTILLO</t>
        </is>
      </c>
      <c r="I192" s="39" t="inlineStr">
        <is>
          <t>Condiseño</t>
        </is>
      </c>
      <c r="J192" s="336" t="n">
        <v>12500000</v>
      </c>
      <c r="K192" s="112" t="n">
        <v>45754</v>
      </c>
      <c r="L192" s="39" t="n"/>
      <c r="M192" s="39" t="n">
        <v>3175594091</v>
      </c>
      <c r="N192" s="39" t="inlineStr">
        <is>
          <t>Nakary Garcia Romero</t>
        </is>
      </c>
      <c r="O192" s="116" t="inlineStr">
        <is>
          <t>n.garcia@condiseno.co</t>
        </is>
      </c>
    </row>
    <row r="193" hidden="1">
      <c r="A193" s="108" t="n"/>
      <c r="B193" s="39" t="n">
        <v>182</v>
      </c>
      <c r="C193" s="278" t="inlineStr">
        <is>
          <t>COTIZACION DE LOS DISEÑOS DE SEGURIDAD HUMANA Y PROTECCIÓN CONTRA INCENDIOS - CASTELLANA ETAPA 2</t>
        </is>
      </c>
      <c r="I193" s="39" t="inlineStr">
        <is>
          <t>Constructora lineal</t>
        </is>
      </c>
      <c r="J193" s="336" t="n">
        <v>8780000</v>
      </c>
      <c r="K193" s="112" t="n">
        <v>45755</v>
      </c>
      <c r="L193" s="39" t="n"/>
      <c r="M193" s="39" t="inlineStr">
        <is>
          <t>304 2451616</t>
        </is>
      </c>
      <c r="N193" s="39" t="inlineStr">
        <is>
          <t>Bayron Trujillo</t>
        </is>
      </c>
      <c r="O193" s="116" t="n"/>
    </row>
    <row r="194" hidden="1">
      <c r="A194" s="108" t="n"/>
      <c r="B194" s="39" t="n">
        <v>183</v>
      </c>
      <c r="C194" s="278" t="inlineStr">
        <is>
          <t>COTIZACION DE LOS DISEÑOS DE SEGURIDAD HUMANA Y PROTECCIÓN CONTRA INCENDIOS - EDIFICIO MULTIFAMILIAR</t>
        </is>
      </c>
      <c r="I194" s="39" t="inlineStr">
        <is>
          <t>Joseph construcciones</t>
        </is>
      </c>
      <c r="J194" s="336" t="n">
        <v>6980000</v>
      </c>
      <c r="K194" s="112" t="n">
        <v>45754</v>
      </c>
      <c r="L194" s="39" t="n"/>
      <c r="M194" s="39" t="n">
        <v>3007693372</v>
      </c>
      <c r="N194" s="39" t="inlineStr">
        <is>
          <t>John Ortiz</t>
        </is>
      </c>
      <c r="O194" s="116" t="n"/>
    </row>
    <row r="195" hidden="1">
      <c r="A195" s="108" t="n"/>
      <c r="B195" s="39" t="n">
        <v>184</v>
      </c>
      <c r="C195" s="278" t="inlineStr">
        <is>
          <t>COTIZACION DE LOS DISEÑOS DE PROTECCIÓN CONTRA INCENDIOS - PLAZA CASTILLO.</t>
        </is>
      </c>
      <c r="I195" s="39" t="inlineStr">
        <is>
          <t>Condiseño</t>
        </is>
      </c>
      <c r="J195" s="336" t="n">
        <v>20000000</v>
      </c>
      <c r="K195" s="112" t="n">
        <v>45755</v>
      </c>
      <c r="L195" s="39" t="n"/>
      <c r="M195" s="39" t="n">
        <v>3175594091</v>
      </c>
      <c r="N195" s="39" t="inlineStr">
        <is>
          <t>Nakary Garcia Romero</t>
        </is>
      </c>
      <c r="O195" s="116" t="inlineStr">
        <is>
          <t>n.garcia@condiseno.co</t>
        </is>
      </c>
    </row>
    <row r="196" hidden="1">
      <c r="A196" s="108" t="n"/>
      <c r="B196" s="39" t="n">
        <v>185</v>
      </c>
      <c r="C196" s="278" t="inlineStr">
        <is>
          <t>COTIZACION DE LOS DISEÑOS DE PROTECCIÓN CONTRA INCENDIOS - BODEGAS ALBERTO</t>
        </is>
      </c>
      <c r="I196" s="39" t="inlineStr">
        <is>
          <t>Ingesed</t>
        </is>
      </c>
      <c r="J196" s="336" t="n"/>
      <c r="K196" s="112" t="n">
        <v>45755</v>
      </c>
      <c r="L196" s="39" t="n"/>
      <c r="M196" s="39" t="n">
        <v>3014201614</v>
      </c>
      <c r="N196" s="39" t="inlineStr">
        <is>
          <t>Jhon Rodriguez</t>
        </is>
      </c>
      <c r="O196" s="116" t="inlineStr">
        <is>
          <t xml:space="preserve">jrodriguez@ingesed.com </t>
        </is>
      </c>
    </row>
    <row r="197" hidden="1">
      <c r="A197" s="108" t="n"/>
      <c r="B197" s="39" t="n">
        <v>186</v>
      </c>
      <c r="C197" s="278" t="inlineStr">
        <is>
          <t>COTIZACION DE LOS DISEÑOS DE PROTECCIÓN CONTRA INCENDIOS - ASERRADERO</t>
        </is>
      </c>
      <c r="I197" s="39" t="inlineStr">
        <is>
          <t>Rincco</t>
        </is>
      </c>
      <c r="J197" s="336" t="n">
        <v>25950000</v>
      </c>
      <c r="K197" s="112" t="n">
        <v>45757</v>
      </c>
      <c r="L197" s="39" t="n"/>
      <c r="M197" s="39" t="inlineStr">
        <is>
          <t>319 605 4684</t>
        </is>
      </c>
      <c r="N197" s="39" t="inlineStr">
        <is>
          <t>Cristian Ramírez</t>
        </is>
      </c>
      <c r="O197" s="116" t="inlineStr">
        <is>
          <t>cramirez@stop.com.co</t>
        </is>
      </c>
    </row>
    <row r="198" hidden="1">
      <c r="A198" s="108" t="n"/>
      <c r="B198" s="39" t="n">
        <v>187</v>
      </c>
      <c r="C198" s="278" t="inlineStr">
        <is>
          <t>COTIZACION DE LOS DISEÑOS DE SEGURIDAD HUMANA Y PROTECCIÓN CONTRA INCENDIOS - DIAGNOSTICO CLINICAS</t>
        </is>
      </c>
      <c r="I198" s="39" t="inlineStr">
        <is>
          <t>Condiseño</t>
        </is>
      </c>
      <c r="J198" s="336" t="inlineStr">
        <is>
          <t>variable</t>
        </is>
      </c>
      <c r="K198" s="112" t="n">
        <v>45757</v>
      </c>
      <c r="L198" s="39" t="n"/>
      <c r="M198" s="39" t="n">
        <v>3175594091</v>
      </c>
      <c r="N198" s="39" t="inlineStr">
        <is>
          <t>Nakary Garcia Romero</t>
        </is>
      </c>
      <c r="O198" s="116" t="inlineStr">
        <is>
          <t>n.garcia@condiseno.co</t>
        </is>
      </c>
    </row>
    <row r="199" hidden="1">
      <c r="A199" s="108" t="n"/>
      <c r="B199" s="39" t="n">
        <v>188</v>
      </c>
      <c r="C199" s="278" t="inlineStr">
        <is>
          <t>COTIZACION DE LOS DISEÑOS DE SEGURIDAD HUMANA Y PROTECCIÓN CONTRA INCENDIOS - ONE LIVING</t>
        </is>
      </c>
      <c r="I199" s="39" t="inlineStr">
        <is>
          <t>Construgen</t>
        </is>
      </c>
      <c r="J199" s="336" t="n">
        <v>5000000</v>
      </c>
      <c r="K199" s="112" t="n">
        <v>45757</v>
      </c>
      <c r="L199" s="39" t="n"/>
      <c r="M199" s="170" t="n">
        <v>3174376208</v>
      </c>
      <c r="N199" s="170" t="inlineStr">
        <is>
          <t>Willian Hernandez</t>
        </is>
      </c>
      <c r="O199" s="116" t="inlineStr">
        <is>
          <t>william.hernandez@construgen.com</t>
        </is>
      </c>
    </row>
    <row r="200" hidden="1">
      <c r="A200" s="108" t="n"/>
      <c r="B200" s="39" t="n">
        <v>189</v>
      </c>
      <c r="C200" s="278" t="inlineStr">
        <is>
          <t>COTIZACION DE LOS DISEÑOS DE SEGURIDAD HUMANA Y PROTECCIÓN CONTRA INCENDIOS - FANTASIA TORRE 2</t>
        </is>
      </c>
      <c r="I200" s="39" t="inlineStr">
        <is>
          <t>Constructora Altos de la Abadia</t>
        </is>
      </c>
      <c r="J200" s="336" t="n">
        <v>24850000</v>
      </c>
      <c r="K200" s="112" t="n">
        <v>45762</v>
      </c>
      <c r="L200" s="39" t="n"/>
      <c r="M200" s="39" t="inlineStr">
        <is>
          <t>4486800 ext 172</t>
        </is>
      </c>
      <c r="N200" s="39" t="inlineStr">
        <is>
          <t xml:space="preserve">Luz Aleidy Cuartas Pérez </t>
        </is>
      </c>
      <c r="O200" s="116" t="inlineStr">
        <is>
          <t>l.cuartas@altosdelaabadia.com</t>
        </is>
      </c>
    </row>
    <row r="201" hidden="1">
      <c r="A201" s="108" t="n"/>
      <c r="B201" s="39" t="n">
        <v>190</v>
      </c>
      <c r="C201" s="278" t="inlineStr">
        <is>
          <t>COTIZACION DE LOS DISEÑOS DE SEGURIDAD HUMANA Y PROTECCIÓN CONTRA INCENDIOS - CREAJEANS</t>
        </is>
      </c>
      <c r="I201" s="39" t="inlineStr">
        <is>
          <t>Crea Jeans SAS</t>
        </is>
      </c>
      <c r="J201" s="336" t="n">
        <v>29480000</v>
      </c>
      <c r="K201" s="112" t="n">
        <v>45763</v>
      </c>
      <c r="L201" s="39" t="n"/>
      <c r="M201" s="39" t="inlineStr">
        <is>
          <t>317 3634383</t>
        </is>
      </c>
      <c r="N201" s="39" t="inlineStr">
        <is>
          <t>Omar Cardenas</t>
        </is>
      </c>
      <c r="O201" s="116" t="inlineStr">
        <is>
          <t>O.cardenas@arqa.com.co</t>
        </is>
      </c>
    </row>
    <row r="202" hidden="1">
      <c r="A202" s="108" t="n"/>
      <c r="B202" s="39" t="n">
        <v>191</v>
      </c>
      <c r="C202" s="278" t="inlineStr">
        <is>
          <t>COTIZACION DE LOS DISEÑOS DE PROTECCIÓN CONTRA INCENDIOS - SAN NICOLAS ZONA DE COMIDAS</t>
        </is>
      </c>
      <c r="I202" s="39" t="inlineStr">
        <is>
          <t>San Nicolas</t>
        </is>
      </c>
      <c r="J202" s="336" t="n">
        <v>7950000</v>
      </c>
      <c r="K202" s="112" t="n">
        <v>45762</v>
      </c>
      <c r="L202" s="39" t="n"/>
      <c r="M202" s="39" t="inlineStr">
        <is>
          <t>604 5614886 ext195</t>
        </is>
      </c>
      <c r="N202" s="39" t="inlineStr">
        <is>
          <t xml:space="preserve">Gabriel Jaime Cortes </t>
        </is>
      </c>
      <c r="O202" s="116" t="inlineStr">
        <is>
          <t>serviciosgenerales@sannicolas.co</t>
        </is>
      </c>
    </row>
    <row r="203" hidden="1">
      <c r="A203" s="108" t="n"/>
      <c r="B203" s="39" t="n">
        <v>192</v>
      </c>
      <c r="C203" s="278" t="inlineStr">
        <is>
          <t>COTIZACION DE LOS DISEÑOS DE PROTECCIÓN CONTRA INCENDIOS - SALONES</t>
        </is>
      </c>
      <c r="I203" s="39" t="inlineStr">
        <is>
          <t>Toro Posada</t>
        </is>
      </c>
      <c r="J203" s="336" t="n">
        <v>7950000</v>
      </c>
      <c r="K203" s="112" t="n">
        <v>45763</v>
      </c>
      <c r="L203" s="39" t="n"/>
      <c r="M203" s="39" t="n">
        <v>3012427405</v>
      </c>
      <c r="N203" s="39" t="inlineStr">
        <is>
          <t>Alvaro Lopez Gomez</t>
        </is>
      </c>
      <c r="O203" s="116" t="inlineStr">
        <is>
          <t>alvarol@toroposada.com</t>
        </is>
      </c>
    </row>
    <row r="204" hidden="1" ht="15" customHeight="1">
      <c r="A204" s="108" t="n"/>
      <c r="B204" s="39" t="n">
        <v>193</v>
      </c>
      <c r="C204" s="278" t="inlineStr">
        <is>
          <t>COTIZACIÓN DE LA REVISIÓN DE LOS DISEÑOS DE EXTINCIÓN Y SEGURIDAD HUMANA DEL PROYECTO TRIBUNALES</t>
        </is>
      </c>
      <c r="I204" s="39" t="inlineStr">
        <is>
          <t>Arquitectura y Concreto</t>
        </is>
      </c>
      <c r="J204" s="336" t="n">
        <v>7000000</v>
      </c>
      <c r="K204" s="112" t="n">
        <v>45763</v>
      </c>
      <c r="L204" s="39" t="n"/>
      <c r="M204" s="39" t="n">
        <v>3106005558</v>
      </c>
      <c r="N204" s="39" t="inlineStr">
        <is>
          <t>Sara Muñoz Toro</t>
        </is>
      </c>
      <c r="O204" s="116" t="n"/>
    </row>
    <row r="205" hidden="1">
      <c r="A205" s="108" t="n"/>
      <c r="B205" s="39" t="n">
        <v>194</v>
      </c>
      <c r="C205" s="278" t="inlineStr">
        <is>
          <t>COTIZACION DE LOS DISEÑOS DE PROTECCIÓN CONTRA INCENDIOS - LAYOUT PLANTA MIRANDA</t>
        </is>
      </c>
      <c r="I205" s="39" t="inlineStr">
        <is>
          <t>INORCA SAS</t>
        </is>
      </c>
      <c r="J205" s="336" t="n">
        <v>62500000</v>
      </c>
      <c r="K205" s="112" t="n">
        <v>45768</v>
      </c>
      <c r="L205" s="39" t="n"/>
      <c r="M205" s="39" t="n">
        <v>3041137721</v>
      </c>
      <c r="N205" s="39" t="inlineStr">
        <is>
          <t>Juan Carlos Loaiza</t>
        </is>
      </c>
      <c r="O205" s="116" t="inlineStr">
        <is>
          <t>director-adch@inorca.com.co</t>
        </is>
      </c>
    </row>
    <row r="206" hidden="1">
      <c r="A206" s="108" t="n"/>
      <c r="B206" s="39" t="n">
        <v>195</v>
      </c>
      <c r="C206" s="278" t="inlineStr">
        <is>
          <t>COTIZACION DE LOS DISEÑOS DE SEGURIDAD HUMANA Y PROTECCIÓN CONTRA INCENDIOS - AMBAR LIVING</t>
        </is>
      </c>
      <c r="I206" s="39" t="inlineStr">
        <is>
          <t>Ingesed</t>
        </is>
      </c>
      <c r="J206" s="336" t="n">
        <v>6280000</v>
      </c>
      <c r="K206" s="112" t="n">
        <v>45768</v>
      </c>
      <c r="L206" s="39" t="n"/>
      <c r="M206" s="39" t="inlineStr">
        <is>
          <t>321 8338189</t>
        </is>
      </c>
      <c r="N206" s="39" t="inlineStr">
        <is>
          <t>Laura Delgado</t>
        </is>
      </c>
      <c r="O206" s="116" t="inlineStr">
        <is>
          <t>operacionesingesed@gmail.com</t>
        </is>
      </c>
    </row>
    <row r="207" hidden="1">
      <c r="A207" s="108" t="n"/>
      <c r="B207" s="39" t="n">
        <v>196</v>
      </c>
      <c r="C207" s="278" t="inlineStr">
        <is>
          <t>COTIZACION DE LOS DISEÑOS DE PROTECCIÓN CONTRA INCENDIOS - ECA MARINILLA</t>
        </is>
      </c>
      <c r="I207" s="39" t="inlineStr">
        <is>
          <t>Ingesed</t>
        </is>
      </c>
      <c r="J207" s="336" t="n">
        <v>9780000</v>
      </c>
      <c r="K207" s="112" t="n">
        <v>45768</v>
      </c>
      <c r="L207" s="39" t="n"/>
      <c r="M207" s="39" t="inlineStr">
        <is>
          <t>321 8338189</t>
        </is>
      </c>
      <c r="N207" s="39" t="inlineStr">
        <is>
          <t>Laura Delgado</t>
        </is>
      </c>
      <c r="O207" s="116" t="inlineStr">
        <is>
          <t>operacionesingesed@gmail.com</t>
        </is>
      </c>
    </row>
    <row r="208" hidden="1" ht="15" customHeight="1">
      <c r="A208" s="108" t="n"/>
      <c r="B208" s="39" t="n">
        <v>197</v>
      </c>
      <c r="C208" s="278" t="inlineStr">
        <is>
          <t>COTIZACION DE LOS DISEÑOS DE PROTECCIÓN CONTRA INCENDIOS - ESTACION DE LAS VEGAS</t>
        </is>
      </c>
      <c r="I208" s="199" t="inlineStr">
        <is>
          <t>K&amp;J INGENIEROS S.A.S</t>
        </is>
      </c>
      <c r="J208" s="336" t="n">
        <v>6280000</v>
      </c>
      <c r="K208" s="112" t="n">
        <v>45768</v>
      </c>
      <c r="L208" s="39" t="n"/>
      <c r="M208" s="39" t="n"/>
      <c r="N208" s="39" t="inlineStr">
        <is>
          <t>Karla Rendón</t>
        </is>
      </c>
      <c r="O208" s="116" t="inlineStr">
        <is>
          <t>krendon@kyjingenieros.co</t>
        </is>
      </c>
    </row>
    <row r="209" hidden="1">
      <c r="A209" s="108" t="n"/>
      <c r="B209" s="39" t="n">
        <v>198</v>
      </c>
      <c r="C209" s="278" t="inlineStr">
        <is>
          <t>COTIZACION DE LOS DISEÑOS DE PROTECCIÓN CONTRA INCENDIOS - ESTACION YUMBO VALLE</t>
        </is>
      </c>
      <c r="I209" s="199" t="inlineStr">
        <is>
          <t>K&amp;J INGENIEROS S.A.S</t>
        </is>
      </c>
      <c r="J209" s="336" t="n">
        <v>6280000</v>
      </c>
      <c r="K209" s="112" t="n">
        <v>45768</v>
      </c>
      <c r="L209" s="39" t="n"/>
      <c r="M209" s="39" t="n"/>
      <c r="N209" s="39" t="inlineStr">
        <is>
          <t>Karla Rendón</t>
        </is>
      </c>
      <c r="O209" s="116" t="inlineStr">
        <is>
          <t>krendon@kyjingenieros.co</t>
        </is>
      </c>
    </row>
    <row r="210" hidden="1">
      <c r="A210" s="108" t="n"/>
      <c r="B210" s="39" t="n">
        <v>199</v>
      </c>
      <c r="C210" s="278" t="inlineStr">
        <is>
          <t>COTIZACION DE LOS DISEÑOS DE SEGURIDAD HUMANA Y PROTECCIÓN CONTRA INCENDIOS - HOTEL ISTMINA</t>
        </is>
      </c>
      <c r="I210" s="39" t="inlineStr">
        <is>
          <t>Luis Salgado</t>
        </is>
      </c>
      <c r="J210" s="336" t="n">
        <v>16850000</v>
      </c>
      <c r="K210" s="112" t="n">
        <v>45768</v>
      </c>
      <c r="L210" s="39" t="n"/>
      <c r="M210" s="39" t="n"/>
      <c r="N210" s="39" t="inlineStr">
        <is>
          <t>Luis Salgado</t>
        </is>
      </c>
      <c r="O210" s="52" t="inlineStr">
        <is>
          <t>arq.luis.salgado@gmail.com</t>
        </is>
      </c>
    </row>
    <row r="211" hidden="1">
      <c r="A211" s="108" t="n"/>
      <c r="B211" s="39" t="n">
        <v>200</v>
      </c>
      <c r="C211" s="278" t="inlineStr">
        <is>
          <t>COTIZACION DE CAPACITACIÓN EN SEGURIDAD HUMANA</t>
        </is>
      </c>
      <c r="I211" s="39" t="inlineStr">
        <is>
          <t>AIA</t>
        </is>
      </c>
      <c r="J211" s="336" t="n">
        <v>1250000</v>
      </c>
      <c r="K211" s="112" t="n">
        <v>45769</v>
      </c>
      <c r="L211" s="39" t="n"/>
      <c r="M211" s="39" t="inlineStr">
        <is>
          <t>312 8951801</t>
        </is>
      </c>
      <c r="N211" s="39" t="inlineStr">
        <is>
          <t>Kelly Soto</t>
        </is>
      </c>
      <c r="O211" s="52" t="inlineStr">
        <is>
          <t>ksoto@aia.com.co</t>
        </is>
      </c>
    </row>
    <row r="212" hidden="1" ht="15" customHeight="1">
      <c r="A212" s="108" t="n"/>
      <c r="B212" s="39" t="n">
        <v>201</v>
      </c>
      <c r="C212" s="278" t="inlineStr">
        <is>
          <t>COTIZACION DE LOS DISEÑOS DE PROTECCIÓN CONTRA INCENDIOS - DUBLIN T2</t>
        </is>
      </c>
      <c r="I212" s="39" t="inlineStr">
        <is>
          <t>Ingesed</t>
        </is>
      </c>
      <c r="J212" s="336">
        <f>6280000+3140000</f>
        <v/>
      </c>
      <c r="K212" s="112" t="n">
        <v>45772</v>
      </c>
      <c r="L212" s="39" t="n"/>
      <c r="M212" s="39" t="inlineStr">
        <is>
          <t>321 8338189</t>
        </is>
      </c>
      <c r="N212" s="39" t="inlineStr">
        <is>
          <t>Laura Delgado</t>
        </is>
      </c>
      <c r="O212" s="116" t="inlineStr">
        <is>
          <t>operacionesingesed@gmail.com</t>
        </is>
      </c>
    </row>
    <row r="213" hidden="1">
      <c r="A213" s="108" t="n"/>
      <c r="B213" s="39" t="n">
        <v>202</v>
      </c>
      <c r="C213" s="278" t="inlineStr">
        <is>
          <t>COTIZACION DE LOS DISEÑOS DE PROTECCIÓN CONTRA INCENDIOS - SUCURSAL BANCOLOMBIA CÚCUTA</t>
        </is>
      </c>
      <c r="I213" s="39" t="inlineStr">
        <is>
          <t>Condiseño</t>
        </is>
      </c>
      <c r="J213" s="336" t="inlineStr">
        <is>
          <t>por definir</t>
        </is>
      </c>
      <c r="K213" s="112" t="n">
        <v>45769</v>
      </c>
      <c r="L213" s="39" t="n"/>
      <c r="M213" s="39" t="n">
        <v>3175594091</v>
      </c>
      <c r="N213" s="39" t="inlineStr">
        <is>
          <t>Nakary Garcia Romero</t>
        </is>
      </c>
      <c r="O213" s="52" t="inlineStr">
        <is>
          <t>n.garcia@condiseno.co</t>
        </is>
      </c>
    </row>
    <row r="214" hidden="1">
      <c r="A214" s="108" t="n"/>
      <c r="B214" s="39" t="n">
        <v>203</v>
      </c>
      <c r="C214" s="278" t="inlineStr">
        <is>
          <t>COTIZACION DEL DISEÑO DE EXTINCIÓN DE INCENDIOS - BANDA TRANSPORTADORA</t>
        </is>
      </c>
      <c r="I214" s="39" t="inlineStr">
        <is>
          <t xml:space="preserve">Fire Protection Solutions Group </t>
        </is>
      </c>
      <c r="J214" s="314" t="n">
        <v>37650000</v>
      </c>
      <c r="K214" s="112" t="n">
        <v>45769</v>
      </c>
      <c r="L214" s="2" t="n"/>
      <c r="M214" s="39" t="n">
        <v>3108227462</v>
      </c>
      <c r="N214" s="39" t="inlineStr">
        <is>
          <t>Alvaro Manosalva</t>
        </is>
      </c>
      <c r="O214" s="116" t="inlineStr">
        <is>
          <t>alvaromanosalva@sfiregroup.com</t>
        </is>
      </c>
    </row>
    <row r="215" hidden="1">
      <c r="A215" s="108" t="n"/>
      <c r="B215" s="39" t="n">
        <v>204</v>
      </c>
      <c r="C215" s="278" t="inlineStr">
        <is>
          <t>COTIZACION DEL DISEÑO DE EXTINCIÓN DE INCENDIOS - MEGACENTER</t>
        </is>
      </c>
      <c r="I215" s="39" t="inlineStr">
        <is>
          <t>SPCI</t>
        </is>
      </c>
      <c r="J215" s="336" t="n">
        <v>6950000</v>
      </c>
      <c r="K215" s="112" t="n">
        <v>45772</v>
      </c>
      <c r="L215" s="39" t="n"/>
      <c r="M215" s="39" t="n">
        <v>3104165783</v>
      </c>
      <c r="N215" s="39" t="inlineStr">
        <is>
          <t>Cristiam Gustavo Mondragon</t>
        </is>
      </c>
      <c r="O215" s="116" t="inlineStr">
        <is>
          <t>dir.tecnico@spci.com.co</t>
        </is>
      </c>
    </row>
    <row r="216" hidden="1">
      <c r="A216" s="108" t="n"/>
      <c r="B216" s="39" t="n">
        <v>205</v>
      </c>
      <c r="C216" s="278" t="inlineStr">
        <is>
          <t>COTIZACION DE LOS DISEÑOS DE SEGURIDAD HUMANA Y PROTECCIÓN CONTRA INCENDIOS - EDIFICIO TORRE OCHO TRES</t>
        </is>
      </c>
      <c r="I216" s="39" t="inlineStr">
        <is>
          <t>Constructora Alejandría</t>
        </is>
      </c>
      <c r="J216" s="336" t="n">
        <v>26340000</v>
      </c>
      <c r="K216" s="112" t="n">
        <v>45772</v>
      </c>
      <c r="L216" s="39" t="n"/>
      <c r="M216" s="39" t="inlineStr">
        <is>
          <t>314 8600830‬</t>
        </is>
      </c>
      <c r="N216" s="39" t="inlineStr">
        <is>
          <t>Alejandro Barco</t>
        </is>
      </c>
      <c r="O216" s="116" t="inlineStr">
        <is>
          <t>aasociados@gmail.com</t>
        </is>
      </c>
    </row>
    <row r="217" hidden="1">
      <c r="A217" s="108" t="n"/>
      <c r="B217" s="39" t="n">
        <v>206</v>
      </c>
      <c r="C217" s="278" t="inlineStr">
        <is>
          <t>COTIZACION DE LOS DISEÑOS DE SEGURIDAD HUMANA Y PROTECCIÓN CONTRA INCENDIOS - JARDIN DE SAN ANGEL</t>
        </is>
      </c>
      <c r="I217" s="39" t="inlineStr">
        <is>
          <t>Ana Maria Marin</t>
        </is>
      </c>
      <c r="J217" s="336" t="n">
        <v>6280000</v>
      </c>
      <c r="K217" s="112" t="n">
        <v>45772</v>
      </c>
      <c r="L217" s="39" t="n"/>
      <c r="M217" s="39" t="n">
        <v>3146109521</v>
      </c>
      <c r="N217" s="39" t="inlineStr">
        <is>
          <t>Ana Maria Marin</t>
        </is>
      </c>
      <c r="O217" s="116" t="inlineStr">
        <is>
          <t>miguana1504@gmail.com</t>
        </is>
      </c>
    </row>
    <row r="218" hidden="1">
      <c r="A218" s="108" t="n"/>
      <c r="B218" s="39" t="n">
        <v>207</v>
      </c>
      <c r="C218" s="278" t="inlineStr">
        <is>
          <t>COTIZACION DE LOS DISEÑOS DE SEGURIDAD HUMANA Y PROTECCIÓN CONTRA INCENDIOS - EDIFICIO COMERCIAL</t>
        </is>
      </c>
      <c r="I218" s="39" t="inlineStr">
        <is>
          <t>Ingesed</t>
        </is>
      </c>
      <c r="J218" s="336" t="n">
        <v>11920000</v>
      </c>
      <c r="K218" s="112" t="n">
        <v>45772</v>
      </c>
      <c r="L218" s="39" t="n"/>
      <c r="M218" s="39" t="n">
        <v>3135401714</v>
      </c>
      <c r="N218" s="39" t="inlineStr">
        <is>
          <t>Eliana Isabel Cardona Ríos</t>
        </is>
      </c>
      <c r="O218" s="116" t="inlineStr">
        <is>
          <t>comercial@ingesed.com</t>
        </is>
      </c>
    </row>
    <row r="219" hidden="1">
      <c r="A219" s="108" t="n"/>
      <c r="B219" s="39" t="n">
        <v>208</v>
      </c>
      <c r="C219" s="278" t="inlineStr">
        <is>
          <t>COTIZACION DEL DISEÑO DE EXTINCIÓN DE INCENDIOS - LA LLAVE</t>
        </is>
      </c>
      <c r="I219" s="39" t="inlineStr">
        <is>
          <t xml:space="preserve">Fire Protection Solutions Group </t>
        </is>
      </c>
      <c r="J219" s="314" t="n">
        <v>8500</v>
      </c>
      <c r="K219" s="112" t="n">
        <v>45771</v>
      </c>
      <c r="L219" s="2" t="n"/>
      <c r="M219" s="39" t="n">
        <v>3108227462</v>
      </c>
      <c r="N219" s="39" t="inlineStr">
        <is>
          <t>Alvaro Manosalva</t>
        </is>
      </c>
      <c r="O219" s="116" t="inlineStr">
        <is>
          <t>alvaromanosalva@sfiregroup.com</t>
        </is>
      </c>
    </row>
    <row r="220" hidden="1">
      <c r="A220" s="108" t="n"/>
      <c r="B220" s="39" t="n">
        <v>209</v>
      </c>
      <c r="C220" s="278" t="inlineStr">
        <is>
          <t>COTIZACION DE LOS DISEÑOS DE SEGURIDAD HUMANA Y PROTECCIÓN CONTRA INCENDIOS - ESTACIÓN DE BOMBEROS BARRANCABERMEJA</t>
        </is>
      </c>
      <c r="I220" s="39" t="inlineStr">
        <is>
          <t>Ingesed</t>
        </is>
      </c>
      <c r="J220" s="336" t="n">
        <v>7900000</v>
      </c>
      <c r="K220" s="112" t="n">
        <v>45772</v>
      </c>
      <c r="L220" s="39" t="n"/>
      <c r="M220" s="39" t="inlineStr">
        <is>
          <t>321 8338189</t>
        </is>
      </c>
      <c r="N220" s="39" t="inlineStr">
        <is>
          <t>Laura Delgado</t>
        </is>
      </c>
      <c r="O220" s="116" t="inlineStr">
        <is>
          <t>operacionesingesed@gmail.com</t>
        </is>
      </c>
    </row>
    <row r="221" hidden="1">
      <c r="A221" s="108" t="n"/>
      <c r="B221" s="39" t="n">
        <v>210</v>
      </c>
      <c r="C221" s="278" t="inlineStr">
        <is>
          <t>COTIZACION INTERVENTORIA CONSTRUCCIÓN Y DISEÑO DETECCIÓN DE INCENDIOS - INDUSTRIAS ALIADAS</t>
        </is>
      </c>
      <c r="I221" s="39" t="inlineStr">
        <is>
          <t>AFC</t>
        </is>
      </c>
      <c r="J221" s="336" t="n">
        <v>3000000</v>
      </c>
      <c r="K221" s="112" t="n">
        <v>45772</v>
      </c>
      <c r="L221" s="39" t="n"/>
      <c r="M221" s="113" t="n">
        <v>3116456726</v>
      </c>
      <c r="N221" s="39" t="inlineStr">
        <is>
          <t>Andres Cruz</t>
        </is>
      </c>
      <c r="O221" s="116" t="inlineStr">
        <is>
          <t>proyectos.afcprofire@gmail.com</t>
        </is>
      </c>
    </row>
    <row r="222" hidden="1">
      <c r="A222" s="108" t="n"/>
      <c r="B222" s="39" t="n">
        <v>211</v>
      </c>
      <c r="C222" s="278" t="inlineStr">
        <is>
          <t>COTIZACION DE LOS DISEÑOS DE SEGURIDAD HUMANA Y PROTECCIÓN CONTRA INCENDIOS - PLANTA DE PROTEINA</t>
        </is>
      </c>
      <c r="I222" s="39" t="inlineStr">
        <is>
          <t>IS Civiles</t>
        </is>
      </c>
      <c r="J222" s="336" t="n">
        <v>26950000</v>
      </c>
      <c r="K222" s="112" t="n">
        <v>45772</v>
      </c>
      <c r="L222" s="39" t="n"/>
      <c r="M222" s="39" t="n">
        <v>3143624300</v>
      </c>
      <c r="N222" s="39" t="inlineStr">
        <is>
          <t>Eder Alvarez Cardozo</t>
        </is>
      </c>
      <c r="O222" s="116" t="inlineStr">
        <is>
          <t>heder.cardozo@isciviles.com.co</t>
        </is>
      </c>
    </row>
    <row r="223" hidden="1">
      <c r="A223" s="108" t="n"/>
      <c r="B223" s="39" t="n">
        <v>212</v>
      </c>
      <c r="C223" s="278" t="inlineStr">
        <is>
          <t>COTIZACION DEL DISEÑO DE EXTINCIÓN DE INCENDIOS - HACEB</t>
        </is>
      </c>
      <c r="I223" s="39" t="inlineStr">
        <is>
          <t>SPCI</t>
        </is>
      </c>
      <c r="J223" s="336" t="n">
        <v>25000000</v>
      </c>
      <c r="K223" s="112" t="n">
        <v>45775</v>
      </c>
      <c r="L223" s="39" t="n"/>
      <c r="M223" s="39" t="n">
        <v>3104165783</v>
      </c>
      <c r="N223" s="39" t="inlineStr">
        <is>
          <t>Cristiam Gustavo Mondragon</t>
        </is>
      </c>
      <c r="O223" s="116" t="inlineStr">
        <is>
          <t>dir.tecnico@spci.com.co</t>
        </is>
      </c>
    </row>
    <row r="224" hidden="1">
      <c r="A224" s="108" t="n"/>
      <c r="B224" s="39" t="n">
        <v>213</v>
      </c>
      <c r="C224" s="278" t="inlineStr">
        <is>
          <t>COTIZACION DEL ANÁLISIS DE SEGURIDAD HUMANA - MAIORES</t>
        </is>
      </c>
      <c r="I224" s="39" t="inlineStr">
        <is>
          <t>Cantagirone</t>
        </is>
      </c>
      <c r="J224" s="336" t="n">
        <v>6250000</v>
      </c>
      <c r="K224" s="112" t="n">
        <v>45775</v>
      </c>
      <c r="L224" s="39" t="n"/>
      <c r="M224" s="39" t="n">
        <v>3204377378</v>
      </c>
      <c r="N224" s="39" t="inlineStr">
        <is>
          <t>Carolina Gómez Chica</t>
        </is>
      </c>
      <c r="O224" s="116" t="inlineStr">
        <is>
          <t>proyectosbim@cantagirone.com</t>
        </is>
      </c>
    </row>
    <row r="225" hidden="1">
      <c r="A225" s="108" t="n"/>
      <c r="B225" s="39" t="n">
        <v>214</v>
      </c>
      <c r="C225" s="278" t="inlineStr">
        <is>
          <t>COTIZACION DE LOS DISEÑOS DE PROTECCIÓN CONTRA INCENDIOS - SOCIEDAD PORTUARIA COAL CORP</t>
        </is>
      </c>
      <c r="I225" s="39" t="inlineStr">
        <is>
          <t>Fortia minerals</t>
        </is>
      </c>
      <c r="J225" s="336" t="n">
        <v>29950000</v>
      </c>
      <c r="K225" s="112" t="n">
        <v>45782</v>
      </c>
      <c r="L225" s="39" t="n"/>
      <c r="M225" s="39" t="n">
        <v>3176477619</v>
      </c>
      <c r="N225" s="39" t="inlineStr">
        <is>
          <t>Maria Jose Rodriguez Meisel</t>
        </is>
      </c>
      <c r="O225" s="116" t="inlineStr">
        <is>
          <t>mrodriguez@fortiaminerals.com</t>
        </is>
      </c>
    </row>
    <row r="226" hidden="1">
      <c r="A226" s="108" t="n"/>
      <c r="B226" s="39" t="n">
        <v>215</v>
      </c>
      <c r="C226" s="278" t="inlineStr">
        <is>
          <t>COTIZACION DE LOS DISEÑOS DE PROTECCIÓN CONTRA INCENDIOS - EFFILIVING</t>
        </is>
      </c>
      <c r="I226" s="39" t="inlineStr">
        <is>
          <t>EFFILIVING</t>
        </is>
      </c>
      <c r="J226" s="336" t="n">
        <v>19550000</v>
      </c>
      <c r="K226" s="112" t="n">
        <v>45775</v>
      </c>
      <c r="L226" s="39" t="n"/>
      <c r="M226" s="39" t="n">
        <v>3015601490</v>
      </c>
      <c r="N226" s="39" t="inlineStr">
        <is>
          <t>Catalina Velásquez</t>
        </is>
      </c>
      <c r="O226" s="116" t="n"/>
    </row>
    <row r="227" hidden="1">
      <c r="A227" s="108" t="n"/>
      <c r="B227" s="39" t="n">
        <v>216</v>
      </c>
      <c r="C227" s="278" t="inlineStr">
        <is>
          <t>COTIZACION DE LOS DISEÑOS DE SEGURIDAD HUMANA Y PROTECCIÓN CONTRA INCENDIOS - COLISEO POLITECNICO</t>
        </is>
      </c>
      <c r="I227" s="39" t="inlineStr">
        <is>
          <t>Ideas y proyectos de Ingeniería</t>
        </is>
      </c>
      <c r="J227" s="336" t="n">
        <v>39540000</v>
      </c>
      <c r="K227" s="112" t="n">
        <v>45776</v>
      </c>
      <c r="L227" s="39" t="n"/>
      <c r="M227" s="39" t="n">
        <v>3105075856</v>
      </c>
      <c r="N227" s="39" t="inlineStr">
        <is>
          <t>Juan Ossa</t>
        </is>
      </c>
      <c r="O227" s="116" t="inlineStr">
        <is>
          <t>juanfossa77@gmail.com</t>
        </is>
      </c>
    </row>
    <row r="228" hidden="1" ht="15" customHeight="1">
      <c r="A228" s="108" t="n"/>
      <c r="B228" s="39" t="n">
        <v>217</v>
      </c>
      <c r="C228" s="278" t="inlineStr">
        <is>
          <t>COTIZACION DE LA REVISIÓN DEL SISTEMA DE BOMBEO DE EXTINCIÓN DE INCENDIOS - AIRE CAMPESTRE</t>
        </is>
      </c>
      <c r="I228" s="39" t="inlineStr">
        <is>
          <t>Five Pack</t>
        </is>
      </c>
      <c r="J228" s="336" t="n">
        <v>3760000</v>
      </c>
      <c r="K228" s="112" t="n">
        <v>45755</v>
      </c>
      <c r="L228" s="39" t="n"/>
      <c r="M228" s="39" t="n">
        <v>3013551452</v>
      </c>
      <c r="N228" s="39" t="inlineStr">
        <is>
          <t>Gerson Bustamante</t>
        </is>
      </c>
      <c r="O228" s="116" t="inlineStr">
        <is>
          <t>gerson@5pa.co</t>
        </is>
      </c>
    </row>
    <row r="229" hidden="1" ht="15" customHeight="1">
      <c r="A229" s="108" t="n"/>
      <c r="B229" s="39" t="n">
        <v>218</v>
      </c>
      <c r="C229" s="278" t="inlineStr">
        <is>
          <t xml:space="preserve">COTIZACION DEL DISEÑO DE DETECCIÓN DE INCENDIOS PARA EL PROYECTO FAMILIA PLANTA MEDELLIN
</t>
        </is>
      </c>
      <c r="I229" s="39" t="inlineStr">
        <is>
          <t>SERIINCO</t>
        </is>
      </c>
      <c r="J229" s="336" t="n">
        <v>15950000</v>
      </c>
      <c r="K229" s="112" t="n">
        <v>45330</v>
      </c>
      <c r="L229" s="39" t="n"/>
      <c r="M229" s="39" t="n">
        <v>3113391008</v>
      </c>
      <c r="N229" s="39" t="inlineStr">
        <is>
          <t>Carlos Enrique Henao Londoño</t>
        </is>
      </c>
      <c r="O229" s="116" t="inlineStr">
        <is>
          <t>carlos.henao@seriinco.com</t>
        </is>
      </c>
    </row>
    <row r="230" hidden="1">
      <c r="A230" s="108" t="n"/>
      <c r="B230" s="39" t="n">
        <v>219</v>
      </c>
      <c r="C230" s="278" t="inlineStr">
        <is>
          <t>COTIZACION DEL DISEÑO DE EXTINCIÓN DE INCENDIOS - CONTECAR</t>
        </is>
      </c>
      <c r="I230" s="39" t="inlineStr">
        <is>
          <t>Doublec</t>
        </is>
      </c>
      <c r="J230" s="336" t="n">
        <v>35950000</v>
      </c>
      <c r="K230" s="112" t="n">
        <v>45777</v>
      </c>
      <c r="L230" s="39" t="n"/>
      <c r="M230" s="39" t="n"/>
      <c r="N230" s="39" t="inlineStr">
        <is>
          <t>John Deyvi Tangarife Rivera</t>
        </is>
      </c>
      <c r="O230" s="116" t="inlineStr">
        <is>
          <t>jtangarifer@conconcreto.com</t>
        </is>
      </c>
    </row>
    <row r="231" hidden="1">
      <c r="A231" s="108" t="n"/>
      <c r="B231" s="39" t="n">
        <v>220</v>
      </c>
      <c r="C231" s="278" t="inlineStr">
        <is>
          <t>COTIZACION DE LOS DISEÑOS DE SEGURIDAD HUMANA Y PROTECCIÓN CONTRA INCENDIOS - TERRAZINO</t>
        </is>
      </c>
      <c r="I231" s="39" t="inlineStr">
        <is>
          <t>Coninsa</t>
        </is>
      </c>
      <c r="J231" s="336" t="n">
        <v>32930000</v>
      </c>
      <c r="K231" s="112" t="n">
        <v>45749</v>
      </c>
      <c r="L231" s="39" t="n"/>
      <c r="M231" s="39" t="n">
        <v>3007549649</v>
      </c>
      <c r="N231" s="39" t="inlineStr">
        <is>
          <t>Zully Milena López Molina</t>
        </is>
      </c>
      <c r="O231" s="116" t="inlineStr">
        <is>
          <t>zmlopez@coninsa.co</t>
        </is>
      </c>
    </row>
    <row r="232" hidden="1">
      <c r="A232" s="108" t="n"/>
      <c r="B232" s="39" t="n">
        <v>221</v>
      </c>
      <c r="C232" s="278" t="inlineStr">
        <is>
          <t>COTIZACION DEL DISEÑO DE EXTINCIÓN DE INCENDIOS PARA EL PROYECTO BODEGA CORRUGADOR Y ROLLOS PAPELSA</t>
        </is>
      </c>
      <c r="I232" s="39" t="inlineStr">
        <is>
          <t>SERIINCO</t>
        </is>
      </c>
      <c r="J232" s="336" t="n">
        <v>20850000</v>
      </c>
      <c r="K232" s="112" t="n">
        <v>45777</v>
      </c>
      <c r="L232" s="39" t="n"/>
      <c r="M232" s="39" t="n">
        <v>3113391008</v>
      </c>
      <c r="N232" s="39" t="inlineStr">
        <is>
          <t>Carlos Henao</t>
        </is>
      </c>
      <c r="O232" s="116" t="inlineStr">
        <is>
          <t>carlos.henao@seriinco.com</t>
        </is>
      </c>
    </row>
    <row r="233" hidden="1">
      <c r="A233" s="108" t="n"/>
      <c r="B233" s="39" t="n">
        <v>222</v>
      </c>
      <c r="C233" s="278" t="inlineStr">
        <is>
          <t>COTIZACION DE LOS DISEÑOS DE PROTECCIÓN CONTRA INCENDIOS - FOSO BODEGA CORRUGADOR PAPELSA</t>
        </is>
      </c>
      <c r="I233" s="39" t="inlineStr">
        <is>
          <t>SERIINCO</t>
        </is>
      </c>
      <c r="J233" s="336" t="n">
        <v>10950000</v>
      </c>
      <c r="K233" s="112" t="n">
        <v>45777</v>
      </c>
      <c r="L233" s="39" t="n"/>
      <c r="M233" s="39" t="n">
        <v>3113391008</v>
      </c>
      <c r="N233" s="39" t="inlineStr">
        <is>
          <t>Carlos Henao</t>
        </is>
      </c>
      <c r="O233" s="116" t="inlineStr">
        <is>
          <t>carlos.henao@seriinco.com</t>
        </is>
      </c>
    </row>
    <row r="234" hidden="1">
      <c r="A234" s="108" t="n"/>
      <c r="B234" s="39" t="n">
        <v>223</v>
      </c>
      <c r="C234" s="278" t="inlineStr">
        <is>
          <t>COTIZACION DE LOS DISEÑOS DE SEGURIDAD HUMANA Y PROTECCIÓN CONTRA INCENDIOS - PLANTA TEBAIDA</t>
        </is>
      </c>
      <c r="I234" s="39" t="inlineStr">
        <is>
          <t>Proyect &amp; solution</t>
        </is>
      </c>
      <c r="J234" s="336" t="n">
        <v>58450000</v>
      </c>
      <c r="K234" s="112" t="n">
        <v>45752</v>
      </c>
      <c r="L234" s="39" t="n"/>
      <c r="M234" s="39" t="inlineStr">
        <is>
          <t>311 3079477</t>
        </is>
      </c>
      <c r="N234" s="39" t="inlineStr">
        <is>
          <t>Sebastian Lopez Duque</t>
        </is>
      </c>
      <c r="O234" s="116" t="inlineStr">
        <is>
          <t>gerencia@projectsolutions.com.co</t>
        </is>
      </c>
    </row>
    <row r="235" hidden="1">
      <c r="A235" s="108" t="n"/>
      <c r="B235" s="39" t="n">
        <v>224</v>
      </c>
      <c r="C235" s="278" t="inlineStr">
        <is>
          <t>QUOTE Potable Water and Firefighting System Expansion</t>
        </is>
      </c>
      <c r="I235" s="39" t="inlineStr">
        <is>
          <t>CEAD NV</t>
        </is>
      </c>
      <c r="J235" s="336" t="n">
        <v>15000</v>
      </c>
      <c r="K235" s="112" t="n">
        <v>45779</v>
      </c>
      <c r="L235" s="39" t="n"/>
      <c r="M235" s="170" t="n">
        <v>5977482657</v>
      </c>
      <c r="N235" s="103" t="inlineStr">
        <is>
          <t>Raúl A. Zulueta López</t>
        </is>
      </c>
      <c r="O235" s="116" t="inlineStr">
        <is>
          <t>r.lopez@ceadnv.com</t>
        </is>
      </c>
    </row>
    <row r="236" hidden="1">
      <c r="A236" s="108" t="n"/>
      <c r="B236" s="39" t="n">
        <v>225</v>
      </c>
      <c r="C236" s="278" t="inlineStr">
        <is>
          <t>COTIZACION DEL DISEÑO DE DETECCIÓN DE INCENDIOS - PARQUE EXPLORA</t>
        </is>
      </c>
      <c r="I236" s="39" t="inlineStr">
        <is>
          <t>Fire Marshal</t>
        </is>
      </c>
      <c r="J236" s="336" t="n">
        <v>5750000</v>
      </c>
      <c r="K236" s="112" t="n">
        <v>45782</v>
      </c>
      <c r="L236" s="39" t="n"/>
      <c r="M236" s="39" t="n">
        <v>3155852559</v>
      </c>
      <c r="N236" s="39" t="inlineStr">
        <is>
          <t>José Manuel Maya G</t>
        </is>
      </c>
      <c r="O236" s="52" t="inlineStr">
        <is>
          <t>josemaya@firemarshal.com.co</t>
        </is>
      </c>
    </row>
    <row r="237" hidden="1" ht="15" customHeight="1">
      <c r="A237" s="108" t="n"/>
      <c r="B237" s="39" t="n">
        <v>226</v>
      </c>
      <c r="C237" s="278" t="inlineStr">
        <is>
          <t>COTIZACION DE LOS DISEÑOS DE PROTECCIÓN CONTRA INCENDIOS - DUAS RODAS</t>
        </is>
      </c>
      <c r="I237" s="39" t="inlineStr">
        <is>
          <t>Duas Rodas</t>
        </is>
      </c>
      <c r="J237" s="336" t="n">
        <v>9920000</v>
      </c>
      <c r="K237" s="112" t="n">
        <v>45789</v>
      </c>
      <c r="L237" s="39" t="n"/>
      <c r="M237" s="39" t="n">
        <v>3145593468</v>
      </c>
      <c r="N237" s="39" t="inlineStr">
        <is>
          <t>Yisela Alejandra Alvarez Taborda</t>
        </is>
      </c>
      <c r="O237" s="52" t="inlineStr">
        <is>
          <t>yisela.alvarez@duasrodas.com</t>
        </is>
      </c>
    </row>
    <row r="238" hidden="1" ht="15" customHeight="1">
      <c r="A238" s="108" t="n"/>
      <c r="B238" s="39" t="n">
        <v>227</v>
      </c>
      <c r="C238" s="278" t="inlineStr">
        <is>
          <t>COTIZACION DE LOS RE-DISEÑOS DE PROTECCIÓN CONTRA INCENDIOS - FAC</t>
        </is>
      </c>
      <c r="I238" s="39" t="inlineStr">
        <is>
          <t>SPCI</t>
        </is>
      </c>
      <c r="J238" s="336" t="n">
        <v>3000000</v>
      </c>
      <c r="K238" s="112" t="n">
        <v>45785</v>
      </c>
      <c r="L238" s="39" t="n"/>
      <c r="M238" s="39" t="n">
        <v>3104165783</v>
      </c>
      <c r="N238" s="39" t="inlineStr">
        <is>
          <t>Cristiam Gustavo Mondragon</t>
        </is>
      </c>
      <c r="O238" s="116" t="inlineStr">
        <is>
          <t>dir.tecnico@spci.com.co</t>
        </is>
      </c>
    </row>
    <row r="239" hidden="1">
      <c r="A239" s="108" t="n"/>
      <c r="B239" s="39" t="n">
        <v>228</v>
      </c>
      <c r="C239" s="278" t="inlineStr">
        <is>
          <t>COTIZACION DE LOS DISEÑOS DE PROTECCIÓN CONTRA INCENDIOS - YAMBA PARK</t>
        </is>
      </c>
      <c r="I239" s="39" t="inlineStr">
        <is>
          <t>Yamba Park</t>
        </is>
      </c>
      <c r="J239" s="336" t="n">
        <v>5980000</v>
      </c>
      <c r="K239" s="112" t="n">
        <v>45785</v>
      </c>
      <c r="L239" s="39" t="n"/>
      <c r="M239" s="39" t="n">
        <v>3104429785</v>
      </c>
      <c r="N239" s="39" t="inlineStr">
        <is>
          <t>Carlos Cano</t>
        </is>
      </c>
      <c r="O239" s="116" t="n"/>
    </row>
    <row r="240" hidden="1">
      <c r="A240" s="108" t="n"/>
      <c r="B240" s="39" t="n">
        <v>229</v>
      </c>
      <c r="C240" s="278" t="inlineStr">
        <is>
          <t>COTIZACION DE INTERVENTORÍA EN LA INSTALACIÓN DE LOS SISTEMAS DE PROTECCIÓN CONTRA INCENDIOS PARA EL PROYECTO APIX</t>
        </is>
      </c>
      <c r="I240" s="39" t="inlineStr">
        <is>
          <t>BERINCE</t>
        </is>
      </c>
      <c r="J240" s="336" t="n">
        <v>350000</v>
      </c>
      <c r="K240" s="112" t="n">
        <v>45783</v>
      </c>
      <c r="L240" s="39" t="n"/>
      <c r="M240" s="39" t="n">
        <v>3206720793</v>
      </c>
      <c r="N240" s="172" t="inlineStr">
        <is>
          <t>Cristina Lamb</t>
        </is>
      </c>
      <c r="O240" s="52" t="inlineStr">
        <is>
          <t>berincesas@gmail.com</t>
        </is>
      </c>
    </row>
    <row r="241" hidden="1">
      <c r="A241" s="108" t="n"/>
      <c r="B241" s="39" t="n">
        <v>230</v>
      </c>
      <c r="C241" s="278" t="inlineStr">
        <is>
          <t>COTIZACION DEL DISEÑO DE DETECCIÓN DE INCENDIOS - FOTOMILENIO</t>
        </is>
      </c>
      <c r="I241" s="39" t="inlineStr">
        <is>
          <t>SPCI</t>
        </is>
      </c>
      <c r="J241" s="336" t="n">
        <v>750000</v>
      </c>
      <c r="K241" s="112" t="n">
        <v>45785</v>
      </c>
      <c r="L241" s="39" t="n"/>
      <c r="M241" s="39" t="n">
        <v>3104165783</v>
      </c>
      <c r="N241" s="39" t="inlineStr">
        <is>
          <t>Cristiam Gustavo Mondragon</t>
        </is>
      </c>
      <c r="O241" s="116" t="inlineStr">
        <is>
          <t>dir.tecnico@spci.com.co</t>
        </is>
      </c>
    </row>
    <row r="242" hidden="1">
      <c r="A242" s="108" t="n"/>
      <c r="B242" s="39" t="n">
        <v>231</v>
      </c>
      <c r="C242" s="278" t="inlineStr">
        <is>
          <t>COTIZACION DEL DISEÑO DE EXTINCIÓN DE INCENDIOS - ESTANTERIA BODEGA PPG</t>
        </is>
      </c>
      <c r="I242" s="39" t="inlineStr">
        <is>
          <t>Ingesed</t>
        </is>
      </c>
      <c r="J242" s="336" t="n">
        <v>3950000</v>
      </c>
      <c r="K242" s="112" t="n">
        <v>45785</v>
      </c>
      <c r="L242" s="39" t="n"/>
      <c r="M242" s="39" t="inlineStr">
        <is>
          <t>321 8338189</t>
        </is>
      </c>
      <c r="N242" s="39" t="inlineStr">
        <is>
          <t>Laura Delgado</t>
        </is>
      </c>
      <c r="O242" s="116" t="inlineStr">
        <is>
          <t>operacionesingesed@gmail.com</t>
        </is>
      </c>
    </row>
    <row r="243" hidden="1">
      <c r="A243" s="108" t="n"/>
      <c r="B243" s="39" t="n">
        <v>232</v>
      </c>
      <c r="C243" s="278" t="inlineStr">
        <is>
          <t>COTIZACION DE LOS DISEÑOS DE SEGURIDAD HUMANA Y PROTECCIÓN CONTRA INCENDIOS - NAVIVA</t>
        </is>
      </c>
      <c r="I243" s="39" t="inlineStr">
        <is>
          <t>Ingesed</t>
        </is>
      </c>
      <c r="J243" s="336" t="n">
        <v>16930000</v>
      </c>
      <c r="K243" s="112" t="n">
        <v>45785</v>
      </c>
      <c r="L243" s="39" t="n"/>
      <c r="M243" s="39" t="n">
        <v>3135401714</v>
      </c>
      <c r="N243" s="39" t="inlineStr">
        <is>
          <t>Eliana Isabel Cardona Ríos</t>
        </is>
      </c>
      <c r="O243" s="116" t="inlineStr">
        <is>
          <t>comercial@ingesed.com</t>
        </is>
      </c>
    </row>
    <row r="244" hidden="1">
      <c r="A244" s="108" t="n"/>
      <c r="B244" s="129" t="n">
        <v>233</v>
      </c>
      <c r="C244" s="284" t="inlineStr">
        <is>
          <t>JUAN CAMILO LO SEPARO / POR FAVOR DILIGENCIAR</t>
        </is>
      </c>
      <c r="I244" s="129" t="n"/>
      <c r="J244" s="338" t="n"/>
      <c r="K244" s="131" t="n"/>
      <c r="L244" s="129" t="n"/>
      <c r="M244" s="129" t="n"/>
      <c r="N244" s="129" t="n"/>
      <c r="O244" s="132" t="n"/>
    </row>
    <row r="245" hidden="1" ht="15" customHeight="1">
      <c r="A245" s="108" t="n"/>
      <c r="B245" s="39" t="n">
        <v>234</v>
      </c>
      <c r="C245" s="278" t="inlineStr">
        <is>
          <t>COTIZACION DE LOS DISEÑOS DE SEGURIDAD HUMANA Y PROTECCIÓN CONTRA INCENDIOS - CORREGIDURÍA</t>
        </is>
      </c>
      <c r="I245" s="39" t="inlineStr">
        <is>
          <t>I+Consultores</t>
        </is>
      </c>
      <c r="J245" s="336" t="n">
        <v>13250000</v>
      </c>
      <c r="K245" s="112" t="n">
        <v>45786</v>
      </c>
      <c r="L245" s="39" t="n"/>
      <c r="M245" s="39" t="inlineStr">
        <is>
          <t>(604) 4443091</t>
        </is>
      </c>
      <c r="N245" s="39" t="inlineStr">
        <is>
          <t>Lina Maria Montoya</t>
        </is>
      </c>
      <c r="O245" s="116" t="inlineStr">
        <is>
          <t>lmontoya@iconsultores.com.co</t>
        </is>
      </c>
    </row>
    <row r="246" hidden="1">
      <c r="A246" s="108" t="n"/>
      <c r="B246" s="39" t="n">
        <v>235</v>
      </c>
      <c r="C246" s="278" t="inlineStr">
        <is>
          <t>COTIZACION DE LOS DISEÑOS DE PROTECCIÓN CONTRA INCENDIOS - EDIFICIO CENTRO</t>
        </is>
      </c>
      <c r="I246" s="39" t="inlineStr">
        <is>
          <t>Servimat</t>
        </is>
      </c>
      <c r="J246" s="336" t="n">
        <v>38830000</v>
      </c>
      <c r="K246" s="112" t="n">
        <v>45791</v>
      </c>
      <c r="L246" s="39" t="n"/>
      <c r="M246" s="39" t="n">
        <v>3174278745</v>
      </c>
      <c r="N246" s="39" t="inlineStr">
        <is>
          <t>Adriana Angelica Amar Amado</t>
        </is>
      </c>
      <c r="O246" s="116" t="inlineStr">
        <is>
          <t>comercial5@servimatcolombia.com</t>
        </is>
      </c>
    </row>
    <row r="247" hidden="1">
      <c r="A247" s="108" t="n"/>
      <c r="B247" s="39" t="n">
        <v>236</v>
      </c>
      <c r="C247" s="278" t="inlineStr">
        <is>
          <t>COTIZACION DE LOS DISEÑOS DE SEGURIDAD HUMANA Y PROTECCIÓN CONTRA INCENDIOS - REVISIÓN TÉCNICA</t>
        </is>
      </c>
      <c r="I247" s="39" t="inlineStr">
        <is>
          <t>Constructora Altos de la Abadia</t>
        </is>
      </c>
      <c r="J247" s="336" t="n">
        <v>25000000</v>
      </c>
      <c r="K247" s="112" t="n">
        <v>45791</v>
      </c>
      <c r="L247" s="39" t="n"/>
      <c r="M247" s="39" t="inlineStr">
        <is>
          <t xml:space="preserve">(604) 4486800 Ext. 138 </t>
        </is>
      </c>
      <c r="N247" s="39" t="inlineStr">
        <is>
          <t>Esteban Ramírez Pineda</t>
        </is>
      </c>
      <c r="O247" s="116" t="inlineStr">
        <is>
          <t xml:space="preserve">e.ramirez@altosdelaabadia.com  
</t>
        </is>
      </c>
    </row>
    <row r="248" hidden="1" ht="15" customHeight="1">
      <c r="A248" s="108" t="n"/>
      <c r="B248" s="39" t="n">
        <v>237</v>
      </c>
      <c r="C248" s="278" t="inlineStr">
        <is>
          <t>COTIZACION DE LOS DISEÑOS DE SEGURIDAD HUMANA Y PROTECCIÓN CONTRA INCENDIOS - NAVITRANS</t>
        </is>
      </c>
      <c r="I248" s="39" t="inlineStr">
        <is>
          <t>Convel</t>
        </is>
      </c>
      <c r="J248" s="336" t="n">
        <v>26350000</v>
      </c>
      <c r="K248" s="112" t="n">
        <v>45789</v>
      </c>
      <c r="L248" s="39" t="n"/>
      <c r="M248" s="39" t="n">
        <v>3105175495</v>
      </c>
      <c r="N248" s="39" t="inlineStr">
        <is>
          <t>Manuela Beltrán Duque</t>
        </is>
      </c>
      <c r="O248" s="116" t="inlineStr">
        <is>
          <t>manuelabeltran@convel.co</t>
        </is>
      </c>
    </row>
    <row r="249" hidden="1">
      <c r="A249" s="108" t="n"/>
      <c r="B249" s="39" t="n">
        <v>238</v>
      </c>
      <c r="C249" s="278" t="inlineStr">
        <is>
          <t>COTIZACION DEL ANÁLISIS DE SEGURIDAD HUMANA - DOLLARCITY</t>
        </is>
      </c>
      <c r="I249" s="39" t="inlineStr">
        <is>
          <t>Dollarcity</t>
        </is>
      </c>
      <c r="J249" s="336" t="n">
        <v>3700000</v>
      </c>
      <c r="K249" s="112" t="n">
        <v>45790</v>
      </c>
      <c r="L249" s="39" t="n"/>
      <c r="M249" s="39" t="n">
        <v>3228898376</v>
      </c>
      <c r="N249" s="39" t="inlineStr">
        <is>
          <t>Juan Gabriel Gomez</t>
        </is>
      </c>
      <c r="O249" s="116" t="n"/>
    </row>
    <row r="250" hidden="1">
      <c r="A250" s="108" t="n"/>
      <c r="B250" s="39" t="n">
        <v>239</v>
      </c>
      <c r="C250" s="278" t="inlineStr">
        <is>
          <t>COTIZACION DEL DISEÑO DE EXTINCIÓN DE INCENDIOS - PROYECTO EN MARINILLA</t>
        </is>
      </c>
      <c r="I250" s="39" t="inlineStr">
        <is>
          <t>Paycol</t>
        </is>
      </c>
      <c r="J250" s="336" t="n">
        <v>29940000</v>
      </c>
      <c r="K250" s="112" t="n">
        <v>45791</v>
      </c>
      <c r="L250" s="39" t="n"/>
      <c r="M250" s="39" t="n">
        <v>3183832571</v>
      </c>
      <c r="N250" s="39" t="inlineStr">
        <is>
          <t>Daniel Felipe Díaz Beltrán</t>
        </is>
      </c>
      <c r="O250" s="52" t="inlineStr">
        <is>
          <t>proyectos@paycol.com.co</t>
        </is>
      </c>
    </row>
    <row r="251" hidden="1">
      <c r="A251" s="108" t="n"/>
      <c r="B251" s="39" t="n">
        <v>240</v>
      </c>
      <c r="C251" s="278" t="inlineStr">
        <is>
          <t>COTIZACION DEL DISEÑO DE EXTINCIÓN DE INCENDIOS - 2 TORRES DE VIVIENDA</t>
        </is>
      </c>
      <c r="I251" s="39" t="inlineStr">
        <is>
          <t>Conconcreto</t>
        </is>
      </c>
      <c r="J251" s="336" t="n">
        <v>29950000</v>
      </c>
      <c r="K251" s="112" t="n">
        <v>45791</v>
      </c>
      <c r="L251" s="39" t="n"/>
      <c r="M251" s="39" t="n">
        <v>3104570506</v>
      </c>
      <c r="N251" s="39" t="inlineStr">
        <is>
          <t>David Moscoso Andrade</t>
        </is>
      </c>
      <c r="O251" s="52" t="inlineStr">
        <is>
          <t>dmoscoso@conconcreto.com</t>
        </is>
      </c>
    </row>
    <row r="252" hidden="1">
      <c r="A252" s="108" t="n"/>
      <c r="B252" s="39" t="n">
        <v>241</v>
      </c>
      <c r="C252" s="278" t="inlineStr">
        <is>
          <t>COTIZACION DEL RE-DISEÑO DE DETECCIÓN DE INCENDIOS - COLDEPLAST</t>
        </is>
      </c>
      <c r="I252" s="39" t="inlineStr">
        <is>
          <t>SERIINCO</t>
        </is>
      </c>
      <c r="J252" s="336" t="n">
        <v>1500000</v>
      </c>
      <c r="K252" s="112" t="n">
        <v>45791</v>
      </c>
      <c r="L252" s="39" t="n"/>
      <c r="M252" s="39" t="n">
        <v>3116460496</v>
      </c>
      <c r="N252" s="39" t="inlineStr">
        <is>
          <t xml:space="preserve"> Francisco Unda</t>
        </is>
      </c>
      <c r="O252" s="116" t="inlineStr">
        <is>
          <t>francisco.unda@seriinco.com</t>
        </is>
      </c>
    </row>
    <row r="253" hidden="1">
      <c r="A253" s="108" t="n"/>
      <c r="B253" s="39" t="n">
        <v>242</v>
      </c>
      <c r="C253" s="278" t="inlineStr">
        <is>
          <t>COTIZACION DEL DISEÑO DE DETECCIÓN DE INCENDIOS - CENTRO COMERCIAL</t>
        </is>
      </c>
      <c r="I253" s="39" t="inlineStr">
        <is>
          <t>Álvarez Fajardo SAS</t>
        </is>
      </c>
      <c r="J253" s="336" t="n">
        <v>2950000</v>
      </c>
      <c r="K253" s="112" t="n">
        <v>45793</v>
      </c>
      <c r="L253" s="39" t="n"/>
      <c r="M253" s="39" t="n">
        <v>3155721928</v>
      </c>
      <c r="N253" s="39" t="inlineStr">
        <is>
          <t>Juan Ignacio Álvarez</t>
        </is>
      </c>
      <c r="O253" s="116" t="n"/>
    </row>
    <row r="254" hidden="1">
      <c r="A254" s="108" t="n"/>
      <c r="B254" s="39" t="n">
        <v>243</v>
      </c>
      <c r="C254" s="278" t="inlineStr">
        <is>
          <t>COTIZACION DE LOS DISEÑOS DE SEGURIDAD HUMANA Y PROTECCIÓN CONTRA INCENDIOS - BODEGA SARKU JAPAN</t>
        </is>
      </c>
      <c r="I254" s="39" t="inlineStr">
        <is>
          <t>Francorp SA</t>
        </is>
      </c>
      <c r="J254" s="336" t="n">
        <v>13950000</v>
      </c>
      <c r="K254" s="112" t="n">
        <v>45792</v>
      </c>
      <c r="L254" s="39" t="n"/>
      <c r="M254" s="39" t="n">
        <v>3157835484</v>
      </c>
      <c r="N254" s="39" t="inlineStr">
        <is>
          <t>Andrés Jimeno</t>
        </is>
      </c>
      <c r="O254" s="116" t="n"/>
    </row>
    <row r="255" hidden="1">
      <c r="A255" s="108" t="n"/>
      <c r="B255" s="39" t="n">
        <v>244</v>
      </c>
      <c r="C255" s="278" t="inlineStr">
        <is>
          <t>COTIZACION DE LOS DISEÑOS DE SEGURIDAD HUMANA Y EXTINCIÓN DE INCENDIOS - CC SAN NICOLAS</t>
        </is>
      </c>
      <c r="I255" s="39" t="inlineStr">
        <is>
          <t>Londoño Gomez</t>
        </is>
      </c>
      <c r="J255" s="336" t="n">
        <v>13250000</v>
      </c>
      <c r="K255" s="112" t="n">
        <v>45793</v>
      </c>
      <c r="L255" s="39" t="n"/>
      <c r="M255" s="170" t="inlineStr">
        <is>
          <t>3111770 ext 455</t>
        </is>
      </c>
      <c r="N255" s="170" t="inlineStr">
        <is>
          <t>Lina M Saldarriaga</t>
        </is>
      </c>
      <c r="O255" s="52" t="inlineStr">
        <is>
          <t>lsaldarriaga@interlg.com</t>
        </is>
      </c>
    </row>
    <row r="256" hidden="1">
      <c r="A256" s="108" t="n"/>
      <c r="B256" s="39" t="n">
        <v>245</v>
      </c>
      <c r="C256" s="278" t="inlineStr">
        <is>
          <t>COTIZACION DE LOS DISEÑOS DE SEGURIDAD HUMANA Y PROTECCIÓN CONTRA INCENDIOS - BODEGAS ENRUTA</t>
        </is>
      </c>
      <c r="I256" s="39" t="inlineStr">
        <is>
          <t>G4 Proyectos Inmobiliarios</t>
        </is>
      </c>
      <c r="J256" s="336" t="n">
        <v>29980000</v>
      </c>
      <c r="K256" s="112" t="n">
        <v>45800</v>
      </c>
      <c r="L256" s="39" t="n"/>
      <c r="M256" s="39" t="n">
        <v>3052501777</v>
      </c>
      <c r="N256" s="39" t="inlineStr">
        <is>
          <t>Steven Maya</t>
        </is>
      </c>
      <c r="O256" s="52" t="inlineStr">
        <is>
          <t>coordinadorproyectos1@g4ingenieros.com</t>
        </is>
      </c>
    </row>
    <row r="257" hidden="1">
      <c r="A257" s="108" t="n"/>
      <c r="B257" s="39" t="n">
        <v>246</v>
      </c>
      <c r="C257" s="278" t="inlineStr">
        <is>
          <t>COTIZACION DE LOS DISEÑOS DE PROTECCIÓN CONTRA INCENDIOS - SCO CAVA</t>
        </is>
      </c>
      <c r="I257" s="39" t="inlineStr">
        <is>
          <t xml:space="preserve">Fire Protection Solutions Group </t>
        </is>
      </c>
      <c r="J257" s="336" t="n">
        <v>11250000</v>
      </c>
      <c r="K257" s="112" t="n">
        <v>45797</v>
      </c>
      <c r="L257" s="39" t="n"/>
      <c r="M257" s="39" t="n">
        <v>3108227462</v>
      </c>
      <c r="N257" s="39" t="inlineStr">
        <is>
          <t>Alvaro Manosalva</t>
        </is>
      </c>
      <c r="O257" s="116" t="inlineStr">
        <is>
          <t>alvaromanosalva@sfiregroup.com</t>
        </is>
      </c>
    </row>
    <row r="258" hidden="1">
      <c r="A258" s="108" t="n"/>
      <c r="B258" s="39" t="n">
        <v>247</v>
      </c>
      <c r="C258" s="278" t="inlineStr">
        <is>
          <t>COTIZACION DE LOS DISEÑOS DE SEGURIDAD HUMANA Y PROTECCIÓN CONTRA INCENDIOS - PINOT</t>
        </is>
      </c>
      <c r="I258" s="39" t="inlineStr">
        <is>
          <t>Arquitectura y Concreto</t>
        </is>
      </c>
      <c r="J258" s="336" t="n">
        <v>39500000</v>
      </c>
      <c r="K258" s="112" t="n">
        <v>45797</v>
      </c>
      <c r="L258" s="39" t="n"/>
      <c r="M258" s="39" t="n"/>
      <c r="N258" s="39" t="inlineStr">
        <is>
          <t>Sebastián Ochoa</t>
        </is>
      </c>
      <c r="O258" s="116" t="n"/>
    </row>
    <row r="259" hidden="1">
      <c r="A259" s="108" t="n"/>
      <c r="B259" s="39" t="n">
        <v>248</v>
      </c>
      <c r="C259" s="278" t="inlineStr">
        <is>
          <t>COTIZACION DE LOS DISEÑOS DE PROTECCIÓN CONTRA INCENDIOS - CENTRO TECNOLOGICO DEL MOBILIARIO</t>
        </is>
      </c>
      <c r="I259" s="39" t="inlineStr">
        <is>
          <t>Fire &amp; Equipos</t>
        </is>
      </c>
      <c r="J259" s="336" t="inlineStr">
        <is>
          <t>Variable</t>
        </is>
      </c>
      <c r="K259" s="112" t="n">
        <v>45797</v>
      </c>
      <c r="L259" s="39" t="n"/>
      <c r="M259" s="39" t="n"/>
      <c r="N259" s="39" t="inlineStr">
        <is>
          <t>Juan Jose</t>
        </is>
      </c>
      <c r="O259" s="116" t="n"/>
    </row>
    <row r="260" hidden="1">
      <c r="A260" s="108" t="n"/>
      <c r="B260" s="39" t="n">
        <v>249</v>
      </c>
      <c r="C260" s="278" t="inlineStr">
        <is>
          <t>COTIZACION DEL DISEÑO DE EXTINCIÓN DE INCENDIOS - ALKOMPRAR</t>
        </is>
      </c>
      <c r="I260" s="39" t="inlineStr">
        <is>
          <t>Corbeta</t>
        </is>
      </c>
      <c r="J260" s="336" t="n">
        <v>5650000</v>
      </c>
      <c r="K260" s="112" t="n">
        <v>45798</v>
      </c>
      <c r="L260" s="39" t="n"/>
      <c r="M260" s="39" t="n">
        <v>3185743659</v>
      </c>
      <c r="N260" s="39" t="inlineStr">
        <is>
          <t>Ramon Garcia</t>
        </is>
      </c>
      <c r="O260" s="52" t="inlineStr">
        <is>
          <t>Ramon.Garcia@corbeta.com.co</t>
        </is>
      </c>
    </row>
    <row r="261" hidden="1">
      <c r="A261" s="108" t="n"/>
      <c r="B261" s="39" t="n">
        <v>250</v>
      </c>
      <c r="C261" s="278" t="inlineStr">
        <is>
          <t>COTIZACION DEL DISEÑO DE EXTINCIÓN DE INCENDIOS - DERMATOLOGICA</t>
        </is>
      </c>
      <c r="I261" s="39" t="inlineStr">
        <is>
          <t>SPCI</t>
        </is>
      </c>
      <c r="J261" s="336" t="n">
        <v>1600000</v>
      </c>
      <c r="K261" s="112" t="n">
        <v>45798</v>
      </c>
      <c r="L261" s="39" t="n"/>
      <c r="M261" s="39" t="n">
        <v>3104165783</v>
      </c>
      <c r="N261" s="39" t="inlineStr">
        <is>
          <t>Cristiam Gustavo Mondragon</t>
        </is>
      </c>
      <c r="O261" s="116" t="inlineStr">
        <is>
          <t>dir.tecnico@spci.com.co</t>
        </is>
      </c>
    </row>
    <row r="262" hidden="1">
      <c r="A262" s="108" t="n"/>
      <c r="B262" s="39" t="n">
        <v>251</v>
      </c>
      <c r="C262" s="278" t="inlineStr">
        <is>
          <t>COTIZACION DE LOS DISEÑOS DE SEGURIDAD HUMANA Y PROTECCIÓN CONTRA INCENDIOS - BODEGA SARKU JAPAN</t>
        </is>
      </c>
      <c r="I262" s="39" t="inlineStr">
        <is>
          <t>Securetec</t>
        </is>
      </c>
      <c r="J262" s="336" t="n">
        <v>12555000</v>
      </c>
      <c r="K262" s="112" t="n">
        <v>45798</v>
      </c>
      <c r="L262" s="39" t="n"/>
      <c r="M262" s="39" t="n">
        <v>3206678830</v>
      </c>
      <c r="N262" s="39" t="inlineStr">
        <is>
          <t>Jhonny A. Castro</t>
        </is>
      </c>
      <c r="O262" s="116" t="inlineStr">
        <is>
          <t>dirproyectos@securetec.com.co</t>
        </is>
      </c>
    </row>
    <row r="263" hidden="1">
      <c r="A263" s="108" t="n"/>
      <c r="B263" s="39" t="n">
        <v>252</v>
      </c>
      <c r="C263" s="278" t="inlineStr">
        <is>
          <t>COTIZACION DEL DISEÑO DE DETECCIÓN DE INCENDIOS - PLANTA PPG</t>
        </is>
      </c>
      <c r="I263" s="39" t="inlineStr">
        <is>
          <t>Ingesed</t>
        </is>
      </c>
      <c r="J263" s="336" t="inlineStr">
        <is>
          <t>Variable</t>
        </is>
      </c>
      <c r="K263" s="112" t="n">
        <v>45798</v>
      </c>
      <c r="L263" s="39" t="n"/>
      <c r="M263" s="39" t="n">
        <v>3135401714</v>
      </c>
      <c r="N263" s="39" t="inlineStr">
        <is>
          <t>Eliana Isabel Cardona Ríos</t>
        </is>
      </c>
      <c r="O263" s="116" t="inlineStr">
        <is>
          <t>comercial@ingesed.com</t>
        </is>
      </c>
    </row>
    <row r="264" hidden="1">
      <c r="A264" s="108" t="n"/>
      <c r="B264" s="39" t="n">
        <v>253</v>
      </c>
      <c r="C264" s="278" t="inlineStr">
        <is>
          <t>COTIZACION DE LOS DISEÑOS DE SEGURIDAD HUMANA Y PROTECCIÓN CONTRA INCENDIOS - COMERCIO SELECTO</t>
        </is>
      </c>
      <c r="I264" s="39" t="inlineStr">
        <is>
          <t>Vertice</t>
        </is>
      </c>
      <c r="J264" s="336" t="n">
        <v>72810000</v>
      </c>
      <c r="K264" s="112" t="n">
        <v>45799</v>
      </c>
      <c r="L264" s="39" t="n"/>
      <c r="M264" s="170" t="inlineStr">
        <is>
          <t xml:space="preserve">(604) 4486800 Ext. 138 </t>
        </is>
      </c>
      <c r="N264" s="170" t="inlineStr">
        <is>
          <t xml:space="preserve">Esteban Ramirez </t>
        </is>
      </c>
      <c r="O264" s="52" t="inlineStr">
        <is>
          <t>e.ramirez@verticeing.com</t>
        </is>
      </c>
    </row>
    <row r="265" hidden="1" ht="15" customHeight="1">
      <c r="A265" s="108" t="n"/>
      <c r="B265" s="39" t="n">
        <v>254</v>
      </c>
      <c r="C265" s="278" t="inlineStr">
        <is>
          <t xml:space="preserve">COTIZACION DEL ANÁLISIS DE SEGURIDAD HUMANA PARA EL PROYECTO BODEGA HA BICICLETAS
</t>
        </is>
      </c>
      <c r="I265" s="39" t="inlineStr">
        <is>
          <t>CONCONCRETO</t>
        </is>
      </c>
      <c r="J265" s="314" t="n">
        <v>1500000</v>
      </c>
      <c r="K265" s="112" t="n">
        <v>45799</v>
      </c>
      <c r="L265" s="2" t="n"/>
      <c r="M265" s="170" t="n">
        <v>3003404902</v>
      </c>
      <c r="N265" s="102" t="inlineStr">
        <is>
          <t>Pilar Arango Restrepo</t>
        </is>
      </c>
      <c r="O265" s="52" t="inlineStr">
        <is>
          <t xml:space="preserve">parangor@conconcreto.com </t>
        </is>
      </c>
      <c r="P265" s="52" t="n"/>
    </row>
    <row r="266" hidden="1">
      <c r="A266" s="108" t="n"/>
      <c r="B266" s="39" t="n">
        <v>255</v>
      </c>
      <c r="C266" s="278" t="inlineStr">
        <is>
          <t>COTIZACION DE LOS DISEÑOS DE SEGURIDAD HUMANA Y PROTECCIÓN CONTRA INCENDIOS - UNO</t>
        </is>
      </c>
      <c r="I266" s="39" t="inlineStr">
        <is>
          <t>Link inmobiliario</t>
        </is>
      </c>
      <c r="J266" s="336" t="n">
        <v>39350000</v>
      </c>
      <c r="K266" s="112" t="n">
        <v>45799</v>
      </c>
      <c r="L266" s="39" t="n"/>
      <c r="M266" s="39" t="n">
        <v>3013972964</v>
      </c>
      <c r="N266" s="39" t="inlineStr">
        <is>
          <t xml:space="preserve"> Esteban Jaramillo Jiménez</t>
        </is>
      </c>
      <c r="O266" s="52" t="inlineStr">
        <is>
          <t>esteban.jaramillo@link-inmobiliario.com</t>
        </is>
      </c>
    </row>
    <row r="267" hidden="1" ht="15" customHeight="1">
      <c r="A267" s="108" t="n"/>
      <c r="B267" s="39" t="n">
        <v>256</v>
      </c>
      <c r="C267" s="278" t="inlineStr">
        <is>
          <t>COTIZACION DEL ANÁLISIS DE SEGURIDAD HUMANA - ALLEGRO</t>
        </is>
      </c>
      <c r="I267" s="39" t="inlineStr">
        <is>
          <t>Mensula</t>
        </is>
      </c>
      <c r="J267" s="336" t="n">
        <v>2950000</v>
      </c>
      <c r="K267" s="112" t="n">
        <v>45800</v>
      </c>
      <c r="L267" s="39" t="n"/>
      <c r="M267" s="39" t="n"/>
      <c r="N267" s="39" t="inlineStr">
        <is>
          <t>Alejandro Giraldo Ospina</t>
        </is>
      </c>
      <c r="O267" s="52" t="inlineStr">
        <is>
          <t>alejandrogiraldo@mensulaingenieros.com</t>
        </is>
      </c>
    </row>
    <row r="268" hidden="1">
      <c r="A268" s="108" t="n"/>
      <c r="B268" s="39" t="n">
        <v>257</v>
      </c>
      <c r="C268" s="278" t="inlineStr">
        <is>
          <t>COTIZACION DEL ANÁLISIS DE SEGURIDAD HUMANA - DISTRITO VERA</t>
        </is>
      </c>
      <c r="I268" s="39" t="inlineStr">
        <is>
          <t>Fire Marshal</t>
        </is>
      </c>
      <c r="J268" s="336" t="n">
        <v>1800000</v>
      </c>
      <c r="K268" s="112" t="n">
        <v>45803</v>
      </c>
      <c r="L268" s="39" t="n"/>
      <c r="M268" s="39" t="n"/>
      <c r="N268" s="39" t="inlineStr">
        <is>
          <t xml:space="preserve"> José Ignacio Henao</t>
        </is>
      </c>
      <c r="O268" s="52" t="inlineStr">
        <is>
          <t>josehenao@firemarshal.com.co</t>
        </is>
      </c>
    </row>
    <row r="269" hidden="1">
      <c r="A269" s="108" t="n"/>
      <c r="B269" s="39" t="n">
        <v>258</v>
      </c>
      <c r="C269" s="278" t="inlineStr">
        <is>
          <t>COTIZACION DE LOS DISEÑOS DE SEGURIDAD HUMANA Y PROTECCIÓN CONTRA INCENDIOS - SIMULADOR AERONÁUTICO</t>
        </is>
      </c>
      <c r="I269" s="39" t="inlineStr">
        <is>
          <t>Panamerican training center</t>
        </is>
      </c>
      <c r="J269" s="336" t="n">
        <v>16300000</v>
      </c>
      <c r="K269" s="112" t="n">
        <v>45803</v>
      </c>
      <c r="L269" s="39" t="n"/>
      <c r="M269" s="39" t="n">
        <v>3213811009</v>
      </c>
      <c r="N269" s="39" t="inlineStr">
        <is>
          <t>Camilo Ovalle</t>
        </is>
      </c>
      <c r="O269" s="116" t="n"/>
    </row>
    <row r="270" hidden="1">
      <c r="A270" s="108" t="n"/>
      <c r="B270" s="39" t="n">
        <v>259</v>
      </c>
      <c r="C270" s="278" t="inlineStr">
        <is>
          <t>COTIZACION DE LOS DISEÑOS DE SEGURIDAD HUMANA Y PROTECCIÓN CONTRA INCENDIOS - BELAVÍ</t>
        </is>
      </c>
      <c r="I270" s="128" t="inlineStr">
        <is>
          <t>CONTEX</t>
        </is>
      </c>
      <c r="J270" s="339" t="n">
        <v>14950000</v>
      </c>
      <c r="K270" s="112" t="n">
        <v>45803</v>
      </c>
      <c r="N270" s="128" t="inlineStr">
        <is>
          <t xml:space="preserve"> Andrés Sánchez</t>
        </is>
      </c>
    </row>
    <row r="271" hidden="1">
      <c r="A271" s="108" t="n"/>
      <c r="B271" s="39" t="n">
        <v>260</v>
      </c>
      <c r="C271" s="278" t="inlineStr">
        <is>
          <t>COTIZACION DE LOS DISEÑOS DE PROTECCIÓN CONTRA INCENDIOS - BODEGA LABORATORIO</t>
        </is>
      </c>
      <c r="I271" s="39" t="inlineStr">
        <is>
          <t>Diseños y montajes redes detección y extinción</t>
        </is>
      </c>
      <c r="J271" s="336">
        <f>12540000+6270000</f>
        <v/>
      </c>
      <c r="K271" s="112" t="n">
        <v>45803</v>
      </c>
      <c r="L271" s="39" t="n"/>
      <c r="M271" s="39" t="inlineStr">
        <is>
          <t>313 7131497</t>
        </is>
      </c>
      <c r="N271" s="39" t="inlineStr">
        <is>
          <t>Héctor Emilio Zuluaga Zuluaga</t>
        </is>
      </c>
      <c r="O271" s="52" t="inlineStr">
        <is>
          <t>dycrci94@gmail.com</t>
        </is>
      </c>
    </row>
    <row r="272" hidden="1">
      <c r="A272" s="108" t="n"/>
      <c r="B272" s="39" t="n">
        <v>261</v>
      </c>
      <c r="C272" s="278" t="inlineStr">
        <is>
          <t>COTIZACION DE LOS DISEÑOS DE PROTECCIÓN CONTRA INCENDIOS - LOCAL 224</t>
        </is>
      </c>
      <c r="I272" s="39" t="inlineStr">
        <is>
          <t>SPCI</t>
        </is>
      </c>
      <c r="J272" s="336" t="n">
        <v>2250000</v>
      </c>
      <c r="K272" s="112" t="n">
        <v>45803</v>
      </c>
      <c r="L272" s="39" t="n"/>
      <c r="M272" s="39" t="n">
        <v>3104165783</v>
      </c>
      <c r="N272" s="39" t="inlineStr">
        <is>
          <t>Cristiam Gustavo Mondragon</t>
        </is>
      </c>
      <c r="O272" s="116" t="inlineStr">
        <is>
          <t>dir.tecnico@spci.com.co</t>
        </is>
      </c>
    </row>
    <row r="273" hidden="1">
      <c r="A273" s="108" t="n"/>
      <c r="B273" s="39" t="n">
        <v>262</v>
      </c>
      <c r="C273" s="278" t="inlineStr">
        <is>
          <t>COTIZACION DEL DISEÑO DE EXTINCIÓN DE INCENDIOS - PB SAN NICOLÁS</t>
        </is>
      </c>
      <c r="I273" s="39" t="inlineStr">
        <is>
          <t>Constructivamente</t>
        </is>
      </c>
      <c r="J273" s="336">
        <f>3781730/1.19</f>
        <v/>
      </c>
      <c r="K273" s="112" t="n">
        <v>45803</v>
      </c>
      <c r="L273" s="39" t="n"/>
      <c r="M273" s="39" t="inlineStr">
        <is>
          <t>315 2696207</t>
        </is>
      </c>
      <c r="N273" s="39" t="inlineStr">
        <is>
          <t>Francisco Cardona</t>
        </is>
      </c>
      <c r="O273" s="52" t="inlineStr">
        <is>
          <t>fcardona@constructivamente.com</t>
        </is>
      </c>
    </row>
    <row r="274" hidden="1">
      <c r="A274" s="108" t="n"/>
      <c r="B274" s="39" t="n">
        <v>263</v>
      </c>
      <c r="C274" s="278" t="inlineStr">
        <is>
          <t>COTIZACION DE LOS DISEÑOS DE SEGURIDAD HUMANA Y PROTECCIÓN CONTRA INCENDIOS - SELECTO ICATU</t>
        </is>
      </c>
      <c r="I274" s="39" t="inlineStr">
        <is>
          <t>Constructora Altos de la Abadia</t>
        </is>
      </c>
      <c r="J274" s="336" t="n">
        <v>28980000</v>
      </c>
      <c r="K274" s="112" t="n">
        <v>45804</v>
      </c>
      <c r="L274" s="39" t="n"/>
      <c r="M274" s="39" t="inlineStr">
        <is>
          <t xml:space="preserve">(604) 4486800 Ext. 138 </t>
        </is>
      </c>
      <c r="N274" s="39" t="inlineStr">
        <is>
          <t>Esteban Ramírez Pineda</t>
        </is>
      </c>
      <c r="O274" s="116" t="inlineStr">
        <is>
          <t xml:space="preserve">e.ramirez@altosdelaabadia.com  
</t>
        </is>
      </c>
    </row>
    <row r="275" hidden="1" ht="15" customHeight="1">
      <c r="A275" s="108" t="n"/>
      <c r="B275" s="39" t="n">
        <v>264</v>
      </c>
      <c r="C275" s="278" t="inlineStr">
        <is>
          <t>COTIZACION DE LOS DISEÑOS DE PROTECCIÓN CONTRA INCENDIOS - CAVA ICESTAR</t>
        </is>
      </c>
      <c r="I275" s="39" t="inlineStr">
        <is>
          <t>IngenioBIM</t>
        </is>
      </c>
      <c r="J275" s="336" t="n">
        <v>29630000</v>
      </c>
      <c r="K275" s="112" t="n">
        <v>45804</v>
      </c>
      <c r="L275" s="39" t="n"/>
      <c r="M275" s="39" t="n">
        <v>3225434521</v>
      </c>
      <c r="N275" s="39" t="inlineStr">
        <is>
          <t>Lereyis Joana Quezada Rojas</t>
        </is>
      </c>
      <c r="O275" s="52" t="inlineStr">
        <is>
          <t>info@ingeniobim.co</t>
        </is>
      </c>
    </row>
    <row r="276" hidden="1">
      <c r="A276" s="108" t="n"/>
      <c r="B276" s="39" t="n">
        <v>265</v>
      </c>
      <c r="C276" s="278" t="inlineStr">
        <is>
          <t>COTIZACION DE LOS DISEÑOS DE SEGURIDAD HUMANA Y PROTECCIÓN CONTRA INCENDIOS - EDIFICIO MAGNOLIA</t>
        </is>
      </c>
      <c r="I276" s="39" t="inlineStr">
        <is>
          <t>Ingesed</t>
        </is>
      </c>
      <c r="J276" s="336" t="n">
        <v>9410000</v>
      </c>
      <c r="K276" s="112" t="n">
        <v>45804</v>
      </c>
      <c r="L276" s="39" t="n"/>
      <c r="M276" s="39" t="n">
        <v>3008643382</v>
      </c>
      <c r="N276" s="39" t="inlineStr">
        <is>
          <t>Catalina Penagos</t>
        </is>
      </c>
      <c r="O276" s="52" t="inlineStr">
        <is>
          <t>Acomercialingesed@gmail.com</t>
        </is>
      </c>
    </row>
    <row r="277" hidden="1">
      <c r="A277" s="108" t="n"/>
      <c r="B277" s="39" t="n">
        <v>266</v>
      </c>
      <c r="C277" s="278" t="inlineStr">
        <is>
          <t>COTIZACION DE LOS DISEÑOS DE SEGURIDAD HUMANA Y PROTECCIÓN CONTRA INCENDIOS - NATIVO</t>
        </is>
      </c>
      <c r="I277" s="39" t="inlineStr">
        <is>
          <t>Constructora San Miguel</t>
        </is>
      </c>
      <c r="J277" s="336" t="n">
        <v>17560000</v>
      </c>
      <c r="K277" s="112" t="n">
        <v>45804</v>
      </c>
      <c r="L277" s="39" t="n"/>
      <c r="M277" s="39" t="n">
        <v>3163404731</v>
      </c>
      <c r="N277" s="39" t="inlineStr">
        <is>
          <t>Nelson Garcia</t>
        </is>
      </c>
      <c r="O277" s="116" t="n"/>
    </row>
    <row r="278" hidden="1">
      <c r="A278" s="108" t="n"/>
      <c r="B278" s="39" t="n">
        <v>267</v>
      </c>
      <c r="C278" s="278" t="inlineStr">
        <is>
          <t>COTIZACION DEL ANÁLISIS DE SEGURIDAD HUMANA - HOTEL CORNELIA</t>
        </is>
      </c>
      <c r="I278" s="39" t="inlineStr">
        <is>
          <t>Maria Elena Caro</t>
        </is>
      </c>
      <c r="J278" s="336" t="n">
        <v>6050000</v>
      </c>
      <c r="K278" s="112" t="n">
        <v>45804</v>
      </c>
      <c r="L278" s="39" t="n"/>
      <c r="M278" s="39" t="inlineStr">
        <is>
          <t>321 6160437</t>
        </is>
      </c>
      <c r="N278" s="39" t="inlineStr">
        <is>
          <t>Maria Elena Caro</t>
        </is>
      </c>
      <c r="O278" s="116" t="n"/>
    </row>
    <row r="279" hidden="1">
      <c r="A279" s="108" t="n"/>
      <c r="B279" s="39" t="n">
        <v>268</v>
      </c>
      <c r="C279" s="278" t="inlineStr">
        <is>
          <t>COTIZACION DEL DISEÑO DE EXTINCIÓN DE INCENDIOS - COLOMBO AMERICANO</t>
        </is>
      </c>
      <c r="I279" s="39" t="inlineStr">
        <is>
          <t>Securetec</t>
        </is>
      </c>
      <c r="J279" s="336" t="n">
        <v>6250000</v>
      </c>
      <c r="K279" s="112" t="n">
        <v>45804</v>
      </c>
      <c r="L279" s="39" t="n"/>
      <c r="M279" s="39" t="n">
        <v>3014111727</v>
      </c>
      <c r="N279" s="39" t="inlineStr">
        <is>
          <t>Julian David Camacho</t>
        </is>
      </c>
      <c r="O279" s="116" t="inlineStr">
        <is>
          <t>ascomercial2@securetec.com.co</t>
        </is>
      </c>
    </row>
    <row r="280" hidden="1">
      <c r="A280" s="108" t="n"/>
      <c r="B280" s="39" t="n">
        <v>269</v>
      </c>
      <c r="C280" s="278" t="inlineStr">
        <is>
          <t>COTIZACION REVISIÓN DE DISEÑOS - PROYECTO EL VERGEL T4</t>
        </is>
      </c>
      <c r="I280" s="39" t="inlineStr">
        <is>
          <t>Arquitectura y Concreto</t>
        </is>
      </c>
      <c r="J280" s="336" t="n">
        <v>7550000</v>
      </c>
      <c r="K280" s="112" t="n">
        <v>45805</v>
      </c>
      <c r="L280" s="39" t="n"/>
      <c r="M280" s="39" t="n"/>
      <c r="N280" s="39" t="inlineStr">
        <is>
          <t>Sebastián Ochoa</t>
        </is>
      </c>
      <c r="O280" s="116" t="n"/>
    </row>
    <row r="281" hidden="1">
      <c r="A281" s="108" t="n"/>
      <c r="B281" s="39" t="n">
        <v>270</v>
      </c>
      <c r="C281" s="278" t="inlineStr">
        <is>
          <t>COTIZACION DE LOS DISEÑOS DE PROTECCIÓN CONTRA INCENDIOS - ACCANTO</t>
        </is>
      </c>
      <c r="I281" s="39" t="inlineStr">
        <is>
          <t>Ingesed</t>
        </is>
      </c>
      <c r="J281" s="336" t="n">
        <v>13800000</v>
      </c>
      <c r="K281" s="112" t="n">
        <v>45805</v>
      </c>
      <c r="L281" s="39" t="n"/>
      <c r="M281" s="39" t="n">
        <v>3014201614</v>
      </c>
      <c r="N281" s="39" t="inlineStr">
        <is>
          <t>Jhon Rodriguez</t>
        </is>
      </c>
      <c r="O281" s="116" t="inlineStr">
        <is>
          <t xml:space="preserve">jrodriguez@ingesed.com </t>
        </is>
      </c>
    </row>
    <row r="282" hidden="1">
      <c r="A282" s="108" t="n"/>
      <c r="B282" s="39" t="n">
        <v>271</v>
      </c>
      <c r="C282" s="278" t="inlineStr">
        <is>
          <t>COTIZACION DE LOS DISEÑOS DE SEGURIDAD HUMANA Y PROTECCIÓN CONTRA INCENDIOS - SUIZA</t>
        </is>
      </c>
      <c r="I282" s="39" t="inlineStr">
        <is>
          <t>IAYC</t>
        </is>
      </c>
      <c r="J282" s="336" t="n">
        <v>55920000</v>
      </c>
      <c r="K282" s="112" t="n">
        <v>45806</v>
      </c>
      <c r="L282" s="39" t="n"/>
      <c r="M282" s="39" t="n">
        <v>3126536246</v>
      </c>
      <c r="N282" s="39" t="inlineStr">
        <is>
          <t>Jorge Andres Rojas Cadavid</t>
        </is>
      </c>
      <c r="O282" s="52" t="inlineStr">
        <is>
          <t>jorgerojas@iayc.co</t>
        </is>
      </c>
    </row>
    <row r="283" hidden="1">
      <c r="A283" s="108" t="n"/>
      <c r="B283" s="39" t="n">
        <v>272</v>
      </c>
      <c r="C283" s="278" t="inlineStr">
        <is>
          <t>COTIZACION DEL DISEÑO DE EXTINCIÓN DE INCENDIOS - PUNTO BLANCO SANTA FE</t>
        </is>
      </c>
      <c r="I283" s="39" t="inlineStr">
        <is>
          <t>NIVELUM</t>
        </is>
      </c>
      <c r="J283" s="336" t="n"/>
      <c r="K283" s="112" t="n">
        <v>45806</v>
      </c>
      <c r="L283" s="39" t="n"/>
      <c r="M283" s="39" t="inlineStr">
        <is>
          <t>321 5701452</t>
        </is>
      </c>
      <c r="N283" s="39" t="inlineStr">
        <is>
          <t>Esteban Rua</t>
        </is>
      </c>
      <c r="O283" s="116" t="n"/>
      <c r="P283" t="inlineStr">
        <is>
          <t>SOLICITADO POR DARLEY</t>
        </is>
      </c>
    </row>
    <row r="284" hidden="1">
      <c r="A284" s="108" t="n"/>
      <c r="B284" s="39" t="n">
        <v>273</v>
      </c>
      <c r="C284" s="278" t="inlineStr">
        <is>
          <t>COTIZACION DE LOS DISEÑOS DE SEGURIDAD HUMANA Y PROTECCIÓN CONTRA INCENDIOS - EL RETIRO</t>
        </is>
      </c>
      <c r="I284" s="39" t="inlineStr">
        <is>
          <t>IS Civiles</t>
        </is>
      </c>
      <c r="J284" s="336" t="n">
        <v>14950000</v>
      </c>
      <c r="K284" s="112" t="n">
        <v>45807</v>
      </c>
      <c r="L284" s="39" t="n"/>
      <c r="M284" s="39" t="n">
        <v>3143624300</v>
      </c>
      <c r="N284" s="39" t="inlineStr">
        <is>
          <t>Heder Álvarez Cardozo</t>
        </is>
      </c>
      <c r="O284" s="52" t="inlineStr">
        <is>
          <t>heder.cardozo@isciviles.com.co</t>
        </is>
      </c>
    </row>
    <row r="285" hidden="1">
      <c r="A285" s="108" t="n"/>
      <c r="B285" s="39" t="n">
        <v>274</v>
      </c>
      <c r="C285" s="278" t="inlineStr">
        <is>
          <t>COTIZACION DEL DISEÑO DE EXTINCIÓN DE INCENDIOS - BODEGA 106</t>
        </is>
      </c>
      <c r="I285" s="39" t="inlineStr">
        <is>
          <t>Ingesed</t>
        </is>
      </c>
      <c r="J285" s="336" t="n">
        <v>6270000</v>
      </c>
      <c r="K285" s="112" t="n">
        <v>45811</v>
      </c>
      <c r="L285" s="39" t="n"/>
      <c r="M285" s="39" t="inlineStr">
        <is>
          <t>321 8338189</t>
        </is>
      </c>
      <c r="N285" s="39" t="inlineStr">
        <is>
          <t>Laura Delgado</t>
        </is>
      </c>
      <c r="O285" s="116" t="inlineStr">
        <is>
          <t>operacionesingesed@gmail.com</t>
        </is>
      </c>
    </row>
    <row r="286" hidden="1" ht="15" customHeight="1">
      <c r="A286" s="108" t="n"/>
      <c r="B286" s="39" t="n">
        <v>275</v>
      </c>
      <c r="C286" s="278" t="inlineStr">
        <is>
          <t>COTIZACION DEL DISEÑO DE EXTINCIÓN DE INCENDIOS - TRACKMAN RANGE</t>
        </is>
      </c>
      <c r="I286" s="39" t="inlineStr">
        <is>
          <t>Hidro F Salinas</t>
        </is>
      </c>
      <c r="J286" s="336" t="inlineStr">
        <is>
          <t>No se presentó</t>
        </is>
      </c>
      <c r="K286" s="112" t="n">
        <v>45811</v>
      </c>
      <c r="L286" s="39" t="n"/>
      <c r="M286" s="39" t="n">
        <v>3104139821</v>
      </c>
      <c r="N286" s="39" t="inlineStr">
        <is>
          <t>Carolina Volkmar R.</t>
        </is>
      </c>
      <c r="O286" s="116" t="inlineStr">
        <is>
          <t>carolina@hidrofsalinas.com</t>
        </is>
      </c>
    </row>
    <row r="287" hidden="1" ht="15" customHeight="1">
      <c r="A287" s="108" t="n"/>
      <c r="B287" s="39" t="n">
        <v>276</v>
      </c>
      <c r="C287" s="278" t="inlineStr">
        <is>
          <t>COTIZACION DE LOS DISEÑOS DE PROTECCIÓN CONTRA INCENDIOS - SEDE TRÁNSITO LA CEJA</t>
        </is>
      </c>
      <c r="I287" s="39" t="inlineStr">
        <is>
          <t>Ingesed</t>
        </is>
      </c>
      <c r="J287" s="336" t="n">
        <v>8780000</v>
      </c>
      <c r="K287" s="112" t="n">
        <v>45811</v>
      </c>
      <c r="L287" s="39" t="n"/>
      <c r="M287" s="39" t="n">
        <v>3135401714</v>
      </c>
      <c r="N287" s="39" t="inlineStr">
        <is>
          <t>Eliana Isabel Cardona Ríos</t>
        </is>
      </c>
      <c r="O287" s="116" t="inlineStr">
        <is>
          <t>comercial@ingesed.com</t>
        </is>
      </c>
    </row>
    <row r="288" hidden="1" ht="15" customHeight="1">
      <c r="A288" s="108" t="n"/>
      <c r="B288" s="39" t="n">
        <v>277</v>
      </c>
      <c r="C288" s="278" t="inlineStr">
        <is>
          <t>COTIZACION REVISIÓN Y CONCEPTO SISTEMA DE BOMBEO RCI CLASS</t>
        </is>
      </c>
      <c r="I288" s="39" t="inlineStr">
        <is>
          <t>CH Arquitectos</t>
        </is>
      </c>
      <c r="J288" s="336" t="inlineStr">
        <is>
          <t>Variable</t>
        </is>
      </c>
      <c r="K288" s="112" t="n">
        <v>45811</v>
      </c>
      <c r="L288" s="39" t="n"/>
      <c r="M288" s="39" t="inlineStr">
        <is>
          <t>315 5062553</t>
        </is>
      </c>
      <c r="N288" s="39" t="inlineStr">
        <is>
          <t>Sergio Carmona</t>
        </is>
      </c>
      <c r="O288" s="116" t="inlineStr">
        <is>
          <t>scarmona@ains.com.co</t>
        </is>
      </c>
    </row>
    <row r="289" hidden="1" ht="15" customHeight="1">
      <c r="A289" s="108" t="n"/>
      <c r="B289" s="39" t="n">
        <v>278</v>
      </c>
      <c r="C289" s="278" t="inlineStr">
        <is>
          <t>COTIZACION DE LOS DISEÑOS DE SEGURIDAD HUMANA Y PROTECCIÓN CONTRA INCENDIOS - DISTRITO PLAZA T3</t>
        </is>
      </c>
      <c r="I289" s="39" t="inlineStr">
        <is>
          <t>Bienes y bienes</t>
        </is>
      </c>
      <c r="J289" s="336" t="n">
        <v>17950000</v>
      </c>
      <c r="K289" s="112" t="n">
        <v>45811</v>
      </c>
      <c r="L289" s="39" t="n"/>
      <c r="M289" s="39" t="n">
        <v>3207709978</v>
      </c>
      <c r="N289" s="39" t="inlineStr">
        <is>
          <t>Johner Alejandro Payares Arango</t>
        </is>
      </c>
      <c r="O289" s="116" t="inlineStr">
        <is>
          <t>johner.payares@bienesybienes.com.co</t>
        </is>
      </c>
    </row>
    <row r="290" hidden="1" ht="15" customHeight="1">
      <c r="A290" s="108" t="n"/>
      <c r="B290" s="39" t="n">
        <v>279</v>
      </c>
      <c r="C290" s="278" t="inlineStr">
        <is>
          <t>COTIZACION DEL ANÁLISIS DE SEGURIDAD HUMANA - MAGNOLIA</t>
        </is>
      </c>
      <c r="I290" s="39" t="inlineStr">
        <is>
          <t>Grupo Attia</t>
        </is>
      </c>
      <c r="J290" s="336" t="n">
        <v>2510000</v>
      </c>
      <c r="K290" s="112" t="n">
        <v>45811</v>
      </c>
      <c r="L290" s="39" t="n"/>
      <c r="M290" s="39" t="n"/>
      <c r="N290" s="39" t="inlineStr">
        <is>
          <t>Natalia Ruiz</t>
        </is>
      </c>
      <c r="O290" s="116" t="inlineStr">
        <is>
          <t>nruiz@grupoattia.com</t>
        </is>
      </c>
    </row>
    <row r="291" hidden="1">
      <c r="A291" s="108" t="n"/>
      <c r="B291" s="39" t="n">
        <v>280</v>
      </c>
      <c r="C291" s="278" t="inlineStr">
        <is>
          <t>COTIZACION DE LOS DISEÑOS DE PROTECCIÓN CONTRA INCENDIOS - DURMAN MADRID</t>
        </is>
      </c>
      <c r="I291" s="39" t="inlineStr">
        <is>
          <t>Aliaxis</t>
        </is>
      </c>
      <c r="J291" s="336" t="n"/>
      <c r="K291" s="112" t="n">
        <v>45812</v>
      </c>
      <c r="L291" s="39" t="n"/>
      <c r="M291" s="39" t="n">
        <v>3160240315</v>
      </c>
      <c r="N291" s="39" t="inlineStr">
        <is>
          <t>Raquel Zoraida Guzman Cruz</t>
        </is>
      </c>
      <c r="O291" s="116" t="inlineStr">
        <is>
          <t>raquel.guzman@aliaxis-la.com</t>
        </is>
      </c>
    </row>
    <row r="292" hidden="1">
      <c r="A292" s="108" t="n"/>
      <c r="B292" s="39" t="n">
        <v>281</v>
      </c>
      <c r="C292" s="278" t="inlineStr">
        <is>
          <t>COTIZACION DEL DISEÑO DE DETECCIÓN DE INCENDIOS - NEHEMIAS</t>
        </is>
      </c>
      <c r="I292" s="39" t="inlineStr">
        <is>
          <t>Ingesed</t>
        </is>
      </c>
      <c r="J292" s="336" t="n">
        <v>1950000</v>
      </c>
      <c r="K292" s="112" t="n">
        <v>45812</v>
      </c>
      <c r="L292" s="39" t="n"/>
      <c r="M292" s="39" t="n">
        <v>3014201614</v>
      </c>
      <c r="N292" s="39" t="inlineStr">
        <is>
          <t>Jhon A. Rodríguez Nieto</t>
        </is>
      </c>
      <c r="O292" s="116" t="inlineStr">
        <is>
          <t>jrodriguez@ingesed.com</t>
        </is>
      </c>
    </row>
    <row r="293" hidden="1">
      <c r="A293" s="108" t="n"/>
      <c r="B293" s="39" t="n">
        <v>282</v>
      </c>
      <c r="C293" s="278" t="inlineStr">
        <is>
          <t>COTIZACION DEL RE-DISEÑO DE DETECCIÓN DE INCENDIOS - COLDEPLAST Y MICROPLAST</t>
        </is>
      </c>
      <c r="I293" s="39" t="inlineStr">
        <is>
          <t>SERIINCO</t>
        </is>
      </c>
      <c r="J293" s="336" t="n">
        <v>2000000</v>
      </c>
      <c r="K293" s="112" t="n">
        <v>45813</v>
      </c>
      <c r="L293" s="39" t="n"/>
      <c r="M293" s="39" t="n">
        <v>3113391008</v>
      </c>
      <c r="N293" s="39" t="inlineStr">
        <is>
          <t>Carlos Henao</t>
        </is>
      </c>
      <c r="O293" s="116" t="inlineStr">
        <is>
          <t>carlos.henao@seriinco.com</t>
        </is>
      </c>
    </row>
    <row r="294" hidden="1">
      <c r="A294" s="108" t="n"/>
      <c r="B294" s="39" t="n">
        <v>283</v>
      </c>
      <c r="C294" s="278" t="inlineStr">
        <is>
          <t>COTIZACION DEL DISEÑO DE EXTINCIÓN DE INCENDIOS - FLORIDA CC</t>
        </is>
      </c>
      <c r="I294" s="39" t="inlineStr">
        <is>
          <t>Good group</t>
        </is>
      </c>
      <c r="J294" s="336" t="n">
        <v>2950000</v>
      </c>
      <c r="K294" s="112" t="n">
        <v>45813</v>
      </c>
      <c r="L294" s="39" t="n"/>
      <c r="M294" s="39" t="n">
        <v>3162963854</v>
      </c>
      <c r="N294" s="39" t="inlineStr">
        <is>
          <t>Deisy Duque</t>
        </is>
      </c>
      <c r="O294" s="116" t="inlineStr">
        <is>
          <t>operaciones@goodgroup.com.co</t>
        </is>
      </c>
    </row>
    <row r="295" hidden="1">
      <c r="A295" s="108" t="n"/>
      <c r="B295" s="39" t="n">
        <v>284</v>
      </c>
      <c r="C295" s="278" t="inlineStr">
        <is>
          <t>COTIZACION DE LOS DISEÑOS DE SEGURIDAD HUMANA Y PROTECCIÓN CONTRA INCENDIOS - FLA</t>
        </is>
      </c>
      <c r="I295" s="39" t="inlineStr">
        <is>
          <t>COINSI</t>
        </is>
      </c>
      <c r="J295" s="336" t="inlineStr">
        <is>
          <t>No se presentó</t>
        </is>
      </c>
      <c r="K295" s="112" t="n">
        <v>45813</v>
      </c>
      <c r="L295" s="39" t="n"/>
      <c r="M295" s="39" t="n">
        <v>3117208541</v>
      </c>
      <c r="N295" s="39" t="inlineStr">
        <is>
          <t>Sergio Rodriguez</t>
        </is>
      </c>
      <c r="O295" s="116" t="inlineStr">
        <is>
          <t>diseno4@gyd.com.co</t>
        </is>
      </c>
    </row>
    <row r="296" hidden="1" ht="15" customHeight="1">
      <c r="A296" s="108" t="n"/>
      <c r="B296" s="39" t="n">
        <v>285</v>
      </c>
      <c r="C296" s="278" t="inlineStr">
        <is>
          <t>COTIZACION DE LOS DISEÑOS DE PROTECCIÓN CONTRA INCENDIOS - RANCHO SANTANA</t>
        </is>
      </c>
      <c r="I296" s="39" t="inlineStr">
        <is>
          <t>Progressa</t>
        </is>
      </c>
      <c r="J296" s="336" t="n">
        <v>15950000</v>
      </c>
      <c r="K296" s="112" t="n">
        <v>45813</v>
      </c>
      <c r="L296" s="39" t="n"/>
      <c r="M296" s="39" t="n"/>
      <c r="N296" s="39" t="n"/>
      <c r="O296" s="116" t="n"/>
    </row>
    <row r="297" hidden="1">
      <c r="A297" s="108" t="n"/>
      <c r="B297" s="39" t="n">
        <v>286</v>
      </c>
      <c r="C297" s="278" t="inlineStr">
        <is>
          <t>COTIZACION DE LOS DISEÑOS DE SEGURIDAD HUMANA Y PROTECCIÓN CONTRA INCENDIOS - LOTE RIONEGRO</t>
        </is>
      </c>
      <c r="I297" s="39" t="inlineStr">
        <is>
          <t>Ingesed</t>
        </is>
      </c>
      <c r="J297" s="336" t="n">
        <v>18500000</v>
      </c>
      <c r="K297" s="112" t="n">
        <v>45817</v>
      </c>
      <c r="L297" s="39" t="n"/>
      <c r="M297" s="39" t="n">
        <v>3014201614</v>
      </c>
      <c r="N297" s="39" t="inlineStr">
        <is>
          <t>Jhon A. Rodríguez Nieto</t>
        </is>
      </c>
      <c r="O297" s="116" t="inlineStr">
        <is>
          <t>jrodriguez@ingesed.com</t>
        </is>
      </c>
    </row>
    <row r="298" hidden="1">
      <c r="A298" s="108" t="n"/>
      <c r="B298" s="39" t="n">
        <v>287</v>
      </c>
      <c r="C298" s="278" t="inlineStr">
        <is>
          <t>COTIZACION DEL ANÁLISIS DE SEGURIDAD HUMANA - KIWARA</t>
        </is>
      </c>
      <c r="I298" s="39" t="inlineStr">
        <is>
          <t>Grupo Valor</t>
        </is>
      </c>
      <c r="J298" s="336" t="n">
        <v>8750000</v>
      </c>
      <c r="K298" s="112" t="n">
        <v>45814</v>
      </c>
      <c r="L298" s="39" t="n"/>
      <c r="M298" s="39" t="n">
        <v>3054231775</v>
      </c>
      <c r="N298" s="39" t="inlineStr">
        <is>
          <t>Laura Valentina Bello Tovar</t>
        </is>
      </c>
      <c r="O298" s="116" t="inlineStr">
        <is>
          <t>arquitectura1@grupovalor.com.co</t>
        </is>
      </c>
    </row>
    <row r="299" hidden="1">
      <c r="A299" s="108" t="n"/>
      <c r="B299" s="39" t="n">
        <v>288</v>
      </c>
      <c r="C299" s="278" t="inlineStr">
        <is>
          <t>COTIZACION DE LOS DISEÑOS DE SEGURIDAD HUMANA Y PROTECCIÓN CONTRA INCENDIOS - ARMONIA DE LA FORTUNA</t>
        </is>
      </c>
      <c r="I299" s="39" t="inlineStr">
        <is>
          <t>Constructora Altos de la Abadia</t>
        </is>
      </c>
      <c r="J299" s="336" t="n">
        <v>19440000</v>
      </c>
      <c r="K299" s="112" t="n">
        <v>45818</v>
      </c>
      <c r="L299" s="39" t="n"/>
      <c r="M299" s="39" t="n">
        <v>3175180141</v>
      </c>
      <c r="N299" s="39" t="inlineStr">
        <is>
          <t>Esteban Ramírez Pineda</t>
        </is>
      </c>
      <c r="O299" s="116" t="inlineStr">
        <is>
          <t xml:space="preserve">e.ramirez@altosdelaabadia.com  </t>
        </is>
      </c>
    </row>
    <row r="300" hidden="1">
      <c r="A300" s="108" t="n"/>
      <c r="B300" s="39" t="n">
        <v>289</v>
      </c>
      <c r="C300" s="278" t="inlineStr">
        <is>
          <t>COTIZACION DE LOS DISEÑOS DE SEGURIDAD HUMANA Y PROTECCIÓN CONTRA INCENDIOS - COLEGIO URABÁ</t>
        </is>
      </c>
      <c r="I300" s="39" t="inlineStr">
        <is>
          <t>Londoño Gomez</t>
        </is>
      </c>
      <c r="J300" s="336" t="n">
        <v>5000000</v>
      </c>
      <c r="K300" s="112" t="n">
        <v>45818</v>
      </c>
      <c r="L300" s="39" t="n"/>
      <c r="M300" s="170" t="inlineStr">
        <is>
          <t>3111770 ext 177</t>
        </is>
      </c>
      <c r="N300" s="39" t="inlineStr">
        <is>
          <t>Juan Diego Echeverri</t>
        </is>
      </c>
      <c r="O300" s="116" t="inlineStr">
        <is>
          <t>jecheverri@londonogomez.com</t>
        </is>
      </c>
    </row>
    <row r="301" hidden="1">
      <c r="A301" s="108" t="n"/>
      <c r="B301" s="39" t="n">
        <v>290</v>
      </c>
      <c r="C301" s="278" t="inlineStr">
        <is>
          <t>COTIZACION DEL DISEÑO DE EXTINCIÓN DE INCENDIOS - SURATEX BODEGA</t>
        </is>
      </c>
      <c r="I301" s="39" t="inlineStr">
        <is>
          <t>Suratex</t>
        </is>
      </c>
      <c r="J301" s="336" t="n">
        <v>14950000</v>
      </c>
      <c r="K301" s="112" t="n">
        <v>45818</v>
      </c>
      <c r="L301" s="39" t="n"/>
      <c r="M301" s="39" t="n"/>
      <c r="N301" s="39" t="inlineStr">
        <is>
          <t xml:space="preserve"> Cristian Ortega Cardona</t>
        </is>
      </c>
      <c r="O301" s="116" t="inlineStr">
        <is>
          <t>mantenimiento@suratex.co</t>
        </is>
      </c>
    </row>
    <row r="302" hidden="1">
      <c r="A302" s="108" t="n"/>
      <c r="B302" s="39" t="n">
        <v>291</v>
      </c>
      <c r="C302" s="278" t="inlineStr">
        <is>
          <t>COTIZACION DEL ANÁLISIS DE SEGURIDAD HUMANA - PORTO ROSSO</t>
        </is>
      </c>
      <c r="I302" s="39" t="inlineStr">
        <is>
          <t>CONCONCRETO</t>
        </is>
      </c>
      <c r="J302" s="336" t="n">
        <v>9500000</v>
      </c>
      <c r="K302" s="112" t="n">
        <v>45818</v>
      </c>
      <c r="L302" s="39" t="n"/>
      <c r="M302" s="39" t="n">
        <v>3007354643</v>
      </c>
      <c r="N302" s="39" t="inlineStr">
        <is>
          <t>Olga Lucia Castañeda</t>
        </is>
      </c>
      <c r="O302" s="116" t="inlineStr">
        <is>
          <t>olcastaneda@conconcreto.com</t>
        </is>
      </c>
    </row>
    <row r="303" hidden="1">
      <c r="A303" s="108" t="n"/>
      <c r="B303" s="39" t="n">
        <v>292</v>
      </c>
      <c r="C303" s="278" t="inlineStr">
        <is>
          <t>COTIZACION DE LOS DISEÑOS DE VERIFICACION HIDRAULICA DEL SISTEMA DE EXTINCION DE INCENDIOS - ARMONIA DE LA FORTUNA</t>
        </is>
      </c>
      <c r="I303" s="39" t="inlineStr">
        <is>
          <t>Vertice</t>
        </is>
      </c>
      <c r="J303" s="336" t="n">
        <v>3900000</v>
      </c>
      <c r="K303" s="112" t="n">
        <v>45818</v>
      </c>
      <c r="L303" s="39" t="n"/>
      <c r="M303" s="39" t="n">
        <v>3175180141</v>
      </c>
      <c r="N303" s="39" t="n"/>
      <c r="O303" s="116" t="inlineStr">
        <is>
          <t xml:space="preserve">e.ramirez@altosdelaabadia.com  </t>
        </is>
      </c>
    </row>
    <row r="304" hidden="1">
      <c r="A304" s="108" t="n"/>
      <c r="B304" s="39" t="n">
        <v>293</v>
      </c>
      <c r="C304" s="278" t="inlineStr">
        <is>
          <t>COTIZACION DE LOS DISEÑOS DE SEGURIDAD HUMANA Y PROTECCIÓN CONTRA INCENDIOS - 4AC BODEGAS 1 Y 6</t>
        </is>
      </c>
      <c r="I304" s="39" t="inlineStr">
        <is>
          <t>SPCI</t>
        </is>
      </c>
      <c r="J304" s="336" t="n">
        <v>87800000</v>
      </c>
      <c r="K304" s="112" t="n">
        <v>45818</v>
      </c>
      <c r="L304" s="39" t="n"/>
      <c r="M304" s="39" t="n">
        <v>3104165783</v>
      </c>
      <c r="N304" s="39" t="inlineStr">
        <is>
          <t>Cristiam Gustavo Mondragon</t>
        </is>
      </c>
      <c r="O304" s="116" t="inlineStr">
        <is>
          <t>dir.tecnico@spci.com.co</t>
        </is>
      </c>
    </row>
    <row r="305" hidden="1">
      <c r="A305" s="108" t="n"/>
      <c r="B305" s="39" t="n">
        <v>294</v>
      </c>
      <c r="C305" s="278" t="inlineStr">
        <is>
          <t>COTIZACION DE LOS DISEÑOS DE SEGURIDAD HUMANA Y PROTECCIÓN CONTRA INCENDIOS - PROMENADE</t>
        </is>
      </c>
      <c r="I305" s="39" t="inlineStr">
        <is>
          <t>FCR</t>
        </is>
      </c>
      <c r="J305" s="336" t="n">
        <v>27950000</v>
      </c>
      <c r="K305" s="112" t="n">
        <v>45818</v>
      </c>
      <c r="L305" s="39" t="n"/>
      <c r="M305" s="39" t="n"/>
      <c r="N305" s="39" t="inlineStr">
        <is>
          <t>LUZ STELLA IBARRA ARCILA</t>
        </is>
      </c>
      <c r="O305" s="116" t="inlineStr">
        <is>
          <t>stellaibarra@gmail.com</t>
        </is>
      </c>
    </row>
    <row r="306" hidden="1">
      <c r="A306" s="108" t="n"/>
      <c r="B306" s="39" t="n">
        <v>295</v>
      </c>
      <c r="C306" s="278" t="inlineStr">
        <is>
          <t>COTIZACION DEL ANÁLISIS DE SEGURIDAD HUMANA - GIMNASIO MODERNO</t>
        </is>
      </c>
      <c r="I306" s="39" t="inlineStr">
        <is>
          <t>Doublec</t>
        </is>
      </c>
      <c r="J306" s="336" t="n">
        <v>29980000</v>
      </c>
      <c r="K306" s="112" t="n">
        <v>45819</v>
      </c>
      <c r="L306" s="39" t="n"/>
      <c r="M306" s="39" t="n">
        <v>3006563981</v>
      </c>
      <c r="N306" s="39" t="inlineStr">
        <is>
          <t>Martha Milena Hernández Marín</t>
        </is>
      </c>
      <c r="O306" s="116" t="inlineStr">
        <is>
          <t>mhernandezm@conconcreto.com</t>
        </is>
      </c>
    </row>
    <row r="307" hidden="1">
      <c r="A307" s="108" t="n"/>
      <c r="B307" s="39" t="n">
        <v>296</v>
      </c>
      <c r="C307" s="278" t="inlineStr">
        <is>
          <t>COTIZACION DEL DISEÑO DE EXTINCIÓN DE INCENDIOS - PLANTA DE PISO 4</t>
        </is>
      </c>
      <c r="I307" s="39" t="inlineStr">
        <is>
          <t>Intervé</t>
        </is>
      </c>
      <c r="J307" s="336" t="n">
        <v>5950000</v>
      </c>
      <c r="K307" s="112" t="n">
        <v>45819</v>
      </c>
      <c r="L307" s="39" t="n"/>
      <c r="M307" s="39" t="n"/>
      <c r="N307" s="39" t="inlineStr">
        <is>
          <t>Dario Antonio Saldarriaga Ramirez</t>
        </is>
      </c>
      <c r="O307" s="116" t="inlineStr">
        <is>
          <t>dsaldarriaga@interve.co</t>
        </is>
      </c>
    </row>
    <row r="308" hidden="1">
      <c r="A308" s="108" t="n"/>
      <c r="B308" s="39" t="n">
        <v>297</v>
      </c>
      <c r="C308" s="278" t="inlineStr">
        <is>
          <t>COTIZACION DE LOS DISEÑOS DE PROTECCIÓN CONTRA INCENDIOS - PCH PROVIDENCIA I</t>
        </is>
      </c>
      <c r="I308" s="39" t="inlineStr">
        <is>
          <t>Mineros</t>
        </is>
      </c>
      <c r="J308" s="336" t="n">
        <v>17950000</v>
      </c>
      <c r="K308" s="112" t="n">
        <v>45820</v>
      </c>
      <c r="L308" s="39" t="n"/>
      <c r="M308" s="39" t="inlineStr">
        <is>
          <t>604 266 57 57 Ext 4196</t>
        </is>
      </c>
      <c r="N308" s="39" t="inlineStr">
        <is>
          <t>Jhon Hefred Osorio Muneton</t>
        </is>
      </c>
      <c r="O308" s="116" t="inlineStr">
        <is>
          <t>jhon.osorio@mineros.com.co</t>
        </is>
      </c>
    </row>
    <row r="309" hidden="1">
      <c r="A309" s="108" t="n"/>
      <c r="B309" s="39" t="n">
        <v>298</v>
      </c>
      <c r="C309" s="278" t="inlineStr">
        <is>
          <t>COTIZACION DE LOS DISEÑOS DE SEGURIDAD HUMANA Y PROTECCIÓN CONTRA INCENDIOS - SAINT MORITZ</t>
        </is>
      </c>
      <c r="I309" s="39" t="inlineStr">
        <is>
          <t>Paycol</t>
        </is>
      </c>
      <c r="J309" s="336" t="n">
        <v>25000000</v>
      </c>
      <c r="K309" s="112" t="n">
        <v>45820</v>
      </c>
      <c r="L309" s="39" t="n"/>
      <c r="M309" s="39" t="n">
        <v>3183832571</v>
      </c>
      <c r="N309" s="39" t="inlineStr">
        <is>
          <t>Daniel Felipe Díaz Beltrán</t>
        </is>
      </c>
      <c r="O309" s="52" t="inlineStr">
        <is>
          <t>dfelipediaz@gmail.com</t>
        </is>
      </c>
    </row>
    <row r="310" hidden="1">
      <c r="A310" s="108" t="n"/>
      <c r="B310" s="39" t="n">
        <v>299</v>
      </c>
      <c r="C310" s="278" t="inlineStr">
        <is>
          <t>COTIZACION DEL ANÁLISIS DE SEGURIDAD HUMANA - RANCHO SANTANA</t>
        </is>
      </c>
      <c r="I310" s="39" t="inlineStr">
        <is>
          <t>Ingesed</t>
        </is>
      </c>
      <c r="J310" s="336" t="n">
        <v>6250000</v>
      </c>
      <c r="K310" s="112" t="n">
        <v>45827</v>
      </c>
      <c r="L310" s="39" t="n"/>
      <c r="M310" s="39" t="n">
        <v>3135401714</v>
      </c>
      <c r="N310" s="39" t="inlineStr">
        <is>
          <t>Eliana Isabel Cardona Ríos</t>
        </is>
      </c>
      <c r="O310" s="116" t="inlineStr">
        <is>
          <t>comercial@ingesed.com</t>
        </is>
      </c>
    </row>
    <row r="311" hidden="1">
      <c r="A311" s="108" t="n"/>
      <c r="B311" s="39" t="n">
        <v>300</v>
      </c>
      <c r="C311" s="278" t="inlineStr">
        <is>
          <t>COTIZACION DE LOS DISEÑOS DE SEGURIDAD HUMANA Y PROTECCIÓN CONTRA INCENDIOS - VAYUH COMERCIO</t>
        </is>
      </c>
      <c r="I311" s="39" t="inlineStr">
        <is>
          <t>CONTEX</t>
        </is>
      </c>
      <c r="J311" s="336" t="n">
        <v>19950000</v>
      </c>
      <c r="K311" s="112" t="n">
        <v>45820</v>
      </c>
      <c r="L311" s="39" t="n"/>
      <c r="M311" s="39" t="n">
        <v>3183484307</v>
      </c>
      <c r="N311" s="39" t="inlineStr">
        <is>
          <t>Daniel Ceballos</t>
        </is>
      </c>
      <c r="O311" s="52" t="inlineStr">
        <is>
          <t>eceballos@contex.com.co</t>
        </is>
      </c>
    </row>
    <row r="312" hidden="1">
      <c r="A312" s="108" t="n"/>
      <c r="B312" s="39" t="n">
        <v>301</v>
      </c>
      <c r="C312" s="278" t="inlineStr">
        <is>
          <t>COTIZACION DEL ANÁLISIS DE SEGURIDAD HUMANA PARA EL PROYECTO CAPS GUAJIRA (AREMASAIN, MINGUEO Y TOMARRAZON)</t>
        </is>
      </c>
      <c r="I312" s="39" t="inlineStr">
        <is>
          <t>Arquingenia</t>
        </is>
      </c>
      <c r="J312" s="336" t="n">
        <v>4950000</v>
      </c>
      <c r="K312" s="112" t="n">
        <v>45820</v>
      </c>
      <c r="L312" s="39" t="n"/>
      <c r="M312" s="39" t="inlineStr">
        <is>
          <t>311 3493285</t>
        </is>
      </c>
      <c r="N312" s="39" t="inlineStr">
        <is>
          <t>Edgardo Sanjuan</t>
        </is>
      </c>
      <c r="O312" s="116" t="n"/>
    </row>
    <row r="313" hidden="1" ht="15" customHeight="1">
      <c r="A313" s="108" t="n"/>
      <c r="B313" s="39" t="n">
        <v>302</v>
      </c>
      <c r="C313" s="278" t="inlineStr">
        <is>
          <t>COTIZACION DE LOS DISEÑOS DE SEGURIDAD HUMANA Y PROTECCIÓN CONTRA INCENDIOS - KOSMOS – PLATAFORMA T1 T2</t>
        </is>
      </c>
      <c r="I313" s="39" t="inlineStr">
        <is>
          <t>FCR</t>
        </is>
      </c>
      <c r="J313" s="336" t="n">
        <v>37900000</v>
      </c>
      <c r="K313" s="112" t="n">
        <v>45827</v>
      </c>
      <c r="L313" s="39" t="n"/>
      <c r="M313" s="39" t="n">
        <v>3014317086</v>
      </c>
      <c r="N313" s="39" t="inlineStr">
        <is>
          <t>Tamara Puerta</t>
        </is>
      </c>
      <c r="O313" s="116" t="inlineStr">
        <is>
          <t>fcrtamarapuerta@gmail.com</t>
        </is>
      </c>
    </row>
    <row r="314" hidden="1">
      <c r="A314" s="108" t="n"/>
      <c r="B314" s="39" t="n">
        <v>303</v>
      </c>
      <c r="C314" s="278" t="inlineStr">
        <is>
          <t>COTIZACION DE LOS DISEÑOS DE SEGURIDAD HUMANA Y PROTECCIÓN CONTRA INCENDIOS - CABO</t>
        </is>
      </c>
      <c r="I314" s="39" t="inlineStr">
        <is>
          <t>Mensula</t>
        </is>
      </c>
      <c r="J314" s="336" t="n">
        <v>14950000</v>
      </c>
      <c r="K314" s="112" t="n">
        <v>45824</v>
      </c>
      <c r="L314" s="39" t="n"/>
      <c r="M314" s="39" t="n"/>
      <c r="N314" s="39" t="inlineStr">
        <is>
          <t>Alejandro Giraldo Ospina</t>
        </is>
      </c>
      <c r="O314" s="52" t="inlineStr">
        <is>
          <t>alejandrogiraldo@mensulaingenieros.com</t>
        </is>
      </c>
    </row>
    <row r="315" hidden="1">
      <c r="A315" s="108" t="n"/>
      <c r="B315" s="39" t="n">
        <v>304</v>
      </c>
      <c r="C315" s="278" t="inlineStr">
        <is>
          <t>COTIZACION DE LOS DISEÑOS DE SEGURIDAD HUMANA Y PROTECCIÓN CONTRA INCENDIOS - ELEVATE WELLNESS</t>
        </is>
      </c>
      <c r="I315" s="39" t="inlineStr">
        <is>
          <t>Planta libre</t>
        </is>
      </c>
      <c r="J315" s="336" t="n">
        <v>11950000</v>
      </c>
      <c r="K315" s="112" t="n">
        <v>45824</v>
      </c>
      <c r="L315" s="39" t="n"/>
      <c r="M315" s="39" t="n">
        <v>3022483962</v>
      </c>
      <c r="N315" s="39" t="inlineStr">
        <is>
          <t>Jonier Osorio Campo</t>
        </is>
      </c>
      <c r="O315" s="52" t="inlineStr">
        <is>
          <t>innova.planlibre@gmail.com</t>
        </is>
      </c>
    </row>
    <row r="316" hidden="1">
      <c r="A316" s="108" t="n"/>
      <c r="B316" s="39" t="n">
        <v>305</v>
      </c>
      <c r="C316" s="278" t="inlineStr">
        <is>
          <t>COTIZACION DE LOS DISEÑOS DE SEGURIDAD HUMANA Y PROTECCIÓN CONTRA INCENDIOS - HOBBY HOME</t>
        </is>
      </c>
      <c r="I316" s="39" t="inlineStr">
        <is>
          <t>Grupo Arké</t>
        </is>
      </c>
      <c r="J316" s="336" t="n">
        <v>11950000</v>
      </c>
      <c r="K316" s="112" t="n">
        <v>45824</v>
      </c>
      <c r="L316" s="39" t="n"/>
      <c r="M316" s="39" t="n">
        <v>3104433467</v>
      </c>
      <c r="N316" s="39" t="inlineStr">
        <is>
          <t>Luisa Fernanda Castaño</t>
        </is>
      </c>
      <c r="O316" s="52" t="inlineStr">
        <is>
          <t>luisa.castano@grupoarke.com.co</t>
        </is>
      </c>
    </row>
    <row r="317" hidden="1" customFormat="1" s="143">
      <c r="A317" s="138" t="n"/>
      <c r="B317" s="139" t="n">
        <v>306</v>
      </c>
      <c r="C317" s="285" t="inlineStr">
        <is>
          <t>COTIZACION DEL DISEÑO DE EXTINCIÓN DE INCENDIOS - PB  VIVA BARRANQUILLA</t>
        </is>
      </c>
      <c r="I317" s="139" t="inlineStr">
        <is>
          <t>Complemento Retail</t>
        </is>
      </c>
      <c r="J317" s="340" t="n"/>
      <c r="K317" s="141" t="n">
        <v>45824</v>
      </c>
      <c r="L317" s="139" t="n"/>
      <c r="M317" s="139" t="n">
        <v>3155902840</v>
      </c>
      <c r="N317" s="139" t="inlineStr">
        <is>
          <t>Santiago Merizalde</t>
        </is>
      </c>
      <c r="O317" s="144" t="inlineStr">
        <is>
          <t>sm@complementoretail.com</t>
        </is>
      </c>
    </row>
    <row r="318" hidden="1" ht="15" customHeight="1">
      <c r="A318" s="108" t="n"/>
      <c r="B318" s="39" t="n">
        <v>307</v>
      </c>
      <c r="C318" s="278" t="inlineStr">
        <is>
          <t>COTIZACION DEL ANÁLISIS DE SEGURIDAD HUMANA - RANCHO SANTANA</t>
        </is>
      </c>
      <c r="I318" s="39" t="inlineStr">
        <is>
          <t>Progressa</t>
        </is>
      </c>
      <c r="J318" s="336" t="n">
        <v>6250000</v>
      </c>
      <c r="K318" s="112" t="n">
        <v>45824</v>
      </c>
      <c r="L318" s="39" t="n"/>
      <c r="M318" s="39" t="n"/>
      <c r="N318" s="39" t="inlineStr">
        <is>
          <t xml:space="preserve">Juan Andres Cassares </t>
        </is>
      </c>
      <c r="O318" s="52" t="inlineStr">
        <is>
          <t>residenteadministrativo@progressa.com.co</t>
        </is>
      </c>
    </row>
    <row r="319">
      <c r="A319" s="108" t="n"/>
      <c r="B319" s="39" t="n">
        <v>308</v>
      </c>
      <c r="C319" s="278" t="inlineStr">
        <is>
          <t>COTIZACION DE LOS DISEÑOS DE SEGURIDAD HUMANA Y PROTECCIÓN CONTRA INCENDIOS - GUADALAJARA</t>
        </is>
      </c>
      <c r="I319" s="39" t="inlineStr">
        <is>
          <t>Redigroup</t>
        </is>
      </c>
      <c r="J319" s="336" t="n">
        <v>28950000</v>
      </c>
      <c r="K319" s="112" t="n">
        <v>45824</v>
      </c>
      <c r="L319" s="39" t="n"/>
      <c r="M319" s="39" t="n"/>
      <c r="N319" s="39" t="inlineStr">
        <is>
          <t>Santiago Franco</t>
        </is>
      </c>
      <c r="O319" s="52" t="inlineStr">
        <is>
          <t>santiago.franco@redigroup.co</t>
        </is>
      </c>
    </row>
    <row r="320" hidden="1">
      <c r="A320" s="108" t="n"/>
      <c r="B320" s="39" t="n">
        <v>309</v>
      </c>
      <c r="C320" s="278" t="inlineStr">
        <is>
          <t>COTIZACION DE LOS DISEÑOS DE SEGURIDAD HUMANA Y PROTECCIÓN CONTRA INCENDIOS - AZUL</t>
        </is>
      </c>
      <c r="I320" s="39" t="inlineStr">
        <is>
          <t>Construgen</t>
        </is>
      </c>
      <c r="J320" s="336" t="n">
        <v>28850000</v>
      </c>
      <c r="K320" s="112" t="n">
        <v>45827</v>
      </c>
      <c r="L320" s="39" t="n"/>
      <c r="M320" s="39" t="n">
        <v>3128070690</v>
      </c>
      <c r="N320" s="39" t="inlineStr">
        <is>
          <t>Alexander Moreno Borja</t>
        </is>
      </c>
      <c r="O320" s="52" t="inlineStr">
        <is>
          <t>alexander.moreno@construgen.com</t>
        </is>
      </c>
    </row>
    <row r="321" hidden="1">
      <c r="A321" s="108" t="n"/>
      <c r="B321" s="39" t="n">
        <v>310</v>
      </c>
      <c r="C321" s="278" t="inlineStr">
        <is>
          <t>COTIZACION DE LOS DISEÑOS DE SEGURIDAD HUMANA Y PROTECCIÓN CONTRA INCENDIOS - GUADALUPE</t>
        </is>
      </c>
      <c r="I321" s="39" t="inlineStr">
        <is>
          <t>Soluciones constructivas</t>
        </is>
      </c>
      <c r="J321" s="336" t="n">
        <v>17560000</v>
      </c>
      <c r="K321" s="112" t="n">
        <v>45825</v>
      </c>
      <c r="L321" s="39" t="n"/>
      <c r="M321" s="39" t="n">
        <v>3217758863</v>
      </c>
      <c r="N321" s="39" t="inlineStr">
        <is>
          <t>EMERSON ARLEN VANEGAS HENAO</t>
        </is>
      </c>
      <c r="O321" s="52" t="inlineStr">
        <is>
          <t>evanegas@solucionesconstructivas.co</t>
        </is>
      </c>
    </row>
    <row r="322" hidden="1">
      <c r="A322" s="108" t="n"/>
      <c r="B322" s="39" t="n">
        <v>311</v>
      </c>
      <c r="C322" s="278" t="inlineStr">
        <is>
          <t>COTIZACION DEL DISEÑO DE EXTINCIÓN DE INCENDIOS - CUARTO DE BOMBAS MONTERIA</t>
        </is>
      </c>
      <c r="I322" s="39" t="inlineStr">
        <is>
          <t>AFC</t>
        </is>
      </c>
      <c r="J322" s="336" t="n">
        <v>5950000</v>
      </c>
      <c r="K322" s="112" t="n">
        <v>45825</v>
      </c>
      <c r="L322" s="39" t="n"/>
      <c r="M322" s="39" t="n">
        <v>3116456726</v>
      </c>
      <c r="N322" s="39" t="inlineStr">
        <is>
          <t>Andrés Felipe Cruz Restrepo</t>
        </is>
      </c>
      <c r="O322" s="52" t="inlineStr">
        <is>
          <t>proyectos.afcprofire@gmail.com</t>
        </is>
      </c>
    </row>
    <row r="323" hidden="1">
      <c r="A323" s="108" t="n"/>
      <c r="B323" s="39" t="n">
        <v>312</v>
      </c>
      <c r="C323" s="278" t="inlineStr">
        <is>
          <t>COTIZACION DE LOS DISEÑOS DE PROTECCIÓN CONTRA INCENDIOS - CA MEJIA</t>
        </is>
      </c>
      <c r="I323" s="39" t="inlineStr">
        <is>
          <t>AFC</t>
        </is>
      </c>
      <c r="J323" s="336" t="n">
        <v>34350000</v>
      </c>
      <c r="K323" s="112" t="n">
        <v>45825</v>
      </c>
      <c r="L323" s="39" t="n"/>
      <c r="M323" s="39" t="n">
        <v>3116456726</v>
      </c>
      <c r="N323" s="39" t="inlineStr">
        <is>
          <t>Andrés Felipe Cruz Restrepo</t>
        </is>
      </c>
      <c r="O323" s="52" t="inlineStr">
        <is>
          <t>proyectos.afcprofire@gmail.com</t>
        </is>
      </c>
    </row>
    <row r="324" hidden="1">
      <c r="A324" s="108" t="n"/>
      <c r="B324" s="39" t="n">
        <v>313</v>
      </c>
      <c r="C324" s="278" t="inlineStr">
        <is>
          <t>COTIZACION DE LOS DISEÑOS DE SEGURIDAD HUMANA Y PROTECCIÓN CONTRA INCENDIOS - EL RETIRO</t>
        </is>
      </c>
      <c r="I324" s="39" t="inlineStr">
        <is>
          <t>AFC</t>
        </is>
      </c>
      <c r="J324" s="336" t="n"/>
      <c r="K324" s="112" t="n">
        <v>45825</v>
      </c>
      <c r="L324" s="39" t="n"/>
      <c r="M324" s="39" t="n">
        <v>3116456726</v>
      </c>
      <c r="N324" s="39" t="inlineStr">
        <is>
          <t>Andrés Felipe Cruz Restrepo</t>
        </is>
      </c>
      <c r="O324" s="52" t="inlineStr">
        <is>
          <t>proyectos.afcprofire@gmail.com</t>
        </is>
      </c>
    </row>
    <row r="325" hidden="1">
      <c r="A325" s="108" t="n"/>
      <c r="B325" s="39" t="n">
        <v>314</v>
      </c>
      <c r="C325" s="278" t="inlineStr">
        <is>
          <t>COTIZACION DE LOS DISEÑOS DE PROTECCIÓN CONTRA INCENDIOS - LA COLINA</t>
        </is>
      </c>
      <c r="I325" s="39" t="inlineStr">
        <is>
          <t>AFC</t>
        </is>
      </c>
      <c r="J325" s="336" t="n">
        <v>14950000</v>
      </c>
      <c r="K325" s="112" t="n">
        <v>45825</v>
      </c>
      <c r="L325" s="39" t="n"/>
      <c r="M325" s="39" t="n">
        <v>3116456726</v>
      </c>
      <c r="N325" s="39" t="inlineStr">
        <is>
          <t>Andrés Felipe Cruz Restrepo</t>
        </is>
      </c>
      <c r="O325" s="52" t="inlineStr">
        <is>
          <t>proyectos.afcprofire@gmail.com</t>
        </is>
      </c>
    </row>
    <row r="326" hidden="1">
      <c r="A326" s="108" t="n"/>
      <c r="B326" s="39" t="n">
        <v>315</v>
      </c>
      <c r="C326" s="278" t="inlineStr">
        <is>
          <t>COTIZACION DE LOS DISEÑOS DE SEGURIDAD HUMANA Y PROTECCIÓN CONTRA INCENDIOS - HOTEL LAURELES</t>
        </is>
      </c>
      <c r="I326" s="39" t="inlineStr">
        <is>
          <t>Ingesed</t>
        </is>
      </c>
      <c r="J326" s="336" t="n">
        <v>19940000</v>
      </c>
      <c r="K326" s="112" t="n">
        <v>45827</v>
      </c>
      <c r="L326" s="39" t="n"/>
      <c r="M326" s="39" t="n">
        <v>3135401714</v>
      </c>
      <c r="N326" s="39" t="inlineStr">
        <is>
          <t>Eliana Isabel Cardona Ríos</t>
        </is>
      </c>
      <c r="O326" s="116" t="inlineStr">
        <is>
          <t>comercial@ingesed.com</t>
        </is>
      </c>
    </row>
    <row r="327" hidden="1">
      <c r="A327" s="108" t="n"/>
      <c r="B327" s="39" t="n">
        <v>316</v>
      </c>
      <c r="C327" s="278" t="inlineStr">
        <is>
          <t>COTIZACION DEL ANÁLISIS DE SEGURIDAD HUMANA - EDIFICIO</t>
        </is>
      </c>
      <c r="I327" s="39" t="inlineStr">
        <is>
          <t>ERG del Valle</t>
        </is>
      </c>
      <c r="J327" s="336" t="n">
        <v>7750000</v>
      </c>
      <c r="K327" s="112" t="n">
        <v>45826</v>
      </c>
      <c r="L327" s="39" t="n"/>
      <c r="M327" s="39" t="n">
        <v>3113399545</v>
      </c>
      <c r="N327" s="39" t="inlineStr">
        <is>
          <t>Frank Sanchez</t>
        </is>
      </c>
      <c r="O327" s="52" t="inlineStr">
        <is>
          <t>operaciones.erg@gmail.com</t>
        </is>
      </c>
    </row>
    <row r="328" hidden="1">
      <c r="A328" s="108" t="n"/>
      <c r="B328" s="39" t="n">
        <v>317</v>
      </c>
      <c r="C328" s="278" t="inlineStr">
        <is>
          <t>COTIZACION DE LOS DISEÑOS DE SEGURIDAD HUMANA Y PROTECCIÓN CONTRA INCENDIOS - CASA PAISAJE</t>
        </is>
      </c>
      <c r="I328" s="39" t="inlineStr">
        <is>
          <t>Ingesed</t>
        </is>
      </c>
      <c r="J328" s="336" t="n">
        <v>9420000</v>
      </c>
      <c r="K328" s="112" t="n">
        <v>45826</v>
      </c>
      <c r="L328" s="39" t="n"/>
      <c r="M328" s="39" t="n">
        <v>3014201614</v>
      </c>
      <c r="N328" s="39" t="inlineStr">
        <is>
          <t>Jhon A. Rodríguez Nieto</t>
        </is>
      </c>
      <c r="O328" s="116" t="inlineStr">
        <is>
          <t>jrodriguez@ingesed.com</t>
        </is>
      </c>
    </row>
    <row r="329" hidden="1">
      <c r="A329" s="108" t="n"/>
      <c r="B329" s="39" t="n">
        <v>318</v>
      </c>
      <c r="C329" s="278" t="inlineStr">
        <is>
          <t>COTIZACION DEL DISEÑO DE DETECCIÓN DE INCENDIOS - FULLER PINTO</t>
        </is>
      </c>
      <c r="I329" s="39" t="inlineStr">
        <is>
          <t>SPCI</t>
        </is>
      </c>
      <c r="J329" s="336" t="n">
        <v>22900000</v>
      </c>
      <c r="K329" s="112" t="n">
        <v>45827</v>
      </c>
      <c r="L329" s="39" t="n"/>
      <c r="M329" s="39" t="n">
        <v>3006047984</v>
      </c>
      <c r="N329" s="39" t="inlineStr">
        <is>
          <t>Natalia Martínez</t>
        </is>
      </c>
      <c r="O329" s="116" t="inlineStr">
        <is>
          <t>coor.relacionamiento@spci.com.co</t>
        </is>
      </c>
    </row>
    <row r="330" hidden="1">
      <c r="A330" s="108" t="n"/>
      <c r="B330" s="39" t="n">
        <v>319</v>
      </c>
      <c r="C330" s="278" t="inlineStr">
        <is>
          <t>COTIZACION DE LOS DISEÑOS DE PROTECCIÓN CONTRA INCENDIOS - RANCHO SANTANA</t>
        </is>
      </c>
      <c r="I330" s="39" t="inlineStr">
        <is>
          <t>Ingesed</t>
        </is>
      </c>
      <c r="J330" s="336" t="n">
        <v>15950000</v>
      </c>
      <c r="K330" s="112" t="n">
        <v>45832</v>
      </c>
      <c r="L330" s="39" t="n"/>
      <c r="M330" s="39" t="n">
        <v>3135401714</v>
      </c>
      <c r="N330" s="39" t="inlineStr">
        <is>
          <t>Eliana Isabel Cardona Ríos</t>
        </is>
      </c>
      <c r="O330" s="116" t="inlineStr">
        <is>
          <t>comercial@ingesed.com</t>
        </is>
      </c>
    </row>
    <row r="331" hidden="1">
      <c r="A331" s="108" t="n"/>
      <c r="B331" s="39" t="n">
        <v>320</v>
      </c>
      <c r="C331" s="278" t="inlineStr">
        <is>
          <t>COTIZACION DE LOS DISEÑOS DE SEGURIDAD HUMANA Y PROTECCIÓN CONTRA INCENDIOS - PREGO</t>
        </is>
      </c>
      <c r="I331" s="39" t="inlineStr">
        <is>
          <t>Ingesed</t>
        </is>
      </c>
      <c r="J331" s="336" t="n">
        <v>14920000</v>
      </c>
      <c r="K331" s="112" t="n">
        <v>45827</v>
      </c>
      <c r="L331" s="39" t="n"/>
      <c r="M331" s="39" t="n">
        <v>3135401714</v>
      </c>
      <c r="N331" s="39" t="inlineStr">
        <is>
          <t>Eliana Isabel Cardona Ríos</t>
        </is>
      </c>
      <c r="O331" s="116" t="inlineStr">
        <is>
          <t>comercial@ingesed.com</t>
        </is>
      </c>
    </row>
    <row r="332" hidden="1">
      <c r="A332" s="108" t="n"/>
      <c r="B332" s="39" t="n">
        <v>321</v>
      </c>
      <c r="C332" s="278" t="inlineStr">
        <is>
          <t>COTIZACION DEL DISEÑO DE DETECCIÓN DE INCENDIOS - ALMACAFÉ</t>
        </is>
      </c>
      <c r="I332" s="39" t="inlineStr">
        <is>
          <t>SPCI</t>
        </is>
      </c>
      <c r="J332" s="336" t="n">
        <v>9950000</v>
      </c>
      <c r="K332" s="112" t="n">
        <v>45827</v>
      </c>
      <c r="L332" s="39" t="n"/>
      <c r="M332" s="39" t="n">
        <v>3006047984</v>
      </c>
      <c r="N332" s="39" t="inlineStr">
        <is>
          <t>Natalia Martínez</t>
        </is>
      </c>
      <c r="O332" s="116" t="inlineStr">
        <is>
          <t>coor.relacionamiento@spci.com.co</t>
        </is>
      </c>
    </row>
    <row r="333" hidden="1">
      <c r="A333" s="108" t="n"/>
      <c r="B333" s="39" t="n">
        <v>322</v>
      </c>
      <c r="C333" s="278" t="inlineStr">
        <is>
          <t>COTIZACION DEL ANÁLISIS DE SEGURIDAD HUMANA - CONCESIONARIO TOYOTA AUTOAMÉRICA</t>
        </is>
      </c>
      <c r="I333" s="39" t="inlineStr">
        <is>
          <t>Mensula</t>
        </is>
      </c>
      <c r="J333" s="336" t="n">
        <v>5950000</v>
      </c>
      <c r="K333" s="112" t="n">
        <v>45827</v>
      </c>
      <c r="L333" s="39" t="n"/>
      <c r="M333" s="39" t="n">
        <v>3206655246</v>
      </c>
      <c r="N333" s="39" t="inlineStr">
        <is>
          <t>Liliana Valdivieso Buenaventura</t>
        </is>
      </c>
      <c r="O333" s="52" t="inlineStr">
        <is>
          <t>lilianavaldivieso@mensulaingenieros.com</t>
        </is>
      </c>
    </row>
    <row r="334" hidden="1">
      <c r="A334" s="108" t="n"/>
      <c r="B334" s="39" t="n">
        <v>323</v>
      </c>
      <c r="C334" s="278" t="inlineStr">
        <is>
          <t>COTIZACION DE LOS DISEÑOS DE SEGURIDAD HUMANA Y PROTECCIÓN CONTRA INCENDIOS - 17 PARK TOWER</t>
        </is>
      </c>
      <c r="I334" s="39" t="inlineStr">
        <is>
          <t>90 Qbos</t>
        </is>
      </c>
      <c r="J334" s="336" t="n">
        <v>24950000</v>
      </c>
      <c r="K334" s="112" t="n">
        <v>45827</v>
      </c>
      <c r="L334" s="39" t="n"/>
      <c r="M334" s="39" t="n">
        <v>3147639562</v>
      </c>
      <c r="N334" s="39" t="inlineStr">
        <is>
          <t>Manuela Castaño</t>
        </is>
      </c>
      <c r="O334" s="52" t="inlineStr">
        <is>
          <t>rproyectos@90qbos.com</t>
        </is>
      </c>
    </row>
    <row r="335" hidden="1">
      <c r="A335" s="108" t="n"/>
      <c r="B335" s="39" t="n">
        <v>324</v>
      </c>
      <c r="C335" s="278" t="inlineStr">
        <is>
          <t>COTIZACION DE LOS DISEÑOS DE SEGURIDAD HUMANA Y PROTECCIÓN CONTRA INCENDIOS - GUADALAJARA</t>
        </is>
      </c>
      <c r="I335" s="39" t="inlineStr">
        <is>
          <t>Ingesed</t>
        </is>
      </c>
      <c r="J335" s="336" t="n">
        <v>28950000</v>
      </c>
      <c r="K335" s="112" t="n">
        <v>45828</v>
      </c>
      <c r="L335" s="39" t="n"/>
      <c r="M335" s="39" t="n">
        <v>3135401714</v>
      </c>
      <c r="N335" s="39" t="inlineStr">
        <is>
          <t>Eliana Isabel Cardona Ríos</t>
        </is>
      </c>
      <c r="O335" s="116" t="inlineStr">
        <is>
          <t>comercial@ingesed.com</t>
        </is>
      </c>
    </row>
    <row r="336" hidden="1">
      <c r="A336" s="108" t="n"/>
      <c r="B336" s="39" t="n">
        <v>325</v>
      </c>
      <c r="C336" s="278" t="inlineStr">
        <is>
          <t>COTIZACION DE LOS DISEÑOS DE SEGURIDAD HUMANA Y PROTECCIÓN CONTRA INCENDIOS - RADIÓLOGOS</t>
        </is>
      </c>
      <c r="I336" s="39" t="inlineStr">
        <is>
          <t>Jhon Ocampo Arquitectura</t>
        </is>
      </c>
      <c r="J336" s="336" t="n">
        <v>29650000</v>
      </c>
      <c r="K336" s="112" t="n">
        <v>45828</v>
      </c>
      <c r="L336" s="39" t="n"/>
      <c r="M336" s="39" t="n"/>
      <c r="N336" s="39" t="inlineStr">
        <is>
          <t>John Henry Ocampo</t>
        </is>
      </c>
      <c r="O336" s="52" t="inlineStr">
        <is>
          <t>andrearestrepoarq@gmail.com</t>
        </is>
      </c>
    </row>
    <row r="337" hidden="1">
      <c r="A337" s="108" t="n"/>
      <c r="B337" s="39" t="n">
        <v>326</v>
      </c>
      <c r="C337" s="278" t="inlineStr">
        <is>
          <t>COTIZACION DEL DISEÑO DE EXTINCIÓN DE INCENDIOS - PLANTA DE PISO 4 Y 5</t>
        </is>
      </c>
      <c r="I337" s="39" t="inlineStr">
        <is>
          <t>Intervé</t>
        </is>
      </c>
      <c r="J337" s="336" t="n">
        <v>4950000</v>
      </c>
      <c r="K337" s="112" t="n">
        <v>45832</v>
      </c>
      <c r="L337" s="39" t="n"/>
      <c r="M337" s="39" t="n">
        <v>3103861763</v>
      </c>
      <c r="N337" s="39" t="inlineStr">
        <is>
          <t>Dario A. Saldarriaga R.</t>
        </is>
      </c>
      <c r="O337" s="116" t="inlineStr">
        <is>
          <t>dsaldarriaga@interve.co</t>
        </is>
      </c>
    </row>
    <row r="338" hidden="1">
      <c r="A338" s="108" t="n"/>
      <c r="B338" s="39" t="n">
        <v>327</v>
      </c>
      <c r="C338" s="278" t="inlineStr">
        <is>
          <t>COTIZACION DEL DISEÑO DE EXTINCIÓN DE INCENDIOS - SAN JOAQUIN</t>
        </is>
      </c>
      <c r="I338" s="39" t="inlineStr">
        <is>
          <t>CYP</t>
        </is>
      </c>
      <c r="J338" s="336" t="n">
        <v>14950000</v>
      </c>
      <c r="K338" s="112" t="n">
        <v>45832</v>
      </c>
      <c r="L338" s="39" t="n"/>
      <c r="M338" s="39" t="n"/>
      <c r="N338" s="39" t="n"/>
      <c r="O338" s="116" t="n"/>
    </row>
    <row r="339" hidden="1">
      <c r="A339" s="108" t="n"/>
      <c r="B339" s="39" t="n">
        <v>328</v>
      </c>
      <c r="C339" s="278" t="inlineStr">
        <is>
          <t>COTIZACION DEL DISEÑO DE EXTINCIÓN DE INCENDIOS - VIVA BARRANQUILLA</t>
        </is>
      </c>
      <c r="I339" s="39" t="inlineStr">
        <is>
          <t>SPCI</t>
        </is>
      </c>
      <c r="J339" s="336" t="n">
        <v>14950000</v>
      </c>
      <c r="K339" s="112" t="n">
        <v>45832</v>
      </c>
      <c r="L339" s="39" t="n"/>
      <c r="M339" s="39" t="n">
        <v>3104165783</v>
      </c>
      <c r="N339" s="39" t="inlineStr">
        <is>
          <t>Cristiam Gustavo Mondragon</t>
        </is>
      </c>
      <c r="O339" s="116" t="inlineStr">
        <is>
          <t>dir.tecnico@spci.com.co</t>
        </is>
      </c>
    </row>
    <row r="340" hidden="1">
      <c r="A340" s="108" t="n"/>
      <c r="B340" s="39" t="n">
        <v>329</v>
      </c>
      <c r="C340" s="278" t="inlineStr">
        <is>
          <t>COTIZACION DE LOS DISEÑOS DE PROTECCIÓN CONTRA INCENDIOS - LABORATORIO ICMT</t>
        </is>
      </c>
      <c r="I340" s="39" t="inlineStr">
        <is>
          <t>Securetec</t>
        </is>
      </c>
      <c r="J340" s="336" t="n">
        <v>15650000</v>
      </c>
      <c r="K340" s="112" t="n">
        <v>45832</v>
      </c>
      <c r="L340" s="39" t="n"/>
      <c r="M340" s="39" t="n">
        <v>3008242202</v>
      </c>
      <c r="N340" s="39" t="inlineStr">
        <is>
          <t xml:space="preserve">Diana Yamile Betancur Colorado </t>
        </is>
      </c>
      <c r="O340" s="52" t="inlineStr">
        <is>
          <t>coordinadoracomercial@securetec.com.co</t>
        </is>
      </c>
    </row>
    <row r="341" hidden="1">
      <c r="A341" s="108" t="n"/>
      <c r="B341" s="39" t="n">
        <v>330</v>
      </c>
      <c r="C341" s="278" t="inlineStr">
        <is>
          <t>COTIZACION DE LOS DISEÑOS DE SEGURIDAD HUMANA Y PROTECCIÓN CONTRA INCENDIOS - OBRA NUEVA</t>
        </is>
      </c>
      <c r="I341" s="39" t="inlineStr">
        <is>
          <t>Grupo Ingenium</t>
        </is>
      </c>
      <c r="J341" s="336" t="n">
        <v>4950000</v>
      </c>
      <c r="K341" s="112" t="n">
        <v>45833</v>
      </c>
      <c r="L341" s="39" t="n"/>
      <c r="M341" s="39" t="n">
        <v>3014546806</v>
      </c>
      <c r="N341" s="39" t="n"/>
      <c r="O341" s="52" t="inlineStr">
        <is>
          <t>gerencia@grupoingenium.co</t>
        </is>
      </c>
    </row>
    <row r="342" hidden="1">
      <c r="A342" s="108" t="n"/>
      <c r="B342" s="39" t="n">
        <v>331</v>
      </c>
      <c r="C342" s="278" t="inlineStr">
        <is>
          <t>COTIZACION DEL DISEÑO DE EXTINCIÓN DE INCENDIOS - VERTICAL AUTECO</t>
        </is>
      </c>
      <c r="I342" s="39" t="inlineStr">
        <is>
          <t>Auteco</t>
        </is>
      </c>
      <c r="J342" s="336" t="n">
        <v>10050000</v>
      </c>
      <c r="K342" s="112" t="n">
        <v>45834</v>
      </c>
      <c r="L342" s="39" t="n"/>
      <c r="M342" s="39" t="n"/>
      <c r="N342" s="39" t="inlineStr">
        <is>
          <t>Juan David Gallego Rios</t>
        </is>
      </c>
      <c r="O342" s="52" t="inlineStr">
        <is>
          <t>jgallego@auteco.com</t>
        </is>
      </c>
    </row>
    <row r="343" hidden="1" ht="15" customHeight="1">
      <c r="A343" s="108" t="n"/>
      <c r="B343" s="39" t="n">
        <v>332</v>
      </c>
      <c r="C343" s="278" t="inlineStr">
        <is>
          <t>COTIZACION DE LOS DISEÑOS DE PROTECCIÓN CONTRA INCENDIOS - ALTERRA</t>
        </is>
      </c>
      <c r="I343" s="39" t="inlineStr">
        <is>
          <t>Bitacora ingeniería</t>
        </is>
      </c>
      <c r="J343" s="336" t="n">
        <v>4450000</v>
      </c>
      <c r="K343" s="112" t="n">
        <v>45836</v>
      </c>
      <c r="L343" s="39" t="n"/>
      <c r="M343" s="39" t="n">
        <v>3006940601</v>
      </c>
      <c r="N343" s="39" t="inlineStr">
        <is>
          <t>Luisa Alarcón Botero</t>
        </is>
      </c>
      <c r="O343" s="116" t="inlineStr">
        <is>
          <t>interventoriaalterra@gmail.com</t>
        </is>
      </c>
    </row>
    <row r="344" hidden="1">
      <c r="A344" s="108" t="n"/>
      <c r="B344" s="39" t="n">
        <v>333</v>
      </c>
      <c r="C344" s="278" t="inlineStr">
        <is>
          <t>COTIZACION DE LOS DISEÑOS DE SEGURIDAD HUMANA Y PROTECCIÓN CONTRA INCENDIOS - SOLÉ</t>
        </is>
      </c>
      <c r="I344" s="39" t="inlineStr">
        <is>
          <t>Estructurar</t>
        </is>
      </c>
      <c r="J344" s="336" t="n">
        <v>29950000</v>
      </c>
      <c r="K344" s="112" t="n">
        <v>45835</v>
      </c>
      <c r="L344" s="39" t="n"/>
      <c r="M344" s="39" t="n">
        <v>3136112279</v>
      </c>
      <c r="N344" s="39" t="inlineStr">
        <is>
          <t>Edison Alejandro Pulgarin</t>
        </is>
      </c>
      <c r="O344" s="52" t="inlineStr">
        <is>
          <t>coordinadordisenos@estructurar.co</t>
        </is>
      </c>
    </row>
    <row r="345" hidden="1" customFormat="1" s="143">
      <c r="A345" s="138" t="n"/>
      <c r="B345" s="139" t="n">
        <v>334</v>
      </c>
      <c r="C345" s="285" t="inlineStr">
        <is>
          <t>COTIZACION DEL LEVANTAMIENTO Y ELABORACIÓN DE PLNAOS ARQUITECTÓNICOS BÁSICOS – ALMACAFE</t>
        </is>
      </c>
      <c r="I345" s="139" t="inlineStr">
        <is>
          <t>SPCI</t>
        </is>
      </c>
      <c r="J345" s="340" t="n">
        <v>7950000</v>
      </c>
      <c r="K345" s="141" t="n">
        <v>45839</v>
      </c>
      <c r="L345" s="139" t="n"/>
      <c r="M345" s="139" t="n">
        <v>3006047984</v>
      </c>
      <c r="N345" s="139" t="inlineStr">
        <is>
          <t>Natalia Martínez</t>
        </is>
      </c>
      <c r="O345" s="142" t="inlineStr">
        <is>
          <t>coor.relacionamiento@spci.com.co</t>
        </is>
      </c>
    </row>
    <row r="346" hidden="1" customFormat="1" s="143">
      <c r="A346" s="138" t="n"/>
      <c r="B346" s="139" t="n">
        <v>335</v>
      </c>
      <c r="C346" s="285" t="inlineStr">
        <is>
          <t>COTIZACION DEL ANÁLISIS DE SEGURIDAD HUMANA - UNIDAD DE TRASPLANTES CARDIOINFANTIL</t>
        </is>
      </c>
      <c r="I346" s="139" t="inlineStr">
        <is>
          <t>Condiseño</t>
        </is>
      </c>
      <c r="J346" s="340" t="n">
        <v>3500000</v>
      </c>
      <c r="K346" s="141" t="n">
        <v>45839</v>
      </c>
      <c r="L346" s="139" t="n"/>
      <c r="M346" s="139" t="n">
        <v>3175594091</v>
      </c>
      <c r="N346" s="139" t="inlineStr">
        <is>
          <t>Nakary Garcia Romero</t>
        </is>
      </c>
      <c r="O346" s="144" t="inlineStr">
        <is>
          <t>n.garcia@condiseno.co</t>
        </is>
      </c>
    </row>
    <row r="347" hidden="1" customFormat="1" s="143">
      <c r="A347" s="138" t="n"/>
      <c r="B347" s="139" t="n">
        <v>336</v>
      </c>
      <c r="C347" s="285" t="inlineStr">
        <is>
          <t>COTIZACION DE LOS DISEÑOS DE SEGURIDAD HUMANA Y PROTECCIÓN CONTRA INCENDIOS - MALECÓN</t>
        </is>
      </c>
      <c r="I347" s="139" t="inlineStr">
        <is>
          <t>Coninsa</t>
        </is>
      </c>
      <c r="J347" s="340" t="n">
        <v>26950000</v>
      </c>
      <c r="K347" s="141" t="n">
        <v>45839</v>
      </c>
      <c r="L347" s="139" t="n"/>
      <c r="M347" s="139" t="n">
        <v>3136824596</v>
      </c>
      <c r="N347" s="139" t="inlineStr">
        <is>
          <t>Diego Alexander Cuervo Duque</t>
        </is>
      </c>
      <c r="O347" s="144" t="inlineStr">
        <is>
          <t>dacuervo@coninsa.co</t>
        </is>
      </c>
    </row>
    <row r="348" hidden="1" customFormat="1" s="143">
      <c r="A348" s="138" t="n"/>
      <c r="B348" s="139" t="n">
        <v>337</v>
      </c>
      <c r="C348" s="285" t="inlineStr">
        <is>
          <t>COTIZACION DEL DISEÑO DE EXTINCIÓN DE INCENDIOS - MUNDO DANZA</t>
        </is>
      </c>
      <c r="I348" s="139" t="inlineStr">
        <is>
          <t>Londoño Gomez</t>
        </is>
      </c>
      <c r="J348" s="340" t="n">
        <v>2000000</v>
      </c>
      <c r="K348" s="141" t="n">
        <v>45839</v>
      </c>
      <c r="L348" s="139" t="n"/>
      <c r="M348" s="145" t="inlineStr">
        <is>
          <t>3111770 ext 455</t>
        </is>
      </c>
      <c r="N348" s="145" t="inlineStr">
        <is>
          <t>Lina M Saldarriaga</t>
        </is>
      </c>
      <c r="O348" s="144" t="inlineStr">
        <is>
          <t>lsaldarriaga@interlg.com</t>
        </is>
      </c>
    </row>
    <row r="349" hidden="1" customFormat="1" s="143">
      <c r="A349" s="138" t="n"/>
      <c r="B349" s="139" t="n">
        <v>338</v>
      </c>
      <c r="C349" s="285" t="inlineStr">
        <is>
          <t>COTIZACION DE LOS DISEÑOS DE SEGURIDAD HUMANA Y PROTECCIÓN CONTRA INCENDIOS - SKY</t>
        </is>
      </c>
      <c r="I349" s="139" t="inlineStr">
        <is>
          <t>Soluciones civiles</t>
        </is>
      </c>
      <c r="J349" s="340" t="n">
        <v>29980000</v>
      </c>
      <c r="K349" s="141" t="n">
        <v>45839</v>
      </c>
      <c r="L349" s="139" t="n"/>
      <c r="M349" s="139" t="n">
        <v>4483960</v>
      </c>
      <c r="N349" s="139" t="inlineStr">
        <is>
          <t>Gustavo Aguirre Arcila</t>
        </is>
      </c>
      <c r="O349" s="144" t="inlineStr">
        <is>
          <t>gaguirre@solciviles.com</t>
        </is>
      </c>
    </row>
    <row r="350" hidden="1" ht="15" customFormat="1" customHeight="1" s="143">
      <c r="A350" s="138" t="n"/>
      <c r="B350" s="139" t="n">
        <v>339</v>
      </c>
      <c r="C350" s="285" t="inlineStr">
        <is>
          <t>COTIZACION DEL REDISEÑO DE EXTINCIÓN DE INCENDIOS - RIO</t>
        </is>
      </c>
      <c r="I350" s="139" t="inlineStr">
        <is>
          <t>Constructora URCO</t>
        </is>
      </c>
      <c r="J350" s="340" t="n">
        <v>3760000</v>
      </c>
      <c r="K350" s="141" t="n">
        <v>45841</v>
      </c>
      <c r="L350" s="139" t="n"/>
      <c r="M350" s="139" t="inlineStr">
        <is>
          <t>314 6454239</t>
        </is>
      </c>
      <c r="N350" s="139" t="inlineStr">
        <is>
          <t>Carmenza Guzman S.</t>
        </is>
      </c>
      <c r="O350" s="144" t="inlineStr">
        <is>
          <t>carmenza.guzman@urco.com.co</t>
        </is>
      </c>
    </row>
    <row r="351" hidden="1" ht="15" customFormat="1" customHeight="1" s="143">
      <c r="A351" s="138" t="n"/>
      <c r="B351" s="139" t="n">
        <v>340</v>
      </c>
      <c r="C351" s="285" t="inlineStr">
        <is>
          <t>COTIZACION DEL DISEÑO DE DETECCIÓN DE INCENDIOS - VIVA SINCELEJO</t>
        </is>
      </c>
      <c r="I351" s="139" t="inlineStr">
        <is>
          <t>SPCI</t>
        </is>
      </c>
      <c r="J351" s="340" t="n">
        <v>12540000</v>
      </c>
      <c r="K351" s="141" t="n">
        <v>45841</v>
      </c>
      <c r="L351" s="139" t="n"/>
      <c r="M351" s="139" t="n">
        <v>3104165783</v>
      </c>
      <c r="N351" s="139" t="inlineStr">
        <is>
          <t>Cristiam Gustavo Mondragon</t>
        </is>
      </c>
      <c r="O351" s="142" t="inlineStr">
        <is>
          <t>dir.tecnico@spci.com.co</t>
        </is>
      </c>
    </row>
    <row r="352" hidden="1" customFormat="1" s="143">
      <c r="A352" s="138" t="n"/>
      <c r="B352" s="139" t="n">
        <v>341</v>
      </c>
      <c r="C352" s="285" t="inlineStr">
        <is>
          <t>COTIZACION DEL DISEÑO DE DETECCIÓN DE INCENDIOS - BODEGA CINTANDINA</t>
        </is>
      </c>
      <c r="I352" s="139" t="inlineStr">
        <is>
          <t>SPCI</t>
        </is>
      </c>
      <c r="J352" s="340" t="n">
        <v>6250000</v>
      </c>
      <c r="K352" s="141" t="n">
        <v>45841</v>
      </c>
      <c r="L352" s="139" t="n"/>
      <c r="M352" s="139" t="n">
        <v>3104203649</v>
      </c>
      <c r="N352" s="139" t="inlineStr">
        <is>
          <t xml:space="preserve">Mauricio Guzman Urrea </t>
        </is>
      </c>
      <c r="O352" s="144" t="inlineStr">
        <is>
          <t>mauricio.guzman@spci.com.co</t>
        </is>
      </c>
    </row>
    <row r="353" hidden="1" customFormat="1" s="143">
      <c r="A353" s="138" t="n"/>
      <c r="B353" s="139" t="n">
        <v>342</v>
      </c>
      <c r="C353" s="285" t="inlineStr">
        <is>
          <t>COTIZACION DE LOS DISEÑOS DE SEGURIDAD HUMANA Y PROTECCIÓN CONTRA INCENDIOS - TORRE MÉDICA COMEDAL</t>
        </is>
      </c>
      <c r="I353" s="139" t="inlineStr">
        <is>
          <t>CONINSA</t>
        </is>
      </c>
      <c r="J353" s="340" t="n">
        <v>9950000</v>
      </c>
      <c r="K353" s="141" t="n">
        <v>45841</v>
      </c>
      <c r="L353" s="139" t="n"/>
      <c r="M353" s="139" t="n">
        <v>3127256120</v>
      </c>
      <c r="N353" s="139" t="inlineStr">
        <is>
          <t>Yerly García</t>
        </is>
      </c>
      <c r="O353" s="144" t="inlineStr">
        <is>
          <t>ygarcia@coninsa.co</t>
        </is>
      </c>
    </row>
    <row r="354" hidden="1" customFormat="1" s="143">
      <c r="A354" s="138" t="n"/>
      <c r="B354" s="139" t="n">
        <v>343</v>
      </c>
      <c r="C354" s="285" t="inlineStr">
        <is>
          <t>COTIZACION DEL ANÁLISIS DE SEGURIDAD HUMANA - VIUPARK HOME</t>
        </is>
      </c>
      <c r="I354" s="139" t="inlineStr">
        <is>
          <t>Gradeco</t>
        </is>
      </c>
      <c r="J354" s="340" t="n">
        <v>6950000</v>
      </c>
      <c r="K354" s="141" t="n">
        <v>45841</v>
      </c>
      <c r="L354" s="139" t="n"/>
      <c r="M354" s="139" t="n"/>
      <c r="N354" s="139" t="inlineStr">
        <is>
          <t>Adriana Velasco</t>
        </is>
      </c>
      <c r="O354" s="144" t="inlineStr">
        <is>
          <t>coordinador.administrativo@gradeco.com.co</t>
        </is>
      </c>
    </row>
    <row r="355" hidden="1">
      <c r="A355" s="108" t="n"/>
      <c r="B355" s="39" t="n">
        <v>344</v>
      </c>
      <c r="C355" s="278" t="inlineStr">
        <is>
          <t>COTIZACION DE LOS DISEÑOS DE SEGURIDAD HUMANA Y PROTECCIÓN CONTRA INCENDIOS - CASA MÚSICA DANZA</t>
        </is>
      </c>
      <c r="I355" s="39" t="inlineStr">
        <is>
          <t>UPB</t>
        </is>
      </c>
      <c r="J355" s="336" t="inlineStr">
        <is>
          <t>variable</t>
        </is>
      </c>
      <c r="K355" s="112" t="n">
        <v>45842</v>
      </c>
      <c r="L355" s="39" t="n"/>
      <c r="M355" s="39" t="n">
        <v>4488388</v>
      </c>
      <c r="N355" s="39" t="inlineStr">
        <is>
          <t>Alejandro Restrepo Montoya</t>
        </is>
      </c>
      <c r="O355" s="52" t="inlineStr">
        <is>
          <t>alejandro.restrepomontoya@upb.edu.co</t>
        </is>
      </c>
    </row>
    <row r="356">
      <c r="A356" s="108" t="n"/>
      <c r="B356" s="39" t="n">
        <v>345</v>
      </c>
      <c r="C356" s="278" t="inlineStr">
        <is>
          <t>COTIZACION DE LOS DISEÑOS DE SEGURIDAD HUMANA Y PROTECCIÓN CONTRA INCENDIOS - HOTEL LAURELES</t>
        </is>
      </c>
      <c r="I356" s="39" t="inlineStr">
        <is>
          <t>Redigroup</t>
        </is>
      </c>
      <c r="J356" s="336" t="n">
        <v>19950000</v>
      </c>
      <c r="K356" s="112" t="n">
        <v>45842</v>
      </c>
      <c r="L356" s="39" t="n"/>
      <c r="M356" s="39" t="n">
        <v>3053533308</v>
      </c>
      <c r="N356" s="39" t="inlineStr">
        <is>
          <t>Santiago Franco</t>
        </is>
      </c>
      <c r="O356" s="52" t="inlineStr">
        <is>
          <t>santiago.franco@redigroup.co</t>
        </is>
      </c>
    </row>
    <row r="357">
      <c r="A357" s="108" t="n"/>
      <c r="B357" s="39" t="n">
        <v>346</v>
      </c>
      <c r="C357" s="278" t="inlineStr">
        <is>
          <t>COTIZACION DE LOS DISEÑOS DE SEGURIDAD HUMANA Y PROTECCIÓN CONTRA INCENDIOS - HOTEL SAN JERONIMO</t>
        </is>
      </c>
      <c r="I357" s="39" t="inlineStr">
        <is>
          <t>Redigroup</t>
        </is>
      </c>
      <c r="J357" s="336" t="n">
        <v>29950000</v>
      </c>
      <c r="K357" s="112" t="n">
        <v>45842</v>
      </c>
      <c r="L357" s="39" t="n"/>
      <c r="M357" s="39" t="n">
        <v>3053533308</v>
      </c>
      <c r="N357" s="39" t="inlineStr">
        <is>
          <t>Santiago Franco</t>
        </is>
      </c>
      <c r="O357" s="52" t="inlineStr">
        <is>
          <t>santiago.franco@redigroup.co</t>
        </is>
      </c>
    </row>
    <row r="358" hidden="1" ht="15" customFormat="1" customHeight="1" s="143">
      <c r="A358" s="138" t="n"/>
      <c r="B358" s="139" t="n">
        <v>347</v>
      </c>
      <c r="C358" s="285" t="inlineStr">
        <is>
          <t>COTIZACION DE LOS DISEÑOS DE SEGURIDAD HUMANA Y PROTECCIÓN CONTRA INCENDIOS - HOTEL LAURELES 1</t>
        </is>
      </c>
      <c r="I358" s="139" t="inlineStr">
        <is>
          <t>Ingesed</t>
        </is>
      </c>
      <c r="J358" s="340" t="n">
        <v>19950000</v>
      </c>
      <c r="K358" s="141" t="n">
        <v>45842</v>
      </c>
      <c r="L358" s="139" t="n"/>
      <c r="M358" s="139" t="n">
        <v>3135401714</v>
      </c>
      <c r="N358" s="139" t="inlineStr">
        <is>
          <t>Eliana Isabel Cardona Ríos</t>
        </is>
      </c>
      <c r="O358" s="142" t="inlineStr">
        <is>
          <t>comercial@ingesed.com</t>
        </is>
      </c>
    </row>
    <row r="359" hidden="1" ht="15" customFormat="1" customHeight="1" s="143">
      <c r="A359" s="138" t="n"/>
      <c r="B359" s="139" t="n">
        <v>348</v>
      </c>
      <c r="C359" s="285" t="inlineStr">
        <is>
          <t>COTIZACION DE LOS DISEÑOS DE SEGURIDAD HUMANA Y PROTECCIÓN CONTRA INCENDIOS - HOTEL SAN JERONIMO</t>
        </is>
      </c>
      <c r="I359" s="139" t="inlineStr">
        <is>
          <t>Ingesed</t>
        </is>
      </c>
      <c r="J359" s="340" t="n">
        <v>29950000</v>
      </c>
      <c r="K359" s="141" t="n">
        <v>45842</v>
      </c>
      <c r="L359" s="139" t="n"/>
      <c r="M359" s="139" t="n">
        <v>3135401714</v>
      </c>
      <c r="N359" s="139" t="inlineStr">
        <is>
          <t>Eliana Isabel Cardona Ríos</t>
        </is>
      </c>
      <c r="O359" s="142" t="inlineStr">
        <is>
          <t>comercial@ingesed.com</t>
        </is>
      </c>
    </row>
    <row r="360" hidden="1">
      <c r="A360" s="108" t="n"/>
      <c r="B360" s="39" t="n">
        <v>349</v>
      </c>
      <c r="C360" s="278" t="inlineStr">
        <is>
          <t>COTIZACION DE LOS DISEÑOS DE SEGURIDAD HUMANA Y PROTECCIÓN CONTRA INCENDIOS - PREDIOS ALEDAÑOS A LA CATEDRAL METROPOLITANA DE MEDELLIN</t>
        </is>
      </c>
      <c r="I360" s="39" t="inlineStr">
        <is>
          <t>Tatiana Baquero</t>
        </is>
      </c>
      <c r="J360" s="336" t="n">
        <v>7500000</v>
      </c>
      <c r="K360" s="112" t="n">
        <v>45846</v>
      </c>
      <c r="L360" s="39" t="n"/>
      <c r="M360" s="39" t="n">
        <v>3116340949</v>
      </c>
      <c r="N360" s="39" t="inlineStr">
        <is>
          <t>Tatiana Baquero</t>
        </is>
      </c>
      <c r="O360" s="116" t="inlineStr">
        <is>
          <t>tatianabaquero1507@gmail.com</t>
        </is>
      </c>
    </row>
    <row r="361" hidden="1" ht="15" customHeight="1">
      <c r="A361" s="108" t="n"/>
      <c r="B361" s="39" t="n">
        <v>350</v>
      </c>
      <c r="C361" s="278" t="inlineStr">
        <is>
          <t>COTIZACION DEL DISEÑO DE EXTINCIÓN DE INCENDIOS -  BODEGA 102 POLÍGONO INDUSTRIAL</t>
        </is>
      </c>
      <c r="I361" s="39" t="inlineStr">
        <is>
          <t>Geodic</t>
        </is>
      </c>
      <c r="J361" s="336" t="n">
        <v>18550000</v>
      </c>
      <c r="K361" s="112" t="n">
        <v>45848</v>
      </c>
      <c r="L361" s="39" t="n"/>
      <c r="M361" s="39" t="n">
        <v>3175052845</v>
      </c>
      <c r="N361" s="39" t="inlineStr">
        <is>
          <t>Daniel Martinez Rios</t>
        </is>
      </c>
      <c r="O361" s="52" t="inlineStr">
        <is>
          <t>dmartinez@geodic.com.co</t>
        </is>
      </c>
    </row>
    <row r="362" hidden="1" customFormat="1" s="143">
      <c r="A362" s="138" t="n"/>
      <c r="B362" s="139" t="n">
        <v>351</v>
      </c>
      <c r="C362" s="285" t="inlineStr">
        <is>
          <t>COTIZACION DEL ANÁLISIS DE SEGURIDAD HUMANA - SEGUROS MUNDIAL</t>
        </is>
      </c>
      <c r="I362" s="139" t="inlineStr">
        <is>
          <t>Studio SUR</t>
        </is>
      </c>
      <c r="J362" s="340" t="n">
        <v>7550000</v>
      </c>
      <c r="K362" s="141" t="n">
        <v>45848</v>
      </c>
      <c r="L362" s="139" t="n"/>
      <c r="M362" s="139" t="inlineStr">
        <is>
          <t>601 2357612</t>
        </is>
      </c>
      <c r="N362" s="139" t="inlineStr">
        <is>
          <t>Laura Arias Abad</t>
        </is>
      </c>
      <c r="O362" s="144" t="inlineStr">
        <is>
          <t>laura.arias@studiosur.net</t>
        </is>
      </c>
    </row>
    <row r="363" hidden="1" customFormat="1" s="143">
      <c r="A363" s="138" t="n"/>
      <c r="B363" s="139" t="n">
        <v>352</v>
      </c>
      <c r="C363" s="285" t="inlineStr">
        <is>
          <t>COTIZACION DE LOS DISEÑOS DE PROTECCIÓN CONTRA INCENDIOS - CLINICA FUNDADORES</t>
        </is>
      </c>
      <c r="I363" s="139" t="inlineStr">
        <is>
          <t>Socomes</t>
        </is>
      </c>
      <c r="J363" s="340" t="n">
        <v>37650000</v>
      </c>
      <c r="K363" s="141" t="n">
        <v>45848</v>
      </c>
      <c r="L363" s="139" t="n"/>
      <c r="M363" s="139" t="n">
        <v>3137851941</v>
      </c>
      <c r="N363" s="139" t="inlineStr">
        <is>
          <t>David Lopera</t>
        </is>
      </c>
      <c r="O363" s="142" t="inlineStr">
        <is>
          <t>david.lopera@socomes.com</t>
        </is>
      </c>
    </row>
    <row r="364" hidden="1">
      <c r="A364" s="108" t="n"/>
      <c r="B364" s="39" t="n">
        <v>353</v>
      </c>
      <c r="C364" s="278" t="inlineStr">
        <is>
          <t>COTIZACION DE LOS DISEÑOS DE SEGURIDAD HUMANA Y PROTECCIÓN CONTRA INCENDIOS - SAN PEDRO</t>
        </is>
      </c>
      <c r="I364" s="39" t="inlineStr">
        <is>
          <t>Sebastian Callejas</t>
        </is>
      </c>
      <c r="J364" s="336" t="n">
        <v>28850000</v>
      </c>
      <c r="K364" s="112" t="n">
        <v>45848</v>
      </c>
      <c r="L364" s="39" t="n"/>
      <c r="M364" s="39" t="n"/>
      <c r="N364" s="39" t="inlineStr">
        <is>
          <t>Sebastian Callejas</t>
        </is>
      </c>
      <c r="O364" s="116" t="n"/>
    </row>
    <row r="365" hidden="1">
      <c r="A365" s="108" t="n"/>
      <c r="B365" s="39" t="n">
        <v>354</v>
      </c>
      <c r="C365" s="278" t="inlineStr">
        <is>
          <t>COTIZACION DEL ANÁLISIS DE SEGURIDAD HUMANA - SOLARUM-ARHÚ</t>
        </is>
      </c>
      <c r="I365" s="39" t="inlineStr">
        <is>
          <t>Grupo Empresarial JALUMA</t>
        </is>
      </c>
      <c r="J365" s="336" t="n">
        <v>5950000</v>
      </c>
      <c r="K365" s="112" t="n">
        <v>45848</v>
      </c>
      <c r="L365" s="39" t="n"/>
      <c r="M365" s="39" t="n"/>
      <c r="N365" s="39" t="inlineStr">
        <is>
          <t>Lucify</t>
        </is>
      </c>
      <c r="O365" s="116" t="n"/>
    </row>
    <row r="366" hidden="1">
      <c r="A366" s="108" t="n"/>
      <c r="B366" s="39" t="n">
        <v>355</v>
      </c>
      <c r="C366" s="278" t="inlineStr">
        <is>
          <t>COTIZACION DEL ANÁLISIS DE SEGURIDAD HUMANA -  SOLARUM-SUNNA</t>
        </is>
      </c>
      <c r="I366" s="39" t="inlineStr">
        <is>
          <t>Grupo Empresarial JALUMA</t>
        </is>
      </c>
      <c r="J366" s="336" t="n">
        <v>22610000</v>
      </c>
      <c r="K366" s="112" t="n">
        <v>45848</v>
      </c>
      <c r="L366" s="39" t="n"/>
      <c r="M366" s="39" t="n"/>
      <c r="N366" s="39" t="inlineStr">
        <is>
          <t>Lucify</t>
        </is>
      </c>
      <c r="O366" s="116" t="n"/>
    </row>
    <row r="367" hidden="1">
      <c r="A367" s="108" t="n"/>
      <c r="B367" s="39" t="n">
        <v>356</v>
      </c>
      <c r="C367" s="278" t="inlineStr">
        <is>
          <t>COTIZACION DE LOS DISEÑOS DE PROTECCIÓN CONTRA INCENDIOS - IMEC</t>
        </is>
      </c>
      <c r="I367" s="39" t="inlineStr">
        <is>
          <t>SPCI</t>
        </is>
      </c>
      <c r="J367" s="336" t="n">
        <v>25950000</v>
      </c>
      <c r="K367" s="112" t="n">
        <v>45849</v>
      </c>
      <c r="L367" s="39" t="n"/>
      <c r="M367" s="39" t="n">
        <v>3006047984</v>
      </c>
      <c r="N367" s="39" t="inlineStr">
        <is>
          <t>Natalia Martínez</t>
        </is>
      </c>
      <c r="O367" s="116" t="inlineStr">
        <is>
          <t>coor.relacionamiento@spci.com.co</t>
        </is>
      </c>
    </row>
    <row r="368" hidden="1" customFormat="1" s="143">
      <c r="A368" s="138" t="n"/>
      <c r="B368" s="139" t="n">
        <v>357</v>
      </c>
      <c r="C368" s="285" t="inlineStr">
        <is>
          <t>SUMINISTRO DE ROCIADORES AUTOMÁTICOS</t>
        </is>
      </c>
      <c r="I368" s="139" t="inlineStr">
        <is>
          <t>CONSORCIO 2C USPEC</t>
        </is>
      </c>
      <c r="J368" s="340" t="n">
        <v>69440220</v>
      </c>
      <c r="K368" s="141" t="n">
        <v>45849</v>
      </c>
      <c r="L368" s="139" t="n"/>
      <c r="M368" s="139" t="n"/>
      <c r="N368" s="139" t="n"/>
      <c r="O368" s="142" t="n"/>
    </row>
    <row r="369" hidden="1">
      <c r="A369" s="108" t="n"/>
      <c r="B369" s="39" t="n">
        <v>358</v>
      </c>
      <c r="C369" s="278" t="inlineStr">
        <is>
          <t>COTIZACION CAPACITACIÓN CONCEPTOS BÁSICOS DE INSTALACIÓN</t>
        </is>
      </c>
      <c r="I369" s="39" t="inlineStr">
        <is>
          <t>Proyect &amp; solution</t>
        </is>
      </c>
      <c r="J369" s="336" t="n">
        <v>1500000</v>
      </c>
      <c r="K369" s="112" t="n">
        <v>45849</v>
      </c>
      <c r="L369" s="39" t="n"/>
      <c r="M369" s="39" t="inlineStr">
        <is>
          <t>311 3079477</t>
        </is>
      </c>
      <c r="N369" s="39" t="inlineStr">
        <is>
          <t>Sebastian Lopez Duque</t>
        </is>
      </c>
      <c r="O369" s="116" t="inlineStr">
        <is>
          <t>gerencia@projectsolutions.com.co</t>
        </is>
      </c>
    </row>
    <row r="370" hidden="1">
      <c r="A370" s="108" t="n"/>
      <c r="B370" s="39" t="n">
        <v>359</v>
      </c>
      <c r="C370" s="278" t="inlineStr">
        <is>
          <t>COTIZACION DEL ANÁLISIS DE SEGURIDAD HUMANA - MAJAGUA</t>
        </is>
      </c>
      <c r="I370" s="39" t="inlineStr">
        <is>
          <t>CONVEL</t>
        </is>
      </c>
      <c r="J370" s="336" t="n">
        <v>11950000</v>
      </c>
      <c r="K370" s="112" t="n">
        <v>45853</v>
      </c>
      <c r="L370" s="39" t="n"/>
      <c r="M370" s="39" t="inlineStr">
        <is>
          <t>300 2390723</t>
        </is>
      </c>
      <c r="N370" s="39" t="inlineStr">
        <is>
          <t>Nicolás Vargas</t>
        </is>
      </c>
      <c r="O370" s="116" t="inlineStr">
        <is>
          <t>nicolasvargas@convel.co</t>
        </is>
      </c>
    </row>
    <row r="371" hidden="1">
      <c r="A371" s="108" t="n"/>
      <c r="B371" s="39" t="n">
        <v>360</v>
      </c>
      <c r="C371" s="278" t="inlineStr">
        <is>
          <t>COTIZACION DEL DISEÑO DE DETECCIÓN DE INCENDIOS - MARKET CERDO</t>
        </is>
      </c>
      <c r="I371" s="39" t="inlineStr">
        <is>
          <t>MARKET CERDO S.A.S</t>
        </is>
      </c>
      <c r="J371" s="336" t="n">
        <v>4950000</v>
      </c>
      <c r="K371" s="112" t="n">
        <v>45853</v>
      </c>
      <c r="L371" s="39" t="n"/>
      <c r="M371" s="39" t="n"/>
      <c r="N371" s="39" t="inlineStr">
        <is>
          <t>Maritza Giraldo Sánchez</t>
        </is>
      </c>
      <c r="O371" s="116" t="inlineStr">
        <is>
          <t>coordinadorsst@marketcerdo.com</t>
        </is>
      </c>
    </row>
    <row r="372" hidden="1">
      <c r="A372" s="108" t="n"/>
      <c r="B372" s="39" t="n">
        <v>361</v>
      </c>
      <c r="C372" s="278" t="inlineStr">
        <is>
          <t>COTIZACION DEL ANÁLISIS DE SEGURIDAD HUMANA - VERDELLA</t>
        </is>
      </c>
      <c r="I372" s="39" t="inlineStr">
        <is>
          <t>G4 Proyectos Inmobiliarios</t>
        </is>
      </c>
      <c r="J372" s="336" t="n">
        <v>6900000</v>
      </c>
      <c r="K372" s="112" t="n">
        <v>45855</v>
      </c>
      <c r="L372" s="39" t="n"/>
      <c r="M372" s="39" t="n">
        <v>3052501777</v>
      </c>
      <c r="N372" s="39" t="inlineStr">
        <is>
          <t>Steven Maya</t>
        </is>
      </c>
      <c r="O372" s="116" t="inlineStr">
        <is>
          <t>coordinadorproyectos1@g4ingenieros.com</t>
        </is>
      </c>
    </row>
    <row r="373" hidden="1">
      <c r="A373" s="108" t="n"/>
      <c r="B373" s="39" t="n">
        <v>362</v>
      </c>
      <c r="C373" s="278" t="inlineStr">
        <is>
          <t>COTIZACION DE LOS DISEÑOS DE SEGURIDAD HUMANA Y PROTECCIÓN CONTRA INCENDIOS - CLÍNICA CER</t>
        </is>
      </c>
      <c r="I373" s="39" t="inlineStr">
        <is>
          <t>Arconsa</t>
        </is>
      </c>
      <c r="J373" s="336" t="inlineStr">
        <is>
          <t>Variable</t>
        </is>
      </c>
      <c r="K373" s="112" t="n">
        <v>45856</v>
      </c>
      <c r="L373" s="39" t="n"/>
      <c r="M373" s="39" t="n">
        <v>3117642945</v>
      </c>
      <c r="N373" s="39" t="inlineStr">
        <is>
          <t xml:space="preserve">	Fabián Gómez</t>
        </is>
      </c>
      <c r="O373" s="116" t="inlineStr">
        <is>
          <t>fabian.gomez@arconsa.com.co</t>
        </is>
      </c>
    </row>
    <row r="374" hidden="1">
      <c r="A374" s="108" t="n"/>
      <c r="B374" s="39" t="n">
        <v>363</v>
      </c>
      <c r="C374" s="278" t="inlineStr">
        <is>
          <t>COTIZACION DE LOS DISEÑOS DE SEGURIDAD HUMANA Y EXTINCIÓN DE INCENDIOS - TRIBUNALES</t>
        </is>
      </c>
      <c r="I374" s="39" t="inlineStr">
        <is>
          <t>Arquitectura y Concreto</t>
        </is>
      </c>
      <c r="J374" s="336" t="n">
        <v>32920000</v>
      </c>
      <c r="K374" s="112" t="n">
        <v>45856</v>
      </c>
      <c r="L374" s="39" t="n"/>
      <c r="M374" s="39" t="n">
        <v>3106005558</v>
      </c>
      <c r="N374" s="39" t="inlineStr">
        <is>
          <t>Sara Muñoz Toro</t>
        </is>
      </c>
      <c r="O374" s="116" t="inlineStr">
        <is>
          <t>bimtribunales@arquitecturayconcreto.com</t>
        </is>
      </c>
    </row>
    <row r="375" hidden="1">
      <c r="A375" s="108" t="n"/>
      <c r="B375" s="39" t="n">
        <v>364</v>
      </c>
      <c r="C375" s="278" t="inlineStr">
        <is>
          <t>COTIZACION DE LOS DISEÑOS DE SEGURIDAD HUMANA Y PROTECCIÓN CONTRA INCENDIOS - WATANA</t>
        </is>
      </c>
      <c r="I375" s="39" t="inlineStr">
        <is>
          <t>Coninsa</t>
        </is>
      </c>
      <c r="J375" s="336" t="n">
        <v>49930000</v>
      </c>
      <c r="K375" s="112" t="n">
        <v>45856</v>
      </c>
      <c r="L375" s="39" t="n"/>
      <c r="M375" s="39" t="n">
        <v>3007549649</v>
      </c>
      <c r="N375" s="39" t="inlineStr">
        <is>
          <t>Zully Milena López Molina</t>
        </is>
      </c>
      <c r="O375" s="116" t="inlineStr">
        <is>
          <t>zmlopez@coninsa.co</t>
        </is>
      </c>
    </row>
    <row r="376" hidden="1">
      <c r="A376" s="108" t="n"/>
      <c r="B376" s="39" t="n">
        <v>365</v>
      </c>
      <c r="C376" s="278" t="inlineStr">
        <is>
          <t>COTIZACION DEL ANÁLISIS DE SEGURIDAD HUMANA - M BALBOA</t>
        </is>
      </c>
      <c r="I376" s="39" t="inlineStr">
        <is>
          <t>Grupo ZFB - Licify</t>
        </is>
      </c>
      <c r="J376" s="336" t="n">
        <v>39950000</v>
      </c>
      <c r="K376" s="112" t="n">
        <v>45866</v>
      </c>
      <c r="L376" s="39" t="n"/>
      <c r="M376" s="39" t="n">
        <v>3203016600</v>
      </c>
      <c r="N376" s="39" t="inlineStr">
        <is>
          <t>Claudia Marcela Pinilla Puentes</t>
        </is>
      </c>
      <c r="O376" s="116" t="inlineStr">
        <is>
          <t>cpinilla@zonafrancabogota.com</t>
        </is>
      </c>
    </row>
    <row r="377" hidden="1">
      <c r="A377" s="108" t="n"/>
      <c r="B377" s="39" t="n">
        <v>366</v>
      </c>
      <c r="C377" s="278" t="inlineStr">
        <is>
          <t>COTIZACION DE LOS DISEÑOS DE PROTECCIÓN CONTRA INCENDIOS - ALMAVIVA</t>
        </is>
      </c>
      <c r="I377" s="39" t="inlineStr">
        <is>
          <t>SPCI</t>
        </is>
      </c>
      <c r="J377" s="336" t="inlineStr">
        <is>
          <t>Variable</t>
        </is>
      </c>
      <c r="K377" s="112" t="n">
        <v>45856</v>
      </c>
      <c r="L377" s="39" t="n"/>
      <c r="M377" s="39" t="n">
        <v>3006047984</v>
      </c>
      <c r="N377" s="39" t="inlineStr">
        <is>
          <t>Natalia Martínez</t>
        </is>
      </c>
      <c r="O377" s="116" t="inlineStr">
        <is>
          <t>coor.relacionamiento@spci.com.co</t>
        </is>
      </c>
    </row>
    <row r="378" hidden="1">
      <c r="A378" s="108" t="n"/>
      <c r="B378" s="39" t="n">
        <v>367</v>
      </c>
      <c r="C378" s="278" t="inlineStr">
        <is>
          <t>COTIZACION DE LOS DISEÑOS DE PROTECCIÓN CONTRA INCENDIOS - PLANTA NEROLI</t>
        </is>
      </c>
      <c r="I378" s="39" t="inlineStr">
        <is>
          <t>Montajes de marca</t>
        </is>
      </c>
      <c r="J378" s="336" t="n">
        <v>21900000</v>
      </c>
      <c r="K378" s="112" t="n">
        <v>45856</v>
      </c>
      <c r="L378" s="39" t="n"/>
      <c r="M378" s="39" t="n">
        <v>3207273996</v>
      </c>
      <c r="N378" s="39" t="inlineStr">
        <is>
          <t>Carlos Rojas</t>
        </is>
      </c>
      <c r="O378" s="116" t="inlineStr">
        <is>
          <t>ingmecanico@montajesdemarca.com</t>
        </is>
      </c>
    </row>
    <row r="379" hidden="1">
      <c r="A379" s="108" t="n"/>
      <c r="B379" s="39" t="n">
        <v>368</v>
      </c>
      <c r="C379" s="278" t="inlineStr">
        <is>
          <t>COTIZACION DE LOS DISEÑOS DE PROTECCIÓN CONTRA INCENDIOS - DISCO WACOP</t>
        </is>
      </c>
      <c r="I379" s="39" t="inlineStr">
        <is>
          <t>LIS Seguros</t>
        </is>
      </c>
      <c r="J379" s="336" t="n">
        <v>99750000</v>
      </c>
      <c r="K379" s="112" t="n">
        <v>45859</v>
      </c>
      <c r="L379" s="39" t="n"/>
      <c r="M379" s="39" t="n">
        <v>3106358712</v>
      </c>
      <c r="N379" s="39" t="inlineStr">
        <is>
          <t>Angelica Quintero</t>
        </is>
      </c>
      <c r="O379" s="116" t="inlineStr">
        <is>
          <t>servicioalcliente@logisticaintegraldeseguros.com</t>
        </is>
      </c>
    </row>
    <row r="380" hidden="1">
      <c r="A380" s="108" t="n"/>
      <c r="B380" s="39" t="n">
        <v>369</v>
      </c>
      <c r="C380" s="278" t="inlineStr">
        <is>
          <t>COTIZACION DE LOS DISEÑOS DE PROTECCIÓN CONTRA INCENDIOS - PROYECTO MAZZÚ</t>
        </is>
      </c>
      <c r="I380" s="39" t="inlineStr">
        <is>
          <t>Contex</t>
        </is>
      </c>
      <c r="J380" s="336" t="n">
        <v>35950000</v>
      </c>
      <c r="K380" s="112" t="n">
        <v>45859</v>
      </c>
      <c r="L380" s="39" t="n"/>
      <c r="M380" s="39" t="n">
        <v>3192564149</v>
      </c>
      <c r="N380" s="39" t="inlineStr">
        <is>
          <t>Henry Aguilar</t>
        </is>
      </c>
      <c r="O380" s="116" t="inlineStr">
        <is>
          <t>haguilar@contex.com.co</t>
        </is>
      </c>
    </row>
    <row r="381" hidden="1">
      <c r="A381" s="108" t="n"/>
      <c r="B381" s="39" t="n">
        <v>370</v>
      </c>
      <c r="C381" s="278" t="inlineStr">
        <is>
          <t>COTIZACION DE LOS DISEÑOS DE SEGURIDAD HUMANA Y PROTECCIÓN CONTRA INCENDIOS - EL TAPIAL</t>
        </is>
      </c>
      <c r="I381" s="39" t="inlineStr">
        <is>
          <t>Socomes</t>
        </is>
      </c>
      <c r="J381" s="336" t="n">
        <v>14930000</v>
      </c>
      <c r="K381" s="112" t="n">
        <v>45860</v>
      </c>
      <c r="L381" s="39" t="n"/>
      <c r="M381" s="39" t="n">
        <v>3233748748</v>
      </c>
      <c r="N381" s="39" t="inlineStr">
        <is>
          <t>Veronica Sucerquia</t>
        </is>
      </c>
      <c r="O381" s="116" t="inlineStr">
        <is>
          <t>ventas@socomes.com</t>
        </is>
      </c>
    </row>
    <row r="382" hidden="1">
      <c r="A382" s="108" t="n"/>
      <c r="B382" s="39" t="n">
        <v>371</v>
      </c>
      <c r="C382" s="278" t="inlineStr">
        <is>
          <t>COTIZACION DE LOS DISEÑOS DE SEGURIDAD HUMANA Y PROTECCIÓN CONTRA INCENDIOS - EDIFICIO VIS 5 PISOS</t>
        </is>
      </c>
      <c r="I382" s="39" t="inlineStr">
        <is>
          <t>RRP</t>
        </is>
      </c>
      <c r="J382" s="336" t="n">
        <v>8780000</v>
      </c>
      <c r="K382" s="112" t="n">
        <v>45860</v>
      </c>
      <c r="L382" s="39" t="n"/>
      <c r="M382" s="39" t="inlineStr">
        <is>
          <t>300 4899024</t>
        </is>
      </c>
      <c r="N382" s="39" t="inlineStr">
        <is>
          <t>Álvaro Rojas</t>
        </is>
      </c>
      <c r="O382" s="116" t="inlineStr">
        <is>
          <t xml:space="preserve">alvaro.rojas@rrp.com.co </t>
        </is>
      </c>
    </row>
    <row r="383" hidden="1">
      <c r="A383" s="108" t="n"/>
      <c r="B383" s="39" t="n">
        <v>372</v>
      </c>
      <c r="C383" s="278" t="inlineStr">
        <is>
          <t>COTIZACION DE LOS DISEÑOS DE SEGURIDAD HUMANA Y PROTECCIÓN CONTRA INCENDIOS - SALÓN COMUNAL</t>
        </is>
      </c>
      <c r="I383" s="39" t="inlineStr">
        <is>
          <t>RRP</t>
        </is>
      </c>
      <c r="J383" s="336" t="n">
        <v>6900000</v>
      </c>
      <c r="K383" s="112" t="n">
        <v>45860</v>
      </c>
      <c r="L383" s="39" t="n"/>
      <c r="M383" s="39" t="inlineStr">
        <is>
          <t>300 4899024</t>
        </is>
      </c>
      <c r="N383" s="39" t="inlineStr">
        <is>
          <t>Álvaro Rojas</t>
        </is>
      </c>
      <c r="O383" s="116" t="inlineStr">
        <is>
          <t xml:space="preserve">alvaro.rojas@rrp.com.co </t>
        </is>
      </c>
    </row>
    <row r="384" hidden="1">
      <c r="A384" s="108" t="n"/>
      <c r="B384" s="39" t="n">
        <v>373</v>
      </c>
      <c r="C384" s="278" t="inlineStr">
        <is>
          <t>COTIZACION DE LOS DISEÑOS DE SEGURIDAD HUMANA Y PROTECCIÓN CONTRA INCENDIOS - PLANTA AVICOLA</t>
        </is>
      </c>
      <c r="I384" s="39" t="inlineStr">
        <is>
          <t>Dinpro</t>
        </is>
      </c>
      <c r="J384" s="336" t="n">
        <v>48920000</v>
      </c>
      <c r="K384" s="112" t="n">
        <v>45861</v>
      </c>
      <c r="L384" s="39" t="n"/>
      <c r="M384" s="39" t="n">
        <v>3116053291</v>
      </c>
      <c r="N384" s="39" t="inlineStr">
        <is>
          <t>Luz Stella Ochoa Ceballos</t>
        </is>
      </c>
      <c r="O384" s="116" t="inlineStr">
        <is>
          <t>luz.ochoa@dinpro.com</t>
        </is>
      </c>
    </row>
    <row r="385" hidden="1">
      <c r="A385" s="108" t="n"/>
      <c r="B385" s="39" t="n">
        <v>374</v>
      </c>
      <c r="C385" s="278" t="inlineStr">
        <is>
          <t>COTIZACION DEL DISEÑO DE EXTINCIÓN DE INCENDIOS - TERMOPAIPA</t>
        </is>
      </c>
      <c r="I385" s="39" t="inlineStr">
        <is>
          <t>HE Ingenieria</t>
        </is>
      </c>
      <c r="J385" s="336" t="n">
        <v>8750000</v>
      </c>
      <c r="K385" s="112" t="n">
        <v>45861</v>
      </c>
      <c r="L385" s="39" t="n"/>
      <c r="M385" s="39" t="n">
        <v>3215827844</v>
      </c>
      <c r="N385" s="39" t="inlineStr">
        <is>
          <t>Eduar Montesino</t>
        </is>
      </c>
      <c r="O385" s="116" t="inlineStr">
        <is>
          <t>directorproyectos@he-ing.com</t>
        </is>
      </c>
    </row>
    <row r="386" hidden="1">
      <c r="A386" s="108" t="n"/>
      <c r="B386" s="39" t="n">
        <v>375</v>
      </c>
      <c r="C386" s="278" t="inlineStr">
        <is>
          <t>COTIZACION DE LOS DISEÑOS DE SEGURIDAD HUMANA Y PROTECCIÓN CONTRA INCENDIOS - CERÁMICAS RENACER</t>
        </is>
      </c>
      <c r="I386" s="39" t="inlineStr">
        <is>
          <t>Ceramicas Renacer</t>
        </is>
      </c>
      <c r="J386" s="336" t="n">
        <v>12540000</v>
      </c>
      <c r="K386" s="112" t="n">
        <v>45866</v>
      </c>
      <c r="L386" s="39" t="n"/>
      <c r="M386" s="39" t="n">
        <v>3192916803</v>
      </c>
      <c r="N386" s="39" t="inlineStr">
        <is>
          <t>Estefanía Duque Zapata</t>
        </is>
      </c>
      <c r="O386" s="116" t="inlineStr">
        <is>
          <t>tesoreria@ceramicasrenacer.com</t>
        </is>
      </c>
    </row>
    <row r="387" hidden="1">
      <c r="A387" s="108" t="n"/>
      <c r="B387" s="39" t="n">
        <v>376</v>
      </c>
      <c r="C387" s="278" t="inlineStr">
        <is>
          <t>COTIZACION DEL DISEÑO DE EXTINCIÓN DE INCENDIOS - BABY FRESH PARQUE ARBOLEDA</t>
        </is>
      </c>
      <c r="I387" s="39" t="inlineStr">
        <is>
          <t>NIVELUM</t>
        </is>
      </c>
      <c r="J387" s="336">
        <f>2330610/1.19</f>
        <v/>
      </c>
      <c r="K387" s="112" t="n">
        <v>45863</v>
      </c>
      <c r="L387" s="39" t="n"/>
      <c r="M387" s="39" t="inlineStr">
        <is>
          <t>321 5701452</t>
        </is>
      </c>
      <c r="N387" s="39" t="inlineStr">
        <is>
          <t>Esteban Rua</t>
        </is>
      </c>
      <c r="O387" s="52" t="inlineStr">
        <is>
          <t>erua@nivelum.com</t>
        </is>
      </c>
    </row>
    <row r="388" hidden="1">
      <c r="A388" s="108" t="n"/>
      <c r="B388" s="39" t="n">
        <v>377</v>
      </c>
      <c r="C388" s="278" t="inlineStr">
        <is>
          <t>COTIZACION DE LOS DISEÑOS DE SEGURIDAD HUMANA Y PROTECCIÓN CONTRA INCENDIOS - VILLA CIELO</t>
        </is>
      </c>
      <c r="I388" s="39" t="inlineStr">
        <is>
          <t>Soluciones Civiles</t>
        </is>
      </c>
      <c r="J388" s="336" t="n">
        <v>31840000</v>
      </c>
      <c r="K388" s="112" t="n">
        <v>45863</v>
      </c>
      <c r="L388" s="39" t="n"/>
      <c r="M388" s="39" t="n">
        <v>3128365928</v>
      </c>
      <c r="N388" s="39" t="inlineStr">
        <is>
          <t>Valentina Daza</t>
        </is>
      </c>
      <c r="O388" s="52" t="inlineStr">
        <is>
          <t>vdaza@solciviles.com</t>
        </is>
      </c>
    </row>
    <row r="389" hidden="1">
      <c r="A389" s="108" t="n"/>
      <c r="B389" s="39" t="n">
        <v>378</v>
      </c>
      <c r="C389" s="278" t="inlineStr">
        <is>
          <t>COTIZACION DE LOS DISEÑOS DE SEGURIDAD HUMANA Y PROTECCIÓN CONTRA INCENDIOS - PROYECTO PALMANOVA</t>
        </is>
      </c>
      <c r="I389" s="39" t="inlineStr">
        <is>
          <t>FCR</t>
        </is>
      </c>
      <c r="J389" s="336" t="n">
        <v>29980000</v>
      </c>
      <c r="K389" s="112" t="n">
        <v>45863</v>
      </c>
      <c r="L389" s="39" t="n"/>
      <c r="M389" s="39" t="inlineStr">
        <is>
          <t>310 5304562</t>
        </is>
      </c>
      <c r="N389" s="39" t="inlineStr">
        <is>
          <t xml:space="preserve">Vanessa Zapata </t>
        </is>
      </c>
      <c r="O389" s="52" t="inlineStr">
        <is>
          <t>vanessazapata.fcr@gmail.com</t>
        </is>
      </c>
    </row>
    <row r="390" hidden="1">
      <c r="A390" s="108" t="n"/>
      <c r="B390" s="39" t="n">
        <v>379</v>
      </c>
      <c r="C390" s="278" t="inlineStr">
        <is>
          <t>COTIZACION DEL DIAGNÓSTICO DEL SISTEMA CONTRA INCENDIOS INSTALADO - PLANTA AVICOLA</t>
        </is>
      </c>
      <c r="I390" s="39" t="inlineStr">
        <is>
          <t>Dinpro</t>
        </is>
      </c>
      <c r="J390" s="336" t="n">
        <v>12540000</v>
      </c>
      <c r="K390" s="112" t="n">
        <v>45866</v>
      </c>
      <c r="L390" s="39" t="n"/>
      <c r="M390" s="39" t="n">
        <v>3116053291</v>
      </c>
      <c r="N390" s="39" t="inlineStr">
        <is>
          <t>Luz Stella Ochoa Ceballos</t>
        </is>
      </c>
      <c r="O390" s="116" t="inlineStr">
        <is>
          <t>luz.ochoa@dinpro.com</t>
        </is>
      </c>
    </row>
    <row r="391" hidden="1">
      <c r="A391" s="108" t="n"/>
      <c r="B391" s="39" t="n">
        <v>380</v>
      </c>
      <c r="C391" s="278" t="inlineStr">
        <is>
          <t>COTIZACION DEL DISEÑO DE EXTINCIÓN DE INCENDIOS - COMODISIMOS</t>
        </is>
      </c>
      <c r="I391" s="39" t="inlineStr">
        <is>
          <t>Securetec</t>
        </is>
      </c>
      <c r="J391" s="336" t="n">
        <v>3750000</v>
      </c>
      <c r="K391" s="112" t="n">
        <v>45866</v>
      </c>
      <c r="L391" s="39" t="n"/>
      <c r="M391" s="39" t="n">
        <v>3206678830</v>
      </c>
      <c r="N391" s="39" t="inlineStr">
        <is>
          <t>Jhonny A Castro</t>
        </is>
      </c>
      <c r="O391" s="52" t="inlineStr">
        <is>
          <t>dirproyectos@securetec.com.co</t>
        </is>
      </c>
    </row>
    <row r="392" hidden="1">
      <c r="A392" s="108" t="n"/>
      <c r="B392" s="39" t="n">
        <v>381</v>
      </c>
      <c r="C392" s="278" t="inlineStr">
        <is>
          <t>COTIZACION DE LOS DISEÑOS DE SEGURIDAD HUMANA Y PROTECCIÓN CONTRA INCENDIOS - CEDI CALDAS</t>
        </is>
      </c>
      <c r="I392" s="39" t="inlineStr">
        <is>
          <t>Coninsa</t>
        </is>
      </c>
      <c r="J392" s="336" t="n">
        <v>59380000</v>
      </c>
      <c r="K392" s="112" t="n">
        <v>45869</v>
      </c>
      <c r="L392" s="39" t="n"/>
      <c r="M392" s="39" t="n">
        <v>3155264386</v>
      </c>
      <c r="N392" s="39" t="inlineStr">
        <is>
          <t>Yuliana Tamayo Zapata</t>
        </is>
      </c>
      <c r="O392" s="52" t="inlineStr">
        <is>
          <t>ytamayo@coninsa.co</t>
        </is>
      </c>
    </row>
    <row r="393" hidden="1">
      <c r="A393" s="108" t="n"/>
      <c r="B393" s="39" t="n">
        <v>382</v>
      </c>
      <c r="C393" s="278" t="inlineStr">
        <is>
          <t>COTIZACION DE LOS DISEÑOS DE SEGURIDAD HUMANA Y PROTECCIÓN CONTRA INCENDIOS - CEDI MOSQUERA</t>
        </is>
      </c>
      <c r="I393" s="39" t="inlineStr">
        <is>
          <t>Coninsa</t>
        </is>
      </c>
      <c r="J393" s="336" t="n">
        <v>59380000</v>
      </c>
      <c r="K393" s="112" t="n">
        <v>45869</v>
      </c>
      <c r="L393" s="39" t="n"/>
      <c r="M393" s="39" t="n">
        <v>3155264386</v>
      </c>
      <c r="N393" s="39" t="inlineStr">
        <is>
          <t>Yuliana Tamayo Zapata</t>
        </is>
      </c>
      <c r="O393" s="52" t="inlineStr">
        <is>
          <t>ytamayo@coninsa.co</t>
        </is>
      </c>
    </row>
    <row r="394" hidden="1" customFormat="1" s="143">
      <c r="A394" s="138" t="n"/>
      <c r="B394" s="139" t="n">
        <v>383</v>
      </c>
      <c r="C394" s="285" t="inlineStr">
        <is>
          <t>COTIZACION DEL DISEÑO DE EXTINCIÓN DE INCENDIOS - GEF VIVA BARRANQUILLA</t>
        </is>
      </c>
      <c r="I394" s="139" t="inlineStr">
        <is>
          <t>Proyecto ARQ</t>
        </is>
      </c>
      <c r="J394" s="340" t="n">
        <v>4101739.5</v>
      </c>
      <c r="K394" s="141" t="n">
        <v>45866</v>
      </c>
      <c r="L394" s="139" t="n"/>
      <c r="M394" s="139" t="n">
        <v>3125447366</v>
      </c>
      <c r="N394" s="139" t="inlineStr">
        <is>
          <t>Andrea Ruiz</t>
        </is>
      </c>
      <c r="O394" s="144" t="inlineStr">
        <is>
          <t>andrea@proyectoarq.co</t>
        </is>
      </c>
    </row>
    <row r="395" hidden="1" customFormat="1" s="143">
      <c r="A395" s="138" t="n"/>
      <c r="B395" s="139" t="n">
        <v>384</v>
      </c>
      <c r="C395" s="285" t="inlineStr">
        <is>
          <t>COTIZACIÓN DEL SUMINISTRO DE SPUMA Y MONITOR</t>
        </is>
      </c>
      <c r="I395" s="146" t="inlineStr">
        <is>
          <t>Montajes de marca</t>
        </is>
      </c>
      <c r="J395" s="147" t="inlineStr">
        <is>
          <t>precio en dólares</t>
        </is>
      </c>
      <c r="K395" s="141" t="n">
        <v>45867</v>
      </c>
      <c r="L395" s="148" t="n"/>
      <c r="M395" s="139" t="n">
        <v>3207273996</v>
      </c>
      <c r="N395" s="139" t="inlineStr">
        <is>
          <t>Carlos Rojas</t>
        </is>
      </c>
      <c r="O395" s="142" t="inlineStr">
        <is>
          <t>ingmecanico@montajesdemarca.com</t>
        </is>
      </c>
    </row>
    <row r="396" hidden="1">
      <c r="A396" s="108" t="n"/>
      <c r="B396" s="39" t="n">
        <v>385</v>
      </c>
      <c r="C396" s="278" t="inlineStr">
        <is>
          <t>COTIZACION DE LOS DISEÑOS DE SEGURIDAD HUMANA Y PROTECCIÓN CONTRA INCENDIOS - NUVOLI BOSTON</t>
        </is>
      </c>
      <c r="I396" s="39" t="inlineStr">
        <is>
          <t>Coninsa</t>
        </is>
      </c>
      <c r="J396" s="336" t="n">
        <v>13800000</v>
      </c>
      <c r="K396" s="112" t="n">
        <v>45867</v>
      </c>
      <c r="L396" s="39" t="n"/>
      <c r="M396" s="39" t="inlineStr">
        <is>
          <t>313 6824596</t>
        </is>
      </c>
      <c r="N396" s="39" t="inlineStr">
        <is>
          <t>Diego Alexander Cuervo Duque</t>
        </is>
      </c>
      <c r="O396" s="116" t="inlineStr">
        <is>
          <t>dacuervo@coninsa.co</t>
        </is>
      </c>
    </row>
    <row r="397" hidden="1" ht="15" customHeight="1">
      <c r="A397" s="108" t="n"/>
      <c r="B397" s="39" t="n">
        <v>386</v>
      </c>
      <c r="C397" s="278" t="inlineStr">
        <is>
          <t>COTIZACION DE LOS DISEÑOS DE SEGURIDAD HUMANA Y PROTECCIÓN CONTRA INCENDIOS - FLORIDA TORRE MÉDICA</t>
        </is>
      </c>
      <c r="I397" s="39" t="inlineStr">
        <is>
          <t>Coninsa</t>
        </is>
      </c>
      <c r="J397" s="336" t="n">
        <v>46500000</v>
      </c>
      <c r="K397" s="112" t="n">
        <v>45869</v>
      </c>
      <c r="L397" s="39" t="n"/>
      <c r="M397" s="39" t="inlineStr">
        <is>
          <t>300 7549649</t>
        </is>
      </c>
      <c r="N397" s="39" t="inlineStr">
        <is>
          <t>Zully Milena López Molina</t>
        </is>
      </c>
      <c r="O397" s="116" t="inlineStr">
        <is>
          <t>zmlopez@coninsa.co</t>
        </is>
      </c>
    </row>
    <row r="398" hidden="1">
      <c r="A398" s="108" t="n"/>
      <c r="B398" s="39" t="n">
        <v>387</v>
      </c>
      <c r="C398" s="278" t="inlineStr">
        <is>
          <t>COTIZACION DEL DISEÑO DE DETECCIÓN DE INCENDIOS - INCODOL</t>
        </is>
      </c>
      <c r="I398" s="39" t="inlineStr">
        <is>
          <t>Mateo Restrepo</t>
        </is>
      </c>
      <c r="J398" s="336" t="n">
        <v>6000000</v>
      </c>
      <c r="K398" s="112" t="n">
        <v>45868</v>
      </c>
      <c r="L398" s="39" t="n"/>
      <c r="M398" s="39" t="inlineStr">
        <is>
          <t>310 4014773</t>
        </is>
      </c>
      <c r="N398" s="112" t="inlineStr">
        <is>
          <t>Mateo Restrepo</t>
        </is>
      </c>
      <c r="O398" s="116" t="n"/>
    </row>
    <row r="399" hidden="1">
      <c r="A399" s="108" t="n"/>
      <c r="B399" s="39" t="n">
        <v>388</v>
      </c>
      <c r="C399" s="278" t="inlineStr">
        <is>
          <t>COTIZACION DE LOS DISEÑOS DE SEGURIDAD HUMANA Y PROTECCIÓN CONTRA INCENDIOS - MORENITA</t>
        </is>
      </c>
      <c r="I399" s="39" t="inlineStr">
        <is>
          <t>Proyect &amp; solution</t>
        </is>
      </c>
      <c r="J399" s="336" t="n">
        <v>10910000</v>
      </c>
      <c r="K399" s="112" t="n">
        <v>45870</v>
      </c>
      <c r="L399" s="39" t="n"/>
      <c r="M399" s="39" t="inlineStr">
        <is>
          <t>311 3079477</t>
        </is>
      </c>
      <c r="N399" s="39" t="inlineStr">
        <is>
          <t>Sebastian Lopez Duque</t>
        </is>
      </c>
      <c r="O399" s="116" t="inlineStr">
        <is>
          <t>gerencia@projectsolutions.com.co</t>
        </is>
      </c>
    </row>
    <row r="400" hidden="1">
      <c r="A400" s="108" t="n"/>
      <c r="B400" s="39" t="n">
        <v>389</v>
      </c>
      <c r="C400" s="278" t="inlineStr">
        <is>
          <t>COTIZACION DE LOS DISEÑOS DE PROTECCIÓN CONTRA INCENDIOS - SOLUTEXTIL</t>
        </is>
      </c>
      <c r="I400" s="39" t="inlineStr">
        <is>
          <t>Socomes</t>
        </is>
      </c>
      <c r="J400" s="336" t="n">
        <v>11290000</v>
      </c>
      <c r="K400" s="112" t="n">
        <v>45870</v>
      </c>
      <c r="L400" s="39" t="n"/>
      <c r="M400" s="39" t="n">
        <v>3233748748</v>
      </c>
      <c r="N400" s="39" t="inlineStr">
        <is>
          <t>Verónica Sucerquia</t>
        </is>
      </c>
      <c r="O400" s="116" t="inlineStr">
        <is>
          <t>ventas@socomes.com</t>
        </is>
      </c>
    </row>
    <row r="401" hidden="1">
      <c r="A401" s="108" t="n"/>
      <c r="B401" s="39" t="n">
        <v>390</v>
      </c>
      <c r="C401" s="278" t="inlineStr">
        <is>
          <t>COTIZACION DE LOS DISEÑOS DE SEGURIDAD HUMANA Y PROTECCIÓN CONTRA INCENDIOS - CAOBA</t>
        </is>
      </c>
      <c r="I401" s="39" t="inlineStr">
        <is>
          <t>Conaltura</t>
        </is>
      </c>
      <c r="J401" s="336" t="n">
        <v>39770000</v>
      </c>
      <c r="K401" s="112" t="n">
        <v>45870</v>
      </c>
      <c r="L401" s="39" t="n"/>
      <c r="M401" s="39" t="n">
        <v>3122310202</v>
      </c>
      <c r="N401" s="39" t="inlineStr">
        <is>
          <t>Yesenia Pareja</t>
        </is>
      </c>
      <c r="O401" s="116" t="inlineStr">
        <is>
          <t>ypareja@conaltura.com</t>
        </is>
      </c>
    </row>
    <row r="402" hidden="1">
      <c r="A402" s="108" t="n"/>
      <c r="B402" s="39" t="n">
        <v>391</v>
      </c>
      <c r="C402" s="278" t="inlineStr">
        <is>
          <t>COTIZACION DE LOS DISEÑOS DE SEGURIDAD HUMANA Y PROTECCIÓN CONTRA INCENDIOS - BODEGA</t>
        </is>
      </c>
      <c r="I402" s="39" t="inlineStr">
        <is>
          <t>Renovista</t>
        </is>
      </c>
      <c r="J402" s="336" t="n">
        <v>20750000</v>
      </c>
      <c r="K402" s="112" t="n">
        <v>45868</v>
      </c>
      <c r="L402" s="39" t="n"/>
      <c r="M402" s="39" t="n">
        <v>3126205506</v>
      </c>
      <c r="N402" s="39" t="inlineStr">
        <is>
          <t>Steven Londoño Oquendo</t>
        </is>
      </c>
      <c r="O402" s="116" t="inlineStr">
        <is>
          <t>steven.londono@renovista.com.co</t>
        </is>
      </c>
    </row>
    <row r="403" hidden="1">
      <c r="A403" s="108" t="n"/>
      <c r="B403" s="39" t="n">
        <v>392</v>
      </c>
      <c r="C403" s="278" t="inlineStr">
        <is>
          <t>COTIZACION DE LOS DISEÑOS DE SEGURIDAD HUMANA Y PROTECCIÓN CONTRA INCENDIOS - LAS PALMAS</t>
        </is>
      </c>
      <c r="I403" s="39" t="inlineStr">
        <is>
          <t>FCR</t>
        </is>
      </c>
      <c r="J403" s="336" t="n">
        <v>19450000</v>
      </c>
      <c r="K403" s="112" t="n">
        <v>45868</v>
      </c>
      <c r="L403" s="39" t="n"/>
      <c r="M403" s="39" t="inlineStr">
        <is>
          <t>300 6019759</t>
        </is>
      </c>
      <c r="N403" s="39" t="inlineStr">
        <is>
          <t>Óscar Andrés Álvarez A</t>
        </is>
      </c>
      <c r="O403" s="116" t="inlineStr">
        <is>
          <t>oscarfcr2@gmail.com</t>
        </is>
      </c>
    </row>
    <row r="404" hidden="1">
      <c r="A404" s="108" t="n"/>
      <c r="B404" s="39" t="n">
        <v>393</v>
      </c>
      <c r="C404" s="278" t="inlineStr">
        <is>
          <t>COTIZACION DEL ANÁLISIS DE SEGURIDAD HUMANA - HA BICICLETAS</t>
        </is>
      </c>
      <c r="I404" s="39" t="inlineStr">
        <is>
          <t>CONCONCRETO</t>
        </is>
      </c>
      <c r="J404" s="336" t="n">
        <v>12550000</v>
      </c>
      <c r="K404" s="112" t="n">
        <v>45869</v>
      </c>
      <c r="L404" s="39" t="n"/>
      <c r="M404" s="39" t="n">
        <v>3003404902</v>
      </c>
      <c r="N404" s="39" t="inlineStr">
        <is>
          <t>Pilar Arango Restrepo</t>
        </is>
      </c>
      <c r="O404" s="116" t="inlineStr">
        <is>
          <t>parangor@conconcreto.com</t>
        </is>
      </c>
    </row>
    <row r="405" hidden="1">
      <c r="A405" s="108" t="n"/>
      <c r="B405" s="39" t="n">
        <v>394</v>
      </c>
      <c r="C405" s="278" t="inlineStr">
        <is>
          <t>COTIZACION DE LOS DISEÑOS DE SEGURIDAD HUMANA Y PROTECCIÓN CONTRA INCENDIOS - NEBRASKA</t>
        </is>
      </c>
      <c r="I405" s="39" t="inlineStr">
        <is>
          <t>HD Gerencia Integral</t>
        </is>
      </c>
      <c r="J405" s="336" t="n">
        <v>19850000</v>
      </c>
      <c r="K405" s="112" t="n">
        <v>45869</v>
      </c>
      <c r="L405" s="39" t="n"/>
      <c r="M405" s="39" t="inlineStr">
        <is>
          <t>316 8787297</t>
        </is>
      </c>
      <c r="N405" s="39" t="inlineStr">
        <is>
          <t>Humberto Duque</t>
        </is>
      </c>
      <c r="O405" s="116" t="inlineStr">
        <is>
          <t>hduque@hdgerenciaintegral.com</t>
        </is>
      </c>
    </row>
    <row r="406" hidden="1" ht="15" customHeight="1">
      <c r="A406" s="108" t="n"/>
      <c r="B406" s="39" t="n">
        <v>395</v>
      </c>
      <c r="C406" s="278" t="inlineStr">
        <is>
          <t>COTIZACION DEL DISEÑO DE EXTINCIÓN DE INCENDIOS - SINTROPICO</t>
        </is>
      </c>
      <c r="I406" s="39" t="inlineStr">
        <is>
          <t>Fire &amp; Equipos</t>
        </is>
      </c>
      <c r="J406" s="336" t="n">
        <v>11950000</v>
      </c>
      <c r="K406" s="112" t="n">
        <v>45870</v>
      </c>
      <c r="L406" s="39" t="n"/>
      <c r="M406" s="39" t="n">
        <v>3134451063</v>
      </c>
      <c r="N406" s="39" t="inlineStr">
        <is>
          <t>Juan José Monsalve</t>
        </is>
      </c>
      <c r="O406" s="52" t="inlineStr">
        <is>
          <t>Directorcomercial@fireyequipos.com</t>
        </is>
      </c>
    </row>
    <row r="407" hidden="1">
      <c r="A407" s="108" t="n"/>
      <c r="B407" s="39" t="n">
        <v>396</v>
      </c>
      <c r="C407" s="278" t="inlineStr">
        <is>
          <t>COTIZACION DEL DISEÑO DE PROTECCIÓN CONTRA INCENDIOS - LABORATORIO ECHAVARRÍA CC FLORIDA</t>
        </is>
      </c>
      <c r="I407" s="39" t="inlineStr">
        <is>
          <t>Laboratorio Echavarria</t>
        </is>
      </c>
      <c r="J407" s="336" t="n">
        <v>2440000</v>
      </c>
      <c r="K407" s="112" t="n">
        <v>45870</v>
      </c>
      <c r="L407" s="39" t="n"/>
      <c r="M407" s="39" t="inlineStr">
        <is>
          <t>310 4559932</t>
        </is>
      </c>
      <c r="N407" s="39" t="inlineStr">
        <is>
          <t>Edwin Zuluaga Causto</t>
        </is>
      </c>
      <c r="O407" s="116" t="n"/>
    </row>
    <row r="408" hidden="1" ht="15" customHeight="1">
      <c r="A408" s="108" t="n"/>
      <c r="B408" s="39" t="n">
        <v>397</v>
      </c>
      <c r="C408" s="278" t="inlineStr">
        <is>
          <t>COTIZACION DEL ANÁLISIS DE SEGURIDAD HUMANA - CONTREE PALMAS T2</t>
        </is>
      </c>
      <c r="I408" s="39" t="inlineStr">
        <is>
          <t>CONCONCRETO</t>
        </is>
      </c>
      <c r="J408" s="336" t="n">
        <v>4550000</v>
      </c>
      <c r="K408" s="112" t="n">
        <v>45874</v>
      </c>
      <c r="L408" s="39" t="n"/>
      <c r="M408" s="39" t="n">
        <v>3148721400</v>
      </c>
      <c r="N408" s="39" t="inlineStr">
        <is>
          <t>Adriana Agudelo López</t>
        </is>
      </c>
      <c r="O408" s="52" t="inlineStr">
        <is>
          <t>aagudelol@conconcreto.com</t>
        </is>
      </c>
    </row>
    <row r="409" hidden="1">
      <c r="A409" s="108" t="n"/>
      <c r="B409" s="39" t="n">
        <v>398</v>
      </c>
      <c r="C409" s="278" t="inlineStr">
        <is>
          <t>COTIZACION DE LOS DISEÑOS DE SEGURIDAD HUMANA Y PROTECCIÓN CONTRA INCENDIOS - OFICINAS SAN TERRA</t>
        </is>
      </c>
      <c r="I409" s="39" t="inlineStr">
        <is>
          <t>PAO Arquitectura</t>
        </is>
      </c>
      <c r="J409" s="336" t="n">
        <v>11850000</v>
      </c>
      <c r="K409" s="112" t="n">
        <v>45873</v>
      </c>
      <c r="L409" s="39" t="n"/>
      <c r="M409" s="39" t="n">
        <v>3117477239</v>
      </c>
      <c r="N409" s="39" t="inlineStr">
        <is>
          <t>Paola Andrea López Cadavid</t>
        </is>
      </c>
      <c r="O409" s="52" t="inlineStr">
        <is>
          <t>paolopez@paoarq.com</t>
        </is>
      </c>
    </row>
    <row r="410" hidden="1">
      <c r="A410" s="108" t="n"/>
      <c r="B410" s="39" t="n">
        <v>399</v>
      </c>
      <c r="C410" s="278" t="inlineStr">
        <is>
          <t>COTIZACION DEL DISEÑO DE DETECCIÓN DE INCENDIOS - COMPAÑIA DE EMPAQUES</t>
        </is>
      </c>
      <c r="I410" s="39" t="inlineStr">
        <is>
          <t>SERIINCO</t>
        </is>
      </c>
      <c r="J410" s="336" t="n">
        <v>24950000</v>
      </c>
      <c r="K410" s="112" t="n">
        <v>45874</v>
      </c>
      <c r="L410" s="39" t="n"/>
      <c r="M410" s="39" t="n">
        <v>3113391008</v>
      </c>
      <c r="N410" s="39" t="inlineStr">
        <is>
          <t>Carlos Henao</t>
        </is>
      </c>
      <c r="O410" s="52" t="inlineStr">
        <is>
          <t>carlos.henao@seriinco.com</t>
        </is>
      </c>
    </row>
    <row r="411" hidden="1">
      <c r="A411" s="108" t="n"/>
      <c r="B411" s="39" t="n">
        <v>400</v>
      </c>
      <c r="C411" s="278" t="inlineStr">
        <is>
          <t>COTIZACION DE LOS DISEÑOS DE PROTECCIÓN CONTRA INCENDIOS - CLINICA FUNDADORES</t>
        </is>
      </c>
      <c r="I411" s="39" t="inlineStr">
        <is>
          <t>SPCI</t>
        </is>
      </c>
      <c r="J411" s="336" t="n">
        <v>37650000</v>
      </c>
      <c r="K411" s="112" t="n">
        <v>45873</v>
      </c>
      <c r="L411" s="39" t="n"/>
      <c r="M411" s="39" t="inlineStr">
        <is>
          <t>300 6047984</t>
        </is>
      </c>
      <c r="N411" s="39" t="inlineStr">
        <is>
          <t>Natalia Martínez</t>
        </is>
      </c>
      <c r="O411" s="52" t="inlineStr">
        <is>
          <t>coor.relacionamiento@spci.com.co</t>
        </is>
      </c>
    </row>
    <row r="412" hidden="1" ht="15" customHeight="1">
      <c r="A412" s="108" t="n"/>
      <c r="B412" s="39" t="n">
        <v>401</v>
      </c>
      <c r="C412" s="278" t="inlineStr">
        <is>
          <t>COTIZACION DEL DISEÑO DE EXTINCIÓN DE INCENDIOS - RED CONTRAINCENDIO – SP 20090921</t>
        </is>
      </c>
      <c r="I412" s="39" t="inlineStr">
        <is>
          <t>Mineros Colombia</t>
        </is>
      </c>
      <c r="J412" s="336" t="n">
        <v>49950000</v>
      </c>
      <c r="K412" s="112" t="n">
        <v>45873</v>
      </c>
      <c r="L412" s="39" t="n"/>
      <c r="M412" s="39" t="inlineStr">
        <is>
          <t>315 7494148</t>
        </is>
      </c>
      <c r="N412" s="39" t="inlineStr">
        <is>
          <t>Alexander Oviedo Serrano</t>
        </is>
      </c>
      <c r="O412" s="52" t="inlineStr">
        <is>
          <t>alexander.oviedo@mineros.com.co</t>
        </is>
      </c>
    </row>
    <row r="413" hidden="1">
      <c r="A413" s="108" t="n"/>
      <c r="B413" s="39" t="n">
        <v>402</v>
      </c>
      <c r="C413" s="278" t="inlineStr">
        <is>
          <t>COTIZACION DE LOS DISEÑOS DE SEGURIDAD HUMANA Y PROTECCIÓN CONTRA INCENDIOS - BALSOS 34</t>
        </is>
      </c>
      <c r="I413" s="39" t="inlineStr">
        <is>
          <t>Arquitectura y Concreto</t>
        </is>
      </c>
      <c r="J413" s="336" t="n">
        <v>30950000</v>
      </c>
      <c r="K413" s="112" t="n">
        <v>45873</v>
      </c>
      <c r="L413" s="39" t="n"/>
      <c r="M413" s="39" t="inlineStr">
        <is>
          <t>316 2439535</t>
        </is>
      </c>
      <c r="N413" s="39" t="inlineStr">
        <is>
          <t>Sebastian Ochoa Gomez</t>
        </is>
      </c>
      <c r="O413" s="52" t="inlineStr">
        <is>
          <t xml:space="preserve">sebastianochoa@arquitecturayconcreto.com </t>
        </is>
      </c>
    </row>
    <row r="414" hidden="1">
      <c r="A414" s="108" t="n"/>
      <c r="B414" s="39" t="n">
        <v>403</v>
      </c>
      <c r="C414" s="278" t="inlineStr">
        <is>
          <t>COTIZACION DEL DISEÑO DE DETECCIÓN DE INCENDIOS - HOTEL HAVEN</t>
        </is>
      </c>
      <c r="I414" s="39" t="inlineStr">
        <is>
          <t>Mensula</t>
        </is>
      </c>
      <c r="J414" s="336" t="n">
        <v>4500000</v>
      </c>
      <c r="K414" s="112" t="n">
        <v>45873</v>
      </c>
      <c r="L414" s="39" t="n"/>
      <c r="M414" s="39" t="n">
        <v>3008643710</v>
      </c>
      <c r="N414" s="39" t="inlineStr">
        <is>
          <t>Cristina Palacio Perez</t>
        </is>
      </c>
      <c r="O414" s="116" t="inlineStr">
        <is>
          <t>cristinapalacio@mensulaingenieros.com</t>
        </is>
      </c>
    </row>
    <row r="415" hidden="1">
      <c r="A415" s="108" t="n"/>
      <c r="B415" s="39" t="n">
        <v>404</v>
      </c>
      <c r="C415" s="278" t="inlineStr">
        <is>
          <t>COTIZACION DEL DISEÑO DE EXTINCIÓN DE INCENDIOS - ALKOMPRAR NIHLO SANTA FE</t>
        </is>
      </c>
      <c r="I415" s="39" t="inlineStr">
        <is>
          <t>Corbeta</t>
        </is>
      </c>
      <c r="J415" s="336" t="n">
        <v>1700000</v>
      </c>
      <c r="K415" s="112" t="n">
        <v>45874</v>
      </c>
      <c r="L415" s="39" t="n"/>
      <c r="M415" s="39" t="n">
        <v>3185743659</v>
      </c>
      <c r="N415" s="39" t="inlineStr">
        <is>
          <t>Ramon Arturo Garcia Carmona</t>
        </is>
      </c>
      <c r="O415" s="52" t="inlineStr">
        <is>
          <t>Ramon.Garcia@corbeta.com.co</t>
        </is>
      </c>
    </row>
    <row r="416" hidden="1">
      <c r="A416" s="108" t="n"/>
      <c r="B416" s="39" t="n">
        <v>405</v>
      </c>
      <c r="C416" s="278" t="inlineStr">
        <is>
          <t>COTIZACION DE LOS DISEÑOS DE SEGURIDAD HUMANA Y PROTECCIÓN CONTRA INCENDIOS - ZETA</t>
        </is>
      </c>
      <c r="I416" s="39" t="inlineStr">
        <is>
          <t>Construgen</t>
        </is>
      </c>
      <c r="J416" s="336" t="n">
        <v>19950000</v>
      </c>
      <c r="K416" s="112" t="n">
        <v>45877</v>
      </c>
      <c r="L416" s="39" t="n"/>
      <c r="M416" s="39" t="inlineStr">
        <is>
          <t>322 6875727</t>
        </is>
      </c>
      <c r="N416" s="39" t="inlineStr">
        <is>
          <t xml:space="preserve">Gabriel Vélez </t>
        </is>
      </c>
      <c r="O416" s="52" t="inlineStr">
        <is>
          <t>gabriel.velez@construgen.com</t>
        </is>
      </c>
    </row>
    <row r="417" hidden="1">
      <c r="A417" s="108" t="n"/>
      <c r="B417" s="39" t="n">
        <v>406</v>
      </c>
      <c r="C417" s="278" t="inlineStr">
        <is>
          <t>COTIZACION DEL DISEÑO DE EXTINCIÓN DE INCENDIOS - HOMECENTER BARRANCA</t>
        </is>
      </c>
      <c r="I417" s="39" t="inlineStr">
        <is>
          <t>CONCONCRETO</t>
        </is>
      </c>
      <c r="J417" s="336" t="n">
        <v>35950000</v>
      </c>
      <c r="K417" s="112" t="n">
        <v>45874</v>
      </c>
      <c r="L417" s="39" t="n"/>
      <c r="M417" s="39" t="n">
        <v>3054681214</v>
      </c>
      <c r="N417" s="39" t="inlineStr">
        <is>
          <t>Juan David Triana Muñoz</t>
        </is>
      </c>
      <c r="O417" s="116" t="inlineStr">
        <is>
          <t>jtriana@conconcreto.com</t>
        </is>
      </c>
    </row>
    <row r="418" hidden="1">
      <c r="A418" s="108" t="n"/>
      <c r="B418" s="39" t="n">
        <v>407</v>
      </c>
      <c r="C418" s="278" t="inlineStr">
        <is>
          <t>COTIZACION DE LOS DISEÑOS DE SEGURIDAD HUMANA Y PROTECCIÓN CONTRA INCENDIOS - RESIDENCIAL LAURELES</t>
        </is>
      </c>
      <c r="I418" s="39" t="inlineStr">
        <is>
          <t>Conexo</t>
        </is>
      </c>
      <c r="J418" s="336" t="n">
        <v>5750000</v>
      </c>
      <c r="K418" s="112" t="n">
        <v>45875</v>
      </c>
      <c r="L418" s="39" t="n"/>
      <c r="M418" s="39" t="n">
        <v>3002041724</v>
      </c>
      <c r="N418" s="39" t="inlineStr">
        <is>
          <t>Mauricio Davila Restrepo</t>
        </is>
      </c>
      <c r="O418" s="116" t="n"/>
    </row>
    <row r="419" hidden="1">
      <c r="A419" s="108" t="n"/>
      <c r="B419" s="39" t="n">
        <v>408</v>
      </c>
      <c r="C419" s="278" t="inlineStr">
        <is>
          <t>COTIZACION DE LOS DISEÑOS DE PROTECCIÓN CONTRA INCENDIOS - GAME ROOM MONTEVERDE</t>
        </is>
      </c>
      <c r="I419" s="39" t="inlineStr">
        <is>
          <t>Bitacora ingeniería</t>
        </is>
      </c>
      <c r="J419" s="336" t="n">
        <v>7520000</v>
      </c>
      <c r="K419" s="112" t="n">
        <v>45877</v>
      </c>
      <c r="L419" s="39" t="n"/>
      <c r="M419" s="39" t="n">
        <v>3006940601</v>
      </c>
      <c r="N419" s="39" t="inlineStr">
        <is>
          <t>Luisa Alarcón</t>
        </is>
      </c>
      <c r="O419" s="52" t="inlineStr">
        <is>
          <t>luisa.alarcon@bitacoraingenieria.com</t>
        </is>
      </c>
    </row>
    <row r="420" hidden="1">
      <c r="A420" s="108" t="n"/>
      <c r="B420" s="39" t="n">
        <v>409</v>
      </c>
      <c r="C420" s="278" t="inlineStr">
        <is>
          <t>COTIZACION DEL ANÁLISIS DE SEGURIDAD HUMANA - CONTRALORÍA CÚCUTA</t>
        </is>
      </c>
      <c r="I420" s="39" t="inlineStr">
        <is>
          <t>DRV Ingenieria</t>
        </is>
      </c>
      <c r="J420" s="336" t="n">
        <v>4350000</v>
      </c>
      <c r="K420" s="112" t="n">
        <v>45875</v>
      </c>
      <c r="L420" s="39" t="n"/>
      <c r="M420" s="39" t="n">
        <v>3102706742</v>
      </c>
      <c r="N420" s="39" t="inlineStr">
        <is>
          <t>Diego Zamora Martinez</t>
        </is>
      </c>
      <c r="O420" s="52" t="inlineStr">
        <is>
          <t>diegozamora@drvingenieria.co</t>
        </is>
      </c>
    </row>
    <row r="421" hidden="1">
      <c r="A421" s="108" t="n"/>
      <c r="B421" s="39" t="n">
        <v>410</v>
      </c>
      <c r="C421" s="278" t="inlineStr">
        <is>
          <t>COTIZACION DE LOS DISEÑOS DE SEGURIDAD HUMANA Y DETECCIÓN DE INCENDIOS - LA SIRENA</t>
        </is>
      </c>
      <c r="I421" s="39" t="inlineStr">
        <is>
          <t>Cusezar</t>
        </is>
      </c>
      <c r="J421" s="336" t="n">
        <v>19450000</v>
      </c>
      <c r="K421" s="112" t="n">
        <v>45875</v>
      </c>
      <c r="L421" s="39" t="n"/>
      <c r="M421" s="39" t="n">
        <v>3138201796</v>
      </c>
      <c r="N421" s="39" t="inlineStr">
        <is>
          <t>Viviam Paola Gaona Ardila</t>
        </is>
      </c>
      <c r="O421" s="52" t="inlineStr">
        <is>
          <t>vgaona@cusezar.com</t>
        </is>
      </c>
    </row>
    <row r="422" hidden="1">
      <c r="A422" s="108" t="n"/>
      <c r="B422" s="39" t="n">
        <v>411</v>
      </c>
      <c r="C422" s="278" t="inlineStr">
        <is>
          <t>COTIZACION DEL DISEÑO DE DETECCIÓN DE INCENDIOS - ESPIGAL</t>
        </is>
      </c>
      <c r="I422" s="39" t="inlineStr">
        <is>
          <t>Laura Restrepo</t>
        </is>
      </c>
      <c r="J422" s="336" t="n">
        <v>1650000</v>
      </c>
      <c r="K422" s="112" t="n">
        <v>45877</v>
      </c>
      <c r="L422" s="39" t="n"/>
      <c r="M422" s="39" t="n">
        <v>3008473325</v>
      </c>
      <c r="N422" s="39" t="inlineStr">
        <is>
          <t>Laura Restrepo</t>
        </is>
      </c>
      <c r="O422" s="116" t="n"/>
    </row>
    <row r="423" hidden="1">
      <c r="A423" s="108" t="n"/>
      <c r="B423" s="39" t="n">
        <v>412</v>
      </c>
      <c r="C423" s="278" t="inlineStr">
        <is>
          <t>COTIZACION DE LOS DISEÑOS DE SEGURIDAD HUMANA Y PROTECCIÓN CONTRA INCENDIOS - INS. EDUCATIVA GALAPA</t>
        </is>
      </c>
      <c r="I423" s="39" t="inlineStr">
        <is>
          <t>UPB</t>
        </is>
      </c>
      <c r="J423" s="336" t="n">
        <v>18820000</v>
      </c>
      <c r="K423" s="112" t="n">
        <v>45881</v>
      </c>
      <c r="L423" s="39" t="n"/>
      <c r="M423" s="39" t="n">
        <v>4488388</v>
      </c>
      <c r="N423" s="39" t="inlineStr">
        <is>
          <t>Alejandro Restrepo Montoya</t>
        </is>
      </c>
      <c r="O423" s="52" t="inlineStr">
        <is>
          <t>alejandro.restrepomontoya@upb.edu.co</t>
        </is>
      </c>
    </row>
    <row r="424" hidden="1">
      <c r="A424" s="108" t="n"/>
      <c r="B424" s="39" t="n">
        <v>413</v>
      </c>
      <c r="C424" s="278" t="inlineStr">
        <is>
          <t>COTIZACION DE LOS DISEÑOS DE SEGURIDAD HUMANA Y PROTECCIÓN CONTRA INCENDIOS - INS. EDUCATIVA SABANA GRANDE</t>
        </is>
      </c>
      <c r="I424" s="39" t="inlineStr">
        <is>
          <t>UPB</t>
        </is>
      </c>
      <c r="J424" s="336" t="n">
        <v>18820000</v>
      </c>
      <c r="K424" s="112" t="n">
        <v>45881</v>
      </c>
      <c r="L424" s="39" t="n"/>
      <c r="M424" s="39" t="n">
        <v>4488388</v>
      </c>
      <c r="N424" s="39" t="inlineStr">
        <is>
          <t>Alejandro Restrepo Montoya</t>
        </is>
      </c>
      <c r="O424" s="52" t="inlineStr">
        <is>
          <t>alejandro.restrepomontoya@upb.edu.co</t>
        </is>
      </c>
    </row>
    <row r="425" hidden="1">
      <c r="A425" s="108" t="n"/>
      <c r="B425" s="39" t="n">
        <v>414</v>
      </c>
      <c r="C425" s="278" t="inlineStr">
        <is>
          <t>COTIZACION DE LOS DISEÑOS DE SEGURIDAD HUMANA Y PROTECCIÓN CONTRA INCENDIOS - INS. EDUCATIVA SALGAR</t>
        </is>
      </c>
      <c r="I425" s="39" t="inlineStr">
        <is>
          <t>UPB</t>
        </is>
      </c>
      <c r="J425" s="336" t="n">
        <v>18820000</v>
      </c>
      <c r="K425" s="112" t="n">
        <v>45881</v>
      </c>
      <c r="L425" s="39" t="n"/>
      <c r="M425" s="39" t="n">
        <v>4488388</v>
      </c>
      <c r="N425" s="39" t="inlineStr">
        <is>
          <t>Alejandro Restrepo Montoya</t>
        </is>
      </c>
      <c r="O425" s="52" t="inlineStr">
        <is>
          <t>alejandro.restrepomontoya@upb.edu.co</t>
        </is>
      </c>
    </row>
    <row r="426" hidden="1">
      <c r="A426" s="108" t="n"/>
      <c r="B426" s="39" t="n">
        <v>415</v>
      </c>
      <c r="C426" s="278" t="inlineStr">
        <is>
          <t>COTIZACION DE LOS DISEÑOS DE SEGURIDAD HUMANA Y PROTECCIÓN CONTRA INCENDIOS - INS. EDUCATIVA USICAURI</t>
        </is>
      </c>
      <c r="I426" s="39" t="inlineStr">
        <is>
          <t>UPB</t>
        </is>
      </c>
      <c r="J426" s="336" t="n">
        <v>18820000</v>
      </c>
      <c r="K426" s="112" t="n">
        <v>45881</v>
      </c>
      <c r="L426" s="39" t="n"/>
      <c r="M426" s="39" t="n">
        <v>4488388</v>
      </c>
      <c r="N426" s="39" t="inlineStr">
        <is>
          <t>Alejandro Restrepo Montoya</t>
        </is>
      </c>
      <c r="O426" s="52" t="inlineStr">
        <is>
          <t>alejandro.restrepomontoya@upb.edu.co</t>
        </is>
      </c>
    </row>
    <row r="427" hidden="1">
      <c r="A427" s="108" t="n"/>
      <c r="B427" s="39" t="n">
        <v>416</v>
      </c>
      <c r="C427" s="278" t="inlineStr">
        <is>
          <t>COTIZACION DE LOS DISEÑOS DE SEGURIDAD HUMANA Y PROTECCIÓN CONTRA INCENDIOS - INS. EDUCATIVA BARANOA</t>
        </is>
      </c>
      <c r="I427" s="39" t="inlineStr">
        <is>
          <t>UPB</t>
        </is>
      </c>
      <c r="J427" s="336" t="n">
        <v>18820000</v>
      </c>
      <c r="K427" s="112" t="n">
        <v>45881</v>
      </c>
      <c r="L427" s="39" t="n"/>
      <c r="M427" s="39" t="n">
        <v>4488388</v>
      </c>
      <c r="N427" s="39" t="inlineStr">
        <is>
          <t>Alejandro Restrepo Montoya</t>
        </is>
      </c>
      <c r="O427" s="52" t="inlineStr">
        <is>
          <t>alejandro.restrepomontoya@upb.edu.co</t>
        </is>
      </c>
    </row>
    <row r="428" hidden="1">
      <c r="A428" s="108" t="n"/>
      <c r="B428" s="39" t="n">
        <v>417</v>
      </c>
      <c r="C428" s="278" t="inlineStr">
        <is>
          <t>COTIZACION DE LOS DISEÑOS DE SEGURIDAD HUMANA Y PROTECCIÓN CONTRA INCENDIOS - INSTITUCION EDUCATIVA CEDES</t>
        </is>
      </c>
      <c r="I428" s="39" t="inlineStr">
        <is>
          <t>Roberto Ospina</t>
        </is>
      </c>
      <c r="J428" s="336" t="n">
        <v>8950000</v>
      </c>
      <c r="K428" s="112" t="n">
        <v>45880</v>
      </c>
      <c r="L428" s="39" t="n"/>
      <c r="M428" s="39" t="n">
        <v>3127736419</v>
      </c>
      <c r="N428" s="39" t="inlineStr">
        <is>
          <t>Roberto Ospina</t>
        </is>
      </c>
      <c r="O428" s="116" t="n"/>
    </row>
    <row r="429" hidden="1">
      <c r="A429" s="108" t="n"/>
      <c r="B429" s="39" t="n">
        <v>418</v>
      </c>
      <c r="C429" s="278" t="inlineStr">
        <is>
          <t>COTIZACION DE LOS DISEÑOS DE PROTECCIÓN CONTRA INCENDIOS - ALTO TESORO</t>
        </is>
      </c>
      <c r="I429" s="39" t="inlineStr">
        <is>
          <t>FP Services</t>
        </is>
      </c>
      <c r="J429" s="336" t="n"/>
      <c r="K429" s="112" t="n">
        <v>45880</v>
      </c>
      <c r="L429" s="39" t="n"/>
      <c r="M429" s="39" t="n">
        <v>3104513967</v>
      </c>
      <c r="N429" s="39" t="inlineStr">
        <is>
          <t>Julio Millan Trujillo</t>
        </is>
      </c>
      <c r="O429" s="116" t="inlineStr">
        <is>
          <t>juliomillan@fpservices.com.co</t>
        </is>
      </c>
    </row>
    <row r="430" hidden="1">
      <c r="A430" s="108" t="n"/>
      <c r="B430" s="39" t="n">
        <v>419</v>
      </c>
      <c r="C430" s="278" t="inlineStr">
        <is>
          <t>COTIZACION DE LOS DISEÑOS DE PROTECCIÓN CONTRA INCENDIOS - PLATINUM</t>
        </is>
      </c>
      <c r="I430" s="39" t="inlineStr">
        <is>
          <t>FP Services</t>
        </is>
      </c>
      <c r="J430" s="336" t="n"/>
      <c r="K430" s="112" t="n">
        <v>45880</v>
      </c>
      <c r="L430" s="39" t="n"/>
      <c r="M430" s="39" t="n">
        <v>3104513967</v>
      </c>
      <c r="N430" s="39" t="inlineStr">
        <is>
          <t>Julio Millan Trujillo</t>
        </is>
      </c>
      <c r="O430" s="116" t="inlineStr">
        <is>
          <t>juliomillan@fpservices.com.co</t>
        </is>
      </c>
    </row>
    <row r="431" hidden="1">
      <c r="A431" s="108" t="n"/>
      <c r="B431" s="39" t="n">
        <v>420</v>
      </c>
      <c r="C431" s="278" t="inlineStr">
        <is>
          <t>COTIZACION DE LOS DISEÑOS DE SEGURIDAD HUMANA Y PROTECCIÓN CONTRA INCENDIOS - TRAVIATA TORRE 1</t>
        </is>
      </c>
      <c r="I431" s="39" t="inlineStr">
        <is>
          <t>FCR</t>
        </is>
      </c>
      <c r="J431" s="336" t="inlineStr">
        <is>
          <t>Variable</t>
        </is>
      </c>
      <c r="K431" s="112" t="n">
        <v>45881</v>
      </c>
      <c r="L431" s="39" t="n"/>
      <c r="M431" s="39" t="inlineStr">
        <is>
          <t>311 3304231</t>
        </is>
      </c>
      <c r="N431" s="39" t="inlineStr">
        <is>
          <t>Daniela Vélez</t>
        </is>
      </c>
      <c r="O431" s="116" t="inlineStr">
        <is>
          <t>danielavelez.fcr@gmail.com</t>
        </is>
      </c>
    </row>
    <row r="432" hidden="1">
      <c r="A432" s="108" t="n"/>
      <c r="B432" s="39" t="n">
        <v>421</v>
      </c>
      <c r="C432" s="278" t="inlineStr">
        <is>
          <t>COTIZACION DE LOS DISEÑOS DE SEGURIDAD HUMANA Y PROTECCIÓN CONTRA INCENDIOS - TRANSMETANO</t>
        </is>
      </c>
      <c r="I432" s="39" t="inlineStr">
        <is>
          <t>Studio SUR</t>
        </is>
      </c>
      <c r="J432" s="336" t="n">
        <v>6950000</v>
      </c>
      <c r="K432" s="112" t="n">
        <v>45882</v>
      </c>
      <c r="L432" s="39" t="n"/>
      <c r="M432" s="39" t="inlineStr">
        <is>
          <t>317 502 23 73</t>
        </is>
      </c>
      <c r="N432" s="39" t="inlineStr">
        <is>
          <t>Andrea Pineda</t>
        </is>
      </c>
      <c r="O432" s="52" t="inlineStr">
        <is>
          <t>andrea.pineda@studiosur.net</t>
        </is>
      </c>
    </row>
    <row r="433" hidden="1" ht="15" customHeight="1">
      <c r="A433" s="108" t="n"/>
      <c r="B433" s="39" t="n">
        <v>422</v>
      </c>
      <c r="C433" s="278" t="inlineStr">
        <is>
          <t>COTIZACION DEL DISEÑO DE EXTINCIÓN DE INCENDIOS - BOMBA JACA</t>
        </is>
      </c>
      <c r="I433" s="39" t="inlineStr">
        <is>
          <t>Arquitectura y Concreto</t>
        </is>
      </c>
      <c r="J433" s="336" t="n">
        <v>2950000</v>
      </c>
      <c r="K433" s="112" t="n">
        <v>45882</v>
      </c>
      <c r="L433" s="39" t="n"/>
      <c r="M433" s="39" t="n">
        <v>3204342511</v>
      </c>
      <c r="N433" s="39" t="inlineStr">
        <is>
          <t>Danny Alexander Castro Arias</t>
        </is>
      </c>
      <c r="O433" s="52" t="inlineStr">
        <is>
          <t>dannycastro@arquitecturayconcreto.com</t>
        </is>
      </c>
    </row>
    <row r="434" hidden="1" ht="15" customHeight="1">
      <c r="A434" s="108" t="n"/>
      <c r="B434" s="39" t="n">
        <v>423</v>
      </c>
      <c r="C434" s="278" t="inlineStr">
        <is>
          <t>COTIZACION DEL DISEÑO DE DETECCIÓN DE INCENDIOS - TAN FAMILIA</t>
        </is>
      </c>
      <c r="I434" s="39" t="inlineStr">
        <is>
          <t>SERIINCO</t>
        </is>
      </c>
      <c r="J434" s="336" t="n">
        <v>2200000</v>
      </c>
      <c r="K434" s="112" t="n">
        <v>45903</v>
      </c>
      <c r="L434" s="39" t="n"/>
      <c r="M434" s="39" t="n">
        <v>3116460496</v>
      </c>
      <c r="N434" s="39" t="inlineStr">
        <is>
          <t xml:space="preserve"> Francisco Unda</t>
        </is>
      </c>
      <c r="O434" s="116" t="inlineStr">
        <is>
          <t>francisco.unda@seriinco.com</t>
        </is>
      </c>
    </row>
    <row r="435" hidden="1">
      <c r="A435" s="108" t="n"/>
      <c r="B435" s="39" t="n">
        <v>424</v>
      </c>
      <c r="C435" s="278" t="inlineStr">
        <is>
          <t>COTIZACION DEL DISEÑO DE EXTINCIÓN DE INCENDIOS - BODEGA</t>
        </is>
      </c>
      <c r="I435" s="39" t="inlineStr">
        <is>
          <t>Comodisimos</t>
        </is>
      </c>
      <c r="J435" s="336" t="n">
        <v>4000000</v>
      </c>
      <c r="K435" s="112" t="n">
        <v>45883</v>
      </c>
      <c r="L435" s="39" t="n"/>
      <c r="M435" s="39" t="inlineStr">
        <is>
          <t>321 6531816</t>
        </is>
      </c>
      <c r="N435" s="39" t="inlineStr">
        <is>
          <t>Anderson Cardona</t>
        </is>
      </c>
      <c r="O435" s="52" t="inlineStr">
        <is>
          <t>ancardona@comodisimos.com</t>
        </is>
      </c>
    </row>
    <row r="436" hidden="1">
      <c r="A436" s="108" t="n"/>
      <c r="B436" s="39" t="n">
        <v>425</v>
      </c>
      <c r="C436" s="278" t="inlineStr">
        <is>
          <t>COTIZACION DE LOS DISEÑOS DE PROTECCIÓN CONTRA INCENDIOS - AYUDAS DIAGNOSTICAS AVIGNON</t>
        </is>
      </c>
      <c r="I436" s="39" t="inlineStr">
        <is>
          <t>E&amp;M Constructores</t>
        </is>
      </c>
      <c r="J436" s="336" t="n">
        <v>3590000</v>
      </c>
      <c r="K436" s="112" t="n">
        <v>45883</v>
      </c>
      <c r="L436" s="39" t="n"/>
      <c r="M436" s="39" t="n">
        <v>3215673220</v>
      </c>
      <c r="N436" s="39" t="inlineStr">
        <is>
          <t>Catalina Muñoz H</t>
        </is>
      </c>
      <c r="O436" s="52" t="inlineStr">
        <is>
          <t>director3@eymconstructores.com.co</t>
        </is>
      </c>
    </row>
    <row r="437" hidden="1">
      <c r="A437" s="108" t="n"/>
      <c r="B437" s="39" t="n">
        <v>426</v>
      </c>
      <c r="C437" s="278" t="inlineStr">
        <is>
          <t>COTIZACION DE LOS DISEÑOS DE PROTECCIÓN CONTRA INCENDIOS - EDIFICIO GUAYACANES</t>
        </is>
      </c>
      <c r="I437" s="39" t="inlineStr">
        <is>
          <t>Novacon</t>
        </is>
      </c>
      <c r="J437" s="336" t="n">
        <v>16940000</v>
      </c>
      <c r="K437" s="112" t="n">
        <v>45883</v>
      </c>
      <c r="L437" s="39" t="n"/>
      <c r="M437" s="39" t="n">
        <v>3016851068</v>
      </c>
      <c r="N437" s="39" t="inlineStr">
        <is>
          <t>Sebastián Parra Muñoz</t>
        </is>
      </c>
      <c r="O437" s="52" t="inlineStr">
        <is>
          <t>sebastian.pamu94@gmail.com</t>
        </is>
      </c>
    </row>
    <row r="438" hidden="1">
      <c r="A438" s="108" t="n"/>
      <c r="B438" s="39" t="n">
        <v>427</v>
      </c>
      <c r="C438" s="278" t="inlineStr">
        <is>
          <t>COTIZACION DE LOS DISEÑOS DE PROTECCIÓN CONTRA INCENDIOS - AMPLIACIÓN ECOFLORA</t>
        </is>
      </c>
      <c r="I438" s="39" t="inlineStr">
        <is>
          <t>SPCI</t>
        </is>
      </c>
      <c r="J438" s="336" t="n">
        <v>3950000</v>
      </c>
      <c r="K438" s="112" t="n">
        <v>45883</v>
      </c>
      <c r="L438" s="39" t="n"/>
      <c r="M438" s="39" t="n">
        <v>3104165783</v>
      </c>
      <c r="N438" s="39" t="inlineStr">
        <is>
          <t>Cristiam Gustavo Mondragon</t>
        </is>
      </c>
      <c r="O438" s="116" t="inlineStr">
        <is>
          <t>dir.tecnico@spci.com.co</t>
        </is>
      </c>
    </row>
    <row r="439" hidden="1">
      <c r="A439" s="108" t="n"/>
      <c r="B439" s="39" t="n">
        <v>428</v>
      </c>
      <c r="C439" s="278" t="inlineStr">
        <is>
          <t>COTIZACION DEL DISEÑO DE DETECCIÓN DE INCENDIOS - EL JORDÁN</t>
        </is>
      </c>
      <c r="I439" s="39" t="inlineStr">
        <is>
          <t xml:space="preserve">Nivel </t>
        </is>
      </c>
      <c r="J439" s="336" t="n">
        <v>2500000</v>
      </c>
      <c r="K439" s="112" t="n">
        <v>45883</v>
      </c>
      <c r="L439" s="39" t="n"/>
      <c r="M439" s="39" t="n">
        <v>3003524058</v>
      </c>
      <c r="N439" s="39" t="inlineStr">
        <is>
          <t>Javier Mercado V.</t>
        </is>
      </c>
      <c r="O439" s="52" t="inlineStr">
        <is>
          <t>proyectos3@nivel.co</t>
        </is>
      </c>
    </row>
    <row r="440" hidden="1">
      <c r="A440" s="108" t="n"/>
      <c r="B440" s="39" t="n">
        <v>429</v>
      </c>
      <c r="C440" s="278" t="inlineStr">
        <is>
          <t>COTIZACION DE LOS DISEÑOS DE SEGURIDAD HUMANA Y PROTECCIÓN CONTRA INCENDIOS - NAVITRANS IBAGUE</t>
        </is>
      </c>
      <c r="I440" s="39" t="inlineStr">
        <is>
          <t>Convel</t>
        </is>
      </c>
      <c r="J440" s="336" t="n">
        <v>16650000</v>
      </c>
      <c r="K440" s="112" t="n">
        <v>45883</v>
      </c>
      <c r="L440" s="39" t="n"/>
      <c r="M440" s="39" t="n">
        <v>3105175495</v>
      </c>
      <c r="N440" s="39" t="inlineStr">
        <is>
          <t>Manuela Beltrán Duque</t>
        </is>
      </c>
      <c r="O440" s="52" t="inlineStr">
        <is>
          <t>manuelabeltran@convel.co</t>
        </is>
      </c>
    </row>
    <row r="441" hidden="1">
      <c r="A441" s="108" t="n"/>
      <c r="B441" s="39" t="n">
        <v>430</v>
      </c>
      <c r="C441" s="278" t="inlineStr">
        <is>
          <t>COTIZACION DE LOS DISEÑOS DE PROTECCIÓN CONTRA INCENDIOS - EDIFICIO ANDES</t>
        </is>
      </c>
      <c r="I441" s="39" t="inlineStr">
        <is>
          <t>CREANDO Y CONSTRUYENDO 2023 S.A.S</t>
        </is>
      </c>
      <c r="J441" s="336" t="n">
        <v>16310000</v>
      </c>
      <c r="K441" s="112" t="n">
        <v>45883</v>
      </c>
      <c r="L441" s="39" t="n"/>
      <c r="M441" s="39" t="n">
        <v>3108239275</v>
      </c>
      <c r="N441" s="39" t="inlineStr">
        <is>
          <t>Rubén Posada</t>
        </is>
      </c>
      <c r="O441" s="116" t="n"/>
    </row>
    <row r="442" hidden="1">
      <c r="A442" s="108" t="n"/>
      <c r="B442" s="39" t="n">
        <v>431</v>
      </c>
      <c r="C442" s="278" t="inlineStr">
        <is>
          <t>COTIZACION DE LOS DISEÑOS DE PROTECCIÓN CONTRA INCENDIOS - COCINA CENTRO DE EXPERIENCIAS</t>
        </is>
      </c>
      <c r="I442" s="39" t="inlineStr">
        <is>
          <t>Soluciones Inmobiliarias</t>
        </is>
      </c>
      <c r="J442" s="336" t="n">
        <v>2380000</v>
      </c>
      <c r="K442" s="112" t="n">
        <v>45884</v>
      </c>
      <c r="L442" s="39" t="n"/>
      <c r="M442" s="39" t="n">
        <v>3113403275</v>
      </c>
      <c r="N442" s="39" t="inlineStr">
        <is>
          <t>Andres Ticora</t>
        </is>
      </c>
      <c r="O442" s="52" t="inlineStr">
        <is>
          <t>residente2@solucionesinmobiliariassas.com</t>
        </is>
      </c>
    </row>
    <row r="443" hidden="1">
      <c r="A443" s="108" t="n"/>
      <c r="B443" s="39" t="n">
        <v>432</v>
      </c>
      <c r="C443" s="278" t="inlineStr">
        <is>
          <t>COTIZACION DE LOS DISEÑOS DE SEGURIDAD HUMANA Y PROTECCIÓN CONTRA INCENDIOS - RETROTRAC</t>
        </is>
      </c>
      <c r="I443" s="39" t="inlineStr">
        <is>
          <t>Ensamble</t>
        </is>
      </c>
      <c r="J443" s="336" t="n">
        <v>9950000</v>
      </c>
      <c r="K443" s="112" t="n">
        <v>45888</v>
      </c>
      <c r="L443" s="39" t="n"/>
      <c r="M443" s="39" t="n">
        <v>3148332071</v>
      </c>
      <c r="N443" s="39" t="inlineStr">
        <is>
          <t>Liliana Yepes</t>
        </is>
      </c>
      <c r="O443" s="116" t="n"/>
    </row>
    <row r="444" hidden="1">
      <c r="A444" s="108" t="n"/>
      <c r="B444" s="39" t="n">
        <v>433</v>
      </c>
      <c r="C444" s="278" t="inlineStr">
        <is>
          <t>COTIZACION DE LOS DISEÑOS DE PROTECCIÓN CONTRA INCENDIOS - AYURA CENTER III</t>
        </is>
      </c>
      <c r="I444" s="39" t="inlineStr">
        <is>
          <t>Ingesed</t>
        </is>
      </c>
      <c r="J444" s="336" t="n">
        <v>6900000</v>
      </c>
      <c r="K444" s="112" t="n">
        <v>45888</v>
      </c>
      <c r="L444" s="39" t="n"/>
      <c r="M444" s="39" t="inlineStr">
        <is>
          <t>321 8338189</t>
        </is>
      </c>
      <c r="N444" s="39" t="inlineStr">
        <is>
          <t>Laura Delgado</t>
        </is>
      </c>
      <c r="O444" s="116" t="inlineStr">
        <is>
          <t>operacionesingesed@gmail.com</t>
        </is>
      </c>
    </row>
    <row r="445" hidden="1">
      <c r="A445" s="108" t="n"/>
      <c r="B445" s="39" t="n">
        <v>434</v>
      </c>
      <c r="C445" s="278" t="inlineStr">
        <is>
          <t>COTIZACION DE LOS DISEÑOS DE SEGURIDAD HUMANA Y PROTECCIÓN CONTRA INCENDIOS - HOTEL LOFT 75</t>
        </is>
      </c>
      <c r="I445" s="39" t="inlineStr">
        <is>
          <t>Paradigma Arquitectura</t>
        </is>
      </c>
      <c r="J445" s="336" t="n">
        <v>29650000</v>
      </c>
      <c r="K445" s="112" t="n">
        <v>45888</v>
      </c>
      <c r="L445" s="39" t="n"/>
      <c r="M445" s="39" t="inlineStr">
        <is>
          <t>324 681 6334</t>
        </is>
      </c>
      <c r="N445" s="39" t="inlineStr">
        <is>
          <t>Steven López Giraldo</t>
        </is>
      </c>
      <c r="O445" s="52" t="inlineStr">
        <is>
          <t>paradigmaarquitectura75@gmail.com</t>
        </is>
      </c>
    </row>
    <row r="446" hidden="1">
      <c r="A446" s="108" t="n"/>
      <c r="B446" s="39" t="n">
        <v>435</v>
      </c>
      <c r="C446" s="278" t="inlineStr">
        <is>
          <t>COTIZACION DEL DISEÑO DE EXTINCIÓN DE INCENDIOS - MALL COMERCIAL</t>
        </is>
      </c>
      <c r="I446" s="39" t="inlineStr">
        <is>
          <t>SP Inmobiliaria</t>
        </is>
      </c>
      <c r="J446" s="336" t="n">
        <v>2500000</v>
      </c>
      <c r="K446" s="112" t="n">
        <v>45888</v>
      </c>
      <c r="L446" s="39" t="n"/>
      <c r="M446" s="39" t="n">
        <v>3103521725</v>
      </c>
      <c r="N446" s="39" t="inlineStr">
        <is>
          <t>Clara Rocio Parra Acosta</t>
        </is>
      </c>
      <c r="O446" s="52" t="inlineStr">
        <is>
          <t>clara.parra@sp.com.co</t>
        </is>
      </c>
    </row>
    <row r="447" hidden="1">
      <c r="A447" s="108" t="n"/>
      <c r="B447" s="39" t="n">
        <v>436</v>
      </c>
      <c r="C447" s="278" t="inlineStr">
        <is>
          <t>COTIZACION DE PLANOS RECORD EXTINCIÓN Y DETECCIÓN PARA PROYECTO ONE LIVING ETAPA 1</t>
        </is>
      </c>
      <c r="I447" s="39" t="inlineStr">
        <is>
          <t>Construgen</t>
        </is>
      </c>
      <c r="J447" s="336" t="n">
        <v>3950000</v>
      </c>
      <c r="K447" s="112" t="n">
        <v>45888</v>
      </c>
      <c r="L447" s="39" t="n"/>
      <c r="M447" s="39" t="inlineStr">
        <is>
          <t>322 6875727</t>
        </is>
      </c>
      <c r="N447" s="39" t="inlineStr">
        <is>
          <t xml:space="preserve">Gabriel Vélez </t>
        </is>
      </c>
      <c r="O447" s="52" t="inlineStr">
        <is>
          <t>gabriel.velez@construgen.com</t>
        </is>
      </c>
    </row>
    <row r="448" hidden="1">
      <c r="A448" s="108" t="n"/>
      <c r="B448" s="39" t="n">
        <v>437</v>
      </c>
      <c r="C448" s="278" t="inlineStr">
        <is>
          <t>COTIZACION DEL ANÁLISIS DE SEGURIDAD HUMANA - NATURAL LIVING</t>
        </is>
      </c>
      <c r="I448" s="39" t="inlineStr">
        <is>
          <t>Nucleo Constructora</t>
        </is>
      </c>
      <c r="J448" s="336" t="n">
        <v>9950000</v>
      </c>
      <c r="K448" s="112" t="n">
        <v>45890</v>
      </c>
      <c r="L448" s="39" t="n"/>
      <c r="M448" s="39" t="inlineStr">
        <is>
          <t>324333 ext 105</t>
        </is>
      </c>
      <c r="N448" s="39" t="inlineStr">
        <is>
          <t>Isabel Zuluaga</t>
        </is>
      </c>
      <c r="O448" s="52" t="inlineStr">
        <is>
          <t>i.zuluaga@nucleoconstructora.com</t>
        </is>
      </c>
    </row>
    <row r="449" hidden="1">
      <c r="A449" s="108" t="n"/>
      <c r="B449" s="39" t="n">
        <v>438</v>
      </c>
      <c r="C449" s="278" t="inlineStr">
        <is>
          <t>COTIZACION DEL ANÁLISIS DE SEGURIDAD HUMANA - PISO 15 CAM</t>
        </is>
      </c>
      <c r="I449" s="39" t="inlineStr">
        <is>
          <t>ITC Diseños</t>
        </is>
      </c>
      <c r="J449" s="336" t="n">
        <v>1500000</v>
      </c>
      <c r="K449" s="112" t="n">
        <v>45891</v>
      </c>
      <c r="L449" s="39" t="n"/>
      <c r="M449" s="39" t="n">
        <v>3044003430</v>
      </c>
      <c r="N449" s="39" t="inlineStr">
        <is>
          <t>Gino Alejandro Montoya</t>
        </is>
      </c>
      <c r="O449" s="52" t="inlineStr">
        <is>
          <t>gino1037@hotmail.com</t>
        </is>
      </c>
    </row>
    <row r="450" hidden="1">
      <c r="A450" s="108" t="n"/>
      <c r="B450" s="39" t="n">
        <v>439</v>
      </c>
      <c r="C450" s="278" t="inlineStr">
        <is>
          <t>COTIZACION DE LOS DISEÑOS DE SEGURIDAD HUMANA Y PROTECCIÓN CONTRA INCENDIOS - TERRANHELO</t>
        </is>
      </c>
      <c r="I450" s="39" t="inlineStr">
        <is>
          <t>ITC Diseños</t>
        </is>
      </c>
      <c r="J450" s="336" t="n">
        <v>21950000</v>
      </c>
      <c r="K450" s="112" t="n">
        <v>45891</v>
      </c>
      <c r="L450" s="39" t="n"/>
      <c r="M450" s="39" t="n">
        <v>3044003430</v>
      </c>
      <c r="N450" s="39" t="inlineStr">
        <is>
          <t>Gino Alejandro Montoya</t>
        </is>
      </c>
      <c r="O450" s="52" t="inlineStr">
        <is>
          <t>gino1037@hotmail.com</t>
        </is>
      </c>
    </row>
    <row r="451" hidden="1">
      <c r="A451" s="108" t="n"/>
      <c r="B451" s="39" t="n">
        <v>440</v>
      </c>
      <c r="C451" s="278" t="inlineStr">
        <is>
          <t>COTIZACION DE LOS DISEÑOS DE SEGURIDAD HUMANA Y PROTECCIÓN CONTRA INCENDIOS - PLAZA DE MERCADO</t>
        </is>
      </c>
      <c r="I451" s="39" t="inlineStr">
        <is>
          <t>Construya sas</t>
        </is>
      </c>
      <c r="J451" s="336" t="n">
        <v>14950000</v>
      </c>
      <c r="K451" s="112" t="n">
        <v>45890</v>
      </c>
      <c r="L451" s="39" t="n"/>
      <c r="M451" s="39" t="n">
        <v>3215718594</v>
      </c>
      <c r="N451" s="39" t="inlineStr">
        <is>
          <t>David Muriel</t>
        </is>
      </c>
      <c r="O451" s="116" t="n"/>
    </row>
    <row r="452" hidden="1">
      <c r="A452" s="108" t="n"/>
      <c r="B452" s="39" t="n">
        <v>441</v>
      </c>
      <c r="C452" s="278" t="inlineStr">
        <is>
          <t>COTIZACION DE LOS DISEÑOS DE SEGURIDAD HUMANA Y PROTECCIÓN CONTRA INCENDIOS - FRUTOS VERDES TORRE 5</t>
        </is>
      </c>
      <c r="I452" s="39" t="inlineStr">
        <is>
          <t>Conintel</t>
        </is>
      </c>
      <c r="J452" s="336" t="inlineStr">
        <is>
          <t>Variable</t>
        </is>
      </c>
      <c r="K452" s="112" t="n">
        <v>45894</v>
      </c>
      <c r="L452" s="39" t="n"/>
      <c r="M452" s="39" t="n"/>
      <c r="N452" s="39" t="inlineStr">
        <is>
          <t>Yesica Osorno</t>
        </is>
      </c>
      <c r="O452" s="52" t="inlineStr">
        <is>
          <t>liderbim@conintel.com.co</t>
        </is>
      </c>
    </row>
    <row r="453" hidden="1">
      <c r="A453" s="108" t="n"/>
      <c r="B453" s="39" t="n">
        <v>442</v>
      </c>
      <c r="C453" s="278" t="inlineStr">
        <is>
          <t>COTIZACION DE LOS DISEÑOS DE SEGURIDAD HUMANA Y PROTECCIÓN CONTRA INCENDIOS - BIVETT - SURA</t>
        </is>
      </c>
      <c r="I453" s="39" t="inlineStr">
        <is>
          <t>E&amp;M Constructores</t>
        </is>
      </c>
      <c r="J453" s="336" t="n">
        <v>9450000</v>
      </c>
      <c r="K453" s="112" t="n">
        <v>45894</v>
      </c>
      <c r="L453" s="39" t="n"/>
      <c r="M453" s="39" t="n">
        <v>3215596687</v>
      </c>
      <c r="N453" s="39" t="inlineStr">
        <is>
          <t>Isabel Cristina Espitia Ch</t>
        </is>
      </c>
      <c r="O453" s="52" t="inlineStr">
        <is>
          <t>gerencia@eymconstructores.com.co</t>
        </is>
      </c>
    </row>
    <row r="454" hidden="1">
      <c r="A454" s="108" t="n"/>
      <c r="B454" s="39" t="n">
        <v>443</v>
      </c>
      <c r="C454" s="278" t="inlineStr">
        <is>
          <t>COTIZACION DE LOS DISEÑOS DE SEGURIDAD HUMANA Y PROTECCIÓN CONTRA INCENDIOS - MALVA</t>
        </is>
      </c>
      <c r="I454" s="39" t="inlineStr">
        <is>
          <t>FCR</t>
        </is>
      </c>
      <c r="J454" s="336" t="n">
        <v>19950000</v>
      </c>
      <c r="K454" s="112" t="n">
        <v>45894</v>
      </c>
      <c r="L454" s="39" t="n"/>
      <c r="M454" s="39" t="n">
        <v>3014317086</v>
      </c>
      <c r="N454" s="39" t="inlineStr">
        <is>
          <t>Tamara Puerta</t>
        </is>
      </c>
      <c r="O454" s="116" t="inlineStr">
        <is>
          <t>fcrtamarapuerta@gmail.com</t>
        </is>
      </c>
    </row>
    <row r="455" hidden="1">
      <c r="A455" s="108" t="n"/>
      <c r="B455" s="39" t="n">
        <v>444</v>
      </c>
      <c r="C455" s="278" t="inlineStr">
        <is>
          <t>COTIZACION DE LOS DISEÑOS DE SEGURIDAD HUMANA Y PROTECCIÓN CONTRA INCENDIOS - RIBERO T2</t>
        </is>
      </c>
      <c r="I455" s="39" t="inlineStr">
        <is>
          <t>FCR</t>
        </is>
      </c>
      <c r="J455" s="336" t="n">
        <v>14300000</v>
      </c>
      <c r="K455" s="112" t="n">
        <v>45894</v>
      </c>
      <c r="L455" s="39" t="n"/>
      <c r="M455" s="39" t="inlineStr">
        <is>
          <t>310 5304562</t>
        </is>
      </c>
      <c r="N455" s="39" t="inlineStr">
        <is>
          <t xml:space="preserve">Vanessa Zapata </t>
        </is>
      </c>
      <c r="O455" s="52" t="inlineStr">
        <is>
          <t>vanessazapata.fcr@gmail.com</t>
        </is>
      </c>
    </row>
    <row r="456" hidden="1">
      <c r="A456" s="108" t="n"/>
      <c r="B456" s="39" t="n">
        <v>445</v>
      </c>
      <c r="C456" s="278" t="inlineStr">
        <is>
          <t>COTIZACION DEL DISEÑO DE DETECCIÓN DE INCENDIOS - CASA DEL ÁNGEL</t>
        </is>
      </c>
      <c r="I456" s="39" t="inlineStr">
        <is>
          <t>Laura Cárdenas</t>
        </is>
      </c>
      <c r="J456" s="336" t="n">
        <v>3950000</v>
      </c>
      <c r="K456" s="112" t="n">
        <v>45894</v>
      </c>
      <c r="L456" s="39" t="n"/>
      <c r="M456" s="39" t="n">
        <v>3219360156</v>
      </c>
      <c r="N456" s="39" t="inlineStr">
        <is>
          <t>Laura Cárdenas</t>
        </is>
      </c>
      <c r="O456" s="52" t="inlineStr">
        <is>
          <t>lauracamila030@hotmail.com</t>
        </is>
      </c>
    </row>
    <row r="457" hidden="1">
      <c r="A457" s="108" t="n"/>
      <c r="B457" s="39" t="n">
        <v>446</v>
      </c>
      <c r="C457" s="278" t="inlineStr">
        <is>
          <t>COTIZACION DE LOS DISEÑOS DE SEGURIDAD HUMANA Y PROTECCIÓN CONTRA INCENDIOS - BASILEA ETAPA 1</t>
        </is>
      </c>
      <c r="I457" s="39" t="inlineStr">
        <is>
          <t>Coninsa</t>
        </is>
      </c>
      <c r="J457" s="336" t="n">
        <v>71620000</v>
      </c>
      <c r="K457" s="112" t="n">
        <v>45898</v>
      </c>
      <c r="L457" s="39" t="n"/>
      <c r="M457" s="39" t="n">
        <v>3007549649</v>
      </c>
      <c r="N457" s="39" t="inlineStr">
        <is>
          <t>Zully Milena López Molina</t>
        </is>
      </c>
      <c r="O457" s="52" t="inlineStr">
        <is>
          <t>zmlopez@coninsa.co</t>
        </is>
      </c>
    </row>
    <row r="458" hidden="1">
      <c r="A458" s="108" t="n"/>
      <c r="B458" s="39" t="n">
        <v>447</v>
      </c>
      <c r="C458" s="278" t="inlineStr">
        <is>
          <t>COTIZACION DE LOS DISEÑOS DE PROTECCIÓN CONTRA INCENDIOS - HOMECENTER KRISTALL MALL</t>
        </is>
      </c>
      <c r="I458" s="39" t="inlineStr">
        <is>
          <t>SPCI</t>
        </is>
      </c>
      <c r="J458" s="336" t="n">
        <v>29980000</v>
      </c>
      <c r="K458" s="112" t="n">
        <v>45898</v>
      </c>
      <c r="L458" s="39" t="n"/>
      <c r="M458" s="39" t="n">
        <v>3104165783</v>
      </c>
      <c r="N458" s="39" t="inlineStr">
        <is>
          <t>Cristiam Gustavo Mondragon</t>
        </is>
      </c>
      <c r="O458" s="116" t="inlineStr">
        <is>
          <t>dir.tecnico@spci.com.co</t>
        </is>
      </c>
    </row>
    <row r="459" hidden="1">
      <c r="A459" s="108" t="n"/>
      <c r="B459" s="39" t="n">
        <v>448</v>
      </c>
      <c r="C459" s="278" t="inlineStr">
        <is>
          <t>COTIZACION DE LOS DISEÑOS DE SEGURIDAD HUMANA Y DETECCIÓN DE INCENDIOS - BIVETT-SURA</t>
        </is>
      </c>
      <c r="I459" s="39" t="inlineStr">
        <is>
          <t>SPCI</t>
        </is>
      </c>
      <c r="J459" s="336" t="n">
        <v>7530000</v>
      </c>
      <c r="K459" s="112" t="n">
        <v>45898</v>
      </c>
      <c r="L459" s="39" t="n"/>
      <c r="M459" s="39" t="n">
        <v>3104165783</v>
      </c>
      <c r="N459" s="39" t="inlineStr">
        <is>
          <t>Cristiam Gustavo Mondragon</t>
        </is>
      </c>
      <c r="O459" s="116" t="inlineStr">
        <is>
          <t>dir.tecnico@spci.com.co</t>
        </is>
      </c>
    </row>
    <row r="460" hidden="1">
      <c r="A460" s="108" t="n"/>
      <c r="B460" s="39" t="n">
        <v>449</v>
      </c>
      <c r="C460" s="278" t="inlineStr">
        <is>
          <t>COTIZACION DEL DISEÑO DE EXTINCIÓN DE INCENDIOS - HIDRANTE EN CUBIERTAS VIVA VILLAVICENCIO</t>
        </is>
      </c>
      <c r="I460" s="39" t="inlineStr">
        <is>
          <t>SPCI</t>
        </is>
      </c>
      <c r="J460" s="336" t="n">
        <v>3950000</v>
      </c>
      <c r="K460" s="112" t="n">
        <v>45898</v>
      </c>
      <c r="L460" s="39" t="n"/>
      <c r="M460" s="39" t="n">
        <v>3104165783</v>
      </c>
      <c r="N460" s="39" t="inlineStr">
        <is>
          <t>Cristiam Gustavo Mondragon</t>
        </is>
      </c>
      <c r="O460" s="116" t="inlineStr">
        <is>
          <t>dir.tecnico@spci.com.co</t>
        </is>
      </c>
    </row>
    <row r="461" hidden="1">
      <c r="A461" s="108" t="n"/>
      <c r="B461" s="39" t="n">
        <v>450</v>
      </c>
      <c r="C461" s="278" t="inlineStr">
        <is>
          <t>COTIZACION DE LOS DISEÑOS DE SEGURIDAD HUMANA Y PROTECCIÓN CONTRA INCENDIOS - LAZARITO</t>
        </is>
      </c>
      <c r="I461" s="39" t="inlineStr">
        <is>
          <t>Coninsa</t>
        </is>
      </c>
      <c r="J461" s="336" t="n">
        <v>69880000</v>
      </c>
      <c r="K461" s="112" t="n">
        <v>45898</v>
      </c>
      <c r="L461" s="39" t="n"/>
      <c r="M461" s="39" t="n">
        <v>3007549649</v>
      </c>
      <c r="N461" s="39" t="inlineStr">
        <is>
          <t>Zully Milena López Molina</t>
        </is>
      </c>
      <c r="O461" s="52" t="inlineStr">
        <is>
          <t>zmlopez@coninsa.co</t>
        </is>
      </c>
    </row>
    <row r="462" hidden="1">
      <c r="A462" s="108" t="n"/>
      <c r="B462" s="39" t="n">
        <v>451</v>
      </c>
      <c r="C462" s="278" t="inlineStr">
        <is>
          <t>COTIZACION DE LOS DISEÑOS DE SEGURIDAD HUMANA Y PROTECCIÓN CONTRA INCENDIOS - INS. EDUCATIVAS ATLÁNTICO</t>
        </is>
      </c>
      <c r="I462" s="39" t="inlineStr">
        <is>
          <t>UPB</t>
        </is>
      </c>
      <c r="J462" s="336">
        <f>10820000*5</f>
        <v/>
      </c>
      <c r="K462" s="112" t="n">
        <v>45896</v>
      </c>
      <c r="L462" s="39" t="n"/>
      <c r="M462" s="39" t="n">
        <v>4488388</v>
      </c>
      <c r="N462" s="39" t="inlineStr">
        <is>
          <t>Alejandro Restrepo Montoya</t>
        </is>
      </c>
      <c r="O462" s="52" t="inlineStr">
        <is>
          <t>alejandro.restrepomontoya@upb.edu.co</t>
        </is>
      </c>
    </row>
    <row r="463" hidden="1">
      <c r="A463" s="108" t="n"/>
      <c r="B463" s="39" t="n">
        <v>452</v>
      </c>
      <c r="C463" s="278" t="inlineStr">
        <is>
          <t>COTIZACION DEL ANÁLISIS DE SEGURIDAD HUMANA - BODEGA ANDES</t>
        </is>
      </c>
      <c r="I463" s="39" t="inlineStr">
        <is>
          <t>AFC</t>
        </is>
      </c>
      <c r="J463" s="336" t="n">
        <v>2950000</v>
      </c>
      <c r="K463" s="112" t="n">
        <v>45897</v>
      </c>
      <c r="L463" s="39" t="n"/>
      <c r="M463" s="39" t="n">
        <v>3116456726</v>
      </c>
      <c r="N463" s="39" t="inlineStr">
        <is>
          <t>Andrés Felipe Cruz Restrepo</t>
        </is>
      </c>
      <c r="O463" s="52" t="inlineStr">
        <is>
          <t>proyectos.afcprofire@gmail.com</t>
        </is>
      </c>
    </row>
    <row r="464" hidden="1">
      <c r="A464" s="108" t="n"/>
      <c r="B464" s="39" t="n">
        <v>453</v>
      </c>
      <c r="C464" s="278" t="inlineStr">
        <is>
          <t>COTIZACION DE LOS DISEÑOS DE SEGURIDAD HUMANA Y PROTECCIÓN CONTRA INCENDIOS - VILLA GABRIELA ETAPA 3,4 Y 5</t>
        </is>
      </c>
      <c r="I464" s="39" t="inlineStr">
        <is>
          <t>Muros y techos</t>
        </is>
      </c>
      <c r="J464" s="336" t="n">
        <v>33300000</v>
      </c>
      <c r="K464" s="112" t="n">
        <v>45897</v>
      </c>
      <c r="L464" s="39" t="n"/>
      <c r="M464" s="39" t="inlineStr">
        <is>
          <t>313 7969915</t>
        </is>
      </c>
      <c r="N464" s="39" t="inlineStr">
        <is>
          <t>David Mesa</t>
        </is>
      </c>
      <c r="O464" s="52" t="inlineStr">
        <is>
          <t>damesa@mt.com.co</t>
        </is>
      </c>
    </row>
    <row r="465" hidden="1">
      <c r="A465" s="108" t="n"/>
      <c r="B465" s="39" t="n">
        <v>454</v>
      </c>
      <c r="C465" s="278" t="inlineStr">
        <is>
          <t>COTIZACION DE LOS DISEÑOS DE PROTECCIÓN CONTRA INCENDIOS - INVERSIONES GLP GUARNE</t>
        </is>
      </c>
      <c r="I465" s="39" t="inlineStr">
        <is>
          <t>SERIINCO</t>
        </is>
      </c>
      <c r="J465" s="336" t="inlineStr">
        <is>
          <t>No se presentó</t>
        </is>
      </c>
      <c r="K465" s="112" t="n">
        <v>45897</v>
      </c>
      <c r="L465" s="39" t="n"/>
      <c r="M465" s="39" t="n">
        <v>3113391008</v>
      </c>
      <c r="N465" s="39" t="inlineStr">
        <is>
          <t>Carlos Henao</t>
        </is>
      </c>
      <c r="O465" s="52" t="inlineStr">
        <is>
          <t>carlos.henao@seriinco.com</t>
        </is>
      </c>
    </row>
    <row r="466" hidden="1">
      <c r="A466" s="108" t="n"/>
      <c r="B466" s="39" t="n">
        <v>455</v>
      </c>
      <c r="C466" s="278" t="inlineStr">
        <is>
          <t>COTIZACION DEL DISEÑO DE EXTINCIÓN DE INCENDIOS - SIBERIA</t>
        </is>
      </c>
      <c r="I466" s="39" t="inlineStr">
        <is>
          <t>SERIINCO</t>
        </is>
      </c>
      <c r="J466" s="336" t="n">
        <v>47450000</v>
      </c>
      <c r="K466" s="112" t="n">
        <v>45897</v>
      </c>
      <c r="L466" s="39" t="n"/>
      <c r="M466" s="39" t="n">
        <v>3113391008</v>
      </c>
      <c r="N466" s="39" t="inlineStr">
        <is>
          <t>Carlos Henao</t>
        </is>
      </c>
      <c r="O466" s="52" t="inlineStr">
        <is>
          <t>carlos.henao@seriinco.com</t>
        </is>
      </c>
    </row>
    <row r="467" hidden="1">
      <c r="A467" s="108" t="n"/>
      <c r="B467" s="39" t="n">
        <v>456</v>
      </c>
      <c r="C467" s="278" t="inlineStr">
        <is>
          <t>COTIZACION DE LOS DISEÑOS DE PROTECCIÓN CONTRA INCENDIOS - YUMBO</t>
        </is>
      </c>
      <c r="I467" s="39" t="inlineStr">
        <is>
          <t>SERIINCO</t>
        </is>
      </c>
      <c r="J467" s="336" t="n">
        <v>129200000</v>
      </c>
      <c r="K467" s="112" t="n">
        <v>45897</v>
      </c>
      <c r="L467" s="39" t="n"/>
      <c r="M467" s="39" t="n">
        <v>3113391008</v>
      </c>
      <c r="N467" s="39" t="inlineStr">
        <is>
          <t>Carlos Henao</t>
        </is>
      </c>
      <c r="O467" s="52" t="inlineStr">
        <is>
          <t>carlos.henao@seriinco.com</t>
        </is>
      </c>
    </row>
    <row r="468" hidden="1">
      <c r="A468" s="108" t="n"/>
      <c r="B468" s="39" t="n">
        <v>457</v>
      </c>
      <c r="C468" s="278" t="inlineStr">
        <is>
          <t>COTIZACION DEL DISEÑO DE EXTINCIÓN DE INCENDIOS - RIDUCO</t>
        </is>
      </c>
      <c r="I468" s="39" t="inlineStr">
        <is>
          <t>Equipos el rapido</t>
        </is>
      </c>
      <c r="J468" s="336" t="n">
        <v>10950000</v>
      </c>
      <c r="K468" s="112" t="n">
        <v>45897</v>
      </c>
      <c r="L468" s="39" t="n"/>
      <c r="M468" s="39" t="n">
        <v>3104567316</v>
      </c>
      <c r="N468" s="39" t="inlineStr">
        <is>
          <t>Ana Maria Grajales Gomez</t>
        </is>
      </c>
      <c r="O468" s="52" t="inlineStr">
        <is>
          <t>gerencia@equiposelrapido.com</t>
        </is>
      </c>
    </row>
    <row r="469" hidden="1">
      <c r="A469" s="108" t="n"/>
      <c r="B469" s="39" t="n">
        <v>458</v>
      </c>
      <c r="C469" s="278" t="inlineStr">
        <is>
          <t>COTIZACION DE LOS DISEÑOS DE SEGURIDAD HUMANA Y PROTECCIÓN CONTRA INCENDIOS - EDP</t>
        </is>
      </c>
      <c r="I469" s="39" t="inlineStr">
        <is>
          <t>Santiago Rojas</t>
        </is>
      </c>
      <c r="J469" s="336" t="inlineStr">
        <is>
          <t>VARIABLE</t>
        </is>
      </c>
      <c r="K469" s="112" t="n">
        <v>45897</v>
      </c>
      <c r="L469" s="39" t="n"/>
      <c r="M469" s="39" t="n">
        <v>3008594811</v>
      </c>
      <c r="N469" s="39" t="inlineStr">
        <is>
          <t>Valeria Montoya</t>
        </is>
      </c>
      <c r="O469" s="52" t="inlineStr">
        <is>
          <t>sraic.diseno@gmail.com</t>
        </is>
      </c>
    </row>
    <row r="470" hidden="1">
      <c r="A470" s="108" t="n"/>
      <c r="B470" s="39" t="n">
        <v>459</v>
      </c>
      <c r="C470" s="278" t="inlineStr">
        <is>
          <t>COTIZACION DEL DISEÑO DE EXTINCIÓN DE INCENDIOS - MEZANINE CEDI AUTECO GUARNE</t>
        </is>
      </c>
      <c r="I470" s="39" t="inlineStr">
        <is>
          <t>PROSOMA</t>
        </is>
      </c>
      <c r="J470" s="336" t="n">
        <v>8900000</v>
      </c>
      <c r="K470" s="112" t="n">
        <v>45901</v>
      </c>
      <c r="L470" s="39" t="n"/>
      <c r="M470" s="39" t="n">
        <v>3147537411</v>
      </c>
      <c r="N470" s="39" t="inlineStr">
        <is>
          <t>Adolfo Flores Cossio</t>
        </is>
      </c>
      <c r="O470" s="116" t="inlineStr">
        <is>
          <t>proyectos@prosoma.com.co</t>
        </is>
      </c>
    </row>
    <row r="471" hidden="1">
      <c r="A471" s="108" t="n"/>
      <c r="B471" s="39" t="n">
        <v>460</v>
      </c>
      <c r="C471" s="278" t="inlineStr">
        <is>
          <t>COTIZACION DE LOS DISEÑOS DE SEGURIDAD HUMANA Y PROTECCIÓN CONTRA INCENDIOS - BENEDICTINOS</t>
        </is>
      </c>
      <c r="I471" s="39" t="inlineStr">
        <is>
          <t>Dobleele</t>
        </is>
      </c>
      <c r="J471" s="336" t="n">
        <v>22950000</v>
      </c>
      <c r="K471" s="112" t="n">
        <v>45901</v>
      </c>
      <c r="L471" s="39" t="n"/>
      <c r="M471" s="39" t="n">
        <v>3165767257</v>
      </c>
      <c r="N471" s="39" t="inlineStr">
        <is>
          <t>Elizabeth  Gomez</t>
        </is>
      </c>
      <c r="O471" s="116" t="inlineStr">
        <is>
          <t>egomez@dobleele.co</t>
        </is>
      </c>
    </row>
    <row r="472" hidden="1">
      <c r="A472" s="108" t="n"/>
      <c r="B472" s="39" t="n">
        <v>461</v>
      </c>
      <c r="C472" s="278" t="inlineStr">
        <is>
          <t>COTIZACION DE LOS DISEÑOS DE SEGURIDAD HUMANA Y PROTECCIÓN CONTRA INCENDIOS - AMANTINA T3</t>
        </is>
      </c>
      <c r="I472" s="39" t="inlineStr">
        <is>
          <t>Coninsa</t>
        </is>
      </c>
      <c r="J472" s="336" t="n">
        <v>29970000</v>
      </c>
      <c r="K472" s="112" t="n">
        <v>45902</v>
      </c>
      <c r="L472" s="39" t="n"/>
      <c r="M472" s="39" t="n">
        <v>3007549649</v>
      </c>
      <c r="N472" s="39" t="inlineStr">
        <is>
          <t>Zully Milena López Molina</t>
        </is>
      </c>
      <c r="O472" s="52" t="inlineStr">
        <is>
          <t>zmlopez@coninsa.co</t>
        </is>
      </c>
    </row>
    <row r="473" hidden="1">
      <c r="A473" s="108" t="n"/>
      <c r="B473" s="39" t="n">
        <v>462</v>
      </c>
      <c r="C473" s="278" t="inlineStr">
        <is>
          <t>COTIZACION DEL ANÁLISIS DE SEGURIDAD HUMANA - VILLAVENTO</t>
        </is>
      </c>
      <c r="I473" s="39" t="inlineStr">
        <is>
          <t>Inmobiliaria Telval</t>
        </is>
      </c>
      <c r="J473" s="336" t="n">
        <v>9950000</v>
      </c>
      <c r="K473" s="112" t="n">
        <v>45901</v>
      </c>
      <c r="L473" s="39" t="n"/>
      <c r="M473" s="39" t="n">
        <v>3015373184</v>
      </c>
      <c r="N473" s="39" t="inlineStr">
        <is>
          <t>Elkin Johan Garzon</t>
        </is>
      </c>
      <c r="O473" s="52" t="inlineStr">
        <is>
          <t>cinmobiliariat@telval.com</t>
        </is>
      </c>
    </row>
    <row r="474" hidden="1">
      <c r="A474" s="108" t="n"/>
      <c r="B474" s="39" t="n">
        <v>463</v>
      </c>
      <c r="C474" s="278" t="inlineStr">
        <is>
          <t>COTIZACION DE LOS DISEÑOS DE SEGURIDAD HUMANA Y PROTECCIÓN CONTRA INCENDIOS - JAGGUA</t>
        </is>
      </c>
      <c r="I474" s="39" t="inlineStr">
        <is>
          <t>Contex</t>
        </is>
      </c>
      <c r="J474" s="336" t="n">
        <v>15950000</v>
      </c>
      <c r="K474" s="112" t="n">
        <v>45901</v>
      </c>
      <c r="L474" s="39" t="n"/>
      <c r="M474" s="39" t="inlineStr">
        <is>
          <t>319 2564149</t>
        </is>
      </c>
      <c r="N474" s="39" t="inlineStr">
        <is>
          <t>Henry Aguilar</t>
        </is>
      </c>
      <c r="O474" s="52" t="inlineStr">
        <is>
          <t>haguilar@contex.com.co</t>
        </is>
      </c>
    </row>
    <row r="475" hidden="1">
      <c r="A475" s="108" t="n"/>
      <c r="B475" s="39" t="n">
        <v>464</v>
      </c>
      <c r="C475" s="278" t="inlineStr">
        <is>
          <t>COTIZACION DE LOS DISEÑOS DE PROTECCIÓN CONTRA INCENDIOS - CHIQUINQUIRA</t>
        </is>
      </c>
      <c r="I475" s="39" t="inlineStr">
        <is>
          <t>SERIINCO</t>
        </is>
      </c>
      <c r="J475" s="336" t="n">
        <v>86670000</v>
      </c>
      <c r="K475" s="112" t="n">
        <v>45903</v>
      </c>
      <c r="L475" s="39" t="n"/>
      <c r="M475" s="39" t="n">
        <v>3113391008</v>
      </c>
      <c r="N475" s="39" t="inlineStr">
        <is>
          <t>Carlos Henao</t>
        </is>
      </c>
      <c r="O475" s="52" t="inlineStr">
        <is>
          <t>carlos.henao@seriinco.com</t>
        </is>
      </c>
    </row>
    <row r="476" hidden="1">
      <c r="A476" s="108" t="n"/>
      <c r="B476" s="39" t="n">
        <v>465</v>
      </c>
      <c r="C476" s="278" t="inlineStr">
        <is>
          <t>COTIZACION DEL DISEÑO DE EXTINCIÓN DE INCENDIOS - JOSSIE TREATMENT PLANT UPGRADE</t>
        </is>
      </c>
      <c r="I476" s="39" t="inlineStr">
        <is>
          <t>CEAD NV</t>
        </is>
      </c>
      <c r="J476" s="336" t="n">
        <v>11000</v>
      </c>
      <c r="K476" s="112" t="n">
        <v>45901</v>
      </c>
      <c r="L476" s="39" t="n"/>
      <c r="M476" s="170" t="n">
        <v>5977482657</v>
      </c>
      <c r="N476" s="103" t="inlineStr">
        <is>
          <t>Raúl A. Zulueta López</t>
        </is>
      </c>
      <c r="O476" s="116" t="inlineStr">
        <is>
          <t>r.lopez@ceadnv.com</t>
        </is>
      </c>
    </row>
    <row r="477" hidden="1">
      <c r="A477" s="108" t="n"/>
      <c r="B477" s="39" t="n">
        <v>466</v>
      </c>
      <c r="C477" s="278" t="inlineStr">
        <is>
          <t>COTIZACION DE LOS DISEÑOS DE PROTECCIÓN CONTRA INCENDIOS - CARTAGENA</t>
        </is>
      </c>
      <c r="I477" s="39" t="inlineStr">
        <is>
          <t>SERIINCO</t>
        </is>
      </c>
      <c r="J477" s="336" t="n">
        <v>75260000</v>
      </c>
      <c r="K477" s="112" t="n">
        <v>45903</v>
      </c>
      <c r="L477" s="39" t="n"/>
      <c r="M477" s="39" t="n">
        <v>3113391008</v>
      </c>
      <c r="N477" s="39" t="inlineStr">
        <is>
          <t>Carlos Henao</t>
        </is>
      </c>
      <c r="O477" s="52" t="inlineStr">
        <is>
          <t>carlos.henao@seriinco.com</t>
        </is>
      </c>
    </row>
    <row r="478" hidden="1">
      <c r="A478" s="108" t="n"/>
      <c r="B478" s="39" t="n">
        <v>467</v>
      </c>
      <c r="C478" s="278" t="inlineStr">
        <is>
          <t>COTIZACION DE LOS DISEÑOS DE SEGURIDAD HUMANA Y PROTECCIÓN CONTRA INCENDIOS - CENTRO ATENCION BIODIVERSIDAD</t>
        </is>
      </c>
      <c r="I478" s="39" t="inlineStr">
        <is>
          <t>Coninsa</t>
        </is>
      </c>
      <c r="J478" s="336" t="n">
        <v>28850000</v>
      </c>
      <c r="K478" s="112" t="n">
        <v>45903</v>
      </c>
      <c r="L478" s="39" t="n"/>
      <c r="M478" s="39" t="n">
        <v>3155264386</v>
      </c>
      <c r="N478" s="39" t="inlineStr">
        <is>
          <t>Yuliana Tamayo Zapata</t>
        </is>
      </c>
      <c r="O478" s="52" t="inlineStr">
        <is>
          <t>ytamayo@coninsa.co</t>
        </is>
      </c>
    </row>
    <row r="479" hidden="1">
      <c r="A479" s="108" t="n"/>
      <c r="B479" s="39" t="n">
        <v>468</v>
      </c>
      <c r="C479" s="278" t="inlineStr">
        <is>
          <t>COTIZACION DE LOS DISEÑOS DE SEGURIDAD HUMANA Y PROTECCIÓN CONTRA INCENDIOS - ALTOS DEL POBLADO</t>
        </is>
      </c>
      <c r="I479" s="39" t="inlineStr">
        <is>
          <t>Tres E</t>
        </is>
      </c>
      <c r="J479" s="336" t="n">
        <v>26900000</v>
      </c>
      <c r="K479" s="112" t="n">
        <v>45903</v>
      </c>
      <c r="L479" s="39" t="n"/>
      <c r="M479" s="39" t="n"/>
      <c r="N479" s="39" t="inlineStr">
        <is>
          <t xml:space="preserve"> Juan Camilo Ramírez</t>
        </is>
      </c>
      <c r="O479" s="52" t="inlineStr">
        <is>
          <t>juanramirez@tres-e.com</t>
        </is>
      </c>
    </row>
    <row r="480" hidden="1">
      <c r="A480" s="108" t="n"/>
      <c r="B480" s="39" t="n">
        <v>469</v>
      </c>
      <c r="C480" s="278" t="inlineStr">
        <is>
          <t>COTIZACION DEL ANÁLISIS DE SEGURIDAD HUMANA - EDIFICACION EL SALVADOR</t>
        </is>
      </c>
      <c r="I480" s="39" t="inlineStr">
        <is>
          <t>Doublec</t>
        </is>
      </c>
      <c r="J480" s="336" t="n">
        <v>12540000</v>
      </c>
      <c r="K480" s="112" t="n">
        <v>45903</v>
      </c>
      <c r="L480" s="39" t="n"/>
      <c r="M480" s="39" t="n">
        <v>3108312159</v>
      </c>
      <c r="N480" s="39" t="inlineStr">
        <is>
          <t>Farley de Jesus Bustamante Zuleta</t>
        </is>
      </c>
      <c r="O480" s="52" t="inlineStr">
        <is>
          <t>fbustamantez@doublec.com</t>
        </is>
      </c>
    </row>
    <row r="481" hidden="1">
      <c r="A481" s="108" t="n"/>
      <c r="B481" s="39" t="n">
        <v>470</v>
      </c>
      <c r="C481" s="278" t="inlineStr">
        <is>
          <t>COTIZACION DEL DISEÑO DE EXTINCIÓN DE INCENDIOS - BOMBAS BELO</t>
        </is>
      </c>
      <c r="I481" s="39" t="inlineStr">
        <is>
          <t>FCR</t>
        </is>
      </c>
      <c r="J481" s="336" t="n">
        <v>3760000</v>
      </c>
      <c r="K481" s="112" t="n">
        <v>45903</v>
      </c>
      <c r="L481" s="39" t="n"/>
      <c r="M481" s="39" t="inlineStr">
        <is>
          <t>310 5304562</t>
        </is>
      </c>
      <c r="N481" s="39" t="inlineStr">
        <is>
          <t xml:space="preserve">Vanessa Zapata </t>
        </is>
      </c>
      <c r="O481" s="52" t="inlineStr">
        <is>
          <t>vanessazapata.fcr@gmail.com</t>
        </is>
      </c>
    </row>
    <row r="482" hidden="1">
      <c r="A482" s="108" t="n"/>
      <c r="B482" s="39" t="n">
        <v>471</v>
      </c>
      <c r="C482" s="278" t="inlineStr">
        <is>
          <t>COTIZACION DE LOS DISEÑOS DE SEGURIDAD HUMANA Y PROTECCIÓN CONTRA INCENDIOS - NEO ETAPA 3</t>
        </is>
      </c>
      <c r="I482" s="39" t="inlineStr">
        <is>
          <t>Estructurar</t>
        </is>
      </c>
      <c r="J482" s="336" t="n">
        <v>19980000</v>
      </c>
      <c r="K482" s="112" t="n">
        <v>45903</v>
      </c>
      <c r="L482" s="39" t="n"/>
      <c r="M482" s="39" t="n">
        <v>3136112279</v>
      </c>
      <c r="N482" s="39" t="inlineStr">
        <is>
          <t>Edison Alejandro Pulgarin</t>
        </is>
      </c>
      <c r="O482" s="52" t="inlineStr">
        <is>
          <t>coordinadordisenos@estructurar.co</t>
        </is>
      </c>
    </row>
    <row r="483" hidden="1">
      <c r="A483" s="108" t="n"/>
      <c r="B483" s="39" t="n">
        <v>472</v>
      </c>
      <c r="C483" s="278" t="inlineStr">
        <is>
          <t>COTIZACION DEL DISEÑO DE EXTINCIÓN DE INCENDIOS - EDIFICIO G334</t>
        </is>
      </c>
      <c r="I483" s="39" t="inlineStr">
        <is>
          <t>Hidro F Salinas</t>
        </is>
      </c>
      <c r="J483" s="336" t="n">
        <v>11950000</v>
      </c>
      <c r="K483" s="112" t="n">
        <v>45903</v>
      </c>
      <c r="L483" s="39" t="n"/>
      <c r="M483" s="39" t="n">
        <v>3104139821</v>
      </c>
      <c r="N483" s="39" t="inlineStr">
        <is>
          <t>Carolina Volkmar R.</t>
        </is>
      </c>
      <c r="O483" s="116" t="inlineStr">
        <is>
          <t>carolina@hidrofsalinas.com</t>
        </is>
      </c>
    </row>
    <row r="484" hidden="1">
      <c r="A484" s="108" t="n"/>
      <c r="B484" s="39" t="n">
        <v>473</v>
      </c>
      <c r="C484" s="278" t="inlineStr">
        <is>
          <t>COTIZACION DEL DISEÑO DE DETECCIÓN DE INCENDIOS - INTERTEK</t>
        </is>
      </c>
      <c r="I484" s="39" t="inlineStr">
        <is>
          <t>SPCI</t>
        </is>
      </c>
      <c r="J484" s="336" t="n">
        <v>2950000</v>
      </c>
      <c r="K484" s="112" t="n">
        <v>45903</v>
      </c>
      <c r="L484" s="39" t="n"/>
      <c r="M484" s="39" t="inlineStr">
        <is>
          <t>300 6047984</t>
        </is>
      </c>
      <c r="N484" s="39" t="inlineStr">
        <is>
          <t>Natalia Martínez</t>
        </is>
      </c>
      <c r="O484" s="52" t="inlineStr">
        <is>
          <t>coor.relacionamiento@spci.com.co</t>
        </is>
      </c>
    </row>
    <row r="485" hidden="1">
      <c r="A485" s="108" t="n"/>
      <c r="B485" s="39" t="n">
        <v>474</v>
      </c>
      <c r="C485" s="278" t="inlineStr">
        <is>
          <t>COTIZACION DEL ANÁLISIS DE SEGURIDAD HUMANA - MODERNO</t>
        </is>
      </c>
      <c r="I485" s="39" t="inlineStr">
        <is>
          <t>CONCONCRETO</t>
        </is>
      </c>
      <c r="J485" s="336" t="n">
        <v>3760000</v>
      </c>
      <c r="K485" s="112" t="n">
        <v>45903</v>
      </c>
      <c r="L485" s="39" t="n"/>
      <c r="M485" s="39" t="n">
        <v>3107618645</v>
      </c>
      <c r="N485" s="39" t="inlineStr">
        <is>
          <t>Daniel Camilo Quintero Gutierrez</t>
        </is>
      </c>
      <c r="O485" s="52" t="inlineStr">
        <is>
          <t>dquinterog@conconcreto.com</t>
        </is>
      </c>
    </row>
    <row r="486" hidden="1">
      <c r="A486" s="108" t="n"/>
      <c r="B486" s="39" t="n">
        <v>475</v>
      </c>
      <c r="C486" s="278" t="inlineStr">
        <is>
          <t>COTIZACION DEL DISEÑO DE DETECCIÓN DE INCENDIOS - OSSPREY</t>
        </is>
      </c>
      <c r="I486" s="39" t="inlineStr">
        <is>
          <t>SERIINCO</t>
        </is>
      </c>
      <c r="J486" s="336" t="inlineStr">
        <is>
          <t>ya se cotizó atrás</t>
        </is>
      </c>
      <c r="K486" s="112" t="n">
        <v>45903</v>
      </c>
      <c r="L486" s="39" t="n"/>
      <c r="M486" s="39" t="n">
        <v>3052837624</v>
      </c>
      <c r="N486" s="39" t="inlineStr">
        <is>
          <t>Laura Villa Muñoz</t>
        </is>
      </c>
      <c r="O486" s="52" t="inlineStr">
        <is>
          <t>laura.villa@seriinco.com</t>
        </is>
      </c>
    </row>
    <row r="487" hidden="1">
      <c r="A487" s="108" t="n"/>
      <c r="B487" s="39" t="n">
        <v>476</v>
      </c>
      <c r="C487" s="278" t="inlineStr">
        <is>
          <t>COTIZACION DE LOS DISEÑOS DE SEGURIDAD HUMANA Y PROTECCIÓN CONTRA INCENDIOS - MERCADO CENTRAL</t>
        </is>
      </c>
      <c r="I487" s="39" t="inlineStr">
        <is>
          <t>CONINSA</t>
        </is>
      </c>
      <c r="J487" s="336" t="n">
        <v>21840000</v>
      </c>
      <c r="K487" s="112" t="n">
        <v>45904</v>
      </c>
      <c r="L487" s="39" t="n"/>
      <c r="M487" s="39" t="inlineStr">
        <is>
          <t>300 5934637</t>
        </is>
      </c>
      <c r="N487" s="39" t="inlineStr">
        <is>
          <t>Nasser Jose Sir Cedeño</t>
        </is>
      </c>
      <c r="O487" s="52" t="inlineStr">
        <is>
          <t>njsirc@coninsa.co</t>
        </is>
      </c>
    </row>
    <row r="488" hidden="1">
      <c r="A488" s="108" t="n"/>
      <c r="B488" s="39" t="n">
        <v>477</v>
      </c>
      <c r="C488" s="278" t="inlineStr">
        <is>
          <t>COTIZACION DEL DISEÑO DE DETECCIÓN DE INCENDIOS - FAMILIA RIONEGRO</t>
        </is>
      </c>
      <c r="I488" s="39" t="inlineStr">
        <is>
          <t>SERIINCO</t>
        </is>
      </c>
      <c r="J488" s="336" t="n">
        <v>19950000</v>
      </c>
      <c r="K488" s="112" t="n">
        <v>45904</v>
      </c>
      <c r="L488" s="39" t="n"/>
      <c r="M488" s="39" t="n">
        <v>3116460496</v>
      </c>
      <c r="N488" s="39" t="inlineStr">
        <is>
          <t xml:space="preserve"> Francisco Unda</t>
        </is>
      </c>
      <c r="O488" s="116" t="inlineStr">
        <is>
          <t>francisco.unda@seriinco.com</t>
        </is>
      </c>
    </row>
    <row r="489" hidden="1">
      <c r="A489" s="108" t="n"/>
      <c r="B489" s="39" t="n">
        <v>478</v>
      </c>
      <c r="C489" s="278" t="inlineStr">
        <is>
          <t>COTIZACION DE LOS DISEÑOS DE SEGURIDAD HUMANA Y PROTECCIÓN CONTRA INCENDIOS - POWER DIGITAL</t>
        </is>
      </c>
      <c r="I489" s="39" t="inlineStr">
        <is>
          <t>Espiral</t>
        </is>
      </c>
      <c r="J489" s="336" t="n">
        <v>5500000</v>
      </c>
      <c r="K489" s="112" t="n">
        <v>45904</v>
      </c>
      <c r="L489" s="39" t="n"/>
      <c r="M489" s="39" t="n">
        <v>3017202332</v>
      </c>
      <c r="N489" s="39" t="inlineStr">
        <is>
          <t>Julián Andrés Gutierrez</t>
        </is>
      </c>
      <c r="O489" s="52" t="inlineStr">
        <is>
          <t>julian.gutierrez@espiral.com.co</t>
        </is>
      </c>
    </row>
    <row r="490" hidden="1">
      <c r="A490" s="108" t="n"/>
      <c r="B490" s="39" t="n">
        <v>479</v>
      </c>
      <c r="C490" s="278" t="inlineStr">
        <is>
          <t>COTIZACION DEL DISEÑO DE EXTINCIÓN DE INCENDIOS - ALUSUD</t>
        </is>
      </c>
      <c r="I490" s="39" t="inlineStr">
        <is>
          <t>ALUSUD EMBALAJES</t>
        </is>
      </c>
      <c r="J490" s="336" t="n"/>
      <c r="K490" s="112" t="n">
        <v>45905</v>
      </c>
      <c r="L490" s="39" t="n"/>
      <c r="M490" s="39" t="inlineStr">
        <is>
          <t>313 462 05 92</t>
        </is>
      </c>
      <c r="N490" s="39" t="inlineStr">
        <is>
          <t>Francy Ardila</t>
        </is>
      </c>
      <c r="O490" s="52" t="inlineStr">
        <is>
          <t>francy.ardila@oxfordpackaging.com</t>
        </is>
      </c>
    </row>
    <row r="491" hidden="1">
      <c r="A491" s="108" t="n"/>
      <c r="B491" s="39" t="n">
        <v>480</v>
      </c>
      <c r="C491" s="278" t="inlineStr">
        <is>
          <t>COTIZACION DE LOS DISEÑOS DE SEGURIDAD HUMANA Y PROTECCIÓN CONTRA INCENDIOS - SAN CAYETANO TORRE 3</t>
        </is>
      </c>
      <c r="I491" s="39" t="inlineStr">
        <is>
          <t>AIA</t>
        </is>
      </c>
      <c r="J491" s="336" t="n">
        <v>21950000</v>
      </c>
      <c r="K491" s="112" t="n">
        <v>45905</v>
      </c>
      <c r="L491" s="39" t="n"/>
      <c r="M491" s="39" t="inlineStr">
        <is>
          <t>(604) 2446600</t>
        </is>
      </c>
      <c r="N491" s="39" t="inlineStr">
        <is>
          <t>Rodrigo López Segura</t>
        </is>
      </c>
      <c r="O491" s="52" t="inlineStr">
        <is>
          <t>rodrigo.lopez@aia.com.co</t>
        </is>
      </c>
    </row>
    <row r="492" hidden="1">
      <c r="A492" s="108" t="n"/>
      <c r="B492" s="39" t="n">
        <v>481</v>
      </c>
      <c r="C492" s="278" t="inlineStr">
        <is>
          <t>COTIZACION DE LOS DISEÑOS DE PROTECCIÓN CONTRA INCENDIOS - CASA PATIO BONITO</t>
        </is>
      </c>
      <c r="I492" s="39" t="inlineStr">
        <is>
          <t>Fire &amp; Equipos</t>
        </is>
      </c>
      <c r="J492" s="336" t="n">
        <v>4950000</v>
      </c>
      <c r="K492" s="112" t="n">
        <v>45909</v>
      </c>
      <c r="L492" s="39" t="n"/>
      <c r="M492" s="39" t="n">
        <v>3134451063</v>
      </c>
      <c r="N492" s="39" t="inlineStr">
        <is>
          <t>Juan José Monsalve</t>
        </is>
      </c>
      <c r="O492" s="52" t="inlineStr">
        <is>
          <t>Directorcomercial@fireyequipos.com</t>
        </is>
      </c>
    </row>
    <row r="493" hidden="1">
      <c r="A493" s="108" t="n"/>
      <c r="B493" s="39" t="n">
        <v>482</v>
      </c>
      <c r="C493" s="278" t="inlineStr">
        <is>
          <t>COTIZACION DEL DISEÑO DE EXTINCIÓN DE INCENDIOS - LOCALES PISO 2 CC LA CENTRAL</t>
        </is>
      </c>
      <c r="I493" s="39" t="inlineStr">
        <is>
          <t>Securetec</t>
        </is>
      </c>
      <c r="J493" s="336" t="n">
        <v>950000</v>
      </c>
      <c r="K493" s="112" t="n">
        <v>45911</v>
      </c>
      <c r="L493" s="39" t="n"/>
      <c r="M493" s="39" t="n">
        <v>3206678830</v>
      </c>
      <c r="N493" s="39" t="inlineStr">
        <is>
          <t>Jhonny A Castro</t>
        </is>
      </c>
      <c r="O493" s="52" t="inlineStr">
        <is>
          <t>dirproyectos@securetec.com.co</t>
        </is>
      </c>
    </row>
    <row r="494" hidden="1">
      <c r="A494" s="108" t="n"/>
      <c r="B494" s="39" t="n">
        <v>483</v>
      </c>
      <c r="C494" s="278" t="inlineStr">
        <is>
          <t>COTIZACION DEL DISEÑO DE EXTINCIÓN DE INCENDIOS - EDIFICIO C26</t>
        </is>
      </c>
      <c r="I494" s="39" t="inlineStr">
        <is>
          <t>Securetec</t>
        </is>
      </c>
      <c r="J494" s="336" t="n">
        <v>14950000</v>
      </c>
      <c r="K494" s="112" t="n">
        <v>45911</v>
      </c>
      <c r="L494" s="39" t="n"/>
      <c r="M494" s="39" t="n">
        <v>3014111727</v>
      </c>
      <c r="N494" s="39" t="inlineStr">
        <is>
          <t>Julian David Camacho Galvis</t>
        </is>
      </c>
      <c r="O494" s="52" t="inlineStr">
        <is>
          <t>ascomercial2@securetec.com.co</t>
        </is>
      </c>
    </row>
    <row r="495" hidden="1">
      <c r="A495" s="108" t="n"/>
      <c r="B495" s="39" t="n">
        <v>484</v>
      </c>
      <c r="C495" s="278" t="inlineStr">
        <is>
          <t>COTIZACION DE LOS DISEÑOS DE SEGURIDAD HUMANA Y PROTECCIÓN CONTRA INCENDIOS - HOTEL NORTE</t>
        </is>
      </c>
      <c r="I495" s="39" t="inlineStr">
        <is>
          <t>Gustavo Jaramillo</t>
        </is>
      </c>
      <c r="J495" s="336" t="n">
        <v>26350000</v>
      </c>
      <c r="K495" s="112" t="n">
        <v>45911</v>
      </c>
      <c r="L495" s="39" t="n"/>
      <c r="M495" s="39" t="n">
        <v>3663276</v>
      </c>
      <c r="N495" s="39" t="inlineStr">
        <is>
          <t>Gustavo Jaramillo</t>
        </is>
      </c>
      <c r="O495" s="52" t="inlineStr">
        <is>
          <t>g.jaramillo.arq@gmail.com</t>
        </is>
      </c>
    </row>
    <row r="496" hidden="1">
      <c r="A496" s="108" t="n"/>
      <c r="B496" s="39" t="n">
        <v>485</v>
      </c>
      <c r="C496" s="278" t="inlineStr">
        <is>
          <t>COTIZACION DEL DISEÑO DE DETECCIÓN DE INCENDIOS - ML SOLUCIONES</t>
        </is>
      </c>
      <c r="I496" s="39" t="inlineStr">
        <is>
          <t>SPCI</t>
        </is>
      </c>
      <c r="J496" s="336" t="n">
        <v>6250000</v>
      </c>
      <c r="K496" s="112" t="n">
        <v>45911</v>
      </c>
      <c r="L496" s="39" t="n"/>
      <c r="M496" s="39" t="n">
        <v>3006047984</v>
      </c>
      <c r="N496" s="39" t="inlineStr">
        <is>
          <t>Natalia Martinez</t>
        </is>
      </c>
      <c r="O496" s="52" t="inlineStr">
        <is>
          <t>coor.relacionamiento@spci.com.co</t>
        </is>
      </c>
    </row>
    <row r="497" hidden="1">
      <c r="A497" s="108" t="n"/>
      <c r="B497" s="39" t="n">
        <v>486</v>
      </c>
      <c r="C497" s="278" t="inlineStr">
        <is>
          <t>COTIZACION DEL DISEÑO DE DETECCIÓN DE INCENDIOS - FURIMA</t>
        </is>
      </c>
      <c r="I497" s="39" t="inlineStr">
        <is>
          <t>SPCI</t>
        </is>
      </c>
      <c r="J497" s="336" t="n">
        <v>6250000</v>
      </c>
      <c r="K497" s="112" t="n">
        <v>45911</v>
      </c>
      <c r="L497" s="39" t="n"/>
      <c r="M497" s="39" t="n">
        <v>3006047984</v>
      </c>
      <c r="N497" s="39" t="inlineStr">
        <is>
          <t>Natalia Martinez</t>
        </is>
      </c>
      <c r="O497" s="52" t="inlineStr">
        <is>
          <t>coor.relacionamiento@spci.com.co</t>
        </is>
      </c>
    </row>
    <row r="498" hidden="1">
      <c r="A498" s="108" t="n"/>
      <c r="B498" s="39" t="n">
        <v>487</v>
      </c>
      <c r="C498" s="278" t="inlineStr">
        <is>
          <t>COTIZACION DEL ANÁLISIS DE SEGURIDAD HUMANA - CLUB HOUSE GUAYMARAL</t>
        </is>
      </c>
      <c r="I498" s="39" t="inlineStr">
        <is>
          <t>Fire Marshal</t>
        </is>
      </c>
      <c r="J498" s="336" t="n">
        <v>950000</v>
      </c>
      <c r="K498" s="112" t="n">
        <v>45917</v>
      </c>
      <c r="L498" s="39" t="n"/>
      <c r="M498" s="39" t="n">
        <v>3157127077</v>
      </c>
      <c r="N498" s="39" t="inlineStr">
        <is>
          <t>José Ignacio Henao</t>
        </is>
      </c>
      <c r="O498" s="52" t="inlineStr">
        <is>
          <t>josehenao@firemarshal.com.co</t>
        </is>
      </c>
    </row>
    <row r="499" hidden="1">
      <c r="A499" s="108" t="n"/>
      <c r="B499" s="39" t="n">
        <v>488</v>
      </c>
      <c r="C499" s="278" t="inlineStr">
        <is>
          <t>COTIZACION DEL DISEÑO DE DETECCIÓN DE INCENDIOS - CALL CENTER</t>
        </is>
      </c>
      <c r="I499" s="39" t="inlineStr">
        <is>
          <t>COINSI</t>
        </is>
      </c>
      <c r="J499" s="336" t="n">
        <v>1950000</v>
      </c>
      <c r="K499" s="112" t="n">
        <v>45911</v>
      </c>
      <c r="L499" s="39" t="n"/>
      <c r="M499" s="39" t="n">
        <v>3117208541</v>
      </c>
      <c r="N499" s="39" t="inlineStr">
        <is>
          <t>Sergio Rodriguez</t>
        </is>
      </c>
      <c r="O499" s="52" t="inlineStr">
        <is>
          <t>diseno4@gyd.com.co</t>
        </is>
      </c>
    </row>
    <row r="500" hidden="1">
      <c r="A500" s="108" t="n"/>
      <c r="B500" s="39" t="n">
        <v>489</v>
      </c>
      <c r="C500" s="278" t="inlineStr">
        <is>
          <t>COTIZACION DE LOS DISEÑOS DE SEGURIDAD HUMANA Y PROTECCIÓN CONTRA INCENDIOS - PLANTA INDUSTRIAL</t>
        </is>
      </c>
      <c r="I500" s="39" t="inlineStr">
        <is>
          <t>CONINSA</t>
        </is>
      </c>
      <c r="J500" s="336" t="inlineStr">
        <is>
          <t>Variable</t>
        </is>
      </c>
      <c r="K500" s="112" t="n">
        <v>45917</v>
      </c>
      <c r="L500" s="39" t="n"/>
      <c r="M500" s="39" t="n"/>
      <c r="N500" s="39" t="inlineStr">
        <is>
          <t>Vanessa Del Pilar Farieta Pineros</t>
        </is>
      </c>
      <c r="O500" s="52" t="inlineStr">
        <is>
          <t>vdfarieta@coninsa.co</t>
        </is>
      </c>
    </row>
    <row r="501" hidden="1">
      <c r="A501" s="108" t="n"/>
      <c r="B501" s="39" t="n">
        <v>490</v>
      </c>
      <c r="C501" s="278" t="inlineStr">
        <is>
          <t>COTIZACION DEL ANÁLISIS DE SEGURIDAD HUMANA - TERRITORIO VERDE</t>
        </is>
      </c>
      <c r="I501" s="39" t="inlineStr">
        <is>
          <t>TIP Interventoria</t>
        </is>
      </c>
      <c r="J501" s="336" t="n">
        <v>6250000</v>
      </c>
      <c r="K501" s="112" t="n">
        <v>45916</v>
      </c>
      <c r="L501" s="39" t="n"/>
      <c r="M501" s="39" t="n">
        <v>3013030142</v>
      </c>
      <c r="N501" s="39" t="inlineStr">
        <is>
          <t>Juliana Patricia Gómez Galvis</t>
        </is>
      </c>
      <c r="O501" s="52" t="inlineStr">
        <is>
          <t>interventoriaterritorioverde@tipinterventoria.com</t>
        </is>
      </c>
    </row>
    <row r="502" hidden="1">
      <c r="A502" s="108" t="n"/>
      <c r="B502" s="39" t="n">
        <v>491</v>
      </c>
      <c r="C502" s="278" t="inlineStr">
        <is>
          <t>COTIZACION DEL DISEÑO DE EXTINCIÓN DE INCENDIOS - CPVC-ECUADOR</t>
        </is>
      </c>
      <c r="I502" s="39" t="inlineStr">
        <is>
          <t>SupplyNet LATAM</t>
        </is>
      </c>
      <c r="J502" s="336" t="inlineStr">
        <is>
          <t>No se cotizó</t>
        </is>
      </c>
      <c r="K502" s="112" t="n">
        <v>45918</v>
      </c>
      <c r="L502" s="39" t="n"/>
      <c r="M502" s="39" t="n">
        <v>3104680508</v>
      </c>
      <c r="N502" s="39" t="inlineStr">
        <is>
          <t>Juan Pablo Grajales</t>
        </is>
      </c>
      <c r="O502" s="52" t="inlineStr">
        <is>
          <t>juan.grajales@supplynetlatam.com</t>
        </is>
      </c>
    </row>
    <row r="503" hidden="1">
      <c r="A503" s="108" t="n"/>
      <c r="B503" s="39" t="n">
        <v>492</v>
      </c>
      <c r="C503" s="278" t="inlineStr">
        <is>
          <t>COTIZACION DEL DISEÑO DE DETECCIÓN DE INCENDIOS - PROYECTO BELEN</t>
        </is>
      </c>
      <c r="I503" s="39" t="inlineStr">
        <is>
          <t>Fire &amp; Equipos</t>
        </is>
      </c>
      <c r="J503" s="336" t="n">
        <v>2500000</v>
      </c>
      <c r="K503" s="112" t="n">
        <v>45916</v>
      </c>
      <c r="L503" s="39" t="n"/>
      <c r="M503" s="39" t="n">
        <v>3134451063</v>
      </c>
      <c r="N503" s="39" t="inlineStr">
        <is>
          <t>Juan José Monsalve</t>
        </is>
      </c>
      <c r="O503" s="116" t="inlineStr">
        <is>
          <t>Directorcomercial@fireyequipos.com</t>
        </is>
      </c>
    </row>
    <row r="504" hidden="1">
      <c r="A504" s="108" t="n"/>
      <c r="B504" s="39" t="n">
        <v>493</v>
      </c>
      <c r="C504" s="278" t="inlineStr">
        <is>
          <t>COTIZACION DE LOS DISEÑOS DE SEGURIDAD HUMANA Y PROTECCIÓN CONTRA INCENDIOS - TORRE GIGANTE</t>
        </is>
      </c>
      <c r="I504" s="39" t="inlineStr">
        <is>
          <t>David Duque</t>
        </is>
      </c>
      <c r="J504" s="336" t="n">
        <v>23200000</v>
      </c>
      <c r="K504" s="112" t="n">
        <v>45917</v>
      </c>
      <c r="L504" s="39" t="n"/>
      <c r="M504" s="39" t="inlineStr">
        <is>
          <t>322 6861576</t>
        </is>
      </c>
      <c r="N504" s="39" t="inlineStr">
        <is>
          <t>David Duque</t>
        </is>
      </c>
      <c r="O504" s="116" t="n"/>
    </row>
    <row r="505" hidden="1">
      <c r="A505" s="108" t="n"/>
      <c r="B505" s="39" t="n">
        <v>494</v>
      </c>
      <c r="C505" s="278" t="inlineStr">
        <is>
          <t>COTIZACION REVISIÓN DE DISEÑOS - PROYECTO CONTECAR BODEGA 13000</t>
        </is>
      </c>
      <c r="I505" s="39" t="inlineStr">
        <is>
          <t>INTERVE</t>
        </is>
      </c>
      <c r="J505" s="336" t="n">
        <v>10750000</v>
      </c>
      <c r="K505" s="112" t="n">
        <v>45917</v>
      </c>
      <c r="L505" s="39" t="n"/>
      <c r="M505" s="39" t="n"/>
      <c r="N505" s="39" t="n"/>
      <c r="O505" s="116" t="n"/>
    </row>
    <row r="506" hidden="1" ht="15" customHeight="1">
      <c r="A506" s="108" t="n"/>
      <c r="B506" s="39" t="n">
        <v>495</v>
      </c>
      <c r="C506" s="278" t="inlineStr">
        <is>
          <t>COTIZACIÓN PLANOS ASBUILT HERBARIO</t>
        </is>
      </c>
      <c r="I506" s="39" t="inlineStr">
        <is>
          <t>CYP INSTALACIONES</t>
        </is>
      </c>
      <c r="J506" s="336" t="n">
        <v>3500000</v>
      </c>
      <c r="K506" s="112" t="n">
        <v>45917</v>
      </c>
      <c r="L506" s="39" t="n"/>
      <c r="M506" s="39" t="n"/>
      <c r="N506" s="39" t="n"/>
      <c r="O506" s="116" t="n"/>
    </row>
    <row r="507" hidden="1" ht="15" customHeight="1">
      <c r="A507" s="108" t="n"/>
      <c r="B507" s="39" t="n">
        <v>496</v>
      </c>
      <c r="C507" s="278" t="inlineStr">
        <is>
          <t>COTIZACION DEL DISEÑO DE EXTINCIÓN DE INCENDIOS - CEMPI</t>
        </is>
      </c>
      <c r="I507" s="39" t="inlineStr">
        <is>
          <t>Fire &amp; Equipos</t>
        </is>
      </c>
      <c r="J507" s="336" t="n">
        <v>3250000</v>
      </c>
      <c r="K507" s="112" t="n">
        <v>45917</v>
      </c>
      <c r="L507" s="39" t="n"/>
      <c r="M507" s="39" t="n">
        <v>3134451063</v>
      </c>
      <c r="N507" s="39" t="inlineStr">
        <is>
          <t>Juan José Monsalve</t>
        </is>
      </c>
      <c r="O507" s="116" t="inlineStr">
        <is>
          <t>Directorcomercial@fireyequipos.com</t>
        </is>
      </c>
    </row>
    <row r="508" hidden="1">
      <c r="A508" s="108" t="n"/>
      <c r="B508" s="39" t="n">
        <v>497</v>
      </c>
      <c r="C508" s="278" t="inlineStr">
        <is>
          <t>COTIZACION DEL DISEÑO DE EXTINCIÓN DE INCENDIOS - DIAGNÓSTICO DISEÑO DE EXTINCIÓN AVOPAK</t>
        </is>
      </c>
      <c r="I508" s="39" t="inlineStr">
        <is>
          <t>SPCI</t>
        </is>
      </c>
      <c r="J508" s="336" t="n">
        <v>4950000</v>
      </c>
      <c r="K508" s="112" t="n">
        <v>45918</v>
      </c>
      <c r="L508" s="39" t="n"/>
      <c r="M508" s="39" t="n">
        <v>3104165783</v>
      </c>
      <c r="N508" s="39" t="inlineStr">
        <is>
          <t>Cristiam Gustavo Mondragon</t>
        </is>
      </c>
      <c r="O508" s="52" t="inlineStr">
        <is>
          <t>dir.tecnico@spci.com.co</t>
        </is>
      </c>
    </row>
    <row r="509" hidden="1" ht="15" customHeight="1">
      <c r="A509" s="108" t="n"/>
      <c r="B509" s="39" t="n">
        <v>498</v>
      </c>
      <c r="C509" s="278" t="inlineStr">
        <is>
          <t>COTIZACION DE LOS DISEÑOS DE SEGURIDAD HUMANA Y PROTECCIÓN CONTRA INCENDIOS - KAIZEN</t>
        </is>
      </c>
      <c r="I509" s="39" t="inlineStr">
        <is>
          <t>CONINSA</t>
        </is>
      </c>
      <c r="J509" s="336" t="inlineStr">
        <is>
          <t>variable</t>
        </is>
      </c>
      <c r="K509" s="112" t="n">
        <v>45919</v>
      </c>
      <c r="L509" s="39" t="n"/>
      <c r="M509" s="39" t="n">
        <v>3007549649</v>
      </c>
      <c r="N509" s="39" t="inlineStr">
        <is>
          <t>Zully Milena López Molina</t>
        </is>
      </c>
      <c r="O509" s="52" t="inlineStr">
        <is>
          <t>zmlopez@coninsa.co</t>
        </is>
      </c>
    </row>
    <row r="510" hidden="1">
      <c r="A510" s="108" t="n"/>
      <c r="B510" s="39" t="n">
        <v>499</v>
      </c>
      <c r="C510" s="278" t="inlineStr">
        <is>
          <t>COTIZACION DE LOS DISEÑOS DE SEGURIDAD HUMANA Y EXTINCIÓN DE INCENDIOS - INCODOL PUNTO CLAVE</t>
        </is>
      </c>
      <c r="I510" s="39" t="inlineStr">
        <is>
          <t>Incodol</t>
        </is>
      </c>
      <c r="J510" s="336" t="n">
        <v>2440000</v>
      </c>
      <c r="K510" s="112" t="n">
        <v>45919</v>
      </c>
      <c r="L510" s="39" t="n"/>
      <c r="M510" s="39" t="inlineStr">
        <is>
          <t>301 5264636‬</t>
        </is>
      </c>
      <c r="N510" s="39" t="inlineStr">
        <is>
          <t>Johana Correa</t>
        </is>
      </c>
      <c r="O510" s="52" t="inlineStr">
        <is>
          <t>coord.infraestructura@incodol.com</t>
        </is>
      </c>
    </row>
    <row r="511" hidden="1" ht="15" customHeight="1">
      <c r="A511" s="108" t="n"/>
      <c r="B511" s="39" t="n">
        <v>500</v>
      </c>
      <c r="C511" s="278" t="inlineStr">
        <is>
          <t>COTIZACION DEL ANÁLISIS DE SEGURIDAD HUMANA - PLANTA INDUSTRIAL ZOMA</t>
        </is>
      </c>
      <c r="I511" s="39" t="inlineStr">
        <is>
          <t>CONCONCRETO</t>
        </is>
      </c>
      <c r="J511" s="336" t="n">
        <v>29950000</v>
      </c>
      <c r="K511" s="112" t="n">
        <v>45923</v>
      </c>
      <c r="L511" s="39" t="n"/>
      <c r="M511" s="39" t="n">
        <v>3206194853</v>
      </c>
      <c r="N511" s="39" t="inlineStr">
        <is>
          <t>Laura Sofia Foronda Vasquez</t>
        </is>
      </c>
      <c r="O511" s="52" t="inlineStr">
        <is>
          <t>lforondav@conconcreto.com</t>
        </is>
      </c>
    </row>
    <row r="512" hidden="1">
      <c r="A512" s="108" t="n"/>
      <c r="B512" s="39" t="n">
        <v>501</v>
      </c>
      <c r="C512" s="278" t="inlineStr">
        <is>
          <t>COTIZACION DE LOS DISEÑOS DE SEGURIDAD HUMANA Y EXTINCIÓN DE INCENDIOS - COLISEO BDELALCAZAR</t>
        </is>
      </c>
      <c r="I512" s="39" t="inlineStr">
        <is>
          <t>Hidro F Salinas</t>
        </is>
      </c>
      <c r="J512" s="336" t="n">
        <v>12450000</v>
      </c>
      <c r="K512" s="112" t="n">
        <v>45923</v>
      </c>
      <c r="L512" s="39" t="n"/>
      <c r="M512" s="39" t="n">
        <v>3104139821</v>
      </c>
      <c r="N512" s="39" t="inlineStr">
        <is>
          <t>Carolina Volkmar R.</t>
        </is>
      </c>
      <c r="O512" s="116" t="inlineStr">
        <is>
          <t>carolina@hidrofsalinas.com</t>
        </is>
      </c>
    </row>
    <row r="513" hidden="1">
      <c r="A513" s="108" t="n"/>
      <c r="B513" s="39" t="n">
        <v>502</v>
      </c>
      <c r="C513" s="278" t="inlineStr">
        <is>
          <t>COTIZACION DE LOS DISEÑOS DE SEGURIDAD HUMANA Y PROTECCIÓN CONTRA INCENDIOS - PORTERIA CALMO</t>
        </is>
      </c>
      <c r="I513" s="39" t="inlineStr">
        <is>
          <t>Proyectos urbanos</t>
        </is>
      </c>
      <c r="J513" s="336" t="n">
        <v>150000</v>
      </c>
      <c r="K513" s="112" t="n">
        <v>45923</v>
      </c>
      <c r="L513" s="39" t="n"/>
      <c r="M513" s="39" t="n"/>
      <c r="N513" s="39" t="inlineStr">
        <is>
          <t>Priscila Quintero Alvis</t>
        </is>
      </c>
      <c r="O513" s="52" t="inlineStr">
        <is>
          <t>pquintero@proyectosurbanos.com.co</t>
        </is>
      </c>
    </row>
    <row r="514" hidden="1">
      <c r="A514" s="108" t="n"/>
      <c r="B514" s="39" t="n">
        <v>503</v>
      </c>
      <c r="C514" s="278" t="inlineStr">
        <is>
          <t>COTIZACION DEL DISEÑO DE EXTINCIÓN DE INCENDIOS PARA EL PROYECTO COOPIDROGAS FUNZA</t>
        </is>
      </c>
      <c r="I514" s="39" t="inlineStr">
        <is>
          <t>Ingesed</t>
        </is>
      </c>
      <c r="J514" s="336" t="n">
        <v>24950000</v>
      </c>
      <c r="K514" s="112" t="n">
        <v>45923</v>
      </c>
      <c r="L514" s="39" t="n"/>
      <c r="M514" s="39" t="inlineStr">
        <is>
          <t>321 8338189</t>
        </is>
      </c>
      <c r="N514" s="39" t="inlineStr">
        <is>
          <t>Laura Delgado</t>
        </is>
      </c>
      <c r="O514" s="52" t="inlineStr">
        <is>
          <t>operacionesingesed@gmail.com</t>
        </is>
      </c>
    </row>
    <row r="515" hidden="1">
      <c r="A515" s="108" t="n"/>
      <c r="B515" s="39" t="n">
        <v>504</v>
      </c>
      <c r="C515" s="278" t="inlineStr">
        <is>
          <t>COTIZACION REVISIÓN DE DISEÑOS Y VERIFICACIÓN EN CAMPO PROYECTO NEO</t>
        </is>
      </c>
      <c r="I515" s="39" t="inlineStr">
        <is>
          <t>Estructurar</t>
        </is>
      </c>
      <c r="J515" s="336" t="n">
        <v>9750000</v>
      </c>
      <c r="K515" s="112" t="n">
        <v>45923</v>
      </c>
      <c r="L515" s="39" t="n"/>
      <c r="M515" s="39" t="n">
        <v>3136112279</v>
      </c>
      <c r="N515" s="39" t="inlineStr">
        <is>
          <t>Edison Alejandro Pulgarin</t>
        </is>
      </c>
      <c r="O515" s="52" t="inlineStr">
        <is>
          <t>coordinadordisenos@estructurar.co</t>
        </is>
      </c>
    </row>
    <row r="516" hidden="1">
      <c r="A516" s="108" t="n"/>
      <c r="B516" s="39" t="n">
        <v>505</v>
      </c>
      <c r="C516" s="278" t="inlineStr">
        <is>
          <t>COTIZACION DE LOS DISEÑOS DE PROTECCIÓN CONTRA INCENDIOS - CABO</t>
        </is>
      </c>
      <c r="I516" s="39" t="inlineStr">
        <is>
          <t>SPCI</t>
        </is>
      </c>
      <c r="J516" s="336" t="n">
        <v>12540000</v>
      </c>
      <c r="K516" s="112" t="n">
        <v>45926</v>
      </c>
      <c r="L516" s="39" t="n"/>
      <c r="M516" s="39" t="n">
        <v>3104165783</v>
      </c>
      <c r="N516" s="39" t="inlineStr">
        <is>
          <t>Cristiam Gustavo Mondragon</t>
        </is>
      </c>
      <c r="O516" s="52" t="inlineStr">
        <is>
          <t>dir.tecnico@spci.com.co</t>
        </is>
      </c>
    </row>
    <row r="517" hidden="1">
      <c r="A517" s="108" t="n"/>
      <c r="B517" s="39" t="n">
        <v>506</v>
      </c>
      <c r="C517" s="278" t="inlineStr">
        <is>
          <t>COTIZACION DE LOS DISEÑOS DE SEGURIDAD HUMANA Y PROTECCIÓN CONTRA INCENDIOS - CENTRO VIDA MUNICIPAL</t>
        </is>
      </c>
      <c r="I517" s="39" t="inlineStr">
        <is>
          <t>Municipio del peñol</t>
        </is>
      </c>
      <c r="J517" s="336" t="inlineStr">
        <is>
          <t>Variable</t>
        </is>
      </c>
      <c r="K517" s="112" t="n">
        <v>45929</v>
      </c>
      <c r="L517" s="39" t="n"/>
      <c r="M517" s="39" t="inlineStr">
        <is>
          <t>319 6146902</t>
        </is>
      </c>
      <c r="N517" s="39" t="inlineStr">
        <is>
          <t>Arion Camilo Alzate Pamplona</t>
        </is>
      </c>
      <c r="O517" s="52" t="inlineStr">
        <is>
          <t>proyectos@elpenol-antioquia.gov.co</t>
        </is>
      </c>
    </row>
    <row r="518" hidden="1">
      <c r="A518" s="108" t="n"/>
      <c r="B518" s="39" t="n">
        <v>507</v>
      </c>
      <c r="C518" s="278" t="inlineStr">
        <is>
          <t>COTIZACION DEL ANÁLISIS DE SEGURIDAD HUMANA - DAMASCO</t>
        </is>
      </c>
      <c r="I518" s="39" t="inlineStr">
        <is>
          <t>Constructora Andina</t>
        </is>
      </c>
      <c r="J518" s="336" t="n">
        <v>6270000</v>
      </c>
      <c r="K518" s="112" t="n">
        <v>45932</v>
      </c>
      <c r="L518" s="39" t="n"/>
      <c r="M518" s="39" t="n">
        <v>3057048084</v>
      </c>
      <c r="N518" s="39" t="inlineStr">
        <is>
          <t>Lucas Daniel Fernández Rojas</t>
        </is>
      </c>
      <c r="O518" s="52" t="inlineStr">
        <is>
          <t>andinaconstructura@gmail.com</t>
        </is>
      </c>
    </row>
    <row r="519" hidden="1">
      <c r="A519" s="108" t="n"/>
      <c r="B519" s="39" t="n">
        <v>508</v>
      </c>
      <c r="C519" s="278" t="inlineStr">
        <is>
          <t>COTIZACION DE LOS DISEÑOS DE SEGURIDAD HUMANA Y PROTECCIÓN CONTRA INCENDIOS - CENTRO DE CONEXIONES EAFIT</t>
        </is>
      </c>
      <c r="I519" s="39" t="inlineStr">
        <is>
          <t>Coninsa</t>
        </is>
      </c>
      <c r="J519" s="336" t="n">
        <v>49950000</v>
      </c>
      <c r="K519" s="112" t="n">
        <v>45926</v>
      </c>
      <c r="L519" s="39" t="n"/>
      <c r="M519" s="39" t="n">
        <v>3005934637</v>
      </c>
      <c r="N519" s="39" t="inlineStr">
        <is>
          <t>Nasser Jose Sir Cedeño</t>
        </is>
      </c>
      <c r="O519" s="52" t="inlineStr">
        <is>
          <t>njsirc@coninsa.co</t>
        </is>
      </c>
    </row>
    <row r="520" hidden="1" ht="15" customFormat="1" customHeight="1" s="153">
      <c r="A520" s="149" t="n"/>
      <c r="B520" s="150" t="n">
        <v>509</v>
      </c>
      <c r="C520" s="286" t="inlineStr">
        <is>
          <t>COTIZACION DE LOS DISEÑOS DE SEGURIDAD HUMANA Y PROTECCIÓN CONTRA INCENDIOS - HOGAR ADULTO MAYOR CALI</t>
        </is>
      </c>
      <c r="I520" s="150" t="inlineStr">
        <is>
          <t>John Ocampo Arquitectura</t>
        </is>
      </c>
      <c r="J520" s="341" t="n">
        <v>32985000</v>
      </c>
      <c r="K520" s="112" t="n">
        <v>45926</v>
      </c>
      <c r="L520" s="150" t="n"/>
      <c r="M520" s="150" t="n">
        <v>3007007418</v>
      </c>
      <c r="N520" s="150" t="inlineStr">
        <is>
          <t>Andrea Restrepo</t>
        </is>
      </c>
      <c r="O520" s="52" t="inlineStr">
        <is>
          <t>andrearestrepo@joarq.com</t>
        </is>
      </c>
    </row>
    <row r="521" hidden="1" customFormat="1" s="153">
      <c r="A521" s="149" t="n"/>
      <c r="B521" s="150" t="n">
        <v>510</v>
      </c>
      <c r="C521" s="287" t="inlineStr">
        <is>
          <t>COTIZACION DEL REDISEÑO DE EXTINCIÓN DE INCENDIOS PARA EL PROYECTO SIAMESA FRAGUA</t>
        </is>
      </c>
      <c r="I521" s="150" t="inlineStr">
        <is>
          <t>Contex</t>
        </is>
      </c>
      <c r="J521" s="341" t="n">
        <v>1150000</v>
      </c>
      <c r="K521" s="152" t="n">
        <v>45926</v>
      </c>
      <c r="L521" s="150" t="n"/>
      <c r="M521" s="39" t="n">
        <v>3183484307</v>
      </c>
      <c r="N521" s="39" t="inlineStr">
        <is>
          <t>Daniel Ceballos</t>
        </is>
      </c>
      <c r="O521" s="52" t="inlineStr">
        <is>
          <t>eceballos@contex.com.co</t>
        </is>
      </c>
    </row>
    <row r="522" hidden="1" ht="15" customHeight="1">
      <c r="A522" s="108" t="n"/>
      <c r="B522" s="39" t="n">
        <v>511</v>
      </c>
      <c r="C522" s="278" t="inlineStr">
        <is>
          <t>COTIZACION DEL ANÁLISIS DE SEGURIDAD HUMANA - CENTRO CONEXIONES EAFIT</t>
        </is>
      </c>
      <c r="I522" s="39" t="inlineStr">
        <is>
          <t>CONCONCRETO</t>
        </is>
      </c>
      <c r="J522" s="336" t="n">
        <v>11850000</v>
      </c>
      <c r="K522" s="112" t="n">
        <v>45929</v>
      </c>
      <c r="L522" s="39" t="n"/>
      <c r="M522" s="39" t="n">
        <v>3006563981</v>
      </c>
      <c r="N522" s="39" t="inlineStr">
        <is>
          <t>Milena Hernández Marín</t>
        </is>
      </c>
      <c r="O522" s="52" t="inlineStr">
        <is>
          <t>mhernandezm@conconcreto.com</t>
        </is>
      </c>
    </row>
    <row r="523" hidden="1">
      <c r="A523" s="108" t="n"/>
      <c r="B523" s="39" t="n">
        <v>512</v>
      </c>
      <c r="C523" s="278" t="inlineStr">
        <is>
          <t>COTIZACION DE LOS DISEÑOS DE PROTECCIÓN CONTRA INCENDIOS - PATIO SUR</t>
        </is>
      </c>
      <c r="I523" s="39" t="inlineStr">
        <is>
          <t>PC Mejia</t>
        </is>
      </c>
      <c r="J523" s="336" t="n">
        <v>14950000</v>
      </c>
      <c r="K523" s="112" t="n">
        <v>45926</v>
      </c>
      <c r="L523" s="39" t="n"/>
      <c r="M523" s="39" t="n">
        <v>3194807733</v>
      </c>
      <c r="N523" s="39" t="inlineStr">
        <is>
          <t>Carlos Cuello</t>
        </is>
      </c>
      <c r="O523" s="116" t="n"/>
    </row>
    <row r="524" hidden="1">
      <c r="A524" s="108" t="n"/>
      <c r="B524" s="39" t="n">
        <v>513</v>
      </c>
      <c r="C524" s="278" t="inlineStr">
        <is>
          <t>COTIZACION DE LOS DISEÑOS DE PROTECCIÓN CONTRA INCENDIOS - PUERTO CARMELO</t>
        </is>
      </c>
      <c r="I524" s="39" t="inlineStr">
        <is>
          <t>ITC Diseños</t>
        </is>
      </c>
      <c r="J524" s="336" t="n">
        <v>21950000</v>
      </c>
      <c r="K524" s="112" t="n">
        <v>45929</v>
      </c>
      <c r="L524" s="39" t="n"/>
      <c r="M524" s="39" t="n">
        <v>3044003430</v>
      </c>
      <c r="N524" s="39" t="inlineStr">
        <is>
          <t>Gino Alejandro Montoya</t>
        </is>
      </c>
      <c r="O524" s="52" t="inlineStr">
        <is>
          <t>gino1037@hotmail.com</t>
        </is>
      </c>
    </row>
    <row r="525" hidden="1" ht="15" customHeight="1">
      <c r="A525" s="108" t="n"/>
      <c r="B525" s="39" t="n">
        <v>514</v>
      </c>
      <c r="C525" s="278" t="inlineStr">
        <is>
          <t>COTIZACION DEL DISEÑO DE EXTINCIÓN DE INCENDIOS - BODEGA ITAGUI</t>
        </is>
      </c>
      <c r="I525" s="39" t="inlineStr">
        <is>
          <t>SPCI</t>
        </is>
      </c>
      <c r="J525" s="336" t="n">
        <v>24950000</v>
      </c>
      <c r="K525" s="112" t="n">
        <v>45929</v>
      </c>
      <c r="L525" s="39" t="n"/>
      <c r="M525" s="39" t="n">
        <v>3104165783</v>
      </c>
      <c r="N525" s="39" t="inlineStr">
        <is>
          <t>Cristiam Gustavo Mondragon</t>
        </is>
      </c>
      <c r="O525" s="52" t="inlineStr">
        <is>
          <t>dir.tecnico@spci.com.co</t>
        </is>
      </c>
    </row>
    <row r="526" hidden="1">
      <c r="A526" s="108" t="n"/>
      <c r="B526" s="39" t="n">
        <v>515</v>
      </c>
      <c r="C526" s="278" t="inlineStr">
        <is>
          <t>COTIZACION DEL ANÁLISIS DE SEGURIDAD HUMANA - CENCOSUD</t>
        </is>
      </c>
      <c r="I526" s="39" t="inlineStr">
        <is>
          <t>CONCONCRETO</t>
        </is>
      </c>
      <c r="J526" s="336" t="inlineStr">
        <is>
          <t>Variable</t>
        </is>
      </c>
      <c r="K526" s="112" t="n">
        <v>45931</v>
      </c>
      <c r="L526" s="39" t="n"/>
      <c r="M526" s="39" t="n">
        <v>3006563981</v>
      </c>
      <c r="N526" s="39" t="inlineStr">
        <is>
          <t>Milena Hernández Marín</t>
        </is>
      </c>
      <c r="O526" s="52" t="inlineStr">
        <is>
          <t>mhernandezm@conconcreto.com</t>
        </is>
      </c>
    </row>
    <row r="527" hidden="1">
      <c r="A527" s="108" t="n"/>
      <c r="B527" s="39" t="n">
        <v>516</v>
      </c>
      <c r="C527" s="278" t="inlineStr">
        <is>
          <t>COTIZACION DE LOS DISEÑOS DE SEGURIDAD HUMANA Y PROTECCIÓN CONTRA INCENDIOS - LAGUNA BEACH-BLOQUE CENTRAL</t>
        </is>
      </c>
      <c r="I527" s="39" t="inlineStr">
        <is>
          <t>Gustavo Jaramillo</t>
        </is>
      </c>
      <c r="J527" s="336" t="n"/>
      <c r="K527" s="112" t="n">
        <v>45929</v>
      </c>
      <c r="L527" s="39" t="n"/>
      <c r="M527" s="39" t="n">
        <v>3663276</v>
      </c>
      <c r="N527" s="39" t="inlineStr">
        <is>
          <t>Gustavo Jaramillo</t>
        </is>
      </c>
      <c r="O527" s="52" t="inlineStr">
        <is>
          <t>g.jaramillo.arq@gmail.com</t>
        </is>
      </c>
    </row>
    <row r="528" hidden="1">
      <c r="A528" s="108" t="n"/>
      <c r="B528" s="39" t="n">
        <v>517</v>
      </c>
      <c r="C528" s="278" t="inlineStr">
        <is>
          <t>COTIZACION DE LOS DISEÑOS DE SEGURIDAD HUMANA Y PROTECCIÓN CONTRA INCENDIOS - COLEGIO MARYMOUNT</t>
        </is>
      </c>
      <c r="I528" s="39" t="inlineStr">
        <is>
          <t>Inhauser</t>
        </is>
      </c>
      <c r="J528" s="336" t="n">
        <v>29970000</v>
      </c>
      <c r="K528" s="112" t="n">
        <v>45929</v>
      </c>
      <c r="L528" s="39" t="n"/>
      <c r="M528" s="39" t="n">
        <v>3117628323</v>
      </c>
      <c r="N528" s="39" t="inlineStr">
        <is>
          <t xml:space="preserve">Diana Cardona </t>
        </is>
      </c>
      <c r="O528" s="52" t="inlineStr">
        <is>
          <t>inhauserproyectos@gmail.com</t>
        </is>
      </c>
    </row>
    <row r="529" hidden="1">
      <c r="A529" s="108" t="n"/>
      <c r="B529" s="39" t="n">
        <v>518</v>
      </c>
      <c r="C529" s="278" t="inlineStr">
        <is>
          <t>COTIZACION DE LOS DISEÑOS DE SEGURIDAD HUMANA Y PROTECCIÓN CONTRA INCENDIOS - RECREO GUAYABAL</t>
        </is>
      </c>
      <c r="I529" s="39" t="inlineStr">
        <is>
          <t>Entretangencia</t>
        </is>
      </c>
      <c r="J529" s="336" t="n">
        <v>19950000</v>
      </c>
      <c r="K529" s="112" t="n">
        <v>45929</v>
      </c>
      <c r="L529" s="39" t="n"/>
      <c r="M529" s="39" t="n">
        <v>3173756774</v>
      </c>
      <c r="N529" s="39" t="inlineStr">
        <is>
          <t>Ana Paula Perez Arevalo</t>
        </is>
      </c>
      <c r="O529" s="52" t="inlineStr">
        <is>
          <t>proyectos@entretangencia.com</t>
        </is>
      </c>
    </row>
    <row r="530" hidden="1">
      <c r="A530" s="108" t="n"/>
      <c r="B530" s="39" t="n">
        <v>519</v>
      </c>
      <c r="C530" s="278" t="inlineStr">
        <is>
          <t>COTIZACION DEL ANÁLISIS DE SEGURIDAD HUMANA - HIVE ALTOZZA</t>
        </is>
      </c>
      <c r="I530" s="39" t="inlineStr">
        <is>
          <t>CONCONCRETO</t>
        </is>
      </c>
      <c r="J530" s="336" t="n">
        <v>10950000</v>
      </c>
      <c r="K530" s="112" t="n">
        <v>45931</v>
      </c>
      <c r="L530" s="39" t="n"/>
      <c r="M530" s="39" t="n">
        <v>3006563981</v>
      </c>
      <c r="N530" s="39" t="inlineStr">
        <is>
          <t>Milena Hernández Marín</t>
        </is>
      </c>
      <c r="O530" s="52" t="inlineStr">
        <is>
          <t>mhernandezm@conconcreto.com</t>
        </is>
      </c>
    </row>
    <row r="531" hidden="1">
      <c r="A531" s="108" t="n"/>
      <c r="B531" s="39" t="n">
        <v>520</v>
      </c>
      <c r="C531" s="278" t="inlineStr">
        <is>
          <t>COTIZACION DEL ANÁLISIS DE SEGURIDAD HUMANA - HIVE BLUUM</t>
        </is>
      </c>
      <c r="I531" s="39" t="inlineStr">
        <is>
          <t>CONCONCRETO</t>
        </is>
      </c>
      <c r="J531" s="336" t="n">
        <v>8800000</v>
      </c>
      <c r="K531" s="112" t="n">
        <v>45931</v>
      </c>
      <c r="L531" s="39" t="n"/>
      <c r="M531" s="39" t="n">
        <v>3006563981</v>
      </c>
      <c r="N531" s="39" t="inlineStr">
        <is>
          <t>Milena Hernández Marín</t>
        </is>
      </c>
      <c r="O531" s="52" t="inlineStr">
        <is>
          <t>mhernandezm@conconcreto.com</t>
        </is>
      </c>
    </row>
    <row r="532" hidden="1">
      <c r="A532" s="108" t="n"/>
      <c r="B532" s="39" t="n">
        <v>521</v>
      </c>
      <c r="C532" s="278" t="inlineStr">
        <is>
          <t>COTIZACION DE LOS DISEÑOS DE SEGURIDAD HUMANA Y PROTECCIÓN CONTRA INCENDIOS - EL VERANO</t>
        </is>
      </c>
      <c r="I532" s="39" t="inlineStr">
        <is>
          <t>Hidraulica y Montajes</t>
        </is>
      </c>
      <c r="J532" s="336" t="n">
        <v>15900000</v>
      </c>
      <c r="K532" s="112" t="n">
        <v>45931</v>
      </c>
      <c r="L532" s="39" t="n"/>
      <c r="M532" s="39" t="n"/>
      <c r="N532" s="39" t="inlineStr">
        <is>
          <t>Evelin Rojas Rúa</t>
        </is>
      </c>
      <c r="O532" s="116" t="n"/>
    </row>
    <row r="533" hidden="1">
      <c r="A533" s="108" t="n"/>
      <c r="B533" s="39" t="n">
        <v>522</v>
      </c>
      <c r="C533" s="278" t="inlineStr">
        <is>
          <t>COTIZACION DE LOS DISEÑOS DE SEGURIDAD HUMANA Y PROTECCIÓN CONTRA INCENDIOS - ED. LA 28</t>
        </is>
      </c>
      <c r="I533" s="39" t="inlineStr">
        <is>
          <t>Hidraulica y Montajes</t>
        </is>
      </c>
      <c r="J533" s="336" t="n">
        <v>15900000</v>
      </c>
      <c r="K533" s="112" t="n">
        <v>45931</v>
      </c>
      <c r="L533" s="39" t="n"/>
      <c r="M533" s="39" t="n"/>
      <c r="N533" s="39" t="inlineStr">
        <is>
          <t>Evelin Rojas Rúa</t>
        </is>
      </c>
      <c r="O533" s="116" t="n"/>
    </row>
    <row r="534" hidden="1">
      <c r="A534" s="108" t="n"/>
      <c r="B534" s="39" t="n">
        <v>523</v>
      </c>
      <c r="C534" s="278" t="inlineStr">
        <is>
          <t>COTIZACION DE LOS DISEÑOS DE SEGURIDAD HUMANA Y PROTECCIÓN CONTRA INCENDIOS - BELVEDERE</t>
        </is>
      </c>
      <c r="I534" s="39" t="inlineStr">
        <is>
          <t>Mensula</t>
        </is>
      </c>
      <c r="J534" s="336" t="n">
        <v>25550000</v>
      </c>
      <c r="K534" s="112" t="n">
        <v>45929</v>
      </c>
      <c r="L534" s="39" t="n"/>
      <c r="M534" s="39" t="n">
        <v>3017284784</v>
      </c>
      <c r="N534" s="39" t="inlineStr">
        <is>
          <t>Karen Yuliana Mendez</t>
        </is>
      </c>
      <c r="O534" s="52" t="inlineStr">
        <is>
          <t>Karenmendez@mensulaingenieros.com</t>
        </is>
      </c>
    </row>
    <row r="535" hidden="1">
      <c r="A535" s="108" t="n"/>
      <c r="B535" s="39" t="n">
        <v>524</v>
      </c>
      <c r="C535" s="278" t="inlineStr">
        <is>
          <t>COTIZACION DE LOS DISEÑOS DE SEGURIDAD HUMANA Y PROTECCIÓN CONTRA INCENDIOS - SAN IGNACIO INFANTIL</t>
        </is>
      </c>
      <c r="I535" s="39" t="inlineStr">
        <is>
          <t>SPCI</t>
        </is>
      </c>
      <c r="J535" s="336" t="n">
        <v>29950000</v>
      </c>
      <c r="K535" s="112" t="n">
        <v>45931</v>
      </c>
      <c r="L535" s="39" t="n"/>
      <c r="M535" s="39" t="n">
        <v>3104165783</v>
      </c>
      <c r="N535" s="39" t="inlineStr">
        <is>
          <t>Cristiam Gustavo Mondragon</t>
        </is>
      </c>
      <c r="O535" s="52" t="inlineStr">
        <is>
          <t>dir.tecnico@spci.com.co</t>
        </is>
      </c>
    </row>
    <row r="536" hidden="1">
      <c r="A536" s="108" t="n"/>
      <c r="B536" s="39" t="n">
        <v>525</v>
      </c>
      <c r="C536" s="278" t="inlineStr">
        <is>
          <t>COTIZACION DE LOS DISEÑOS DE SEGURIDAD HUMANA Y PROTECCIÓN CONTRA INCENDIOS - FORTRESS</t>
        </is>
      </c>
      <c r="I536" s="39" t="inlineStr">
        <is>
          <t>Grupo Ingenium</t>
        </is>
      </c>
      <c r="J536" s="336" t="n">
        <v>19950000</v>
      </c>
      <c r="K536" s="112" t="n">
        <v>45932</v>
      </c>
      <c r="L536" s="39" t="n"/>
      <c r="M536" s="39" t="n">
        <v>3014546806</v>
      </c>
      <c r="N536" s="39" t="n"/>
      <c r="O536" s="52" t="inlineStr">
        <is>
          <t>gerencia@grupoingenium.co</t>
        </is>
      </c>
    </row>
    <row r="537" hidden="1">
      <c r="A537" s="108" t="n"/>
      <c r="B537" s="39" t="n">
        <v>526</v>
      </c>
      <c r="C537" s="278" t="inlineStr">
        <is>
          <t>COTIZACION DE LOS DISEÑOS DE SEGURIDAD HUMANA Y PROTECCIÓN CONTRA INCENDIOS - AIRPORT SUITES</t>
        </is>
      </c>
      <c r="I537" s="39" t="inlineStr">
        <is>
          <t>Cristian Londoño</t>
        </is>
      </c>
      <c r="J537" s="336" t="n">
        <v>21950000</v>
      </c>
      <c r="K537" s="112" t="n">
        <v>45932</v>
      </c>
      <c r="L537" s="39" t="n"/>
      <c r="M537" s="39" t="inlineStr">
        <is>
          <t>320 7091752</t>
        </is>
      </c>
      <c r="N537" s="39" t="inlineStr">
        <is>
          <t>Cristian Londoño</t>
        </is>
      </c>
      <c r="O537" s="52" t="inlineStr">
        <is>
          <t>Cristian7628@hotmail.com</t>
        </is>
      </c>
    </row>
    <row r="538" hidden="1">
      <c r="A538" s="108" t="n"/>
      <c r="B538" s="39" t="n">
        <v>527</v>
      </c>
      <c r="C538" s="278" t="inlineStr">
        <is>
          <t>COTIZACION DEL ANÁLISIS DE SEGURIDAD HUMANA - PROYECTO AEROPUERTO RIONEGRO</t>
        </is>
      </c>
      <c r="I538" s="39" t="inlineStr">
        <is>
          <t>Progressa</t>
        </is>
      </c>
      <c r="J538" s="336" t="n">
        <v>11950000</v>
      </c>
      <c r="K538" s="112" t="n">
        <v>45933</v>
      </c>
      <c r="L538" s="39" t="n"/>
      <c r="M538" s="39" t="inlineStr">
        <is>
          <t>301 7358708</t>
        </is>
      </c>
      <c r="N538" s="39" t="inlineStr">
        <is>
          <t>Juan Cassares</t>
        </is>
      </c>
      <c r="O538" s="52" t="inlineStr">
        <is>
          <t>residenteadministrativo@progressa.com.co</t>
        </is>
      </c>
    </row>
    <row r="539" hidden="1">
      <c r="A539" s="108" t="n"/>
      <c r="B539" s="39" t="n">
        <v>528</v>
      </c>
      <c r="C539" s="278" t="inlineStr">
        <is>
          <t>COTIZACION DE LOS DISEÑOS DE PROTECCIÓN CONTRA INCENDIOS - SUCURSAL VIVA LAURELES</t>
        </is>
      </c>
      <c r="I539" s="39" t="inlineStr">
        <is>
          <t>Toro Posada</t>
        </is>
      </c>
      <c r="J539" s="336" t="n">
        <v>7600000</v>
      </c>
      <c r="K539" s="112" t="n">
        <v>45936</v>
      </c>
      <c r="L539" s="39" t="n"/>
      <c r="M539" s="39" t="n">
        <v>3006680526</v>
      </c>
      <c r="N539" s="39" t="inlineStr">
        <is>
          <t>Camilo Alvarez Restrepo</t>
        </is>
      </c>
      <c r="O539" s="52" t="inlineStr">
        <is>
          <t>camiloar@toroposada.com</t>
        </is>
      </c>
    </row>
    <row r="540" hidden="1" ht="15" customHeight="1">
      <c r="A540" s="108" t="n"/>
      <c r="B540" s="39" t="n">
        <v>529</v>
      </c>
      <c r="C540" s="278" t="inlineStr">
        <is>
          <t>COTIZACION DEL DISEÑO DE DETECCIÓN DE INCENDIOS - PLASTICOL</t>
        </is>
      </c>
      <c r="I540" s="39" t="inlineStr">
        <is>
          <t>SPCI</t>
        </is>
      </c>
      <c r="J540" s="336" t="n">
        <v>4950000</v>
      </c>
      <c r="K540" s="112" t="n">
        <v>45936</v>
      </c>
      <c r="L540" s="39" t="n"/>
      <c r="M540" s="39" t="n">
        <v>3006047984</v>
      </c>
      <c r="N540" s="39" t="inlineStr">
        <is>
          <t>Natalia Martinez</t>
        </is>
      </c>
      <c r="O540" s="52" t="inlineStr">
        <is>
          <t>coor.relacionamiento@spci.com.co</t>
        </is>
      </c>
    </row>
    <row r="541" hidden="1">
      <c r="A541" s="108" t="n"/>
      <c r="B541" s="39" t="n">
        <v>530</v>
      </c>
      <c r="C541" s="278" t="inlineStr">
        <is>
          <t>COTIZACION DEL ANÁLISIS DE SEGURIDAD HUMANA - UNIOTROPICO</t>
        </is>
      </c>
      <c r="I541" s="39" t="inlineStr">
        <is>
          <t>Conciviles</t>
        </is>
      </c>
      <c r="J541" s="336" t="n">
        <v>8750000</v>
      </c>
      <c r="K541" s="112" t="n">
        <v>45936</v>
      </c>
      <c r="L541" s="39" t="n"/>
      <c r="M541" s="39" t="n">
        <v>3162724231</v>
      </c>
      <c r="N541" s="39" t="inlineStr">
        <is>
          <t>Yanneth Muñoz Garcia</t>
        </is>
      </c>
      <c r="O541" s="52" t="inlineStr">
        <is>
          <t>ymunozg@conciviles.com</t>
        </is>
      </c>
    </row>
    <row r="542" hidden="1">
      <c r="A542" s="108" t="n"/>
      <c r="B542" s="39" t="n">
        <v>531</v>
      </c>
      <c r="C542" s="278" t="inlineStr">
        <is>
          <t>COTIZACION DE LOS DISEÑOS DE SEGURIDAD HUMANA Y PROTECCIÓN CONTRA INCENDIOS - POBLADO 16</t>
        </is>
      </c>
      <c r="I542" s="39" t="inlineStr">
        <is>
          <t>Tres E</t>
        </is>
      </c>
      <c r="J542" s="336" t="n">
        <v>19950000</v>
      </c>
      <c r="K542" s="112" t="n">
        <v>45936</v>
      </c>
      <c r="L542" s="39" t="n"/>
      <c r="M542" s="39" t="n"/>
      <c r="N542" s="39" t="inlineStr">
        <is>
          <t>Alejandro Restrepo</t>
        </is>
      </c>
      <c r="O542" s="116" t="inlineStr">
        <is>
          <t>alejandrorestrepo@tres-e.com</t>
        </is>
      </c>
    </row>
    <row r="543" hidden="1">
      <c r="A543" s="108" t="n"/>
      <c r="B543" s="39" t="n">
        <v>532</v>
      </c>
      <c r="C543" s="278" t="inlineStr">
        <is>
          <t>COTIZACION DEL DISEÑO DE DETECCIÓN DE INCENDIOS - PLAZA DE MERCADO DE COPACABANA</t>
        </is>
      </c>
      <c r="I543" s="39" t="inlineStr">
        <is>
          <t>Hidráulica e Ingeniería en Seguridad Contra Incendios</t>
        </is>
      </c>
      <c r="J543" s="336" t="n">
        <v>3500000</v>
      </c>
      <c r="K543" s="112" t="n">
        <v>45936</v>
      </c>
      <c r="L543" s="39" t="n"/>
      <c r="M543" s="39" t="n">
        <v>4798165</v>
      </c>
      <c r="N543" s="39" t="inlineStr">
        <is>
          <t>Jorge Vega</t>
        </is>
      </c>
      <c r="O543" s="52" t="inlineStr">
        <is>
          <t>hyfireingenieros@gmail.com</t>
        </is>
      </c>
    </row>
    <row r="544" hidden="1">
      <c r="A544" s="108" t="n"/>
      <c r="B544" s="39" t="n">
        <v>533</v>
      </c>
      <c r="C544" s="278" t="inlineStr">
        <is>
          <t>COTIZACION DEL DISEÑO DE EXTINCIÓN DE INCENDIOS - STAATSOLIE</t>
        </is>
      </c>
      <c r="I544" s="39" t="inlineStr">
        <is>
          <t>Cegena</t>
        </is>
      </c>
      <c r="J544" s="336" t="n">
        <v>37450</v>
      </c>
      <c r="K544" s="112" t="n">
        <v>45936</v>
      </c>
      <c r="L544" s="39" t="n"/>
      <c r="M544" s="39" t="n"/>
      <c r="N544" s="39" t="inlineStr">
        <is>
          <t>Raul Lopez</t>
        </is>
      </c>
      <c r="O544" s="116" t="n"/>
    </row>
    <row r="545" hidden="1">
      <c r="A545" s="108" t="n"/>
      <c r="B545" s="39" t="n">
        <v>534</v>
      </c>
      <c r="C545" s="278" t="inlineStr">
        <is>
          <t>COTIZACION DEL DISEÑO DE EXTINCIÓN DE INCENDIOS - PLANTA FAHILO</t>
        </is>
      </c>
      <c r="I545" s="39" t="inlineStr">
        <is>
          <t>Good group</t>
        </is>
      </c>
      <c r="J545" s="336" t="n">
        <v>9050000</v>
      </c>
      <c r="K545" s="112" t="n">
        <v>45936</v>
      </c>
      <c r="L545" s="39" t="n"/>
      <c r="M545" s="39" t="n">
        <v>3162963854</v>
      </c>
      <c r="N545" s="39" t="inlineStr">
        <is>
          <t>Deisy Duque</t>
        </is>
      </c>
      <c r="O545" s="116" t="inlineStr">
        <is>
          <t>operaciones@goodgroup.com.co</t>
        </is>
      </c>
    </row>
    <row r="546" hidden="1">
      <c r="A546" s="108" t="n"/>
      <c r="B546" s="39" t="n">
        <v>535</v>
      </c>
      <c r="C546" s="278" t="inlineStr">
        <is>
          <t>COTIZACION DEL DISEÑO DE NOTIFICACIÓN Y ALAMRA DE INCENDIOS ALTERNO PARA EL PROYECTO FAMILIA RIONEGRO</t>
        </is>
      </c>
      <c r="I546" s="39" t="inlineStr">
        <is>
          <t>SERIINCO</t>
        </is>
      </c>
      <c r="J546" s="336" t="n">
        <v>16950000</v>
      </c>
      <c r="K546" s="112" t="n">
        <v>45936</v>
      </c>
      <c r="L546" s="39" t="n"/>
      <c r="M546" s="39" t="n">
        <v>3113391008</v>
      </c>
      <c r="N546" s="39" t="inlineStr">
        <is>
          <t>Carlos Henao</t>
        </is>
      </c>
      <c r="O546" s="155" t="inlineStr">
        <is>
          <t>carlos.henao@seriinco.com</t>
        </is>
      </c>
    </row>
    <row r="547" hidden="1">
      <c r="A547" s="108" t="n"/>
      <c r="B547" s="39" t="n">
        <v>536</v>
      </c>
      <c r="C547" s="278" t="inlineStr">
        <is>
          <t>COTIZACION DE LOS DISEÑOS DE PROTECCIÓN CONTRA INCENDIOS - LINEAS HOSPITALARIAS</t>
        </is>
      </c>
      <c r="I547" s="39" t="inlineStr">
        <is>
          <t>SPCI</t>
        </is>
      </c>
      <c r="J547" s="336" t="n">
        <v>48800000</v>
      </c>
      <c r="K547" s="112" t="n">
        <v>45937</v>
      </c>
      <c r="L547" s="39" t="n"/>
      <c r="M547" s="39" t="n">
        <v>3006047984</v>
      </c>
      <c r="N547" s="39" t="inlineStr">
        <is>
          <t>Natalia Martinez</t>
        </is>
      </c>
      <c r="O547" s="52" t="inlineStr">
        <is>
          <t>coor.relacionamiento@spci.com.co</t>
        </is>
      </c>
    </row>
    <row r="548" hidden="1">
      <c r="A548" s="108" t="n"/>
      <c r="B548" s="39" t="n">
        <v>537</v>
      </c>
      <c r="C548" s="278" t="inlineStr">
        <is>
          <t>COTIZACION DE LOS DISEÑOS DE SEGURIDAD HUMANA Y PROTECCIÓN CONTRA INCENDIOS - SOLEI T3</t>
        </is>
      </c>
      <c r="I548" s="39" t="inlineStr">
        <is>
          <t>Conaltura</t>
        </is>
      </c>
      <c r="J548" s="336" t="n">
        <v>15920000</v>
      </c>
      <c r="K548" s="112" t="n">
        <v>45938</v>
      </c>
      <c r="L548" s="39" t="n"/>
      <c r="M548" s="39" t="n">
        <v>3122310202</v>
      </c>
      <c r="N548" s="39" t="inlineStr">
        <is>
          <t>Yesenia Pareja</t>
        </is>
      </c>
      <c r="O548" s="116" t="inlineStr">
        <is>
          <t>ypareja@conaltura.com</t>
        </is>
      </c>
    </row>
    <row r="549" hidden="1" ht="15" customHeight="1">
      <c r="A549" s="108" t="n"/>
      <c r="B549" s="39" t="n">
        <v>538</v>
      </c>
      <c r="C549" s="278" t="inlineStr">
        <is>
          <t>COTIZACION DE LOS DISEÑOS DE SEGURIDAD HUMANA Y PROTECCIÓN CONTRA INCENDIOS - MISTRAL ETAPAS 2 Y 3</t>
        </is>
      </c>
      <c r="I549" s="39" t="inlineStr">
        <is>
          <t>Conaltura</t>
        </is>
      </c>
      <c r="J549" s="336" t="n">
        <v>36410000</v>
      </c>
      <c r="K549" s="112" t="n">
        <v>45938</v>
      </c>
      <c r="L549" s="39" t="n"/>
      <c r="M549" s="39" t="n">
        <v>3122310202</v>
      </c>
      <c r="N549" s="39" t="inlineStr">
        <is>
          <t>Yesenia Pareja</t>
        </is>
      </c>
      <c r="O549" s="116" t="inlineStr">
        <is>
          <t>ypareja@conaltura.com</t>
        </is>
      </c>
    </row>
    <row r="550" hidden="1">
      <c r="A550" s="108" t="n"/>
      <c r="B550" s="39" t="n">
        <v>539</v>
      </c>
      <c r="C550" s="278" t="inlineStr">
        <is>
          <t>COTIZACION DE LOS DISEÑOS DE SEGURIDAD HUMANA Y PROTECCIÓN CONTRA INCENDIOS - TIRRENA ETAPA 2 Y 3</t>
        </is>
      </c>
      <c r="I550" s="39" t="inlineStr">
        <is>
          <t>Conaltura</t>
        </is>
      </c>
      <c r="J550" s="336" t="n">
        <v>36410001</v>
      </c>
      <c r="K550" s="112" t="n">
        <v>45938</v>
      </c>
      <c r="L550" s="39" t="n"/>
      <c r="M550" s="39" t="n">
        <v>3122310202</v>
      </c>
      <c r="N550" s="39" t="inlineStr">
        <is>
          <t>Yesenia Pareja</t>
        </is>
      </c>
      <c r="O550" s="116" t="inlineStr">
        <is>
          <t>ypareja@conaltura.com</t>
        </is>
      </c>
    </row>
    <row r="551" hidden="1">
      <c r="A551" s="108" t="n"/>
      <c r="B551" s="39" t="n">
        <v>540</v>
      </c>
      <c r="C551" s="278" t="inlineStr">
        <is>
          <t>COTIZACION DEL DISEÑO DE DETECCIÓN DE INCENDIOS - COMFAMA ARANJUEZ</t>
        </is>
      </c>
      <c r="I551" s="39" t="inlineStr">
        <is>
          <t>Seriinco</t>
        </is>
      </c>
      <c r="J551" s="336" t="n">
        <v>1800000</v>
      </c>
      <c r="K551" s="112" t="n">
        <v>45937</v>
      </c>
      <c r="L551" s="39" t="n"/>
      <c r="M551" s="39" t="n">
        <v>3116460496</v>
      </c>
      <c r="N551" s="39" t="inlineStr">
        <is>
          <t xml:space="preserve"> Francisco Unda</t>
        </is>
      </c>
      <c r="O551" s="116" t="inlineStr">
        <is>
          <t>francisco.unda@seriinco.com</t>
        </is>
      </c>
    </row>
    <row r="552" hidden="1">
      <c r="A552" s="108" t="n"/>
      <c r="B552" s="39" t="n">
        <v>541</v>
      </c>
      <c r="C552" s="278" t="inlineStr">
        <is>
          <t>COTIZACION DEL DISEÑO DE DETECCIÓN DE INCENDIOS - PRODUCTOS EL CARIBE</t>
        </is>
      </c>
      <c r="I552" s="39" t="inlineStr">
        <is>
          <t>SPCI</t>
        </is>
      </c>
      <c r="J552" s="336" t="n">
        <v>6950000</v>
      </c>
      <c r="K552" s="112" t="n">
        <v>45939</v>
      </c>
      <c r="L552" s="39" t="n"/>
      <c r="M552" s="39" t="n">
        <v>3006047984</v>
      </c>
      <c r="N552" s="39" t="inlineStr">
        <is>
          <t>Natalia Martinez</t>
        </is>
      </c>
      <c r="O552" s="52" t="inlineStr">
        <is>
          <t>coor.relacionamiento@spci.com.co</t>
        </is>
      </c>
    </row>
    <row r="553" hidden="1">
      <c r="A553" s="108" t="n"/>
      <c r="B553" s="39" t="n">
        <v>542</v>
      </c>
      <c r="C553" s="278" t="inlineStr">
        <is>
          <t>COTIZACION DE LOS DISEÑOS DE SEGURIDAD HUMANA Y PROTECCIÓN CONTRA INCENDIOS - BODEGA</t>
        </is>
      </c>
      <c r="I553" s="39" t="inlineStr">
        <is>
          <t>C4 Logistica</t>
        </is>
      </c>
      <c r="J553" s="336" t="n">
        <v>28850000</v>
      </c>
      <c r="K553" s="112" t="n">
        <v>45939</v>
      </c>
      <c r="L553" s="39" t="n"/>
      <c r="M553" s="39" t="n">
        <v>3014794689</v>
      </c>
      <c r="N553" s="39" t="inlineStr">
        <is>
          <t>Eduar Braian Gomez Londoño</t>
        </is>
      </c>
      <c r="O553" s="52" t="inlineStr">
        <is>
          <t>sg.sst@c4logistica.com</t>
        </is>
      </c>
    </row>
    <row r="554" hidden="1">
      <c r="A554" s="108" t="n"/>
      <c r="B554" s="39" t="n">
        <v>543</v>
      </c>
      <c r="C554" s="278" t="inlineStr">
        <is>
          <t>COTIZACION DE LOS DISEÑOS DE SEGURIDAD HUMANA Y PROTECCIÓN CONTRA INCENDIOS - CENTRO COMERCIAL VÍA CAJICÁ</t>
        </is>
      </c>
      <c r="I554" s="39" t="inlineStr">
        <is>
          <t>Condiseño</t>
        </is>
      </c>
      <c r="J554" s="336" t="n">
        <v>26970000</v>
      </c>
      <c r="K554" s="112" t="n">
        <v>45939</v>
      </c>
      <c r="L554" s="39" t="n"/>
      <c r="M554" s="39" t="n">
        <v>3175594091</v>
      </c>
      <c r="N554" s="39" t="inlineStr">
        <is>
          <t>Nakary Garcia Romero</t>
        </is>
      </c>
      <c r="O554" s="116" t="inlineStr">
        <is>
          <t>n.garcia@condiseno.co</t>
        </is>
      </c>
    </row>
    <row r="555" hidden="1">
      <c r="A555" s="108" t="n"/>
      <c r="B555" s="39" t="n">
        <v>544</v>
      </c>
      <c r="C555" s="278" t="inlineStr">
        <is>
          <t>COTIZACION DE LOS DISEÑOS DE SEGURIDAD HUMANA Y PROTECCIÓN CONTRA INCENDIOS - COORDINADORA</t>
        </is>
      </c>
      <c r="I555" s="39" t="inlineStr">
        <is>
          <t>G4 Proyectos Inmobiliarios</t>
        </is>
      </c>
      <c r="J555" s="336" t="n">
        <v>49950000</v>
      </c>
      <c r="K555" s="112" t="n">
        <v>45940</v>
      </c>
      <c r="L555" s="39" t="n"/>
      <c r="M555" s="39" t="n">
        <v>3052501777</v>
      </c>
      <c r="N555" s="39" t="inlineStr">
        <is>
          <t>Steven Maya</t>
        </is>
      </c>
      <c r="O555" s="116" t="inlineStr">
        <is>
          <t>coordinadorproyectos1@g4ingenieros.com</t>
        </is>
      </c>
    </row>
    <row r="556" hidden="1">
      <c r="A556" s="108" t="n"/>
      <c r="B556" s="39" t="n">
        <v>545</v>
      </c>
      <c r="C556" s="278" t="inlineStr">
        <is>
          <t>COTIZACION DEL DISEÑO DE DETECCIÓN DE INCENDIOS - CRYOGAS</t>
        </is>
      </c>
      <c r="I556" s="39" t="inlineStr">
        <is>
          <t>SERIINCO</t>
        </is>
      </c>
      <c r="J556" s="336" t="n">
        <v>8950000</v>
      </c>
      <c r="K556" s="112" t="n">
        <v>45939</v>
      </c>
      <c r="L556" s="39" t="n"/>
      <c r="M556" s="39" t="n">
        <v>3113391008</v>
      </c>
      <c r="N556" s="39" t="inlineStr">
        <is>
          <t>Carlos Henao</t>
        </is>
      </c>
      <c r="O556" s="155" t="inlineStr">
        <is>
          <t>carlos.henao@seriinco.com</t>
        </is>
      </c>
    </row>
    <row r="557" hidden="1">
      <c r="A557" s="108" t="n"/>
      <c r="B557" s="39" t="n">
        <v>546</v>
      </c>
      <c r="C557" s="278" t="inlineStr">
        <is>
          <t>COTIZACION DE LOS DISEÑOS DE SEGURIDAD HUMANA Y PROTECCIÓN CONTRA INCENDIOS - MALL COMERCIAL LAS BRISAS</t>
        </is>
      </c>
      <c r="I557" s="39" t="inlineStr">
        <is>
          <t>G4 Proyectos Inmobiliarios</t>
        </is>
      </c>
      <c r="J557" s="336" t="n">
        <v>6780000</v>
      </c>
      <c r="K557" s="112" t="n">
        <v>45939</v>
      </c>
      <c r="L557" s="39" t="n"/>
      <c r="M557" s="39" t="n">
        <v>3052501777</v>
      </c>
      <c r="N557" s="39" t="inlineStr">
        <is>
          <t>Steven Maya</t>
        </is>
      </c>
      <c r="O557" s="116" t="inlineStr">
        <is>
          <t>coordinadorproyectos1@g4ingenieros.com</t>
        </is>
      </c>
    </row>
    <row r="558" hidden="1">
      <c r="A558" s="108" t="n"/>
      <c r="B558" s="39" t="n">
        <v>547</v>
      </c>
      <c r="C558" s="278" t="inlineStr">
        <is>
          <t>COTIZACION DEL DISEÑO DE DETECCIÓN DE INCENDIOS - MARRIOT</t>
        </is>
      </c>
      <c r="I558" s="39" t="inlineStr">
        <is>
          <t>SupplyNet LATAM</t>
        </is>
      </c>
      <c r="J558" s="336" t="n">
        <v>9750</v>
      </c>
      <c r="K558" s="112" t="n">
        <v>45939</v>
      </c>
      <c r="L558" s="39" t="n"/>
      <c r="M558" s="39" t="n">
        <v>3103860407</v>
      </c>
      <c r="N558" s="39" t="inlineStr">
        <is>
          <t>Miguel Robayo</t>
        </is>
      </c>
      <c r="O558" s="52" t="inlineStr">
        <is>
          <t>miguel.robayo@supplynetlatam.com</t>
        </is>
      </c>
    </row>
    <row r="559" hidden="1">
      <c r="A559" s="108" t="n"/>
      <c r="B559" s="39" t="n">
        <v>548</v>
      </c>
      <c r="C559" s="278" t="inlineStr">
        <is>
          <t>COTIZACION DEL DISEÑO DE DETECCIÓN DE INCENDIOS - VIUPARK HOME</t>
        </is>
      </c>
      <c r="I559" s="39" t="inlineStr">
        <is>
          <t>Gradeco</t>
        </is>
      </c>
      <c r="J559" s="336" t="n">
        <v>10650000</v>
      </c>
      <c r="K559" s="112" t="n">
        <v>45940</v>
      </c>
      <c r="L559" s="39" t="n"/>
      <c r="M559" s="39" t="n"/>
      <c r="N559" s="39" t="inlineStr">
        <is>
          <t>Adriana Velasco</t>
        </is>
      </c>
      <c r="O559" s="52" t="inlineStr">
        <is>
          <t>coordinador.administrativo@gradeco.com.co</t>
        </is>
      </c>
    </row>
    <row r="560" hidden="1">
      <c r="A560" s="108" t="n"/>
      <c r="B560" s="39" t="n">
        <v>549</v>
      </c>
      <c r="C560" s="278" t="inlineStr">
        <is>
          <t>COTIZACION DE LOS DISEÑOS DE SEGURIDAD HUMANA Y PROTECCIÓN CONTRA INCENDIOS - ALEJANDRÍA</t>
        </is>
      </c>
      <c r="I560" s="39" t="inlineStr">
        <is>
          <t>Mensula</t>
        </is>
      </c>
      <c r="J560" s="336" t="n">
        <v>29950000</v>
      </c>
      <c r="K560" s="112" t="n">
        <v>45940</v>
      </c>
      <c r="L560" s="39" t="n"/>
      <c r="M560" s="39" t="n">
        <v>3023977559</v>
      </c>
      <c r="N560" s="39" t="inlineStr">
        <is>
          <t>Vanessa Buelvas</t>
        </is>
      </c>
      <c r="O560" s="52" t="inlineStr">
        <is>
          <t>vanessabuelvas@mensulaingenieros.com</t>
        </is>
      </c>
    </row>
    <row r="561" hidden="1">
      <c r="A561" s="108" t="n"/>
      <c r="B561" s="39" t="n">
        <v>550</v>
      </c>
      <c r="C561" s="278" t="inlineStr">
        <is>
          <t>COTIZACION DEL DISEÑO DE DETECCIÓN DE INCENDIOS - VESDA FAC</t>
        </is>
      </c>
      <c r="I561" s="39" t="inlineStr">
        <is>
          <t>SPCI</t>
        </is>
      </c>
      <c r="J561" s="336" t="n">
        <v>1000000</v>
      </c>
      <c r="K561" s="112" t="n">
        <v>45945</v>
      </c>
      <c r="L561" s="39" t="n"/>
      <c r="M561" s="39" t="n">
        <v>3104165783</v>
      </c>
      <c r="N561" s="39" t="inlineStr">
        <is>
          <t>Cristiam Gustavo Mondragon</t>
        </is>
      </c>
      <c r="O561" s="52" t="inlineStr">
        <is>
          <t>dir.tecnico@spci.com.co</t>
        </is>
      </c>
    </row>
    <row r="562" hidden="1">
      <c r="A562" s="108" t="n"/>
      <c r="B562" s="39" t="n">
        <v>551</v>
      </c>
      <c r="C562" s="278" t="inlineStr">
        <is>
          <t>COTIZACION DEL DISEÑO DE DETECCIÓN DE INCENDIOS - COMFAMA OCCIDENTE</t>
        </is>
      </c>
      <c r="I562" s="39" t="inlineStr">
        <is>
          <t>SERIINCO</t>
        </is>
      </c>
      <c r="J562" s="336" t="n">
        <v>3000000</v>
      </c>
      <c r="K562" s="112" t="n">
        <v>45945</v>
      </c>
      <c r="L562" s="39" t="n"/>
      <c r="M562" s="39" t="n">
        <v>3116460496</v>
      </c>
      <c r="N562" s="39" t="inlineStr">
        <is>
          <t xml:space="preserve"> Francisco Unda</t>
        </is>
      </c>
      <c r="O562" s="116" t="inlineStr">
        <is>
          <t>francisco.unda@seriinco.com</t>
        </is>
      </c>
    </row>
    <row r="563" hidden="1">
      <c r="A563" s="108" t="n"/>
      <c r="B563" s="39" t="n">
        <v>552</v>
      </c>
      <c r="C563" s="278" t="inlineStr">
        <is>
          <t>COTIZACION DE LOS DISEÑOS DE SEGURIDAD HUMANA Y PROTECCIÓN CONTRA INCENDIOS - CALIZ ALTO LOTE 4</t>
        </is>
      </c>
      <c r="I563" s="39" t="inlineStr">
        <is>
          <t>Tres E</t>
        </is>
      </c>
      <c r="J563" s="336" t="n">
        <v>29950000</v>
      </c>
      <c r="K563" s="112" t="n">
        <v>45945</v>
      </c>
      <c r="L563" s="39" t="n"/>
      <c r="M563" s="39" t="n"/>
      <c r="N563" s="39" t="inlineStr">
        <is>
          <t xml:space="preserve"> Juan Camilo Ramírez</t>
        </is>
      </c>
      <c r="O563" s="52" t="inlineStr">
        <is>
          <t>juanramirez@tres-e.com</t>
        </is>
      </c>
    </row>
    <row r="564" hidden="1">
      <c r="A564" s="108" t="n"/>
      <c r="B564" s="39" t="n">
        <v>553</v>
      </c>
      <c r="C564" s="278" t="inlineStr">
        <is>
          <t>COTIZACION DEL DISEÑO DE DETECCIÓN DE INCENDIOS - UNICENTRO PALMIRA</t>
        </is>
      </c>
      <c r="I564" s="39" t="inlineStr">
        <is>
          <t>SPCI</t>
        </is>
      </c>
      <c r="J564" s="336" t="n">
        <v>15950000</v>
      </c>
      <c r="K564" s="112" t="n">
        <v>45945</v>
      </c>
      <c r="L564" s="39" t="n"/>
      <c r="M564" s="39" t="n">
        <v>3006047984</v>
      </c>
      <c r="N564" s="39" t="inlineStr">
        <is>
          <t>Natalia Martinez</t>
        </is>
      </c>
      <c r="O564" s="52" t="inlineStr">
        <is>
          <t>coor.relacionamiento@spci.com.co</t>
        </is>
      </c>
    </row>
    <row r="565" hidden="1">
      <c r="A565" s="108" t="n"/>
      <c r="B565" s="39" t="n">
        <v>554</v>
      </c>
      <c r="C565" s="278" t="inlineStr">
        <is>
          <t>COTIZACION DE LOS DISEÑOS DE PROTECCIÓN CONTRA INCENDIOS - SENA PEDREGAL</t>
        </is>
      </c>
      <c r="I565" s="39" t="inlineStr">
        <is>
          <t>COINSI</t>
        </is>
      </c>
      <c r="J565" s="336" t="inlineStr">
        <is>
          <t>Se suspendió la contratación</t>
        </is>
      </c>
      <c r="K565" s="112" t="n">
        <v>45945</v>
      </c>
      <c r="L565" s="39" t="n"/>
      <c r="M565" s="39" t="n">
        <v>3117208541</v>
      </c>
      <c r="N565" s="39" t="inlineStr">
        <is>
          <t>Sergio Rodriguez</t>
        </is>
      </c>
      <c r="O565" s="52" t="inlineStr">
        <is>
          <t>diseno4@gyd.com.co</t>
        </is>
      </c>
    </row>
    <row r="566" hidden="1">
      <c r="A566" s="108" t="n"/>
      <c r="B566" s="39" t="n">
        <v>555</v>
      </c>
      <c r="C566" s="278" t="inlineStr">
        <is>
          <t>COTIZACION DEL DISEÑO DE EXTINCIÓN DE INCENDIOS - PUNTO BLANCO 109</t>
        </is>
      </c>
      <c r="I566" s="39" t="inlineStr">
        <is>
          <t>ARQ</t>
        </is>
      </c>
      <c r="J566" s="336" t="inlineStr">
        <is>
          <t>Se está negociando</t>
        </is>
      </c>
      <c r="K566" s="112" t="n">
        <v>45945</v>
      </c>
      <c r="L566" s="39" t="n"/>
      <c r="M566" s="39" t="n">
        <v>3008594811</v>
      </c>
      <c r="N566" s="39" t="inlineStr">
        <is>
          <t>Valeria Montoya</t>
        </is>
      </c>
      <c r="O566" s="52" t="inlineStr">
        <is>
          <t>sraic.diseno@gmail.com</t>
        </is>
      </c>
    </row>
    <row r="567" hidden="1">
      <c r="A567" s="108" t="n"/>
      <c r="B567" s="39" t="n">
        <v>556</v>
      </c>
      <c r="C567" s="278" t="inlineStr">
        <is>
          <t>COTIZACION DEL DISEÑO DE DETECCIÓN DE INCENDIOS - WTC PEREIRA</t>
        </is>
      </c>
      <c r="I567" s="39" t="inlineStr">
        <is>
          <t>AYC</t>
        </is>
      </c>
      <c r="J567" s="336" t="n">
        <v>15250000</v>
      </c>
      <c r="K567" s="112" t="n">
        <v>45945</v>
      </c>
      <c r="L567" s="39" t="n"/>
      <c r="M567" s="39" t="n">
        <v>3127218621</v>
      </c>
      <c r="N567" s="39" t="inlineStr">
        <is>
          <t xml:space="preserve">Robinson Marulanda Guarín </t>
        </is>
      </c>
      <c r="O567" s="116" t="inlineStr">
        <is>
          <t>robinsonmarulanda@arquitecturayconcreto.com</t>
        </is>
      </c>
    </row>
    <row r="568" hidden="1">
      <c r="A568" s="108" t="n"/>
      <c r="B568" s="39" t="n">
        <v>557</v>
      </c>
      <c r="C568" s="278" t="inlineStr">
        <is>
          <t>COTIZACION DEL ANÁLISIS DE SEGURIDAD HUMANA - CENTRO COMUNITARIO DEPORTIVO</t>
        </is>
      </c>
      <c r="I568" s="39" t="inlineStr">
        <is>
          <t>Fundamental Estudio SAS</t>
        </is>
      </c>
      <c r="J568" s="336" t="n">
        <v>2950000</v>
      </c>
      <c r="K568" s="112" t="n">
        <v>45946</v>
      </c>
      <c r="L568" s="39" t="n"/>
      <c r="M568" s="39" t="n"/>
      <c r="N568" s="39" t="inlineStr">
        <is>
          <t>Manuela Uribe</t>
        </is>
      </c>
      <c r="O568" s="52" t="inlineStr">
        <is>
          <t>muribe@fundamental-au.com</t>
        </is>
      </c>
    </row>
    <row r="569" hidden="1">
      <c r="A569" s="108" t="n"/>
      <c r="B569" s="39" t="n">
        <v>558</v>
      </c>
      <c r="C569" s="278" t="inlineStr">
        <is>
          <t>COTIZACION DEL DISEÑO DE DETECCIÓN DE INCENDIOS - COMFAMA RIOGRANDE</t>
        </is>
      </c>
      <c r="I569" s="39" t="inlineStr">
        <is>
          <t>SERIINCO</t>
        </is>
      </c>
      <c r="J569" s="336" t="n">
        <v>3000000</v>
      </c>
      <c r="K569" s="112" t="n">
        <v>45952</v>
      </c>
      <c r="L569" s="39" t="n"/>
      <c r="M569" s="39" t="n">
        <v>3116460496</v>
      </c>
      <c r="N569" s="39" t="inlineStr">
        <is>
          <t xml:space="preserve"> Francisco Unda</t>
        </is>
      </c>
      <c r="O569" s="116" t="inlineStr">
        <is>
          <t>francisco.unda@seriinco.com</t>
        </is>
      </c>
    </row>
    <row r="570" hidden="1">
      <c r="A570" s="108" t="n"/>
      <c r="B570" s="39" t="n">
        <v>559</v>
      </c>
      <c r="C570" s="278" t="inlineStr">
        <is>
          <t>COTIZACION DE LOS DISEÑOS DE SEGURIDAD HUMANA Y PROTECCIÓN CONTRA INCENDIOS - QUINTA LIVING</t>
        </is>
      </c>
      <c r="I570" s="39" t="inlineStr">
        <is>
          <t>Socomes</t>
        </is>
      </c>
      <c r="J570" s="336" t="n">
        <v>14930000</v>
      </c>
      <c r="K570" s="112" t="n">
        <v>45952</v>
      </c>
      <c r="L570" s="39" t="n"/>
      <c r="M570" s="39" t="n">
        <v>3233748748</v>
      </c>
      <c r="N570" s="39" t="inlineStr">
        <is>
          <t>Verónica Sucerquia</t>
        </is>
      </c>
      <c r="O570" s="116" t="inlineStr">
        <is>
          <t>ventas@socomes.com</t>
        </is>
      </c>
    </row>
    <row r="571" hidden="1">
      <c r="A571" s="108" t="n"/>
      <c r="B571" s="39" t="n">
        <v>560</v>
      </c>
      <c r="C571" s="278" t="inlineStr">
        <is>
          <t>COTIZACION DEL ANÁLISIS DE SEGURIDAD HUMANA - PROYECTO DE VIVIENDA CARTAGENA</t>
        </is>
      </c>
      <c r="I571" s="39" t="inlineStr">
        <is>
          <t>Doublec</t>
        </is>
      </c>
      <c r="J571" s="336" t="n">
        <v>11850000</v>
      </c>
      <c r="K571" s="112" t="n">
        <v>45951</v>
      </c>
      <c r="L571" s="39" t="n"/>
      <c r="M571" s="39" t="n">
        <v>3006563981</v>
      </c>
      <c r="N571" s="39" t="inlineStr">
        <is>
          <t>Martha Milena Hernández Marín</t>
        </is>
      </c>
      <c r="O571" s="116" t="inlineStr">
        <is>
          <t>mhernandezm@conconcreto.com</t>
        </is>
      </c>
    </row>
    <row r="572" hidden="1">
      <c r="A572" s="108" t="n"/>
      <c r="B572" s="39" t="n">
        <v>561</v>
      </c>
      <c r="C572" s="278" t="inlineStr">
        <is>
          <t>COTIZACION DE LOS DISEÑOS DE SEGURIDAD HUMANA Y DETECCIÓN DE INCENDIOS - AVANTI</t>
        </is>
      </c>
      <c r="I572" s="39" t="inlineStr">
        <is>
          <t>Pro 2 SAS</t>
        </is>
      </c>
      <c r="J572" s="336" t="n">
        <v>11900000</v>
      </c>
      <c r="K572" s="112" t="n">
        <v>45955</v>
      </c>
      <c r="L572" s="39" t="n"/>
      <c r="M572" s="39" t="n">
        <v>3154683320</v>
      </c>
      <c r="N572" s="39" t="inlineStr">
        <is>
          <t>Diana Margarita Manrique Solano</t>
        </is>
      </c>
      <c r="O572" s="52" t="inlineStr">
        <is>
          <t>analistadeproyectos2@pro2.com.co</t>
        </is>
      </c>
    </row>
    <row r="573" hidden="1">
      <c r="A573" s="108" t="n"/>
      <c r="B573" s="39" t="n">
        <v>562</v>
      </c>
      <c r="C573" s="278" t="inlineStr">
        <is>
          <t>COTIZACION DE LOS DISEÑOS DE SEGURIDAD HUMANA Y PROTECCIÓN CONTRA INCENDIOS - ED RESIDENCIAL EL DANUBIO</t>
        </is>
      </c>
      <c r="I573" s="39" t="inlineStr">
        <is>
          <t>Heder Alvarez</t>
        </is>
      </c>
      <c r="J573" s="336" t="n">
        <v>11000000</v>
      </c>
      <c r="K573" s="112" t="n">
        <v>45947</v>
      </c>
      <c r="L573" s="39" t="n"/>
      <c r="M573" s="39" t="inlineStr">
        <is>
          <t>314 3624300</t>
        </is>
      </c>
      <c r="N573" s="39" t="inlineStr">
        <is>
          <t>Heder Alvarez</t>
        </is>
      </c>
      <c r="O573" s="52" t="inlineStr">
        <is>
          <t>heealvarezca@unal.edu.co</t>
        </is>
      </c>
    </row>
    <row r="574" hidden="1">
      <c r="A574" s="108" t="n"/>
      <c r="B574" s="39" t="n">
        <v>563</v>
      </c>
      <c r="C574" s="278" t="inlineStr">
        <is>
          <t>COTIZACION DE LOS DISEÑOS DE SEGURIDAD HUMANA Y PROTECCIÓN CONTRA INCENDIOS - CARDIO INFANTIL PISO 2-3</t>
        </is>
      </c>
      <c r="I574" s="39" t="inlineStr">
        <is>
          <t>Condiseño</t>
        </is>
      </c>
      <c r="J574" s="336" t="n">
        <v>17930000</v>
      </c>
      <c r="K574" s="112" t="n">
        <v>45951</v>
      </c>
      <c r="L574" s="39" t="n"/>
      <c r="M574" s="39" t="n">
        <v>3175594091</v>
      </c>
      <c r="N574" s="39" t="inlineStr">
        <is>
          <t>Nakary Garcia Romero</t>
        </is>
      </c>
      <c r="O574" s="116" t="inlineStr">
        <is>
          <t>n.garcia@condiseno.co</t>
        </is>
      </c>
    </row>
    <row r="575" hidden="1">
      <c r="A575" s="108" t="n"/>
      <c r="B575" s="39" t="n">
        <v>564</v>
      </c>
      <c r="C575" s="278" t="inlineStr">
        <is>
          <t>COTIZACION DEL DISEÑO DE DETECCIÓN DE INCENDIOS - CALIDAD GRAFICA</t>
        </is>
      </c>
      <c r="I575" s="39" t="inlineStr">
        <is>
          <t>SPCI</t>
        </is>
      </c>
      <c r="J575" s="336" t="n">
        <v>6950000</v>
      </c>
      <c r="K575" s="112" t="n">
        <v>45951</v>
      </c>
      <c r="L575" s="39" t="n"/>
      <c r="M575" s="39" t="n">
        <v>3006047984</v>
      </c>
      <c r="N575" s="39" t="inlineStr">
        <is>
          <t>Natalia Martinez</t>
        </is>
      </c>
      <c r="O575" s="52" t="inlineStr">
        <is>
          <t>coor.relacionamiento@spci.com.co</t>
        </is>
      </c>
    </row>
    <row r="576" hidden="1">
      <c r="A576" s="108" t="n"/>
      <c r="B576" s="39" t="n">
        <v>565</v>
      </c>
      <c r="C576" s="278" t="inlineStr">
        <is>
          <t>COTIZACION DEL ANÁLISIS DE SEGURIDAD HUMANA - SERENA DEL MAR</t>
        </is>
      </c>
      <c r="I576" s="39" t="inlineStr">
        <is>
          <t>CONCONCRETO</t>
        </is>
      </c>
      <c r="J576" s="336" t="n">
        <v>5990000</v>
      </c>
      <c r="K576" s="112" t="n">
        <v>45952</v>
      </c>
      <c r="L576" s="39" t="n"/>
      <c r="M576" s="39" t="n">
        <v>3148721400</v>
      </c>
      <c r="N576" s="39" t="inlineStr">
        <is>
          <t>Adriana Agudelo Lopez</t>
        </is>
      </c>
      <c r="O576" s="52" t="inlineStr">
        <is>
          <t>aagudelol@conconcreto.com</t>
        </is>
      </c>
    </row>
    <row r="577" hidden="1">
      <c r="A577" s="108" t="n"/>
      <c r="B577" s="39" t="n">
        <v>566</v>
      </c>
      <c r="C577" s="278" t="inlineStr">
        <is>
          <t>COTIZACION DEL DISEÑO DE DETECCIÓN DE INCENDIOS - BANS GROUP</t>
        </is>
      </c>
      <c r="I577" s="39" t="inlineStr">
        <is>
          <t>SPCI</t>
        </is>
      </c>
      <c r="J577" s="336" t="n">
        <v>3950000</v>
      </c>
      <c r="K577" s="112" t="n">
        <v>45952</v>
      </c>
      <c r="L577" s="39" t="n"/>
      <c r="M577" s="39" t="n">
        <v>3137546144</v>
      </c>
      <c r="N577" s="39" t="inlineStr">
        <is>
          <t>Juan Camilo Quintero Bedoya</t>
        </is>
      </c>
      <c r="O577" s="52" t="inlineStr">
        <is>
          <t>camilo.quintero@spci.com.co</t>
        </is>
      </c>
    </row>
    <row r="578" hidden="1">
      <c r="A578" s="108" t="n"/>
      <c r="B578" s="39" t="n">
        <v>567</v>
      </c>
      <c r="C578" s="278" t="inlineStr">
        <is>
          <t>COTIZACION DE LOS DISEÑOS DE PROTECCIÓN CONTRA INCENDIOS - TEÑIMOS</t>
        </is>
      </c>
      <c r="I578" s="39" t="inlineStr">
        <is>
          <t>SERIINCO</t>
        </is>
      </c>
      <c r="J578" s="336" t="n">
        <v>12540000</v>
      </c>
      <c r="K578" s="112" t="n">
        <v>45955</v>
      </c>
      <c r="L578" s="39" t="n"/>
      <c r="M578" s="39" t="n">
        <v>3006560510</v>
      </c>
      <c r="N578" s="39" t="inlineStr">
        <is>
          <t>Johnnatan Duque</t>
        </is>
      </c>
      <c r="O578" s="52" t="inlineStr">
        <is>
          <t>johnnatan.duque@seriinco.com</t>
        </is>
      </c>
    </row>
    <row r="579" hidden="1">
      <c r="A579" s="108" t="n"/>
      <c r="B579" s="39" t="n">
        <v>568</v>
      </c>
      <c r="C579" s="278" t="inlineStr">
        <is>
          <t>COTIZACION DE LOS DISEÑOS DE SEGURIDAD HUMANA Y PROTECCIÓN CONTRA INCENDIOS - BODEGA JARAPETS</t>
        </is>
      </c>
      <c r="I579" s="39" t="inlineStr">
        <is>
          <t>Mario Sosa</t>
        </is>
      </c>
      <c r="J579" s="336" t="n">
        <v>33850000</v>
      </c>
      <c r="K579" s="112" t="n">
        <v>45951</v>
      </c>
      <c r="L579" s="39" t="n"/>
      <c r="M579" s="39" t="n">
        <v>3218511403</v>
      </c>
      <c r="N579" s="39" t="inlineStr">
        <is>
          <t>Mario Sosa</t>
        </is>
      </c>
      <c r="O579" s="116" t="n"/>
    </row>
    <row r="580" hidden="1" ht="15" customHeight="1">
      <c r="A580" s="108" t="n"/>
      <c r="B580" s="39" t="n">
        <v>569</v>
      </c>
      <c r="C580" s="278" t="inlineStr">
        <is>
          <t>COTIZACION DE LOS DISEÑOS DE SEGURIDAD HUMANA Y PROTECCIÓN CONTRA INCENDIOS - PARIS CAMPESTRE</t>
        </is>
      </c>
      <c r="I580" s="39" t="inlineStr">
        <is>
          <t>AIA</t>
        </is>
      </c>
      <c r="J580" s="336" t="n">
        <v>8780000</v>
      </c>
      <c r="K580" s="112" t="n">
        <v>45955</v>
      </c>
      <c r="L580" s="39" t="n"/>
      <c r="M580" s="39" t="n">
        <v>6042446600</v>
      </c>
      <c r="N580" s="154" t="inlineStr">
        <is>
          <t xml:space="preserve">
Maria Paula Nieto Robayo</t>
        </is>
      </c>
      <c r="O580" s="52" t="inlineStr">
        <is>
          <t>mnieto@aia.com.co</t>
        </is>
      </c>
    </row>
    <row r="581" hidden="1" ht="15" customHeight="1">
      <c r="A581" s="108" t="n"/>
      <c r="B581" s="39" t="n">
        <v>570</v>
      </c>
      <c r="C581" s="278" t="inlineStr">
        <is>
          <t>COTIZACION DE LOS DISEÑOS DE PROTECCIÓN CONTRA INCENDIOS - CJTEX</t>
        </is>
      </c>
      <c r="I581" s="39" t="inlineStr">
        <is>
          <t>Fire &amp; Equipos</t>
        </is>
      </c>
      <c r="J581" s="336" t="n">
        <v>11950000</v>
      </c>
      <c r="K581" s="112" t="n">
        <v>45953</v>
      </c>
      <c r="L581" s="39" t="n"/>
      <c r="M581" s="39" t="inlineStr">
        <is>
          <t xml:space="preserve">	3136650714</t>
        </is>
      </c>
      <c r="N581" s="39" t="inlineStr">
        <is>
          <t>Samuel Piedrahíta</t>
        </is>
      </c>
      <c r="O581" s="52" t="inlineStr">
        <is>
          <t>operaciones.fireyequipos@gmail.com</t>
        </is>
      </c>
    </row>
    <row r="582" hidden="1">
      <c r="A582" s="108" t="n"/>
      <c r="B582" s="39" t="n">
        <v>571</v>
      </c>
      <c r="C582" s="278" t="inlineStr">
        <is>
          <t>COTIZACION DE LOS DISEÑOS DE PROTECCIÓN CONTRA INCENDIOS - CASA DEL ROCK</t>
        </is>
      </c>
      <c r="I582" s="39" t="inlineStr">
        <is>
          <t>Fire &amp; Equipos</t>
        </is>
      </c>
      <c r="J582" s="336" t="n">
        <v>4950000</v>
      </c>
      <c r="K582" s="112" t="n">
        <v>45953</v>
      </c>
      <c r="L582" s="39" t="n"/>
      <c r="M582" s="39" t="inlineStr">
        <is>
          <t xml:space="preserve">	3136650714</t>
        </is>
      </c>
      <c r="N582" s="39" t="inlineStr">
        <is>
          <t>Samuel Piedrahíta</t>
        </is>
      </c>
      <c r="O582" s="52" t="inlineStr">
        <is>
          <t>operaciones.fireyequipos@gmail.com</t>
        </is>
      </c>
    </row>
    <row r="583" hidden="1">
      <c r="A583" s="108" t="n"/>
      <c r="B583" s="39" t="n">
        <v>572</v>
      </c>
      <c r="C583" s="278" t="inlineStr">
        <is>
          <t>COTIZACION DE LOS DISEÑOS DE PROTECCIÓN CONTRA INCENDIOS - PLANTA DE MADERA</t>
        </is>
      </c>
      <c r="I583" s="39" t="inlineStr">
        <is>
          <t>PROSOMA</t>
        </is>
      </c>
      <c r="J583" s="336" t="n">
        <v>10000000</v>
      </c>
      <c r="K583" s="112" t="n">
        <v>45955</v>
      </c>
      <c r="L583" s="39" t="n"/>
      <c r="M583" s="39" t="n">
        <v>3147537411</v>
      </c>
      <c r="N583" s="39" t="inlineStr">
        <is>
          <t>Adolfo Flores Cossio</t>
        </is>
      </c>
      <c r="O583" s="116" t="inlineStr">
        <is>
          <t>proyectos@prosoma.com.co</t>
        </is>
      </c>
    </row>
    <row r="584" hidden="1">
      <c r="A584" s="108" t="n"/>
      <c r="B584" s="39" t="n">
        <v>573</v>
      </c>
      <c r="C584" s="278" t="inlineStr">
        <is>
          <t>COTIZACION DE LOS DISEÑOS DE SEGURIDAD HUMANA Y PROTECCIÓN CONTRA INCENDIOS - PARADISO</t>
        </is>
      </c>
      <c r="I584" s="39" t="inlineStr">
        <is>
          <t>Bienes y bienes</t>
        </is>
      </c>
      <c r="J584" s="336" t="n">
        <v>36410000</v>
      </c>
      <c r="K584" s="112" t="n">
        <v>45954</v>
      </c>
      <c r="L584" s="39" t="n"/>
      <c r="M584" s="39" t="n">
        <v>3147788200</v>
      </c>
      <c r="N584" s="39" t="inlineStr">
        <is>
          <t>Diego Fernando Paredes Peña</t>
        </is>
      </c>
      <c r="O584" s="52" t="inlineStr">
        <is>
          <t>diego.paredes@bienesybienes.com.co</t>
        </is>
      </c>
    </row>
    <row r="585" hidden="1">
      <c r="A585" s="108" t="n"/>
      <c r="B585" s="39" t="n">
        <v>574</v>
      </c>
      <c r="C585" s="278" t="inlineStr">
        <is>
          <t>COTIZACION DE LOS DISEÑOS DE SEGURIDAD HUMANA Y DETECCIÓN DE INCENDIOS - CA MEJIA</t>
        </is>
      </c>
      <c r="I585" s="39" t="inlineStr">
        <is>
          <t>AFC</t>
        </is>
      </c>
      <c r="J585" s="336" t="n">
        <v>26200000</v>
      </c>
      <c r="K585" s="112" t="n">
        <v>45957</v>
      </c>
      <c r="L585" s="39" t="n"/>
      <c r="M585" s="113" t="n">
        <v>3116456726</v>
      </c>
      <c r="N585" s="39" t="inlineStr">
        <is>
          <t>Andres Cruz</t>
        </is>
      </c>
      <c r="O585" s="116" t="inlineStr">
        <is>
          <t>proyectos.afcprofire@gmail.com</t>
        </is>
      </c>
    </row>
    <row r="586" hidden="1">
      <c r="A586" s="108" t="n"/>
      <c r="B586" s="39" t="n">
        <v>575</v>
      </c>
      <c r="C586" s="278" t="inlineStr">
        <is>
          <t>COTIZACION DE LOS DISEÑOS DE SEGURIDAD HUMANA Y PROTECCIÓN CONTRA INCENDIOS - CENTRO DIA EL PEÑOL</t>
        </is>
      </c>
      <c r="I586" s="39" t="inlineStr">
        <is>
          <t>Girar construcciones</t>
        </is>
      </c>
      <c r="J586" s="336" t="n">
        <v>11260000</v>
      </c>
      <c r="K586" s="112" t="n">
        <v>45958</v>
      </c>
      <c r="L586" s="39" t="n"/>
      <c r="M586" s="39" t="n">
        <v>3105377343</v>
      </c>
      <c r="N586" s="39" t="inlineStr">
        <is>
          <t>Felipe Giraldo Cube</t>
        </is>
      </c>
      <c r="O586" s="52" t="inlineStr">
        <is>
          <t>girarconstrucciones@gmail.com</t>
        </is>
      </c>
    </row>
    <row r="587" hidden="1">
      <c r="A587" s="108" t="n"/>
      <c r="B587" s="39" t="n">
        <v>576</v>
      </c>
      <c r="C587" s="278" t="inlineStr">
        <is>
          <t>COTIZACION DEL DISEÑO DE EXTINCIÓN DE INCENDIOS - PLANTA SIKA RIONEGRO</t>
        </is>
      </c>
      <c r="I587" s="39" t="inlineStr">
        <is>
          <t>Sika</t>
        </is>
      </c>
      <c r="J587" s="336" t="n">
        <v>75850000</v>
      </c>
      <c r="K587" s="112" t="n">
        <v>45961</v>
      </c>
      <c r="L587" s="39" t="n"/>
      <c r="M587" s="39" t="n">
        <v>3142094203</v>
      </c>
      <c r="N587" s="39" t="inlineStr">
        <is>
          <t>Williams Camacho</t>
        </is>
      </c>
      <c r="O587" s="52" t="inlineStr">
        <is>
          <t>Camacho.williams@co.sika.com</t>
        </is>
      </c>
    </row>
    <row r="588" hidden="1">
      <c r="A588" s="108" t="n"/>
      <c r="B588" s="39" t="n">
        <v>577</v>
      </c>
      <c r="C588" s="278" t="inlineStr">
        <is>
          <t>COTIZACION DEL DISEÑO DE EXTINCIÓN DE INCENDIOS - PLANTA SIKA TOCANCIPÁ</t>
        </is>
      </c>
      <c r="I588" s="39" t="inlineStr">
        <is>
          <t>Sika</t>
        </is>
      </c>
      <c r="J588" s="336" t="n">
        <v>124950000</v>
      </c>
      <c r="K588" s="112" t="n">
        <v>45961</v>
      </c>
      <c r="L588" s="39" t="n"/>
      <c r="M588" s="39" t="n">
        <v>3142094203</v>
      </c>
      <c r="N588" s="39" t="inlineStr">
        <is>
          <t>Williams Camacho</t>
        </is>
      </c>
      <c r="O588" s="52" t="inlineStr">
        <is>
          <t>Camacho.williams@co.sika.com</t>
        </is>
      </c>
    </row>
    <row r="589" hidden="1">
      <c r="A589" s="108" t="n"/>
      <c r="B589" s="39" t="n">
        <v>578</v>
      </c>
      <c r="C589" s="278" t="inlineStr">
        <is>
          <t>COTIZACION DEL ANÁLISIS DE SEGURIDAD HUMANA - CADIZ FUSAGASUGÁ</t>
        </is>
      </c>
      <c r="I589" s="39" t="inlineStr">
        <is>
          <t>Área Cuadrada Constructores</t>
        </is>
      </c>
      <c r="J589" s="336" t="n">
        <v>7530000</v>
      </c>
      <c r="K589" s="112" t="n">
        <v>45961</v>
      </c>
      <c r="L589" s="39" t="n"/>
      <c r="M589" s="39" t="inlineStr">
        <is>
          <t>Licify</t>
        </is>
      </c>
      <c r="N589" s="39" t="n"/>
      <c r="O589" s="116" t="n"/>
    </row>
    <row r="590" hidden="1">
      <c r="A590" s="108" t="n"/>
      <c r="B590" s="39" t="n">
        <v>579</v>
      </c>
      <c r="C590" s="278" t="inlineStr">
        <is>
          <t>COTIZACION DEL ANÁLISIS DE SEGURIDAD HUMANA - KANTAWA</t>
        </is>
      </c>
      <c r="I590" s="39" t="inlineStr">
        <is>
          <t>URAKI CONSTRUCTORA S.A.S.</t>
        </is>
      </c>
      <c r="J590" s="336" t="n">
        <v>11290000</v>
      </c>
      <c r="K590" s="112" t="n">
        <v>45961</v>
      </c>
      <c r="L590" s="39" t="n"/>
      <c r="M590" s="39" t="inlineStr">
        <is>
          <t>Licify</t>
        </is>
      </c>
      <c r="N590" s="39" t="n"/>
      <c r="O590" s="116" t="n"/>
    </row>
    <row r="591" hidden="1">
      <c r="A591" s="108" t="n"/>
      <c r="B591" s="39" t="n">
        <v>580</v>
      </c>
      <c r="C591" s="278" t="inlineStr">
        <is>
          <t>COTIZACION DEL DISEÑO DE EXTINCIÓN DE INCENDIOS - BODEGA 201</t>
        </is>
      </c>
      <c r="I591" s="39" t="inlineStr">
        <is>
          <t>Progressa</t>
        </is>
      </c>
      <c r="J591" s="336" t="n">
        <v>18850000</v>
      </c>
      <c r="K591" s="112" t="n">
        <v>45958</v>
      </c>
      <c r="L591" s="39" t="n"/>
      <c r="M591" s="39" t="inlineStr">
        <is>
          <t>301 7358708</t>
        </is>
      </c>
      <c r="N591" s="39" t="inlineStr">
        <is>
          <t xml:space="preserve">Juan Andres Cassares </t>
        </is>
      </c>
      <c r="O591" s="52" t="inlineStr">
        <is>
          <t>residenteadministrativo@progressa.com.co</t>
        </is>
      </c>
    </row>
    <row r="592" hidden="1">
      <c r="A592" s="108" t="n"/>
      <c r="B592" s="39" t="n">
        <v>581</v>
      </c>
      <c r="C592" s="278" t="inlineStr">
        <is>
          <t>COTIZACION DE LOS DISEÑOS DE SEGURIDAD HUMANA Y PROTECCIÓN CONTRA INCENDIOS - SAN IGNACIO INFANTIL</t>
        </is>
      </c>
      <c r="I592" s="39" t="inlineStr">
        <is>
          <t>Mensula</t>
        </is>
      </c>
      <c r="J592" s="336" t="n">
        <v>29950000</v>
      </c>
      <c r="K592" s="112" t="n">
        <v>45959</v>
      </c>
      <c r="L592" s="39" t="n"/>
      <c r="M592" s="39" t="inlineStr">
        <is>
          <t>314 619 81 44</t>
        </is>
      </c>
      <c r="N592" s="39" t="inlineStr">
        <is>
          <t>Angela Bravo</t>
        </is>
      </c>
      <c r="O592" s="52" t="inlineStr">
        <is>
          <t>angelabravo@mensulaingenieros.com</t>
        </is>
      </c>
    </row>
    <row r="593" hidden="1">
      <c r="A593" s="108" t="n"/>
      <c r="B593" s="39" t="n">
        <v>582</v>
      </c>
      <c r="C593" s="278" t="inlineStr">
        <is>
          <t>COTIZACION DEL DISEÑO DE EXTINCIÓN DE INCENDIOS - LOCAL RUBY ROSE AEROPUERTO</t>
        </is>
      </c>
      <c r="I593" s="39" t="inlineStr">
        <is>
          <t>Proyect &amp; solution</t>
        </is>
      </c>
      <c r="J593" s="336" t="n">
        <v>1450000</v>
      </c>
      <c r="K593" s="112" t="n">
        <v>45961</v>
      </c>
      <c r="L593" s="39" t="n"/>
      <c r="M593" s="39" t="inlineStr">
        <is>
          <t>311 3079477</t>
        </is>
      </c>
      <c r="N593" s="39" t="inlineStr">
        <is>
          <t>Sebastian Lopez Duque</t>
        </is>
      </c>
      <c r="O593" s="52" t="inlineStr">
        <is>
          <t>gerencia@projectsolutions.com.co</t>
        </is>
      </c>
    </row>
    <row r="594" hidden="1">
      <c r="A594" s="108" t="n"/>
      <c r="B594" s="39" t="n">
        <v>583</v>
      </c>
      <c r="C594" s="278" t="inlineStr">
        <is>
          <t>COTIZACION DEL DISEÑO DE EXTINCIÓN DE INCENDIOS - ESCANO SAN NICOLAS</t>
        </is>
      </c>
      <c r="I594" s="39" t="inlineStr">
        <is>
          <t>SECURETEC</t>
        </is>
      </c>
      <c r="J594" s="336" t="n">
        <v>7550000</v>
      </c>
      <c r="K594" s="112" t="n">
        <v>45966</v>
      </c>
      <c r="L594" s="39" t="n"/>
      <c r="M594" s="39" t="n">
        <v>3206678830</v>
      </c>
      <c r="N594" s="39" t="inlineStr">
        <is>
          <t>Jhonny A Castro</t>
        </is>
      </c>
      <c r="O594" s="52" t="inlineStr">
        <is>
          <t>dirproyectos@securetec.com.co</t>
        </is>
      </c>
    </row>
    <row r="595" hidden="1">
      <c r="A595" s="108" t="n"/>
      <c r="B595" s="39" t="n">
        <v>584</v>
      </c>
      <c r="C595" s="278" t="inlineStr">
        <is>
          <t>COTIZACION DEL DISEÑO DE DETECCIÓN DE INCENDIOS - SOZO RESORT HILTON SURINAME</t>
        </is>
      </c>
      <c r="I595" s="39" t="inlineStr">
        <is>
          <t>SupplyNet LATAM</t>
        </is>
      </c>
      <c r="J595" s="336" t="n">
        <v>8000</v>
      </c>
      <c r="K595" s="112" t="n">
        <v>45967</v>
      </c>
      <c r="L595" s="39" t="n"/>
      <c r="M595" s="39" t="n">
        <v>3108227462</v>
      </c>
      <c r="N595" s="39" t="inlineStr">
        <is>
          <t>Álvaro Manosalva</t>
        </is>
      </c>
      <c r="O595" s="52" t="inlineStr">
        <is>
          <t>alvaro.manosalva@supplynetlatam.com</t>
        </is>
      </c>
    </row>
    <row r="596" hidden="1">
      <c r="A596" s="108" t="n"/>
      <c r="B596" s="39" t="n">
        <v>585</v>
      </c>
      <c r="C596" s="278" t="inlineStr">
        <is>
          <t>COTIZACION DE LOS DISEÑOS DE SEGURIDAD HUMANA Y PROTECCIÓN CONTRA INCENDIOS - MONTEMERANO</t>
        </is>
      </c>
      <c r="I596" s="39" t="inlineStr">
        <is>
          <t>Constructora de obras</t>
        </is>
      </c>
      <c r="J596" s="336" t="inlineStr">
        <is>
          <t>Variable</t>
        </is>
      </c>
      <c r="K596" s="112" t="n">
        <v>45968</v>
      </c>
      <c r="L596" s="39" t="n"/>
      <c r="M596" s="39" t="n">
        <v>3147637674</v>
      </c>
      <c r="N596" s="39" t="inlineStr">
        <is>
          <t>Sebastián Duque Hoyos</t>
        </is>
      </c>
      <c r="O596" s="52" t="inlineStr">
        <is>
          <t>auxalcala2@constructoradeobras.com</t>
        </is>
      </c>
    </row>
    <row r="597" hidden="1">
      <c r="A597" s="108" t="n"/>
      <c r="B597" s="39" t="n">
        <v>586</v>
      </c>
      <c r="C597" s="278" t="inlineStr">
        <is>
          <t>COTIZACION DE LOS DISEÑOS DE SEGURIDAD HUMANA Y PROTECCIÓN CONTRA INCENDIOS - NOVICIADO</t>
        </is>
      </c>
      <c r="I597" s="39" t="inlineStr">
        <is>
          <t>Convel</t>
        </is>
      </c>
      <c r="J597" s="336" t="n">
        <v>19950000</v>
      </c>
      <c r="K597" s="112" t="n">
        <v>45967</v>
      </c>
      <c r="L597" s="39" t="n"/>
      <c r="M597" s="39" t="n">
        <v>3137337587</v>
      </c>
      <c r="N597" s="39" t="inlineStr">
        <is>
          <t>Juan Carlos Naranjo</t>
        </is>
      </c>
      <c r="O597" s="52" t="inlineStr">
        <is>
          <t>juannaranjo@convel.co</t>
        </is>
      </c>
    </row>
    <row r="598" hidden="1">
      <c r="A598" s="108" t="n"/>
      <c r="B598" s="39" t="n">
        <v>587</v>
      </c>
      <c r="C598" s="278" t="inlineStr">
        <is>
          <t>COTIZACION DEL DISEÑO DE DETECCIÓN DE INCENDIOS - SUPERMERCADO BELALCAZAR 1</t>
        </is>
      </c>
      <c r="I598" s="39" t="inlineStr">
        <is>
          <t>SPCI</t>
        </is>
      </c>
      <c r="J598" s="339" t="n">
        <v>9550000</v>
      </c>
      <c r="K598" s="112" t="n">
        <v>45967</v>
      </c>
      <c r="L598" s="39" t="n"/>
      <c r="M598" s="39" t="n">
        <v>3006047984</v>
      </c>
      <c r="N598" s="39" t="inlineStr">
        <is>
          <t>Natalia Martinez</t>
        </is>
      </c>
      <c r="O598" s="52" t="inlineStr">
        <is>
          <t>coor.relacionamiento@spci.com.co</t>
        </is>
      </c>
    </row>
    <row r="599" hidden="1">
      <c r="A599" s="108" t="n"/>
      <c r="B599" s="39" t="n">
        <v>588</v>
      </c>
      <c r="C599" s="278" t="inlineStr">
        <is>
          <t>COTIZACION DEL DISEÑO DE DETECCIÓN DE INCENDIOS - SUPERMERCADO BELALCAZAR 2</t>
        </is>
      </c>
      <c r="I599" s="39" t="inlineStr">
        <is>
          <t>SPCI</t>
        </is>
      </c>
      <c r="J599" s="336" t="n">
        <v>7500000</v>
      </c>
      <c r="K599" s="112" t="n">
        <v>45967</v>
      </c>
      <c r="L599" s="39" t="n"/>
      <c r="M599" s="39" t="n">
        <v>3006047984</v>
      </c>
      <c r="N599" s="39" t="inlineStr">
        <is>
          <t>Natalia Martinez</t>
        </is>
      </c>
      <c r="O599" s="52" t="inlineStr">
        <is>
          <t>coor.relacionamiento@spci.com.co</t>
        </is>
      </c>
    </row>
    <row r="600" hidden="1">
      <c r="A600" s="108" t="n"/>
      <c r="B600" s="39" t="n">
        <v>589</v>
      </c>
      <c r="C600" s="278" t="inlineStr">
        <is>
          <t>COTIZACION DE LOS DISEÑOS DE SEGURIDAD HUMANA Y PROTECCIÓN CONTRA INCENDIOS - LA 30</t>
        </is>
      </c>
      <c r="I600" s="39" t="inlineStr">
        <is>
          <t>Constructora Altos de la Abadia</t>
        </is>
      </c>
      <c r="J600" s="336" t="n">
        <v>27110000</v>
      </c>
      <c r="K600" s="112" t="n">
        <v>45968</v>
      </c>
      <c r="L600" s="39" t="n"/>
      <c r="M600" s="39" t="n">
        <v>3175180141</v>
      </c>
      <c r="N600" s="39" t="inlineStr">
        <is>
          <t>Esteban Ramírez Pineda</t>
        </is>
      </c>
      <c r="O600" s="116" t="inlineStr">
        <is>
          <t xml:space="preserve">e.ramirez@altosdelaabadia.com  </t>
        </is>
      </c>
    </row>
    <row r="601" hidden="1">
      <c r="A601" s="108" t="n"/>
      <c r="B601" s="39" t="n">
        <v>590</v>
      </c>
      <c r="C601" s="278" t="inlineStr">
        <is>
          <t>COTIZACION DEL DISEÑO DE DETECCIÓN DE INCENDIOS - PORTERIA PARCELACION LOS CABOS</t>
        </is>
      </c>
      <c r="I601" s="39" t="inlineStr">
        <is>
          <t>Juan Carlos Molina</t>
        </is>
      </c>
      <c r="J601" s="336" t="n">
        <v>1500000</v>
      </c>
      <c r="K601" s="112" t="n">
        <v>45969</v>
      </c>
      <c r="L601" s="39" t="n"/>
      <c r="M601" s="39" t="n"/>
      <c r="N601" s="39" t="inlineStr">
        <is>
          <t>Juan Carlos Molina</t>
        </is>
      </c>
      <c r="O601" s="116" t="n"/>
    </row>
    <row r="602" hidden="1">
      <c r="A602" s="108" t="n"/>
      <c r="B602" s="39" t="n">
        <v>591</v>
      </c>
      <c r="C602" s="278" t="inlineStr">
        <is>
          <t>COTIZACION DEL DISEÑO DE EXTINCIÓN DE INCENDIOS - BODEGA 201</t>
        </is>
      </c>
      <c r="I602" s="39" t="inlineStr">
        <is>
          <t>Ingesed</t>
        </is>
      </c>
      <c r="J602" s="336" t="n">
        <v>18850000</v>
      </c>
      <c r="K602" s="112" t="n">
        <v>45968</v>
      </c>
      <c r="L602" s="39" t="n"/>
      <c r="M602" s="39" t="n">
        <v>3135401714</v>
      </c>
      <c r="N602" s="39" t="inlineStr">
        <is>
          <t>Eliana Isabel Cardona Ríos</t>
        </is>
      </c>
      <c r="O602" s="116" t="inlineStr">
        <is>
          <t>comercial@ingesed.com</t>
        </is>
      </c>
    </row>
    <row r="603" hidden="1">
      <c r="A603" s="108" t="n"/>
      <c r="B603" s="39" t="n">
        <v>592</v>
      </c>
      <c r="C603" s="278" t="inlineStr">
        <is>
          <t>COTIZACION DE LA INSPECCIÓN VISUAL Y LAS PRUEBAS DE FLUJO PARA LOS SISTEMAS DE CONEXIONES DE MANGUERA DE EXTINCIÓN DE INCENDIOS SANTILLANA</t>
        </is>
      </c>
      <c r="I603" s="39" t="inlineStr">
        <is>
          <t>MTS</t>
        </is>
      </c>
      <c r="J603" s="336" t="n">
        <v>6950000</v>
      </c>
      <c r="K603" s="112" t="n">
        <v>45968</v>
      </c>
      <c r="L603" s="39" t="n"/>
      <c r="M603" s="39" t="n">
        <v>3005944476</v>
      </c>
      <c r="N603" s="39" t="inlineStr">
        <is>
          <t>Camilo Vergel</t>
        </is>
      </c>
      <c r="O603" s="52" t="inlineStr">
        <is>
          <t>asistentesantillana@mts.com.co</t>
        </is>
      </c>
    </row>
    <row r="604" hidden="1" ht="14.25" customHeight="1">
      <c r="A604" s="108" t="n"/>
      <c r="B604" s="39" t="n">
        <v>593</v>
      </c>
      <c r="C604" s="278" t="inlineStr">
        <is>
          <t>COTIZACION DEL ANÁLISIS DE SEGURIDAD HUMANA - TERMINAL DE CONTENEDORES CARTAGENA</t>
        </is>
      </c>
      <c r="I604" s="39" t="inlineStr">
        <is>
          <t>Conconcreto Designs</t>
        </is>
      </c>
      <c r="J604" s="336" t="n">
        <v>9950000</v>
      </c>
      <c r="K604" s="112" t="n">
        <v>45971</v>
      </c>
      <c r="L604" s="39" t="n"/>
      <c r="M604" s="39" t="n">
        <v>3108312159</v>
      </c>
      <c r="N604" s="39" t="inlineStr">
        <is>
          <t xml:space="preserve">
Farley de Jesus Bustamante Zuleta</t>
        </is>
      </c>
      <c r="O604" s="52" t="inlineStr">
        <is>
          <t>fbustamantez@doublec.com</t>
        </is>
      </c>
    </row>
    <row r="605" hidden="1" ht="14.25" customHeight="1">
      <c r="A605" s="108" t="n"/>
      <c r="B605" s="39" t="n">
        <v>594</v>
      </c>
      <c r="C605" s="278" t="inlineStr">
        <is>
          <t>COTIZACION DE LOS DISEÑOS DE SEGURIDAD HUMANA Y PROTECCIÓN CONTRA INCENDIOS - BRASPINE</t>
        </is>
      </c>
      <c r="I605" s="39" t="inlineStr">
        <is>
          <t>Braspine Rivera</t>
        </is>
      </c>
      <c r="J605" s="336" t="n">
        <v>62710</v>
      </c>
      <c r="K605" s="112" t="n">
        <v>45971</v>
      </c>
      <c r="L605" s="39" t="n"/>
      <c r="M605" s="39" t="inlineStr">
        <is>
          <t xml:space="preserve"> +55 (42) 99119-5368</t>
        </is>
      </c>
      <c r="N605" s="39" t="inlineStr">
        <is>
          <t xml:space="preserve">
Emerson de Oliveira Moraes</t>
        </is>
      </c>
      <c r="O605" s="52" t="inlineStr">
        <is>
          <t>emerson.moraes@braspine.com.br</t>
        </is>
      </c>
    </row>
    <row r="606" hidden="1" ht="14.25" customHeight="1">
      <c r="A606" s="108" t="n"/>
      <c r="B606" s="39" t="n">
        <v>595</v>
      </c>
      <c r="C606" s="278" t="inlineStr">
        <is>
          <t>COTIZACION DE LOS DISEÑOS DE PROTECCIÓN CONTRA INCENDIOS - LOCAL FORJA</t>
        </is>
      </c>
      <c r="I606" s="39" t="inlineStr">
        <is>
          <t>Fire &amp; Equipos</t>
        </is>
      </c>
      <c r="J606" s="336" t="n">
        <v>2440000</v>
      </c>
      <c r="K606" s="112" t="n">
        <v>45969</v>
      </c>
      <c r="L606" s="39" t="n"/>
      <c r="M606" s="39" t="inlineStr">
        <is>
          <t xml:space="preserve">	3136650714</t>
        </is>
      </c>
      <c r="N606" s="39" t="inlineStr">
        <is>
          <t>Samuel Piedrahíta</t>
        </is>
      </c>
      <c r="O606" s="52" t="inlineStr">
        <is>
          <t>operaciones.fireyequipos@gmail.com</t>
        </is>
      </c>
    </row>
    <row r="607" hidden="1" ht="14.25" customHeight="1">
      <c r="A607" s="108" t="n"/>
      <c r="B607" s="39" t="n">
        <v>596</v>
      </c>
      <c r="C607" s="278" t="inlineStr">
        <is>
          <t>COTIZACION DE LOS DISEÑOS DE PROTECCIÓN CONTRA INCENDIOS Y SEGURIDAD HUMANA PARA EL PROYECTO ED. MULTIFAMILIAR</t>
        </is>
      </c>
      <c r="I607" s="39" t="inlineStr">
        <is>
          <t>Rómulo Martínez Atehortua</t>
        </is>
      </c>
      <c r="J607" s="336" t="n">
        <v>5000000</v>
      </c>
      <c r="K607" s="112" t="n">
        <v>45969</v>
      </c>
      <c r="L607" s="39" t="n"/>
      <c r="M607" s="39" t="n">
        <v>3124286991</v>
      </c>
      <c r="N607" s="39" t="inlineStr">
        <is>
          <t>Rómulo Martinez Atehortua</t>
        </is>
      </c>
      <c r="O607" s="116" t="n"/>
    </row>
    <row r="608" ht="14.25" customHeight="1">
      <c r="A608" s="108" t="n"/>
      <c r="B608" s="39" t="n">
        <v>597</v>
      </c>
      <c r="C608" s="278" t="inlineStr">
        <is>
          <t>COTIZACION DE LOS DISEÑOS DE SEGURIDAD HUMANA Y PROTECCIÓN CONTRA INCENDIOS - TIERRA NEGRA</t>
        </is>
      </c>
      <c r="I608" s="39" t="inlineStr">
        <is>
          <t>Redigroup</t>
        </is>
      </c>
      <c r="J608" s="336" t="n">
        <v>26950000</v>
      </c>
      <c r="K608" s="112" t="n">
        <v>45972</v>
      </c>
      <c r="L608" s="39" t="n"/>
      <c r="M608" s="39" t="n">
        <v>3053533308</v>
      </c>
      <c r="N608" s="39" t="inlineStr">
        <is>
          <t>Santiago Franco</t>
        </is>
      </c>
      <c r="O608" s="52" t="inlineStr">
        <is>
          <t>santiago.franco@redigroup.co</t>
        </is>
      </c>
    </row>
    <row r="609" hidden="1" ht="14.25" customHeight="1">
      <c r="A609" s="108" t="n"/>
      <c r="B609" s="39" t="n">
        <v>598</v>
      </c>
      <c r="C609" s="278" t="inlineStr">
        <is>
          <t>COTIZACION DEL ANÁLISIS DE SEGURIDAD HUMANA - ALTAMONTE</t>
        </is>
      </c>
      <c r="I609" s="39" t="inlineStr">
        <is>
          <t>Bitacora ingeniería</t>
        </is>
      </c>
      <c r="J609" s="336" t="n">
        <v>1500000</v>
      </c>
      <c r="K609" s="112" t="n">
        <v>45972</v>
      </c>
      <c r="L609" s="39" t="n"/>
      <c r="M609" s="39" t="n">
        <v>3182887016</v>
      </c>
      <c r="N609" s="39" t="inlineStr">
        <is>
          <t>Robinson Ramirez</t>
        </is>
      </c>
      <c r="O609" s="52" t="inlineStr">
        <is>
          <t>interventoriaaltamonte@gmail.com</t>
        </is>
      </c>
    </row>
    <row r="610" hidden="1" ht="14.25" customHeight="1">
      <c r="A610" s="108" t="n"/>
      <c r="B610" s="39" t="n">
        <v>599</v>
      </c>
      <c r="C610" s="278" t="inlineStr">
        <is>
          <t>COTIZACION DEL ACOMPAÑAMIENTO EN LA REVISIÓN Y PUESTA EN MARCHA DEL SISTEMA DE DETECCIÓN TEMPRANA - TERMONORTE</t>
        </is>
      </c>
      <c r="I610" s="39" t="inlineStr">
        <is>
          <t>IEB</t>
        </is>
      </c>
      <c r="J610" s="336" t="n">
        <v>15000000</v>
      </c>
      <c r="K610" s="112" t="n">
        <v>45972</v>
      </c>
      <c r="L610" s="39" t="n"/>
      <c r="M610" s="39" t="n"/>
      <c r="N610" s="39" t="inlineStr">
        <is>
          <t>Juan Carlos Caicedo</t>
        </is>
      </c>
      <c r="O610" s="52" t="inlineStr">
        <is>
          <t>juan.caicedo@ieb.co</t>
        </is>
      </c>
    </row>
    <row r="611" hidden="1" ht="14.25" customHeight="1">
      <c r="A611" s="108" t="n"/>
      <c r="B611" s="39" t="n">
        <v>600</v>
      </c>
      <c r="C611" s="278" t="inlineStr">
        <is>
          <t>COTIZACION DEL ANÁLISIS DE SEGURIDAD HUMANA - BODEGA CALDAS</t>
        </is>
      </c>
      <c r="I611" s="39" t="inlineStr">
        <is>
          <t>Conconcreto</t>
        </is>
      </c>
      <c r="J611" s="336" t="n">
        <v>11950000</v>
      </c>
      <c r="K611" s="112" t="n">
        <v>45975</v>
      </c>
      <c r="L611" s="39" t="n"/>
      <c r="M611" s="39" t="n">
        <v>3003404902</v>
      </c>
      <c r="N611" s="39" t="inlineStr">
        <is>
          <t>Pilar Arango Restrepo</t>
        </is>
      </c>
      <c r="O611" s="116" t="inlineStr">
        <is>
          <t>parangor@conconcreto.com</t>
        </is>
      </c>
    </row>
    <row r="612" hidden="1" ht="14.25" customHeight="1">
      <c r="A612" s="108" t="n"/>
      <c r="B612" s="39" t="n">
        <v>601</v>
      </c>
      <c r="C612" s="278" t="inlineStr">
        <is>
          <t>COTIZACION DE LOS DISEÑOS DE SEGURIDAD HUMANA Y DETECCIÓN DE INCENDIOS - ANDES DE KANTÚ</t>
        </is>
      </c>
      <c r="I612" s="39" t="inlineStr">
        <is>
          <t>Conaltura</t>
        </is>
      </c>
      <c r="J612" s="336" t="inlineStr">
        <is>
          <t>Variable</t>
        </is>
      </c>
      <c r="K612" s="112" t="n">
        <v>45975</v>
      </c>
      <c r="L612" s="39" t="n"/>
      <c r="M612" s="39" t="n">
        <v>3124690731</v>
      </c>
      <c r="N612" s="39" t="inlineStr">
        <is>
          <t>Jesus David Ramirez Figueroa</t>
        </is>
      </c>
      <c r="O612" s="52" t="inlineStr">
        <is>
          <t>jramirezf@conaltura.com</t>
        </is>
      </c>
    </row>
    <row r="613" hidden="1" ht="14.25" customHeight="1">
      <c r="A613" s="108" t="n"/>
      <c r="B613" s="39" t="n">
        <v>602</v>
      </c>
      <c r="C613" s="278" t="inlineStr">
        <is>
          <t>COTIZACION DEL DISEÑO DE DETECCIÓN DE INCENDIOS - CRYOGAS YUMBO</t>
        </is>
      </c>
      <c r="I613" s="39" t="inlineStr">
        <is>
          <t>SERIINCO</t>
        </is>
      </c>
      <c r="J613" s="336" t="n">
        <v>13950000</v>
      </c>
      <c r="K613" s="112" t="n">
        <v>45975</v>
      </c>
      <c r="L613" s="39" t="n"/>
      <c r="M613" s="39" t="n">
        <v>3116460496</v>
      </c>
      <c r="N613" s="39" t="inlineStr">
        <is>
          <t xml:space="preserve"> Francisco Unda</t>
        </is>
      </c>
      <c r="O613" s="116" t="inlineStr">
        <is>
          <t>francisco.unda@seriinco.com</t>
        </is>
      </c>
    </row>
    <row r="614" hidden="1" ht="14.25" customHeight="1">
      <c r="A614" s="108" t="n"/>
      <c r="B614" s="39" t="n">
        <v>603</v>
      </c>
      <c r="C614" s="278" t="inlineStr">
        <is>
          <t>COTIZACION MODELACIÓN HIDRÁULICA PARA BOMBA CONTRA INCENDIOS - ALTA GRACIA</t>
        </is>
      </c>
      <c r="I614" s="39" t="inlineStr">
        <is>
          <t>Good group</t>
        </is>
      </c>
      <c r="J614" s="336" t="n">
        <v>2950000</v>
      </c>
      <c r="K614" s="112" t="n">
        <v>45979</v>
      </c>
      <c r="L614" s="39" t="n"/>
      <c r="M614" s="39" t="inlineStr">
        <is>
          <t>317 3152803</t>
        </is>
      </c>
      <c r="N614" s="39" t="inlineStr">
        <is>
          <t>Ili Simancas</t>
        </is>
      </c>
      <c r="O614" s="52" t="inlineStr">
        <is>
          <t>soporte.comercial1@firesupply.com.co</t>
        </is>
      </c>
    </row>
    <row r="615" hidden="1" ht="14.25" customHeight="1">
      <c r="A615" s="108" t="n"/>
      <c r="B615" s="39" t="n">
        <v>604</v>
      </c>
      <c r="C615" s="278" t="inlineStr">
        <is>
          <t>COTIZACION DE LOS DISEÑOS DE PROTECCIÓN CONTRA INCENDIOS - LABORATORIO TOMA DE MUESTRAS</t>
        </is>
      </c>
      <c r="I615" s="39" t="inlineStr">
        <is>
          <t>AFC</t>
        </is>
      </c>
      <c r="J615" s="336" t="n">
        <v>2440000</v>
      </c>
      <c r="K615" s="112" t="n">
        <v>45980</v>
      </c>
      <c r="L615" s="39" t="n"/>
      <c r="M615" s="39" t="n">
        <v>3116456726</v>
      </c>
      <c r="N615" s="39" t="inlineStr">
        <is>
          <t>Andrés Felipe Cruz Restrepo</t>
        </is>
      </c>
      <c r="O615" s="52" t="inlineStr">
        <is>
          <t>andres.cruz@afcprofire.com</t>
        </is>
      </c>
    </row>
    <row r="616" hidden="1" ht="14.25" customHeight="1">
      <c r="A616" s="108" t="n"/>
      <c r="B616" s="39" t="n">
        <v>605</v>
      </c>
      <c r="C616" s="278" t="inlineStr">
        <is>
          <t>COTIZACION DE LOS DISEÑOS DE SEGURIDAD HUMANA Y PROTECCIÓN CONTRA INCENDIOS - SAN JOSE DE LAS VEGAS</t>
        </is>
      </c>
      <c r="I616" s="39" t="inlineStr">
        <is>
          <t>Horizontal Ingeniería SAS</t>
        </is>
      </c>
      <c r="J616" s="336" t="n">
        <v>24950000</v>
      </c>
      <c r="K616" s="112" t="n">
        <v>45980</v>
      </c>
      <c r="L616" s="39" t="n"/>
      <c r="M616" s="39" t="n">
        <v>3126536246</v>
      </c>
      <c r="N616" s="39" t="inlineStr">
        <is>
          <t>Jorge Andrés Rojas Cadavid</t>
        </is>
      </c>
      <c r="O616" s="52" t="inlineStr">
        <is>
          <t>jrojas.horizontal@gmail.com</t>
        </is>
      </c>
    </row>
    <row r="617" hidden="1" ht="14.25" customHeight="1">
      <c r="A617" s="108" t="n"/>
      <c r="B617" s="39" t="n">
        <v>606</v>
      </c>
      <c r="C617" s="278" t="inlineStr">
        <is>
          <t>COTIZACION DEL DISEÑO DE DETECCIÓN DE INCENDIOS - VIVA WAJIRA</t>
        </is>
      </c>
      <c r="I617" s="39" t="inlineStr">
        <is>
          <t>SPCI</t>
        </is>
      </c>
      <c r="J617" s="336" t="n">
        <v>1100000</v>
      </c>
      <c r="K617" s="112" t="n">
        <v>45982</v>
      </c>
      <c r="L617" s="39" t="n"/>
      <c r="M617" s="39" t="n">
        <v>3104165783</v>
      </c>
      <c r="N617" s="39" t="inlineStr">
        <is>
          <t>Cristiam Gustavo Mondragon</t>
        </is>
      </c>
      <c r="O617" s="52" t="inlineStr">
        <is>
          <t>dir.tecnico@spci.com.co</t>
        </is>
      </c>
    </row>
    <row r="618" hidden="1">
      <c r="A618" s="108" t="n"/>
      <c r="B618" s="39" t="n">
        <v>607</v>
      </c>
      <c r="C618" s="278" t="inlineStr">
        <is>
          <t>COTIZACION DE LOS DISEÑOS DE PROTECCIÓN CONTRA INCENDIOS - PUERTO WILCHES</t>
        </is>
      </c>
      <c r="I618" s="39" t="inlineStr">
        <is>
          <t>SPCI</t>
        </is>
      </c>
      <c r="J618" s="336" t="n">
        <v>27560000</v>
      </c>
      <c r="K618" s="112" t="n">
        <v>45982</v>
      </c>
      <c r="L618" s="39" t="n"/>
      <c r="M618" s="39" t="n">
        <v>3104165783</v>
      </c>
      <c r="N618" s="39" t="inlineStr">
        <is>
          <t>Cristiam Gustavo Mondragon</t>
        </is>
      </c>
      <c r="O618" s="52" t="inlineStr">
        <is>
          <t>dir.tecnico@spci.com.co</t>
        </is>
      </c>
    </row>
    <row r="619" hidden="1">
      <c r="A619" s="108" t="n"/>
      <c r="B619" s="39" t="n">
        <v>608</v>
      </c>
      <c r="C619" s="278" t="inlineStr">
        <is>
          <t>COTIZACION DE LOS DISEÑOS DE SEGURIDAD HUMANA Y DETECCIÓN DE INCENDIOS - BC PANAMA</t>
        </is>
      </c>
      <c r="I619" s="39" t="inlineStr">
        <is>
          <t>Studio SUR</t>
        </is>
      </c>
      <c r="J619" s="336" t="n">
        <v>6900</v>
      </c>
      <c r="K619" s="112" t="n">
        <v>45980</v>
      </c>
      <c r="L619" s="39" t="n"/>
      <c r="M619" s="39" t="n">
        <v>5712357612</v>
      </c>
      <c r="N619" s="39" t="inlineStr">
        <is>
          <t>Laura Arias Abad</t>
        </is>
      </c>
      <c r="O619" s="52" t="inlineStr">
        <is>
          <t>laura.arias@studiosur.net</t>
        </is>
      </c>
    </row>
    <row r="620" hidden="1">
      <c r="A620" s="108" t="n"/>
      <c r="B620" s="39" t="n">
        <v>609</v>
      </c>
      <c r="C620" s="278" t="inlineStr">
        <is>
          <t>COTIZACION DE LOS DISEÑOS DE SEGURIDAD HUMANA Y PROTECCIÓN CONTRA INCENDIOS - REMODELACION LA 80</t>
        </is>
      </c>
      <c r="I620" s="39" t="inlineStr">
        <is>
          <t>SPCI</t>
        </is>
      </c>
      <c r="J620" s="336" t="n">
        <v>4950000</v>
      </c>
      <c r="K620" s="112" t="n">
        <v>45980</v>
      </c>
      <c r="L620" s="39" t="n"/>
      <c r="M620" s="39" t="n">
        <v>3104165783</v>
      </c>
      <c r="N620" s="39" t="inlineStr">
        <is>
          <t>Cristiam Gustavo Mondragon</t>
        </is>
      </c>
      <c r="O620" s="52" t="inlineStr">
        <is>
          <t>dir.tecnico@spci.com.co</t>
        </is>
      </c>
    </row>
    <row r="621" hidden="1">
      <c r="A621" s="108" t="n"/>
      <c r="B621" s="39" t="n">
        <v>610</v>
      </c>
      <c r="C621" s="278" t="inlineStr">
        <is>
          <t>COTIZACION DEL DISEÑO DE DETECCIÓN DE INCENDIOS - SUCURSAL TERMINAL DEL SUR</t>
        </is>
      </c>
      <c r="I621" s="39" t="inlineStr">
        <is>
          <t>Toro Posada</t>
        </is>
      </c>
      <c r="J621" s="336" t="n">
        <v>4350000</v>
      </c>
      <c r="K621" s="112" t="n">
        <v>45980</v>
      </c>
      <c r="L621" s="39" t="n"/>
      <c r="M621" s="39" t="n">
        <v>3006680526</v>
      </c>
      <c r="N621" s="39" t="inlineStr">
        <is>
          <t>Camilo Alvarez Restrepo</t>
        </is>
      </c>
      <c r="O621" s="52" t="inlineStr">
        <is>
          <t>camiloar@toroposada.com</t>
        </is>
      </c>
    </row>
    <row r="622" hidden="1">
      <c r="A622" s="108" t="n"/>
      <c r="B622" s="39" t="n">
        <v>611</v>
      </c>
      <c r="C622" s="278" t="inlineStr">
        <is>
          <t>COTIZACION DE LOS DISEÑOS DE SEGURIDAD HUMANA Y PROTECCIÓN CONTRA INCENDIOS - DISCOTECA SABANETA</t>
        </is>
      </c>
      <c r="I622" s="39" t="inlineStr">
        <is>
          <t>Proyect &amp; solution</t>
        </is>
      </c>
      <c r="J622" s="336" t="n">
        <v>9410000</v>
      </c>
      <c r="K622" s="112" t="n">
        <v>45982</v>
      </c>
      <c r="L622" s="39" t="n"/>
      <c r="M622" s="39" t="inlineStr">
        <is>
          <t>311 3079477</t>
        </is>
      </c>
      <c r="N622" s="39" t="inlineStr">
        <is>
          <t>Sebastian Lopez Duque</t>
        </is>
      </c>
      <c r="O622" s="52" t="inlineStr">
        <is>
          <t>gerencia@projectsolutions.com.co</t>
        </is>
      </c>
    </row>
    <row r="623" hidden="1">
      <c r="A623" s="108" t="n"/>
      <c r="B623" s="39" t="n">
        <v>612</v>
      </c>
      <c r="C623" s="278" t="inlineStr">
        <is>
          <t>COTIZACION DE LOS DISEÑOS DE SEGURIDAD HUMANA Y PROTECCIÓN CONTRA INCENDIOS - BAVIERA</t>
        </is>
      </c>
      <c r="I623" s="39" t="inlineStr">
        <is>
          <t>FCR</t>
        </is>
      </c>
      <c r="J623" s="336" t="n">
        <v>25630000</v>
      </c>
      <c r="K623" s="112" t="n">
        <v>45981</v>
      </c>
      <c r="L623" s="39" t="n"/>
      <c r="M623" s="39" t="n">
        <v>3122570758</v>
      </c>
      <c r="N623" s="39" t="inlineStr">
        <is>
          <t>Judith Elena Trujillo</t>
        </is>
      </c>
      <c r="O623" s="52" t="inlineStr">
        <is>
          <t>judithelenatrujillo@gmail.com</t>
        </is>
      </c>
    </row>
    <row r="624" hidden="1">
      <c r="A624" s="108" t="n"/>
      <c r="B624" s="39" t="n">
        <v>613</v>
      </c>
      <c r="C624" s="278" t="inlineStr">
        <is>
          <t>COTIZACION DEL ANÁLISIS DE SEGURIDAD HUMANA - ED. AVIGNON Y GAME ROOM</t>
        </is>
      </c>
      <c r="I624" s="39" t="inlineStr">
        <is>
          <t>Bitacora ingeniería</t>
        </is>
      </c>
      <c r="J624" s="336" t="n">
        <v>3500000</v>
      </c>
      <c r="K624" s="112" t="n">
        <v>45983</v>
      </c>
      <c r="L624" s="39" t="n"/>
      <c r="M624" s="39" t="n">
        <v>3006940601</v>
      </c>
      <c r="N624" s="39" t="inlineStr">
        <is>
          <t>Luisa Alarcón</t>
        </is>
      </c>
      <c r="O624" s="116" t="inlineStr">
        <is>
          <t>luisa.alarcon@bitacoraingenieria.com</t>
        </is>
      </c>
    </row>
    <row r="625" hidden="1">
      <c r="A625" s="108" t="n"/>
      <c r="B625" s="39" t="n">
        <v>614</v>
      </c>
      <c r="C625" s="278" t="inlineStr">
        <is>
          <t>COTIZACION DEL ANÁLISIS DE SEGURIDAD HUMANA - ED. AVIGNON Y GAME ROOM</t>
        </is>
      </c>
      <c r="I625" s="39" t="inlineStr">
        <is>
          <t>Jomark Seguridad SAS</t>
        </is>
      </c>
      <c r="J625" s="336" t="n">
        <v>3500000</v>
      </c>
      <c r="K625" s="112" t="n">
        <v>45982</v>
      </c>
      <c r="L625" s="39" t="n"/>
      <c r="M625" s="39" t="n"/>
      <c r="N625" s="39" t="inlineStr">
        <is>
          <t>Hernan Cano</t>
        </is>
      </c>
      <c r="O625" s="116" t="n"/>
    </row>
    <row r="626" hidden="1">
      <c r="A626" s="108" t="n"/>
      <c r="B626" s="39" t="n">
        <v>615</v>
      </c>
      <c r="C626" s="278" t="inlineStr">
        <is>
          <t>COTIZACION DE LOS DISEÑOS DE SEGURIDAD HUMANA Y PROTECCIÓN CONTRA INCENDIOS - DEPRISA GUAYABAL</t>
        </is>
      </c>
      <c r="I626" s="39" t="inlineStr">
        <is>
          <t>David Duque</t>
        </is>
      </c>
      <c r="J626" s="336" t="n">
        <v>33880000</v>
      </c>
      <c r="K626" s="112" t="n">
        <v>45983</v>
      </c>
      <c r="L626" s="170" t="n"/>
      <c r="M626" s="39" t="inlineStr">
        <is>
          <t>322 6861576</t>
        </is>
      </c>
      <c r="N626" s="39" t="inlineStr">
        <is>
          <t>David Duque</t>
        </is>
      </c>
      <c r="O626" s="116" t="n"/>
    </row>
    <row r="627" hidden="1">
      <c r="A627" s="108" t="n"/>
      <c r="B627" s="39" t="n">
        <v>616</v>
      </c>
      <c r="C627" s="278" t="inlineStr">
        <is>
          <t>COTIZACION DEL ANÁLISIS DE SEGURIDAD HUMANA - CLINICA COUNTRY</t>
        </is>
      </c>
      <c r="I627" s="39" t="inlineStr">
        <is>
          <t>Conconcreto Designs</t>
        </is>
      </c>
      <c r="J627" s="336" t="n">
        <v>19950000</v>
      </c>
      <c r="K627" s="112" t="n">
        <v>45986</v>
      </c>
      <c r="L627" s="39" t="n"/>
      <c r="M627" s="39" t="n">
        <v>3108312159</v>
      </c>
      <c r="N627" s="39" t="inlineStr">
        <is>
          <t xml:space="preserve">
Farley de Jesus Bustamante Zuleta</t>
        </is>
      </c>
      <c r="O627" s="52" t="inlineStr">
        <is>
          <t>fbustamantez@doublec.com</t>
        </is>
      </c>
    </row>
    <row r="628" hidden="1">
      <c r="A628" s="108" t="n"/>
      <c r="B628" s="39" t="n">
        <v>617</v>
      </c>
      <c r="C628" s="278" t="inlineStr">
        <is>
          <t>COTIZACION DE LOS DISEÑOS DE SEGURIDAD HUMANA Y PROTECCIÓN CONTRA INCENDIOS - VERMONTE T4</t>
        </is>
      </c>
      <c r="I628" s="39" t="inlineStr">
        <is>
          <t>INTERVE</t>
        </is>
      </c>
      <c r="J628" s="336" t="n">
        <v>9950000</v>
      </c>
      <c r="K628" s="112" t="n">
        <v>45986</v>
      </c>
      <c r="L628" s="39" t="n"/>
      <c r="M628" s="39" t="n">
        <v>3004659012</v>
      </c>
      <c r="N628" s="39" t="inlineStr">
        <is>
          <t>Martha Lucia Ferrer</t>
        </is>
      </c>
      <c r="O628" s="52" t="inlineStr">
        <is>
          <t>mferrer@interve.co</t>
        </is>
      </c>
    </row>
    <row r="629" hidden="1">
      <c r="A629" s="108" t="n"/>
      <c r="B629" s="39" t="n">
        <v>618</v>
      </c>
      <c r="C629" s="278" t="inlineStr">
        <is>
          <t>COTIZACION DE LOS DISEÑOS DE SEGURIDAD HUMANA Y PROTECCIÓN CONTRA INCENDIOS - TIERRA LINDA</t>
        </is>
      </c>
      <c r="I629" s="39" t="inlineStr">
        <is>
          <t>Mensula</t>
        </is>
      </c>
      <c r="J629" s="336" t="n"/>
      <c r="K629" s="112" t="n">
        <v>45986</v>
      </c>
      <c r="L629" s="39" t="n"/>
      <c r="M629" s="39" t="n"/>
      <c r="N629" s="39" t="inlineStr">
        <is>
          <t>Alejandro Giraldo Ospina</t>
        </is>
      </c>
      <c r="O629" s="52" t="n"/>
    </row>
    <row r="630" hidden="1">
      <c r="A630" s="108" t="n"/>
      <c r="B630" s="39" t="n">
        <v>619</v>
      </c>
      <c r="C630" s="278" t="inlineStr">
        <is>
          <t>COTIZACION DEL DISEÑO DE EXTINCIÓN DE INCENDIOS - MONTACARGAS AM&amp;M</t>
        </is>
      </c>
      <c r="I630" s="39" t="inlineStr">
        <is>
          <t>Montacargas AM&amp;M</t>
        </is>
      </c>
      <c r="J630" s="336" t="n">
        <v>5000000</v>
      </c>
      <c r="K630" s="112" t="n">
        <v>45988</v>
      </c>
      <c r="L630" s="39" t="n"/>
      <c r="M630" s="39" t="n">
        <v>3222785489</v>
      </c>
      <c r="N630" s="39" t="inlineStr">
        <is>
          <t>Marcela Restrepo</t>
        </is>
      </c>
      <c r="O630" s="52" t="inlineStr">
        <is>
          <t>mrestrepo@montacargasamym.com</t>
        </is>
      </c>
    </row>
    <row r="631">
      <c r="A631" s="108" t="n"/>
      <c r="B631" s="39" t="n">
        <v>620</v>
      </c>
      <c r="C631" s="278" t="inlineStr">
        <is>
          <t>COTIZACION DE LOS DISEÑOS DE SEGURIDAD HUMANA Y PROTECCIÓN CONTRA INCENDIOS - THE SOMOS-FRAME</t>
        </is>
      </c>
      <c r="I631" s="39" t="inlineStr">
        <is>
          <t>Redigroup</t>
        </is>
      </c>
      <c r="J631" s="336" t="n">
        <v>26950000</v>
      </c>
      <c r="K631" s="112" t="n">
        <v>45988</v>
      </c>
      <c r="L631" s="39" t="n"/>
      <c r="M631" s="39" t="n">
        <v>3053533308</v>
      </c>
      <c r="N631" s="39" t="inlineStr">
        <is>
          <t>Santiago Franco</t>
        </is>
      </c>
      <c r="O631" s="52" t="inlineStr">
        <is>
          <t>santiago.franco@redigroup.co</t>
        </is>
      </c>
    </row>
    <row r="632" hidden="1">
      <c r="A632" s="108" t="n"/>
      <c r="B632" s="39" t="n">
        <v>621</v>
      </c>
      <c r="C632" s="278" t="inlineStr">
        <is>
          <t>COTIZACION DEL DISEÑO DE DETECCIÓN DE INCENDIOS - COMFAMA CIS CORDOBA</t>
        </is>
      </c>
      <c r="I632" s="39" t="inlineStr">
        <is>
          <t>SERIINCO</t>
        </is>
      </c>
      <c r="J632" s="336" t="n">
        <v>3150000</v>
      </c>
      <c r="K632" s="112" t="n">
        <v>45988</v>
      </c>
      <c r="L632" s="39" t="n"/>
      <c r="M632" s="39" t="n">
        <v>3052837617</v>
      </c>
      <c r="N632" s="39" t="inlineStr">
        <is>
          <t>Alvaro Garcia</t>
        </is>
      </c>
      <c r="O632" s="52" t="inlineStr">
        <is>
          <t>alvaro.garcia@seriinco.com</t>
        </is>
      </c>
    </row>
    <row r="633" hidden="1">
      <c r="A633" s="108" t="n"/>
      <c r="B633" s="39" t="n">
        <v>622</v>
      </c>
      <c r="C633" s="278" t="inlineStr">
        <is>
          <t>COTIZACION DEL DISEÑO DE DETECCIÓN DE INCENDIOS - COMFAMA CIS CIUDAD DEL RIO</t>
        </is>
      </c>
      <c r="I633" s="39" t="inlineStr">
        <is>
          <t>SERIINCO</t>
        </is>
      </c>
      <c r="J633" s="336" t="n">
        <v>2500000</v>
      </c>
      <c r="K633" s="112" t="n">
        <v>45988</v>
      </c>
      <c r="L633" s="39" t="n"/>
      <c r="M633" s="39" t="n">
        <v>3052837617</v>
      </c>
      <c r="N633" s="39" t="inlineStr">
        <is>
          <t>Alvaro Garcia</t>
        </is>
      </c>
      <c r="O633" s="52" t="inlineStr">
        <is>
          <t>alvaro.garcia@seriinco.com</t>
        </is>
      </c>
    </row>
    <row r="634" hidden="1">
      <c r="A634" s="108" t="n"/>
      <c r="B634" s="39" t="n">
        <v>623</v>
      </c>
      <c r="C634" s="278" t="inlineStr">
        <is>
          <t>COTIZACION DE LOS DISEÑOS DE PROTECCIÓN CONTRA INCENDIOS - CLÍNICA CARTAGENA RQ114</t>
        </is>
      </c>
      <c r="I634" s="39" t="inlineStr">
        <is>
          <t>Good group</t>
        </is>
      </c>
      <c r="J634" s="336" t="n">
        <v>11950000</v>
      </c>
      <c r="K634" s="112" t="n">
        <v>45988</v>
      </c>
      <c r="L634" s="39" t="n"/>
      <c r="M634" s="39" t="n">
        <v>3162963854</v>
      </c>
      <c r="N634" s="39" t="inlineStr">
        <is>
          <t>Deisy Duque</t>
        </is>
      </c>
      <c r="O634" s="116" t="inlineStr">
        <is>
          <t>operaciones@goodgroup.com.co</t>
        </is>
      </c>
    </row>
    <row r="635" hidden="1">
      <c r="A635" s="108" t="n"/>
      <c r="B635" s="39" t="n">
        <v>624</v>
      </c>
      <c r="C635" s="278" t="inlineStr">
        <is>
          <t>COTIZACION DEL ANÁLISIS DE SEGURIDAD HUMANA - ESTADIO ATANASIO GIRARDOT</t>
        </is>
      </c>
      <c r="I635" s="39" t="inlineStr">
        <is>
          <t>Entretangencia</t>
        </is>
      </c>
      <c r="J635" s="336" t="n">
        <v>30000000</v>
      </c>
      <c r="K635" s="112" t="n">
        <v>45988</v>
      </c>
      <c r="L635" s="39" t="n"/>
      <c r="M635" s="39" t="n">
        <v>3218051309</v>
      </c>
      <c r="N635" s="39" t="inlineStr">
        <is>
          <t>Yesica Ospina Osorio</t>
        </is>
      </c>
      <c r="O635" s="116" t="inlineStr">
        <is>
          <t>proyectos@entretangencia.com</t>
        </is>
      </c>
    </row>
    <row r="636" hidden="1">
      <c r="A636" s="108" t="n"/>
      <c r="B636" s="39" t="n">
        <v>625</v>
      </c>
      <c r="C636" s="278" t="inlineStr">
        <is>
          <t>COTIZACION DE LOS DISEÑOS DE SEGURIDAD HUMANA Y PROTECCIÓN CONTRA INCENDIOS - EDIFICIO HL</t>
        </is>
      </c>
      <c r="I636" s="39" t="inlineStr">
        <is>
          <t>Hugo Henao</t>
        </is>
      </c>
      <c r="J636" s="336" t="n">
        <v>6270000</v>
      </c>
      <c r="K636" s="112" t="n">
        <v>45988</v>
      </c>
      <c r="L636" s="39" t="n"/>
      <c r="M636" s="39" t="n">
        <v>3127780644</v>
      </c>
      <c r="N636" s="39" t="inlineStr">
        <is>
          <t>Hugo Henao</t>
        </is>
      </c>
      <c r="O636" s="116" t="n"/>
    </row>
    <row r="637" hidden="1">
      <c r="A637" s="108" t="n"/>
      <c r="B637" s="39" t="n">
        <v>626</v>
      </c>
      <c r="C637" s="278" t="inlineStr">
        <is>
          <t>COTIZACION DEL DISEÑO DE EXTINCIÓN DE INCENDIOS - SERVIREENCAUCHE</t>
        </is>
      </c>
      <c r="I637" s="39" t="inlineStr">
        <is>
          <t>M&amp;B MAQUINAS BOMBAS Y MANTENIMIENTO</t>
        </is>
      </c>
      <c r="J637" s="336" t="n">
        <v>16950000</v>
      </c>
      <c r="K637" s="112" t="n">
        <v>45988</v>
      </c>
      <c r="L637" s="39" t="n"/>
      <c r="M637" s="39" t="n">
        <v>3013107863</v>
      </c>
      <c r="N637" s="39" t="n"/>
      <c r="O637" s="116" t="inlineStr">
        <is>
          <t>mantenimiento.maquibombas@gmail.com</t>
        </is>
      </c>
    </row>
    <row r="638" hidden="1">
      <c r="A638" s="108" t="n"/>
      <c r="B638" s="39" t="n">
        <v>627</v>
      </c>
      <c r="C638" s="278" t="inlineStr">
        <is>
          <t>COTIZACION DE LOS DISEÑOS DE SEGURIDAD HUMANA Y PROTECCIÓN CONTRA INCENDIOS - CARDIO INFANTIL PISO 2-3</t>
        </is>
      </c>
      <c r="I638" s="39" t="inlineStr">
        <is>
          <t>Condiseño</t>
        </is>
      </c>
      <c r="J638" s="336" t="n">
        <v>9950000</v>
      </c>
      <c r="K638" s="112" t="n">
        <v>45989</v>
      </c>
      <c r="L638" s="39" t="n"/>
      <c r="M638" s="39" t="n">
        <v>3175594091</v>
      </c>
      <c r="N638" s="39" t="inlineStr">
        <is>
          <t>Nakary Garcia Romero</t>
        </is>
      </c>
      <c r="O638" s="116" t="inlineStr">
        <is>
          <t>n.garcia@condiseno.co</t>
        </is>
      </c>
    </row>
    <row r="639" hidden="1">
      <c r="A639" s="108" t="n"/>
      <c r="B639" s="39" t="n">
        <v>628</v>
      </c>
      <c r="C639" s="278" t="inlineStr">
        <is>
          <t>COTIZACION DE LOS DISEÑOS DE SEGURIDAD HUMANA Y PROTECCIÓN CONTRA INCENDIOS - BODEGA 6 + OFICINAS</t>
        </is>
      </c>
      <c r="I639" s="39" t="inlineStr">
        <is>
          <t>Gustavo Jaramillo</t>
        </is>
      </c>
      <c r="J639" s="336" t="inlineStr">
        <is>
          <t>No se cotizó</t>
        </is>
      </c>
      <c r="K639" s="112" t="n">
        <v>45990</v>
      </c>
      <c r="L639" s="39" t="n"/>
      <c r="M639" s="39" t="n">
        <v>3663276</v>
      </c>
      <c r="N639" s="39" t="inlineStr">
        <is>
          <t>Gustavo Jaramillo</t>
        </is>
      </c>
      <c r="O639" s="52" t="inlineStr">
        <is>
          <t>g.jaramillo.arq@gmail.com</t>
        </is>
      </c>
    </row>
    <row r="640" hidden="1">
      <c r="A640" s="108" t="n"/>
      <c r="B640" s="39" t="n">
        <v>629</v>
      </c>
      <c r="C640" s="278" t="inlineStr">
        <is>
          <t>COTIZACION DE LOS DISEÑOS DE SEGURIDAD HUMANA Y PROTECCIÓN CONTRA INCENDIOS - CALMO T3 Y T4</t>
        </is>
      </c>
      <c r="I640" s="39" t="inlineStr">
        <is>
          <t>Proyectos urbanos</t>
        </is>
      </c>
      <c r="J640" s="336" t="inlineStr">
        <is>
          <t>No se cotizo</t>
        </is>
      </c>
      <c r="K640" s="112" t="n">
        <v>45990</v>
      </c>
      <c r="L640" s="39" t="n"/>
      <c r="M640" s="39" t="n"/>
      <c r="N640" s="39" t="inlineStr">
        <is>
          <t>Priscila Quintero Alvis</t>
        </is>
      </c>
      <c r="O640" s="116" t="inlineStr">
        <is>
          <t>pquintero@proyectosurbanos.com.co</t>
        </is>
      </c>
    </row>
    <row r="641" hidden="1">
      <c r="A641" s="108" t="n"/>
      <c r="B641" s="39" t="n">
        <v>630</v>
      </c>
      <c r="C641" s="278" t="inlineStr">
        <is>
          <t>COTIZACION DE LOS DISEÑOS DE SEGURIDAD HUMANA Y PROTECCIÓN CONTRA INCENDIOS - HORIZON ONE</t>
        </is>
      </c>
      <c r="I641" s="39" t="inlineStr">
        <is>
          <t>SPCI</t>
        </is>
      </c>
      <c r="J641" s="336" t="n">
        <v>49950</v>
      </c>
      <c r="K641" s="112" t="n">
        <v>45992</v>
      </c>
      <c r="L641" s="39" t="n"/>
      <c r="M641" s="39" t="n">
        <v>3104165783</v>
      </c>
      <c r="N641" s="39" t="inlineStr">
        <is>
          <t>Cristiam Gustavo Mondragon</t>
        </is>
      </c>
      <c r="O641" s="52" t="inlineStr">
        <is>
          <t>dir.tecnico@spci.com.co</t>
        </is>
      </c>
    </row>
    <row r="642" hidden="1">
      <c r="A642" s="108" t="n"/>
      <c r="B642" s="39" t="n">
        <v>631</v>
      </c>
      <c r="C642" s="278" t="inlineStr">
        <is>
          <t>COTIZACION DE LOS DISEÑOS DE SEGURIDAD HUMANA Y PROTECCIÓN CONTRA INCENDIOS - CIUDADELA</t>
        </is>
      </c>
      <c r="I642" s="39" t="inlineStr">
        <is>
          <t>CONCOM Ingenieria</t>
        </is>
      </c>
      <c r="J642" s="336" t="inlineStr">
        <is>
          <t>variable</t>
        </is>
      </c>
      <c r="K642" s="112" t="n">
        <v>45992</v>
      </c>
      <c r="L642" s="39" t="n"/>
      <c r="M642" s="39" t="n"/>
      <c r="N642" s="39" t="inlineStr">
        <is>
          <t>Alberto Corrales</t>
        </is>
      </c>
      <c r="O642" s="116" t="n"/>
    </row>
    <row r="643" hidden="1">
      <c r="A643" s="108" t="n"/>
      <c r="B643" s="39" t="n">
        <v>632</v>
      </c>
      <c r="C643" s="278" t="inlineStr">
        <is>
          <t>COTIZACION DEL ANÁLISIS DE SEGURIDAD HUMANA - EL POZO</t>
        </is>
      </c>
      <c r="I643" s="39" t="inlineStr">
        <is>
          <t>MENSULA</t>
        </is>
      </c>
      <c r="J643" s="336" t="n">
        <v>10050000</v>
      </c>
      <c r="K643" s="112" t="n">
        <v>45992</v>
      </c>
      <c r="L643" s="39" t="n"/>
      <c r="M643" s="39" t="inlineStr">
        <is>
          <t>314 619 81 44</t>
        </is>
      </c>
      <c r="N643" s="39" t="inlineStr">
        <is>
          <t>Angela Bravo</t>
        </is>
      </c>
      <c r="O643" s="52" t="inlineStr">
        <is>
          <t>angelabravo@mensulaingenieros.com</t>
        </is>
      </c>
    </row>
    <row r="644" hidden="1">
      <c r="A644" s="108" t="n"/>
      <c r="B644" s="39" t="n">
        <v>633</v>
      </c>
      <c r="C644" s="278" t="inlineStr">
        <is>
          <t>COTIZACION DE LOS DISEÑOS DE PROTECCIÓN CONTRA INCENDIOS - AQA</t>
        </is>
      </c>
      <c r="I644" s="39" t="inlineStr">
        <is>
          <t>Ingesed</t>
        </is>
      </c>
      <c r="J644" s="336" t="n"/>
      <c r="K644" s="112" t="n">
        <v>45994</v>
      </c>
      <c r="L644" s="39" t="n"/>
      <c r="M644" s="39" t="n">
        <v>3135401714</v>
      </c>
      <c r="N644" s="39" t="inlineStr">
        <is>
          <t>Eliana Isabel Cardona Ríos</t>
        </is>
      </c>
      <c r="O644" s="116" t="inlineStr">
        <is>
          <t>comercial@ingesed.com</t>
        </is>
      </c>
    </row>
    <row r="645" hidden="1">
      <c r="A645" s="108" t="n"/>
      <c r="B645" s="39" t="n">
        <v>634</v>
      </c>
      <c r="C645" s="278" t="inlineStr">
        <is>
          <t>COTIZACION DEL ANÁLISIS DE SEGURIDAD HUMANA - HOTEL LAURELES</t>
        </is>
      </c>
      <c r="I645" s="39" t="inlineStr">
        <is>
          <t>Nivelum</t>
        </is>
      </c>
      <c r="J645" s="336" t="n">
        <v>6950000</v>
      </c>
      <c r="K645" s="112" t="n">
        <v>45994</v>
      </c>
      <c r="L645" s="39" t="n"/>
      <c r="M645" s="39" t="n">
        <v>3146620375</v>
      </c>
      <c r="N645" s="39" t="inlineStr">
        <is>
          <t>Sergio Osorio</t>
        </is>
      </c>
      <c r="O645" s="52" t="inlineStr">
        <is>
          <t>sosorio@nivelum.com</t>
        </is>
      </c>
    </row>
    <row r="646" hidden="1">
      <c r="A646" s="108" t="n"/>
      <c r="B646" s="39" t="n">
        <v>635</v>
      </c>
      <c r="C646" s="278" t="inlineStr">
        <is>
          <t>COTIZACION DE LOS DISEÑOS DE SEGURIDAD HUMANA Y PROTECCIÓN CONTRA INCENDIOS - EUTOPIQ PARK</t>
        </is>
      </c>
      <c r="I646" s="39" t="inlineStr">
        <is>
          <t>Inversiones GG Oasis</t>
        </is>
      </c>
      <c r="J646" s="336" t="n">
        <v>18250000</v>
      </c>
      <c r="K646" s="112" t="n">
        <v>45994</v>
      </c>
      <c r="L646" s="39" t="n"/>
      <c r="M646" s="39" t="n">
        <v>3104077307</v>
      </c>
      <c r="N646" s="39" t="inlineStr">
        <is>
          <t>Yolima Garcia Quintero</t>
        </is>
      </c>
      <c r="O646" s="52" t="inlineStr">
        <is>
          <t>eqlaureles2@gmail.com</t>
        </is>
      </c>
    </row>
    <row r="647" hidden="1">
      <c r="A647" s="108" t="n"/>
      <c r="B647" s="39" t="n">
        <v>636</v>
      </c>
      <c r="C647" s="278" t="inlineStr">
        <is>
          <t>COTIZACION DEL DISEÑO DE DETECCIÓN DE INCENDIOS - BODEGA BYD FINANDINA</t>
        </is>
      </c>
      <c r="I647" s="39" t="inlineStr">
        <is>
          <t>IEB</t>
        </is>
      </c>
      <c r="J647" s="336" t="n">
        <v>29950000</v>
      </c>
      <c r="K647" s="112" t="n">
        <v>45995</v>
      </c>
      <c r="L647" s="39" t="n"/>
      <c r="M647" s="39" t="n">
        <v>3216032204</v>
      </c>
      <c r="N647" s="39" t="inlineStr">
        <is>
          <t>Juan Carlos Caicedo</t>
        </is>
      </c>
      <c r="O647" s="52" t="inlineStr">
        <is>
          <t>juan.caicedo@ieb.co</t>
        </is>
      </c>
    </row>
    <row r="648" hidden="1">
      <c r="A648" s="108" t="n"/>
      <c r="B648" s="39" t="n">
        <v>637</v>
      </c>
      <c r="C648" s="278" t="inlineStr">
        <is>
          <t>COTIZACION DE LOS DISEÑOS DE PROTECCIÓN CONTRA INCENDIOS - CJ TEXTILES</t>
        </is>
      </c>
      <c r="I648" s="39" t="inlineStr">
        <is>
          <t>CJ Texties</t>
        </is>
      </c>
      <c r="J648" s="336" t="n">
        <v>22850000</v>
      </c>
      <c r="K648" s="112" t="n">
        <v>45995</v>
      </c>
      <c r="L648" s="39" t="n"/>
      <c r="M648" s="39" t="inlineStr">
        <is>
          <t>321 7534451</t>
        </is>
      </c>
      <c r="N648" s="39" t="inlineStr">
        <is>
          <t>Leonel Ibarra</t>
        </is>
      </c>
      <c r="O648" s="116" t="n"/>
    </row>
    <row r="649" hidden="1">
      <c r="A649" s="108" t="n"/>
      <c r="B649" s="39" t="n">
        <v>638</v>
      </c>
      <c r="C649" s="278" t="inlineStr">
        <is>
          <t>COTIZACION DE LOS DISEÑOS DE PROTECCIÓN CONTRA INCENDIOS - TEATRO RIONEGRO</t>
        </is>
      </c>
      <c r="I649" s="39" t="inlineStr">
        <is>
          <t>AD Arquitectura y diseño urbano</t>
        </is>
      </c>
      <c r="J649" s="336" t="n"/>
      <c r="K649" s="112" t="n">
        <v>45996</v>
      </c>
      <c r="L649" s="39" t="n"/>
      <c r="M649" s="39" t="inlineStr">
        <is>
          <t>314 8934775</t>
        </is>
      </c>
      <c r="N649" s="39" t="inlineStr">
        <is>
          <t>Diego Fernando Uribe Alvarez</t>
        </is>
      </c>
      <c r="O649" s="116" t="n"/>
    </row>
    <row r="650" hidden="1">
      <c r="A650" s="108" t="n"/>
      <c r="B650" s="39" t="n">
        <v>639</v>
      </c>
      <c r="C650" s="278" t="inlineStr">
        <is>
          <t>COTIZACION DEL ANÁLISIS DE SEGURIDAD HUMANA - MAWA</t>
        </is>
      </c>
      <c r="I650" s="39" t="inlineStr">
        <is>
          <t>Nivelum</t>
        </is>
      </c>
      <c r="J650" s="336" t="n">
        <v>26950000</v>
      </c>
      <c r="K650" s="112" t="n">
        <v>45996</v>
      </c>
      <c r="L650" s="39" t="n"/>
      <c r="M650" s="39" t="n">
        <v>3146620375</v>
      </c>
      <c r="N650" s="39" t="inlineStr">
        <is>
          <t>Sergio Osorio</t>
        </is>
      </c>
      <c r="O650" s="52" t="inlineStr">
        <is>
          <t>sosorio@nivelum.com</t>
        </is>
      </c>
    </row>
    <row r="651" hidden="1">
      <c r="A651" s="108" t="n"/>
      <c r="B651" s="39" t="n">
        <v>640</v>
      </c>
      <c r="C651" s="278" t="inlineStr">
        <is>
          <t>COTIZACION DEL ANÁLISIS DE SEGURIDAD HUMANA - NUTIBARA PARKWAY</t>
        </is>
      </c>
      <c r="I651" s="39" t="inlineStr">
        <is>
          <t>Nivelum</t>
        </is>
      </c>
      <c r="J651" s="336" t="n">
        <v>6950000</v>
      </c>
      <c r="K651" s="112" t="n">
        <v>45996</v>
      </c>
      <c r="L651" s="39" t="n"/>
      <c r="M651" s="39" t="n">
        <v>3146620375</v>
      </c>
      <c r="N651" s="39" t="inlineStr">
        <is>
          <t>Sergio Osorio</t>
        </is>
      </c>
      <c r="O651" s="52" t="inlineStr">
        <is>
          <t>sosorio@nivelum.com</t>
        </is>
      </c>
    </row>
    <row r="652" hidden="1">
      <c r="A652" s="108" t="n"/>
      <c r="B652" s="39" t="n">
        <v>641</v>
      </c>
      <c r="C652" s="278" t="inlineStr">
        <is>
          <t>COTIZACION DEL ANÁLISIS DE SEGURIDAD HUMANA - CEDI D1 GIRARDOTA</t>
        </is>
      </c>
      <c r="I652" s="39" t="inlineStr">
        <is>
          <t>Conconcreto Designs</t>
        </is>
      </c>
      <c r="J652" s="336" t="n"/>
      <c r="K652" s="112" t="n">
        <v>45996</v>
      </c>
      <c r="L652" s="39" t="n"/>
      <c r="M652" s="39" t="n">
        <v>3108312159</v>
      </c>
      <c r="N652" s="39" t="inlineStr">
        <is>
          <t xml:space="preserve">
Farley de Jesus Bustamante Zuleta</t>
        </is>
      </c>
      <c r="O652" s="52" t="inlineStr">
        <is>
          <t>fbustamantez@doublec.com</t>
        </is>
      </c>
    </row>
    <row r="653" hidden="1">
      <c r="A653" s="108" t="n"/>
      <c r="B653" s="39" t="n">
        <v>642</v>
      </c>
      <c r="C653" s="278" t="inlineStr">
        <is>
          <t>COTIZACION DE LOS DISEÑOS DE SEGURIDAD HUMANA Y PROTECCIÓN CONTRA INCENDIOS - RIVER PARK</t>
        </is>
      </c>
      <c r="I653" s="39" t="inlineStr">
        <is>
          <t>Arquitectura y Concreto</t>
        </is>
      </c>
      <c r="J653" s="336" t="inlineStr">
        <is>
          <t>Se presenta el año entrante</t>
        </is>
      </c>
      <c r="K653" s="112" t="n">
        <v>45997</v>
      </c>
      <c r="L653" s="39" t="n"/>
      <c r="M653" s="39" t="n">
        <v>3127218621</v>
      </c>
      <c r="N653" s="39" t="inlineStr">
        <is>
          <t>Robinson Marulanda Guarin</t>
        </is>
      </c>
      <c r="O653" s="116" t="inlineStr">
        <is>
          <t>robinsonmarulanda@arquitecturayconcreto.com</t>
        </is>
      </c>
    </row>
    <row r="654" hidden="1">
      <c r="A654" s="108" t="n"/>
      <c r="B654" s="39" t="n">
        <v>643</v>
      </c>
      <c r="C654" s="278" t="inlineStr">
        <is>
          <t>COTIZACION DE LOS DISEÑOS DE SEGURIDAD HUMANA Y PROTECCIÓN CONTRA INCENDIOS - SELVATICO</t>
        </is>
      </c>
      <c r="I654" s="39" t="inlineStr">
        <is>
          <t>Constructora Fortich</t>
        </is>
      </c>
      <c r="J654" s="336" t="inlineStr">
        <is>
          <t>variable</t>
        </is>
      </c>
      <c r="K654" s="112" t="n">
        <v>46002</v>
      </c>
      <c r="L654" s="39" t="n"/>
      <c r="M654" s="39" t="n">
        <v>3153547367</v>
      </c>
      <c r="N654" s="39" t="inlineStr">
        <is>
          <t>Tomás Fortich</t>
        </is>
      </c>
      <c r="O654" s="52" t="inlineStr">
        <is>
          <t>Constructorafortich@gmail.com</t>
        </is>
      </c>
    </row>
    <row r="655" hidden="1">
      <c r="A655" s="108" t="n"/>
      <c r="B655" s="39" t="n">
        <v>644</v>
      </c>
      <c r="C655" s="278" t="inlineStr">
        <is>
          <t>COTIZACION DE INGENIERÍA DE PROTECCIÓN CONTRA INCENDIOS POR DESEMPEÑO - HOTEL REPÚBLICA DOMINICANA</t>
        </is>
      </c>
      <c r="I655" s="39" t="inlineStr">
        <is>
          <t>Ashes Fire</t>
        </is>
      </c>
      <c r="J655" s="336" t="n">
        <v>59950000</v>
      </c>
      <c r="K655" s="112" t="n">
        <v>46006</v>
      </c>
      <c r="L655" s="39" t="n"/>
      <c r="M655" s="39" t="n">
        <v>3013660197</v>
      </c>
      <c r="N655" s="39" t="inlineStr">
        <is>
          <t>John Fredy Figueroa Mesa</t>
        </is>
      </c>
      <c r="O655" s="52" t="inlineStr">
        <is>
          <t>j.figueroa@ashesfire.co</t>
        </is>
      </c>
    </row>
    <row r="656" hidden="1">
      <c r="A656" s="108" t="n"/>
      <c r="B656" s="39" t="n">
        <v>645</v>
      </c>
      <c r="C656" s="278" t="inlineStr">
        <is>
          <t>COTIZACION DE LOS DISEÑOS DE SEGURIDAD HUMANA Y DETECCIÓN DE INCENDIOS - MEETY</t>
        </is>
      </c>
      <c r="I656" s="39" t="inlineStr">
        <is>
          <t>Conaltura</t>
        </is>
      </c>
      <c r="J656" s="336" t="n">
        <v>18940000</v>
      </c>
      <c r="K656" s="112" t="n">
        <v>46008</v>
      </c>
      <c r="L656" s="39" t="n"/>
      <c r="M656" s="39" t="n">
        <v>3124690731</v>
      </c>
      <c r="N656" s="39" t="inlineStr">
        <is>
          <t>Jesus David Ramirez Figueroa</t>
        </is>
      </c>
      <c r="O656" s="52" t="inlineStr">
        <is>
          <t>jramirezf@conaltura.com</t>
        </is>
      </c>
    </row>
    <row r="657" hidden="1">
      <c r="A657" s="108" t="n"/>
      <c r="B657" s="39" t="n">
        <v>646</v>
      </c>
      <c r="C657" s="278" t="inlineStr">
        <is>
          <t>COTIZACION DEL ANÁLISIS DE SEGURIDAD HUMANA - ZONAS COMUNES</t>
        </is>
      </c>
      <c r="I657" s="39" t="inlineStr">
        <is>
          <t>CONCONCRETO</t>
        </is>
      </c>
      <c r="J657" s="336" t="n">
        <v>9950000</v>
      </c>
      <c r="K657" s="112" t="n">
        <v>46008</v>
      </c>
      <c r="L657" s="39" t="n"/>
      <c r="M657" s="39" t="n">
        <v>3004938086</v>
      </c>
      <c r="N657" s="172" t="inlineStr">
        <is>
          <t>Andrés Felipe Martínez Arismendy</t>
        </is>
      </c>
      <c r="O657" s="52" t="inlineStr">
        <is>
          <t>amartineza@conconcreto.com</t>
        </is>
      </c>
    </row>
    <row r="658" hidden="1">
      <c r="A658" s="108" t="n"/>
      <c r="B658" s="39" t="n">
        <v>647</v>
      </c>
      <c r="C658" s="278" t="inlineStr">
        <is>
          <t>COTIZACION DE LOS DISEÑOS DE SEGURIDAD HUMANA Y PROTECCIÓN CONTRA INCENDIOS - LOTE LA CORUÑA</t>
        </is>
      </c>
      <c r="I658" s="39" t="inlineStr">
        <is>
          <t>Alianza Canadiense</t>
        </is>
      </c>
      <c r="J658" s="336" t="n">
        <v>12540000</v>
      </c>
      <c r="K658" s="112" t="n">
        <v>46008</v>
      </c>
      <c r="L658" s="39" t="n"/>
      <c r="M658" s="39" t="n">
        <v>3009086849</v>
      </c>
      <c r="N658" s="39" t="inlineStr">
        <is>
          <t>Johana Ramírez</t>
        </is>
      </c>
      <c r="O658" s="52" t="inlineStr">
        <is>
          <t>Oriente@aci.edu.co</t>
        </is>
      </c>
    </row>
    <row r="659" hidden="1">
      <c r="A659" s="108" t="n"/>
      <c r="B659" s="39" t="n">
        <v>648</v>
      </c>
      <c r="C659" s="278" t="inlineStr">
        <is>
          <t>COTIZACION PLANOS ASBUILT BOMBA Y SOPORTES - PLAZA KAHUANA</t>
        </is>
      </c>
      <c r="I659" s="39" t="inlineStr">
        <is>
          <t>Good Group</t>
        </is>
      </c>
      <c r="J659" s="336" t="n">
        <v>2550000</v>
      </c>
      <c r="K659" s="112" t="n">
        <v>46007</v>
      </c>
      <c r="L659" s="39" t="n"/>
      <c r="M659" s="39" t="n">
        <v>3162963854</v>
      </c>
      <c r="N659" s="39" t="inlineStr">
        <is>
          <t>Deisy Duque</t>
        </is>
      </c>
      <c r="O659" s="116" t="inlineStr">
        <is>
          <t>operaciones@goodgroup.com.co</t>
        </is>
      </c>
    </row>
    <row r="660" hidden="1">
      <c r="A660" s="108" t="n"/>
      <c r="B660" s="39" t="n">
        <v>649</v>
      </c>
      <c r="C660" s="278" t="inlineStr">
        <is>
          <t>COTIZACION DEL DISEÑO DE EXTINCIÓN DE INCENDIOS - CEDI ESPUMAS PLASTICAS</t>
        </is>
      </c>
      <c r="I660" s="39" t="inlineStr">
        <is>
          <t>Fire Marshal</t>
        </is>
      </c>
      <c r="J660" s="336" t="n">
        <v>22550000</v>
      </c>
      <c r="K660" s="112" t="n">
        <v>46010</v>
      </c>
      <c r="L660" s="39" t="n"/>
      <c r="M660" s="39" t="n">
        <v>3155852559</v>
      </c>
      <c r="N660" s="39" t="inlineStr">
        <is>
          <t>José Manuel Maya</t>
        </is>
      </c>
      <c r="O660" s="52" t="inlineStr">
        <is>
          <t>josemaya@firemarshal.com.co</t>
        </is>
      </c>
    </row>
    <row r="661" hidden="1">
      <c r="A661" s="108" t="n"/>
      <c r="B661" s="39" t="n">
        <v>650</v>
      </c>
      <c r="C661" s="278" t="inlineStr">
        <is>
          <t>COTIZACION DEL REDISEÑO DE EXTINCIÓN DE INCENDIOS - PISO 5 ZONAS COMUNES</t>
        </is>
      </c>
      <c r="I661" s="39" t="inlineStr">
        <is>
          <t>Ingesed</t>
        </is>
      </c>
      <c r="J661" s="336" t="n">
        <v>3850000</v>
      </c>
      <c r="K661" s="112" t="n">
        <v>46010</v>
      </c>
      <c r="L661" s="39" t="n"/>
      <c r="M661" s="39" t="inlineStr">
        <is>
          <t>321 8338189</t>
        </is>
      </c>
      <c r="N661" s="39" t="inlineStr">
        <is>
          <t>Laura Delgado</t>
        </is>
      </c>
      <c r="O661" s="52" t="inlineStr">
        <is>
          <t>operacionesingesed@gmail.com</t>
        </is>
      </c>
    </row>
    <row r="662" hidden="1">
      <c r="A662" s="108" t="n"/>
      <c r="B662" s="39" t="n">
        <v>651</v>
      </c>
      <c r="C662" s="278" t="inlineStr">
        <is>
          <t>COTIZACION DE LOS DISEÑOS DE PROTECCIÓN CONTRA INCENDIOS - BORBÓN</t>
        </is>
      </c>
      <c r="I662" s="39" t="inlineStr">
        <is>
          <t>FP Services</t>
        </is>
      </c>
      <c r="J662" s="336" t="n">
        <v>16850000</v>
      </c>
      <c r="K662" s="112" t="n">
        <v>46009</v>
      </c>
      <c r="L662" s="39" t="n"/>
      <c r="M662" s="39" t="n">
        <v>3138461929</v>
      </c>
      <c r="N662" s="39" t="inlineStr">
        <is>
          <t xml:space="preserve">
Olmar Orozco</t>
        </is>
      </c>
      <c r="O662" s="52" t="inlineStr">
        <is>
          <t>comercial2@fpservices.com.co</t>
        </is>
      </c>
    </row>
    <row r="663" hidden="1">
      <c r="A663" s="108" t="n"/>
      <c r="B663" s="39" t="n">
        <v>652</v>
      </c>
      <c r="C663" s="278" t="inlineStr">
        <is>
          <t>COTIZACION DE LOS DISEÑOS DE SEGURIDAD HUMANA Y PROTECCIÓN CONTRA INCENDIOS - ZONA FRANCA URABÁ</t>
        </is>
      </c>
      <c r="I663" s="39" t="inlineStr">
        <is>
          <t>Konzepto inmobiliario</t>
        </is>
      </c>
      <c r="J663" s="336" t="inlineStr">
        <is>
          <t>Variable</t>
        </is>
      </c>
      <c r="K663" s="112" t="n">
        <v>46010</v>
      </c>
      <c r="L663" s="39" t="n"/>
      <c r="M663" s="39" t="n">
        <v>3234031201</v>
      </c>
      <c r="N663" s="39" t="inlineStr">
        <is>
          <t>Gustavo Puerta</t>
        </is>
      </c>
      <c r="O663" s="52" t="inlineStr">
        <is>
          <t>contacto@konzepto.co</t>
        </is>
      </c>
    </row>
    <row r="664" hidden="1">
      <c r="A664" s="108" t="n"/>
      <c r="B664" s="39" t="n">
        <v>653</v>
      </c>
      <c r="C664" s="278" t="inlineStr">
        <is>
          <t>COTIZACION DE LOS DISEÑOS DE SEGURIDAD HUMANA Y PROTECCIÓN CONTRA INCENDIOS - GUARNE</t>
        </is>
      </c>
      <c r="I664" s="39" t="inlineStr">
        <is>
          <t xml:space="preserve">FCR </t>
        </is>
      </c>
      <c r="J664" s="336" t="inlineStr">
        <is>
          <t>Año que viene</t>
        </is>
      </c>
      <c r="K664" s="112" t="n">
        <v>46009</v>
      </c>
      <c r="L664" s="39" t="n"/>
      <c r="M664" s="39" t="n"/>
      <c r="N664" s="39" t="n"/>
      <c r="O664" s="116" t="n"/>
    </row>
    <row r="665" hidden="1">
      <c r="A665" s="108" t="n"/>
      <c r="B665" s="39" t="n">
        <v>654</v>
      </c>
      <c r="C665" s="278" t="inlineStr">
        <is>
          <t>COTIZACION DEL DISEÑO DE DETECCIÓN DE INCENDIOS - PLATINUM SUPERIOR</t>
        </is>
      </c>
      <c r="I665" s="39" t="inlineStr">
        <is>
          <t>FP Services</t>
        </is>
      </c>
      <c r="J665" s="336" t="n">
        <v>15500000</v>
      </c>
      <c r="K665" s="112" t="n">
        <v>46009</v>
      </c>
      <c r="L665" s="39" t="n"/>
      <c r="M665" s="39" t="n">
        <v>3138461929</v>
      </c>
      <c r="N665" s="39" t="inlineStr">
        <is>
          <t xml:space="preserve">
Olmar Orozco</t>
        </is>
      </c>
      <c r="O665" s="52" t="inlineStr">
        <is>
          <t>comercial2@fpservices.com.co</t>
        </is>
      </c>
    </row>
    <row r="666" hidden="1">
      <c r="A666" s="108" t="n"/>
      <c r="B666" s="39" t="n">
        <v>655</v>
      </c>
      <c r="C666" s="278" t="inlineStr">
        <is>
          <t>COTIZACION DE LOS DISEÑOS DE SEGURIDAD HUMANA Y PROTECCIÓN CONTRA INCENDIOS - ESENCIA LIVING</t>
        </is>
      </c>
      <c r="I666" s="39" t="inlineStr">
        <is>
          <t>Escencia Livign</t>
        </is>
      </c>
      <c r="J666" s="336" t="n">
        <v>22550000</v>
      </c>
      <c r="K666" s="112" t="n">
        <v>46013</v>
      </c>
      <c r="L666" s="39" t="n"/>
      <c r="M666" s="39" t="inlineStr">
        <is>
          <t>301 1559197</t>
        </is>
      </c>
      <c r="N666" s="39" t="inlineStr">
        <is>
          <t>Santiago García Olaya</t>
        </is>
      </c>
      <c r="O666" s="52" t="inlineStr">
        <is>
          <t>esencia.living1@gmail.com</t>
        </is>
      </c>
    </row>
    <row r="667" hidden="1">
      <c r="A667" s="108" t="n"/>
      <c r="B667" s="39" t="n">
        <v>656</v>
      </c>
      <c r="C667" s="278" t="inlineStr">
        <is>
          <t>COTIZACION DE LOS DISEÑOS DE SEGURIDAD HUMANA Y PROTECCIÓN CONTRA INCENDIOS - PTAR ESCOBERO REV B</t>
        </is>
      </c>
      <c r="I667" s="39" t="inlineStr">
        <is>
          <t>Coninsa</t>
        </is>
      </c>
      <c r="J667" s="336" t="n"/>
      <c r="K667" s="112" t="n">
        <v>46013</v>
      </c>
      <c r="L667" s="39" t="n"/>
      <c r="M667" s="39" t="n">
        <v>3006194323</v>
      </c>
      <c r="N667" s="39" t="inlineStr">
        <is>
          <t>Clara I. Mesa López de Mesa</t>
        </is>
      </c>
      <c r="O667" s="116" t="inlineStr">
        <is>
          <t>cmesa@coninsa.co</t>
        </is>
      </c>
    </row>
    <row r="668" hidden="1">
      <c r="A668" s="108" t="n"/>
      <c r="B668" s="39" t="n">
        <v>657</v>
      </c>
      <c r="C668" s="278" t="inlineStr">
        <is>
          <t>COTIZACION CONCEPTO RED CONTRA INCENDIOS CORLANC</t>
        </is>
      </c>
      <c r="I668" s="39" t="n"/>
      <c r="J668" s="336" t="n"/>
      <c r="K668" s="112" t="n"/>
      <c r="L668" s="39" t="n"/>
    </row>
    <row r="669" hidden="1">
      <c r="A669" s="108" t="n"/>
      <c r="B669" s="39" t="n">
        <v>658</v>
      </c>
      <c r="C669" s="278" t="n"/>
      <c r="I669" s="39" t="n"/>
      <c r="J669" s="336" t="n"/>
      <c r="K669" s="112" t="n"/>
      <c r="L669" s="39" t="n"/>
      <c r="M669" s="39" t="n"/>
      <c r="N669" s="39" t="n"/>
      <c r="O669" s="116" t="n"/>
    </row>
    <row r="670">
      <c r="A670" s="108" t="n"/>
      <c r="B670" s="39" t="n"/>
      <c r="C670" s="278" t="n"/>
      <c r="I670" s="39" t="n"/>
      <c r="J670" s="336" t="n"/>
      <c r="K670" s="112" t="n"/>
      <c r="L670" s="39" t="n"/>
      <c r="M670" s="39" t="n"/>
      <c r="N670" s="39" t="n"/>
      <c r="O670" s="116" t="n"/>
    </row>
    <row r="671">
      <c r="A671" s="108" t="n"/>
      <c r="B671" s="39" t="n"/>
      <c r="C671" s="278" t="n"/>
      <c r="I671" s="39" t="n"/>
      <c r="J671" s="336" t="n"/>
      <c r="K671" s="112" t="n"/>
      <c r="L671" s="39" t="n"/>
      <c r="M671" s="39" t="n"/>
      <c r="N671" s="39" t="n"/>
      <c r="O671" s="116" t="n"/>
    </row>
    <row r="672">
      <c r="A672" s="108" t="n"/>
      <c r="B672" s="39" t="n"/>
      <c r="C672" s="278" t="n"/>
      <c r="I672" s="39" t="n"/>
      <c r="J672" s="336" t="n"/>
      <c r="K672" s="112" t="n"/>
      <c r="L672" s="39" t="n"/>
      <c r="M672" s="39" t="n"/>
      <c r="N672" s="39" t="n"/>
      <c r="O672" s="116" t="n"/>
    </row>
    <row r="673">
      <c r="A673" s="108" t="n"/>
      <c r="B673" s="39" t="n"/>
      <c r="C673" s="278" t="n"/>
      <c r="I673" s="39" t="n"/>
      <c r="J673" s="336" t="n"/>
      <c r="K673" s="112" t="n"/>
      <c r="L673" s="39" t="n"/>
      <c r="M673" s="39" t="n"/>
      <c r="N673" s="39" t="n"/>
      <c r="O673" s="116" t="n"/>
    </row>
    <row r="674">
      <c r="A674" s="108" t="n"/>
      <c r="B674" s="39" t="n"/>
      <c r="C674" s="278" t="n"/>
      <c r="I674" s="39" t="n"/>
      <c r="J674" s="336" t="n"/>
      <c r="K674" s="112" t="n"/>
      <c r="L674" s="39" t="n"/>
      <c r="M674" s="39" t="n"/>
      <c r="N674" s="39" t="n"/>
      <c r="O674" s="116" t="n"/>
    </row>
    <row r="675">
      <c r="A675" s="108" t="n"/>
      <c r="B675" s="39" t="n"/>
      <c r="C675" s="278" t="n"/>
      <c r="I675" s="39" t="n"/>
      <c r="J675" s="336" t="n"/>
      <c r="K675" s="112" t="n"/>
      <c r="L675" s="39" t="n"/>
      <c r="M675" s="39" t="n"/>
      <c r="N675" s="39" t="n"/>
      <c r="O675" s="116" t="n"/>
    </row>
    <row r="676">
      <c r="A676" s="108" t="n"/>
      <c r="B676" s="39" t="n"/>
      <c r="C676" s="278" t="n"/>
      <c r="I676" s="39" t="n"/>
      <c r="J676" s="336" t="n"/>
      <c r="K676" s="112" t="n"/>
      <c r="L676" s="39" t="n"/>
      <c r="M676" s="39" t="n"/>
      <c r="N676" s="39" t="n"/>
      <c r="O676" s="116" t="n"/>
    </row>
    <row r="677">
      <c r="A677" s="108" t="n"/>
      <c r="B677" s="39" t="n"/>
      <c r="C677" s="278" t="n"/>
      <c r="I677" s="39" t="n"/>
      <c r="J677" s="336" t="n"/>
      <c r="K677" s="112" t="n"/>
      <c r="L677" s="39" t="n"/>
      <c r="M677" s="39" t="n"/>
      <c r="N677" s="39" t="n"/>
      <c r="O677" s="116" t="n"/>
    </row>
    <row r="678">
      <c r="A678" s="108" t="n"/>
      <c r="B678" s="39" t="n"/>
      <c r="C678" s="278" t="n"/>
      <c r="I678" s="39" t="n"/>
      <c r="J678" s="336" t="n"/>
      <c r="K678" s="112" t="n"/>
      <c r="L678" s="39" t="n"/>
      <c r="M678" s="39" t="n"/>
      <c r="N678" s="39" t="n"/>
      <c r="O678" s="116" t="n"/>
    </row>
    <row r="679">
      <c r="A679" s="108" t="n"/>
      <c r="B679" s="39" t="n"/>
      <c r="C679" s="278" t="n"/>
      <c r="I679" s="39" t="n"/>
      <c r="J679" s="336" t="n"/>
      <c r="K679" s="112" t="n"/>
      <c r="L679" s="39" t="n"/>
      <c r="M679" s="39" t="n"/>
      <c r="N679" s="39" t="n"/>
      <c r="O679" s="116" t="n"/>
    </row>
    <row r="680">
      <c r="A680" s="108" t="n"/>
      <c r="B680" s="39" t="n"/>
      <c r="C680" s="278" t="n"/>
      <c r="I680" s="39" t="n"/>
      <c r="J680" s="336" t="n"/>
      <c r="K680" s="112" t="n"/>
      <c r="L680" s="39" t="n"/>
      <c r="M680" s="39" t="n"/>
      <c r="N680" s="39" t="n"/>
      <c r="O680" s="116" t="n"/>
    </row>
    <row r="681">
      <c r="A681" s="108" t="n"/>
      <c r="B681" s="39" t="n"/>
      <c r="C681" s="278" t="n"/>
      <c r="I681" s="39" t="n"/>
      <c r="J681" s="336" t="n"/>
      <c r="K681" s="112" t="n"/>
      <c r="L681" s="39" t="n"/>
      <c r="M681" s="39" t="n"/>
      <c r="N681" s="39" t="n"/>
      <c r="O681" s="116" t="n"/>
    </row>
    <row r="682">
      <c r="A682" s="108" t="n"/>
      <c r="B682" s="39" t="n"/>
      <c r="C682" s="278" t="n"/>
      <c r="I682" s="39" t="n"/>
      <c r="J682" s="336" t="n"/>
      <c r="K682" s="112" t="n"/>
      <c r="L682" s="39" t="n"/>
      <c r="M682" s="39" t="n"/>
      <c r="N682" s="39" t="n"/>
      <c r="O682" s="116" t="n"/>
    </row>
    <row r="683">
      <c r="A683" s="108" t="n"/>
      <c r="B683" s="39" t="n"/>
      <c r="C683" s="278" t="n"/>
      <c r="I683" s="39" t="n"/>
      <c r="J683" s="336" t="n"/>
      <c r="K683" s="112" t="n"/>
      <c r="L683" s="39" t="n"/>
      <c r="M683" s="39" t="n"/>
      <c r="N683" s="39" t="n"/>
      <c r="O683" s="116" t="n"/>
    </row>
    <row r="684">
      <c r="A684" s="108" t="n"/>
      <c r="B684" s="39" t="n"/>
      <c r="C684" s="278" t="n"/>
      <c r="I684" s="39" t="n"/>
      <c r="J684" s="336" t="n"/>
      <c r="K684" s="112" t="n"/>
      <c r="L684" s="39" t="n"/>
      <c r="M684" s="39" t="n"/>
      <c r="N684" s="39" t="n"/>
      <c r="O684" s="116" t="n"/>
    </row>
    <row r="685">
      <c r="A685" s="108" t="n"/>
      <c r="B685" s="39" t="n"/>
      <c r="C685" s="278" t="n"/>
      <c r="I685" s="39" t="n"/>
      <c r="J685" s="336" t="n"/>
      <c r="K685" s="112" t="n"/>
      <c r="L685" s="39" t="n"/>
      <c r="M685" s="39" t="n"/>
      <c r="N685" s="39" t="n"/>
      <c r="O685" s="116" t="n"/>
    </row>
    <row r="686">
      <c r="A686" s="108" t="n"/>
      <c r="B686" s="39" t="n"/>
      <c r="C686" s="278" t="n"/>
      <c r="I686" s="39" t="n"/>
      <c r="J686" s="336" t="n"/>
      <c r="K686" s="112" t="n"/>
      <c r="L686" s="39" t="n"/>
      <c r="M686" s="39" t="n"/>
      <c r="N686" s="39" t="n"/>
      <c r="O686" s="116" t="n"/>
    </row>
    <row r="687">
      <c r="A687" s="108" t="n"/>
      <c r="B687" s="39" t="n"/>
      <c r="C687" s="278" t="n"/>
      <c r="I687" s="39" t="n"/>
      <c r="J687" s="336" t="n"/>
      <c r="K687" s="112" t="n"/>
      <c r="L687" s="39" t="n"/>
      <c r="M687" s="39" t="n"/>
      <c r="N687" s="39" t="n"/>
      <c r="O687" s="116" t="n"/>
    </row>
    <row r="688">
      <c r="A688" s="108" t="n"/>
      <c r="B688" s="39" t="n"/>
      <c r="C688" s="278" t="n"/>
      <c r="I688" s="39" t="n"/>
      <c r="J688" s="336" t="n"/>
      <c r="K688" s="112" t="n"/>
      <c r="L688" s="39" t="n"/>
      <c r="M688" s="39" t="n"/>
      <c r="N688" s="39" t="n"/>
      <c r="O688" s="116" t="n"/>
    </row>
    <row r="689">
      <c r="A689" s="108" t="n"/>
      <c r="B689" s="39" t="n"/>
      <c r="C689" s="278" t="n"/>
      <c r="I689" s="39" t="n"/>
      <c r="J689" s="336" t="n"/>
      <c r="K689" s="112" t="n"/>
      <c r="L689" s="39" t="n"/>
      <c r="M689" s="39" t="n"/>
      <c r="N689" s="39" t="n"/>
      <c r="O689" s="116" t="n"/>
    </row>
    <row r="690">
      <c r="A690" s="108" t="n"/>
      <c r="B690" s="39" t="n"/>
      <c r="C690" s="278" t="n"/>
      <c r="I690" s="39" t="n"/>
      <c r="J690" s="336" t="n"/>
      <c r="K690" s="112" t="n"/>
      <c r="L690" s="39" t="n"/>
      <c r="M690" s="39" t="n"/>
      <c r="N690" s="39" t="n"/>
      <c r="O690" s="116" t="n"/>
    </row>
    <row r="691">
      <c r="A691" s="108" t="n"/>
      <c r="B691" s="39" t="n"/>
      <c r="C691" s="278" t="n"/>
      <c r="I691" s="39" t="n"/>
      <c r="J691" s="336" t="n"/>
      <c r="K691" s="112" t="n"/>
      <c r="L691" s="39" t="n"/>
      <c r="M691" s="39" t="n"/>
      <c r="N691" s="39" t="n"/>
      <c r="O691" s="116" t="n"/>
    </row>
    <row r="692">
      <c r="A692" s="108" t="n"/>
      <c r="B692" s="39" t="n"/>
      <c r="C692" s="278" t="n"/>
      <c r="I692" s="39" t="n"/>
      <c r="J692" s="336" t="n"/>
      <c r="K692" s="112" t="n"/>
      <c r="L692" s="39" t="n"/>
      <c r="M692" s="39" t="n"/>
      <c r="N692" s="39" t="n"/>
      <c r="O692" s="116" t="n"/>
    </row>
    <row r="693">
      <c r="A693" s="108" t="n"/>
      <c r="B693" s="39" t="n"/>
      <c r="C693" s="278" t="n"/>
      <c r="I693" s="39" t="n"/>
      <c r="J693" s="336" t="n"/>
      <c r="K693" s="112" t="n"/>
      <c r="L693" s="39" t="n"/>
      <c r="M693" s="39" t="n"/>
      <c r="N693" s="39" t="n"/>
      <c r="O693" s="116" t="n"/>
    </row>
    <row r="694">
      <c r="A694" s="108" t="n"/>
      <c r="B694" s="39" t="n"/>
      <c r="C694" s="278" t="n"/>
      <c r="I694" s="39" t="n"/>
      <c r="J694" s="336" t="n"/>
      <c r="K694" s="112" t="n"/>
      <c r="L694" s="39" t="n"/>
      <c r="M694" s="39" t="n"/>
      <c r="N694" s="39" t="n"/>
      <c r="O694" s="116" t="n"/>
    </row>
    <row r="695">
      <c r="A695" s="108" t="n"/>
      <c r="B695" s="39" t="n"/>
      <c r="C695" s="278" t="n"/>
      <c r="I695" s="39" t="n"/>
      <c r="J695" s="336" t="n"/>
      <c r="K695" s="112" t="n"/>
      <c r="L695" s="39" t="n"/>
      <c r="M695" s="39" t="n"/>
      <c r="N695" s="39" t="n"/>
      <c r="O695" s="116" t="n"/>
    </row>
    <row r="696">
      <c r="A696" s="108" t="n"/>
      <c r="B696" s="39" t="n"/>
      <c r="C696" s="278" t="n"/>
      <c r="I696" s="39" t="n"/>
      <c r="J696" s="336" t="n"/>
      <c r="K696" s="112" t="n"/>
      <c r="L696" s="39" t="n"/>
      <c r="M696" s="39" t="n"/>
      <c r="N696" s="39" t="n"/>
      <c r="O696" s="116" t="n"/>
    </row>
    <row r="697">
      <c r="A697" s="108" t="n"/>
      <c r="B697" s="39" t="n"/>
      <c r="C697" s="278" t="n"/>
      <c r="I697" s="39" t="n"/>
      <c r="J697" s="336" t="n"/>
      <c r="K697" s="112" t="n"/>
      <c r="L697" s="39" t="n"/>
      <c r="M697" s="39" t="n"/>
      <c r="N697" s="39" t="n"/>
      <c r="O697" s="116" t="n"/>
    </row>
    <row r="698">
      <c r="A698" s="108" t="n"/>
      <c r="B698" s="39" t="n"/>
      <c r="C698" s="278" t="n"/>
      <c r="I698" s="39" t="n"/>
      <c r="J698" s="336" t="n"/>
      <c r="K698" s="112" t="n"/>
      <c r="L698" s="39" t="n"/>
      <c r="M698" s="39" t="n"/>
      <c r="N698" s="39" t="n"/>
      <c r="O698" s="116" t="n"/>
    </row>
    <row r="699">
      <c r="A699" s="108" t="n"/>
      <c r="B699" s="39" t="n"/>
      <c r="C699" s="278" t="n"/>
      <c r="I699" s="39" t="n"/>
      <c r="J699" s="336" t="n"/>
      <c r="K699" s="112" t="n"/>
      <c r="L699" s="39" t="n"/>
      <c r="M699" s="39" t="n"/>
      <c r="N699" s="39" t="n"/>
      <c r="O699" s="116" t="n"/>
    </row>
    <row r="700">
      <c r="A700" s="108" t="n"/>
      <c r="B700" s="39" t="n"/>
      <c r="C700" s="278" t="n"/>
      <c r="I700" s="39" t="n"/>
      <c r="J700" s="336" t="n"/>
      <c r="K700" s="112" t="n"/>
      <c r="L700" s="39" t="n"/>
      <c r="M700" s="39" t="n"/>
      <c r="N700" s="39" t="n"/>
      <c r="O700" s="116" t="n"/>
    </row>
    <row r="701">
      <c r="A701" s="108" t="n"/>
      <c r="B701" s="39" t="n"/>
      <c r="C701" s="278" t="n"/>
      <c r="I701" s="39" t="n"/>
      <c r="J701" s="336" t="n"/>
      <c r="K701" s="112" t="n"/>
      <c r="L701" s="39" t="n"/>
      <c r="M701" s="39" t="n"/>
      <c r="N701" s="39" t="n"/>
      <c r="O701" s="116" t="n"/>
    </row>
    <row r="702">
      <c r="A702" s="108" t="n"/>
      <c r="B702" s="39" t="n"/>
      <c r="C702" s="278" t="n"/>
      <c r="I702" s="39" t="n"/>
      <c r="J702" s="336" t="n"/>
      <c r="K702" s="112" t="n"/>
      <c r="L702" s="39" t="n"/>
      <c r="M702" s="39" t="n"/>
      <c r="N702" s="39" t="n"/>
      <c r="O702" s="116" t="n"/>
    </row>
    <row r="703">
      <c r="A703" s="108" t="n"/>
      <c r="B703" s="39" t="n"/>
      <c r="C703" s="278" t="n"/>
      <c r="I703" s="39" t="n"/>
      <c r="J703" s="336" t="n"/>
      <c r="K703" s="112" t="n"/>
      <c r="L703" s="39" t="n"/>
      <c r="M703" s="39" t="n"/>
      <c r="N703" s="39" t="n"/>
      <c r="O703" s="116" t="n"/>
    </row>
    <row r="704">
      <c r="A704" s="108" t="n"/>
      <c r="B704" s="39" t="n"/>
      <c r="C704" s="278" t="n"/>
      <c r="I704" s="39" t="n"/>
      <c r="J704" s="336" t="n"/>
      <c r="K704" s="112" t="n"/>
      <c r="L704" s="39" t="n"/>
      <c r="M704" s="39" t="n"/>
      <c r="N704" s="39" t="n"/>
      <c r="O704" s="116" t="n"/>
    </row>
    <row r="705">
      <c r="A705" s="108" t="n"/>
      <c r="B705" s="39" t="n"/>
      <c r="C705" s="278" t="n"/>
      <c r="I705" s="39" t="n"/>
      <c r="J705" s="336" t="n"/>
      <c r="K705" s="112" t="n"/>
      <c r="L705" s="39" t="n"/>
      <c r="M705" s="39" t="n"/>
      <c r="N705" s="39" t="n"/>
      <c r="O705" s="116" t="n"/>
    </row>
    <row r="706">
      <c r="A706" s="108" t="n"/>
      <c r="B706" s="39" t="n"/>
      <c r="C706" s="278" t="n"/>
      <c r="I706" s="39" t="n"/>
      <c r="J706" s="336" t="n"/>
      <c r="K706" s="112" t="n"/>
      <c r="L706" s="39" t="n"/>
      <c r="M706" s="39" t="n"/>
      <c r="N706" s="39" t="n"/>
      <c r="O706" s="116" t="n"/>
    </row>
    <row r="707">
      <c r="A707" s="108" t="n"/>
      <c r="B707" s="39" t="n"/>
      <c r="C707" s="278" t="n"/>
      <c r="I707" s="39" t="n"/>
      <c r="J707" s="336" t="n"/>
      <c r="K707" s="112" t="n"/>
      <c r="L707" s="39" t="n"/>
      <c r="M707" s="39" t="n"/>
      <c r="N707" s="39" t="n"/>
      <c r="O707" s="116" t="n"/>
    </row>
    <row r="708">
      <c r="A708" s="108" t="n"/>
      <c r="B708" s="39" t="n"/>
      <c r="C708" s="278" t="n"/>
      <c r="I708" s="39" t="n"/>
      <c r="J708" s="336" t="n"/>
      <c r="K708" s="112" t="n"/>
      <c r="L708" s="39" t="n"/>
      <c r="M708" s="39" t="n"/>
      <c r="N708" s="39" t="n"/>
      <c r="O708" s="116" t="n"/>
    </row>
    <row r="709">
      <c r="A709" s="108" t="n"/>
      <c r="B709" s="39" t="n"/>
      <c r="C709" s="278" t="n"/>
      <c r="I709" s="39" t="n"/>
      <c r="J709" s="336" t="n"/>
      <c r="K709" s="112" t="n"/>
      <c r="L709" s="39" t="n"/>
      <c r="M709" s="39" t="n"/>
      <c r="N709" s="39" t="n"/>
      <c r="O709" s="116" t="n"/>
    </row>
    <row r="710">
      <c r="A710" s="108" t="n"/>
      <c r="B710" s="39" t="n"/>
      <c r="C710" s="278" t="n"/>
      <c r="I710" s="39" t="n"/>
      <c r="J710" s="336" t="n"/>
      <c r="K710" s="112" t="n"/>
      <c r="L710" s="39" t="n"/>
      <c r="M710" s="39" t="n"/>
      <c r="N710" s="39" t="n"/>
      <c r="O710" s="116" t="n"/>
    </row>
    <row r="711">
      <c r="A711" s="108" t="n"/>
      <c r="B711" s="39" t="n"/>
      <c r="C711" s="278" t="n"/>
      <c r="I711" s="39" t="n"/>
      <c r="J711" s="336" t="n"/>
      <c r="K711" s="112" t="n"/>
      <c r="L711" s="39" t="n"/>
      <c r="M711" s="39" t="n"/>
      <c r="N711" s="39" t="n"/>
      <c r="O711" s="116" t="n"/>
    </row>
    <row r="712">
      <c r="A712" s="108" t="n"/>
      <c r="B712" s="39" t="n"/>
      <c r="C712" s="278" t="n"/>
      <c r="I712" s="39" t="n"/>
      <c r="J712" s="336" t="n"/>
      <c r="K712" s="112" t="n"/>
      <c r="L712" s="39" t="n"/>
      <c r="M712" s="39" t="n"/>
      <c r="N712" s="39" t="n"/>
      <c r="O712" s="116" t="n"/>
    </row>
    <row r="713">
      <c r="A713" s="108" t="n"/>
      <c r="B713" s="39" t="n"/>
      <c r="C713" s="278" t="n"/>
      <c r="I713" s="39" t="n"/>
      <c r="J713" s="336" t="n"/>
      <c r="K713" s="112" t="n"/>
      <c r="L713" s="39" t="n"/>
      <c r="M713" s="39" t="n"/>
      <c r="N713" s="39" t="n"/>
      <c r="O713" s="116" t="n"/>
    </row>
    <row r="714">
      <c r="A714" s="108" t="n"/>
      <c r="B714" s="39" t="n"/>
      <c r="C714" s="278" t="n"/>
      <c r="I714" s="39" t="n"/>
      <c r="J714" s="336" t="n"/>
      <c r="K714" s="112" t="n"/>
      <c r="L714" s="39" t="n"/>
      <c r="M714" s="39" t="n"/>
      <c r="N714" s="39" t="n"/>
      <c r="O714" s="116" t="n"/>
    </row>
    <row r="715">
      <c r="A715" s="108" t="n"/>
      <c r="B715" s="39" t="n"/>
      <c r="C715" s="278" t="n"/>
      <c r="I715" s="39" t="n"/>
      <c r="J715" s="336" t="n"/>
      <c r="K715" s="112" t="n"/>
      <c r="L715" s="39" t="n"/>
      <c r="M715" s="39" t="n"/>
      <c r="N715" s="39" t="n"/>
      <c r="O715" s="116" t="n"/>
    </row>
    <row r="716">
      <c r="A716" s="108" t="n"/>
      <c r="B716" s="39" t="n"/>
      <c r="C716" s="278" t="n"/>
      <c r="I716" s="39" t="n"/>
      <c r="J716" s="336" t="n"/>
      <c r="K716" s="112" t="n"/>
      <c r="L716" s="39" t="n"/>
      <c r="M716" s="39" t="n"/>
      <c r="N716" s="39" t="n"/>
      <c r="O716" s="116" t="n"/>
    </row>
    <row r="717">
      <c r="A717" s="108" t="n"/>
      <c r="B717" s="39" t="n"/>
      <c r="C717" s="278" t="n"/>
      <c r="I717" s="39" t="n"/>
      <c r="J717" s="336" t="n"/>
      <c r="K717" s="112" t="n"/>
      <c r="L717" s="39" t="n"/>
      <c r="M717" s="39" t="n"/>
      <c r="N717" s="39" t="n"/>
      <c r="O717" s="116" t="n"/>
    </row>
    <row r="718">
      <c r="A718" s="108" t="n"/>
      <c r="B718" s="39" t="n"/>
      <c r="C718" s="278" t="n"/>
      <c r="I718" s="39" t="n"/>
      <c r="J718" s="336" t="n"/>
      <c r="K718" s="112" t="n"/>
      <c r="L718" s="39" t="n"/>
      <c r="M718" s="39" t="n"/>
      <c r="N718" s="39" t="n"/>
      <c r="O718" s="116" t="n"/>
    </row>
    <row r="719">
      <c r="A719" s="108" t="n"/>
      <c r="B719" s="39" t="n"/>
      <c r="C719" s="278" t="n"/>
      <c r="I719" s="39" t="n"/>
      <c r="J719" s="336" t="n"/>
      <c r="K719" s="112" t="n"/>
      <c r="L719" s="39" t="n"/>
      <c r="M719" s="39" t="n"/>
      <c r="N719" s="39" t="n"/>
      <c r="O719" s="116" t="n"/>
    </row>
    <row r="720">
      <c r="A720" s="108" t="n"/>
      <c r="B720" s="39" t="n"/>
      <c r="C720" s="278" t="n"/>
      <c r="I720" s="39" t="n"/>
      <c r="J720" s="336" t="n"/>
      <c r="K720" s="112" t="n"/>
      <c r="L720" s="39" t="n"/>
      <c r="M720" s="39" t="n"/>
      <c r="N720" s="39" t="n"/>
      <c r="O720" s="116" t="n"/>
    </row>
    <row r="721">
      <c r="A721" s="108" t="n"/>
      <c r="B721" s="39" t="n"/>
      <c r="C721" s="278" t="n"/>
      <c r="I721" s="39" t="n"/>
      <c r="J721" s="336" t="n"/>
      <c r="K721" s="112" t="n"/>
      <c r="L721" s="39" t="n"/>
      <c r="M721" s="39" t="n"/>
      <c r="N721" s="39" t="n"/>
      <c r="O721" s="116" t="n"/>
    </row>
    <row r="722">
      <c r="A722" s="108" t="n"/>
      <c r="B722" s="39" t="n"/>
      <c r="C722" s="278" t="n"/>
      <c r="I722" s="39" t="n"/>
      <c r="J722" s="336" t="n"/>
      <c r="K722" s="112" t="n"/>
      <c r="L722" s="39" t="n"/>
      <c r="M722" s="39" t="n"/>
      <c r="N722" s="39" t="n"/>
      <c r="O722" s="116" t="n"/>
    </row>
    <row r="723">
      <c r="A723" s="108" t="n"/>
      <c r="B723" s="39" t="n"/>
      <c r="C723" s="278" t="n"/>
      <c r="I723" s="39" t="n"/>
      <c r="J723" s="336" t="n"/>
      <c r="K723" s="112" t="n"/>
      <c r="L723" s="39" t="n"/>
      <c r="M723" s="39" t="n"/>
      <c r="N723" s="39" t="n"/>
      <c r="O723" s="116" t="n"/>
    </row>
    <row r="724">
      <c r="A724" s="108" t="n"/>
      <c r="B724" s="39" t="n"/>
      <c r="C724" s="278" t="n"/>
      <c r="I724" s="39" t="n"/>
      <c r="J724" s="336" t="n"/>
      <c r="K724" s="112" t="n"/>
      <c r="L724" s="39" t="n"/>
      <c r="M724" s="39" t="n"/>
      <c r="N724" s="39" t="n"/>
      <c r="O724" s="116" t="n"/>
    </row>
    <row r="725">
      <c r="A725" s="108" t="n"/>
      <c r="B725" s="39" t="n"/>
      <c r="C725" s="278" t="n"/>
      <c r="I725" s="39" t="n"/>
      <c r="J725" s="336" t="n"/>
      <c r="K725" s="112" t="n"/>
      <c r="L725" s="39" t="n"/>
      <c r="M725" s="39" t="n"/>
      <c r="N725" s="39" t="n"/>
      <c r="O725" s="116" t="n"/>
    </row>
    <row r="726">
      <c r="A726" s="108" t="n"/>
      <c r="B726" s="39" t="n"/>
      <c r="C726" s="278" t="n"/>
      <c r="I726" s="39" t="n"/>
      <c r="J726" s="336" t="n"/>
      <c r="K726" s="112" t="n"/>
      <c r="L726" s="39" t="n"/>
      <c r="M726" s="39" t="n"/>
      <c r="N726" s="39" t="n"/>
      <c r="O726" s="116" t="n"/>
    </row>
    <row r="727">
      <c r="A727" s="108" t="n"/>
      <c r="B727" s="39" t="n"/>
      <c r="C727" s="278" t="n"/>
      <c r="I727" s="39" t="n"/>
      <c r="J727" s="336" t="n"/>
      <c r="K727" s="112" t="n"/>
      <c r="L727" s="39" t="n"/>
      <c r="M727" s="39" t="n"/>
      <c r="N727" s="39" t="n"/>
      <c r="O727" s="116" t="n"/>
    </row>
    <row r="728">
      <c r="A728" s="108" t="n"/>
      <c r="B728" s="39" t="n"/>
      <c r="C728" s="278" t="n"/>
      <c r="I728" s="39" t="n"/>
      <c r="J728" s="336" t="n"/>
      <c r="K728" s="112" t="n"/>
      <c r="L728" s="39" t="n"/>
      <c r="M728" s="39" t="n"/>
      <c r="N728" s="39" t="n"/>
      <c r="O728" s="116" t="n"/>
    </row>
    <row r="729">
      <c r="A729" s="108" t="n"/>
      <c r="B729" s="39" t="n"/>
      <c r="C729" s="278" t="n"/>
      <c r="I729" s="39" t="n"/>
      <c r="J729" s="336" t="n"/>
      <c r="K729" s="112" t="n"/>
      <c r="L729" s="39" t="n"/>
      <c r="M729" s="39" t="n"/>
      <c r="N729" s="39" t="n"/>
      <c r="O729" s="116" t="n"/>
    </row>
    <row r="730">
      <c r="A730" s="108" t="n"/>
      <c r="B730" s="39" t="n"/>
      <c r="C730" s="278" t="n"/>
      <c r="I730" s="39" t="n"/>
      <c r="J730" s="336" t="n"/>
      <c r="K730" s="112" t="n"/>
      <c r="L730" s="39" t="n"/>
      <c r="M730" s="39" t="n"/>
      <c r="N730" s="39" t="n"/>
      <c r="O730" s="116" t="n"/>
    </row>
    <row r="731">
      <c r="A731" s="108" t="n"/>
      <c r="B731" s="39" t="n"/>
      <c r="C731" s="278" t="n"/>
      <c r="I731" s="39" t="n"/>
      <c r="J731" s="336" t="n"/>
      <c r="K731" s="112" t="n"/>
      <c r="L731" s="39" t="n"/>
      <c r="M731" s="39" t="n"/>
      <c r="N731" s="39" t="n"/>
      <c r="O731" s="116" t="n"/>
    </row>
    <row r="732">
      <c r="A732" s="108" t="n"/>
      <c r="B732" s="39" t="n"/>
      <c r="C732" s="278" t="n"/>
      <c r="I732" s="39" t="n"/>
      <c r="J732" s="336" t="n"/>
      <c r="K732" s="112" t="n"/>
      <c r="L732" s="39" t="n"/>
      <c r="M732" s="39" t="n"/>
      <c r="N732" s="39" t="n"/>
      <c r="O732" s="116" t="n"/>
    </row>
    <row r="733">
      <c r="A733" s="108" t="n"/>
      <c r="B733" s="39" t="n"/>
      <c r="C733" s="278" t="n"/>
      <c r="I733" s="39" t="n"/>
      <c r="J733" s="336" t="n"/>
      <c r="K733" s="112" t="n"/>
      <c r="L733" s="39" t="n"/>
      <c r="M733" s="39" t="n"/>
      <c r="N733" s="39" t="n"/>
      <c r="O733" s="116" t="n"/>
    </row>
    <row r="734">
      <c r="A734" s="108" t="n"/>
      <c r="B734" s="39" t="n"/>
      <c r="C734" s="278" t="n"/>
      <c r="I734" s="39" t="n"/>
      <c r="J734" s="336" t="n"/>
      <c r="K734" s="112" t="n"/>
      <c r="L734" s="39" t="n"/>
      <c r="M734" s="39" t="n"/>
      <c r="N734" s="39" t="n"/>
      <c r="O734" s="116" t="n"/>
    </row>
    <row r="735">
      <c r="A735" s="108" t="n"/>
      <c r="B735" s="39" t="n"/>
      <c r="C735" s="278" t="n"/>
      <c r="I735" s="39" t="n"/>
      <c r="J735" s="336" t="n"/>
      <c r="K735" s="112" t="n"/>
      <c r="L735" s="39" t="n"/>
      <c r="M735" s="39" t="n"/>
      <c r="N735" s="39" t="n"/>
      <c r="O735" s="116" t="n"/>
    </row>
    <row r="736">
      <c r="A736" s="108" t="n"/>
      <c r="B736" s="39" t="n"/>
      <c r="C736" s="278" t="n"/>
      <c r="I736" s="39" t="n"/>
      <c r="J736" s="336" t="n"/>
      <c r="K736" s="112" t="n"/>
      <c r="L736" s="39" t="n"/>
      <c r="M736" s="39" t="n"/>
      <c r="N736" s="39" t="n"/>
      <c r="O736" s="116" t="n"/>
    </row>
    <row r="737">
      <c r="A737" s="108" t="n"/>
      <c r="B737" s="39" t="n"/>
      <c r="C737" s="278" t="n"/>
      <c r="I737" s="39" t="n"/>
      <c r="J737" s="336" t="n"/>
      <c r="K737" s="112" t="n"/>
      <c r="L737" s="39" t="n"/>
      <c r="M737" s="39" t="n"/>
      <c r="N737" s="39" t="n"/>
      <c r="O737" s="116" t="n"/>
    </row>
    <row r="738">
      <c r="A738" s="108" t="n"/>
      <c r="B738" s="39" t="n"/>
      <c r="C738" s="278" t="n"/>
      <c r="I738" s="39" t="n"/>
      <c r="J738" s="336" t="n"/>
      <c r="K738" s="112" t="n"/>
      <c r="L738" s="39" t="n"/>
      <c r="M738" s="39" t="n"/>
      <c r="N738" s="39" t="n"/>
      <c r="O738" s="116" t="n"/>
    </row>
    <row r="739">
      <c r="A739" s="108" t="n"/>
      <c r="B739" s="39" t="n"/>
      <c r="C739" s="278" t="n"/>
      <c r="I739" s="39" t="n"/>
      <c r="J739" s="336" t="n"/>
      <c r="K739" s="112" t="n"/>
      <c r="L739" s="39" t="n"/>
      <c r="M739" s="39" t="n"/>
      <c r="N739" s="39" t="n"/>
      <c r="O739" s="116" t="n"/>
    </row>
    <row r="740">
      <c r="A740" s="108" t="n"/>
      <c r="B740" s="39" t="n"/>
      <c r="C740" s="278" t="n"/>
      <c r="I740" s="39" t="n"/>
      <c r="J740" s="336" t="n"/>
      <c r="K740" s="112" t="n"/>
      <c r="L740" s="39" t="n"/>
      <c r="M740" s="39" t="n"/>
      <c r="N740" s="39" t="n"/>
      <c r="O740" s="116" t="n"/>
    </row>
    <row r="741">
      <c r="A741" s="108" t="n"/>
      <c r="B741" s="39" t="n"/>
      <c r="C741" s="278" t="n"/>
      <c r="I741" s="39" t="n"/>
      <c r="J741" s="336" t="n"/>
      <c r="K741" s="112" t="n"/>
      <c r="L741" s="39" t="n"/>
      <c r="M741" s="39" t="n"/>
      <c r="N741" s="39" t="n"/>
      <c r="O741" s="116" t="n"/>
    </row>
    <row r="742">
      <c r="A742" s="108" t="n"/>
      <c r="B742" s="39" t="n"/>
      <c r="C742" s="278" t="n"/>
      <c r="I742" s="39" t="n"/>
      <c r="J742" s="336" t="n"/>
      <c r="K742" s="112" t="n"/>
      <c r="L742" s="39" t="n"/>
      <c r="M742" s="39" t="n"/>
      <c r="N742" s="39" t="n"/>
      <c r="O742" s="116" t="n"/>
    </row>
    <row r="743">
      <c r="A743" s="108" t="n"/>
      <c r="B743" s="39" t="n"/>
      <c r="C743" s="278" t="n"/>
      <c r="I743" s="39" t="n"/>
      <c r="J743" s="336" t="n"/>
      <c r="K743" s="112" t="n"/>
      <c r="L743" s="39" t="n"/>
      <c r="M743" s="39" t="n"/>
      <c r="N743" s="39" t="n"/>
      <c r="O743" s="116" t="n"/>
    </row>
    <row r="744">
      <c r="A744" s="108" t="n"/>
      <c r="B744" s="39" t="n"/>
      <c r="C744" s="278" t="n"/>
      <c r="I744" s="39" t="n"/>
      <c r="J744" s="336" t="n"/>
      <c r="K744" s="112" t="n"/>
      <c r="L744" s="39" t="n"/>
      <c r="M744" s="39" t="n"/>
      <c r="N744" s="39" t="n"/>
      <c r="O744" s="116" t="n"/>
    </row>
    <row r="745">
      <c r="A745" s="108" t="n"/>
      <c r="B745" s="39" t="n"/>
      <c r="C745" s="278" t="n"/>
      <c r="I745" s="39" t="n"/>
      <c r="J745" s="336" t="n"/>
      <c r="K745" s="112" t="n"/>
      <c r="L745" s="39" t="n"/>
      <c r="M745" s="39" t="n"/>
      <c r="N745" s="39" t="n"/>
      <c r="O745" s="116" t="n"/>
    </row>
    <row r="746">
      <c r="A746" s="108" t="n"/>
      <c r="B746" s="39" t="n"/>
      <c r="C746" s="278" t="n"/>
      <c r="I746" s="39" t="n"/>
      <c r="J746" s="336" t="n"/>
      <c r="K746" s="112" t="n"/>
      <c r="L746" s="39" t="n"/>
      <c r="M746" s="39" t="n"/>
      <c r="N746" s="39" t="n"/>
      <c r="O746" s="116" t="n"/>
    </row>
    <row r="747">
      <c r="A747" s="108" t="n"/>
      <c r="B747" s="39" t="n"/>
      <c r="C747" s="278" t="n"/>
      <c r="I747" s="39" t="n"/>
      <c r="J747" s="336" t="n"/>
      <c r="K747" s="112" t="n"/>
      <c r="L747" s="39" t="n"/>
      <c r="M747" s="39" t="n"/>
      <c r="N747" s="39" t="n"/>
      <c r="O747" s="116" t="n"/>
    </row>
    <row r="748">
      <c r="A748" s="108" t="n"/>
      <c r="B748" s="39" t="n"/>
      <c r="C748" s="278" t="n"/>
      <c r="I748" s="39" t="n"/>
      <c r="J748" s="336" t="n"/>
      <c r="K748" s="112" t="n"/>
      <c r="L748" s="39" t="n"/>
      <c r="M748" s="39" t="n"/>
      <c r="N748" s="39" t="n"/>
      <c r="O748" s="116" t="n"/>
    </row>
    <row r="749">
      <c r="A749" s="108" t="n"/>
      <c r="B749" s="39" t="n"/>
      <c r="C749" s="278" t="n"/>
      <c r="I749" s="39" t="n"/>
      <c r="J749" s="336" t="n"/>
      <c r="K749" s="112" t="n"/>
      <c r="L749" s="39" t="n"/>
      <c r="M749" s="39" t="n"/>
      <c r="N749" s="39" t="n"/>
      <c r="O749" s="116" t="n"/>
    </row>
    <row r="750">
      <c r="A750" s="108" t="n"/>
      <c r="B750" s="39" t="n"/>
      <c r="C750" s="278" t="n"/>
      <c r="I750" s="39" t="n"/>
      <c r="J750" s="336" t="n"/>
      <c r="K750" s="112" t="n"/>
      <c r="L750" s="39" t="n"/>
      <c r="M750" s="39" t="n"/>
      <c r="N750" s="39" t="n"/>
      <c r="O750" s="116" t="n"/>
    </row>
    <row r="751">
      <c r="A751" s="108" t="n"/>
      <c r="B751" s="39" t="n"/>
      <c r="C751" s="278" t="n"/>
      <c r="I751" s="39" t="n"/>
      <c r="J751" s="336" t="n"/>
      <c r="K751" s="112" t="n"/>
      <c r="L751" s="39" t="n"/>
      <c r="M751" s="39" t="n"/>
      <c r="N751" s="39" t="n"/>
      <c r="O751" s="116" t="n"/>
    </row>
    <row r="752">
      <c r="A752" s="108" t="n"/>
      <c r="B752" s="39" t="n"/>
      <c r="C752" s="278" t="n"/>
      <c r="I752" s="39" t="n"/>
      <c r="J752" s="336" t="n"/>
      <c r="K752" s="112" t="n"/>
      <c r="L752" s="39" t="n"/>
      <c r="M752" s="39" t="n"/>
      <c r="N752" s="39" t="n"/>
      <c r="O752" s="116" t="n"/>
    </row>
    <row r="753">
      <c r="A753" s="108" t="n"/>
      <c r="B753" s="39" t="n"/>
      <c r="C753" s="278" t="n"/>
      <c r="I753" s="39" t="n"/>
      <c r="J753" s="336" t="n"/>
      <c r="K753" s="112" t="n"/>
      <c r="L753" s="39" t="n"/>
      <c r="M753" s="39" t="n"/>
      <c r="N753" s="39" t="n"/>
      <c r="O753" s="116" t="n"/>
    </row>
    <row r="754">
      <c r="A754" s="108" t="n"/>
      <c r="B754" s="39" t="n"/>
      <c r="C754" s="278" t="n"/>
      <c r="I754" s="39" t="n"/>
      <c r="J754" s="336" t="n"/>
      <c r="K754" s="112" t="n"/>
      <c r="L754" s="39" t="n"/>
      <c r="M754" s="39" t="n"/>
      <c r="N754" s="39" t="n"/>
      <c r="O754" s="116" t="n"/>
    </row>
    <row r="755">
      <c r="A755" s="108" t="n"/>
      <c r="B755" s="39" t="n"/>
      <c r="C755" s="278" t="n"/>
      <c r="I755" s="39" t="n"/>
      <c r="J755" s="336" t="n"/>
      <c r="K755" s="112" t="n"/>
      <c r="L755" s="39" t="n"/>
      <c r="M755" s="39" t="n"/>
      <c r="N755" s="39" t="n"/>
      <c r="O755" s="116" t="n"/>
    </row>
    <row r="756">
      <c r="A756" s="108" t="n"/>
      <c r="B756" s="39" t="n"/>
      <c r="C756" s="278" t="n"/>
      <c r="I756" s="39" t="n"/>
      <c r="J756" s="336" t="n"/>
      <c r="K756" s="112" t="n"/>
      <c r="L756" s="39" t="n"/>
      <c r="M756" s="39" t="n"/>
      <c r="N756" s="39" t="n"/>
      <c r="O756" s="116" t="n"/>
    </row>
    <row r="757">
      <c r="A757" s="108" t="n"/>
      <c r="B757" s="39" t="n"/>
      <c r="C757" s="278" t="n"/>
      <c r="I757" s="39" t="n"/>
      <c r="J757" s="336" t="n"/>
      <c r="K757" s="112" t="n"/>
      <c r="L757" s="39" t="n"/>
      <c r="M757" s="39" t="n"/>
      <c r="N757" s="39" t="n"/>
      <c r="O757" s="116" t="n"/>
    </row>
    <row r="758">
      <c r="A758" s="108" t="n"/>
      <c r="B758" s="39" t="n"/>
      <c r="C758" s="278" t="n"/>
      <c r="I758" s="39" t="n"/>
      <c r="J758" s="336" t="n"/>
      <c r="K758" s="112" t="n"/>
      <c r="L758" s="39" t="n"/>
      <c r="M758" s="39" t="n"/>
      <c r="N758" s="39" t="n"/>
      <c r="O758" s="116" t="n"/>
    </row>
    <row r="759">
      <c r="A759" s="108" t="n"/>
      <c r="B759" s="39" t="n"/>
      <c r="C759" s="278" t="n"/>
      <c r="I759" s="39" t="n"/>
      <c r="J759" s="336" t="n"/>
      <c r="K759" s="112" t="n"/>
      <c r="L759" s="39" t="n"/>
      <c r="M759" s="39" t="n"/>
      <c r="N759" s="39" t="n"/>
      <c r="O759" s="116" t="n"/>
    </row>
    <row r="760">
      <c r="A760" s="108" t="n"/>
      <c r="B760" s="39" t="n"/>
      <c r="C760" s="278" t="n"/>
      <c r="I760" s="39" t="n"/>
      <c r="J760" s="336" t="n"/>
      <c r="K760" s="112" t="n"/>
      <c r="L760" s="39" t="n"/>
      <c r="M760" s="39" t="n"/>
      <c r="N760" s="39" t="n"/>
      <c r="O760" s="116" t="n"/>
    </row>
    <row r="761">
      <c r="A761" s="108" t="n"/>
      <c r="B761" s="39" t="n"/>
      <c r="C761" s="278" t="n"/>
      <c r="I761" s="39" t="n"/>
      <c r="J761" s="336" t="n"/>
      <c r="K761" s="112" t="n"/>
      <c r="L761" s="39" t="n"/>
      <c r="M761" s="39" t="n"/>
      <c r="N761" s="39" t="n"/>
      <c r="O761" s="116" t="n"/>
    </row>
    <row r="762">
      <c r="A762" s="108" t="n"/>
      <c r="B762" s="39" t="n"/>
      <c r="C762" s="278" t="n"/>
      <c r="I762" s="39" t="n"/>
      <c r="J762" s="336" t="n"/>
      <c r="K762" s="112" t="n"/>
      <c r="L762" s="39" t="n"/>
      <c r="M762" s="39" t="n"/>
      <c r="N762" s="39" t="n"/>
      <c r="O762" s="116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23" t="n"/>
      <c r="J763" s="108" t="n"/>
      <c r="K763" s="108" t="n"/>
      <c r="L763" s="108" t="n"/>
      <c r="M763" s="78" t="n"/>
      <c r="N763" s="109" t="n"/>
      <c r="O763" s="109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23" t="n"/>
      <c r="J764" s="108" t="n"/>
      <c r="K764" s="108" t="n"/>
      <c r="L764" s="108" t="n"/>
      <c r="M764" s="108" t="n"/>
      <c r="N764" s="108" t="n"/>
      <c r="O764" s="108" t="n"/>
    </row>
    <row r="765">
      <c r="I765" s="232" t="n"/>
    </row>
  </sheetData>
  <autoFilter ref="A10:O669"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  <filterColumn colId="8" hiddenButton="0" showButton="1">
      <filters>
        <filter val="Redigroup"/>
      </filters>
    </filterColumn>
  </autoFilter>
  <mergeCells count="3">
    <mergeCell ref="C10:H10"/>
    <mergeCell ref="D2:O9"/>
    <mergeCell ref="B2:C9"/>
  </mergeCells>
  <hyperlinks>
    <hyperlink xmlns:r="http://schemas.openxmlformats.org/officeDocument/2006/relationships" ref="O11" r:id="rId1"/>
    <hyperlink xmlns:r="http://schemas.openxmlformats.org/officeDocument/2006/relationships" ref="O12" r:id="rId2"/>
    <hyperlink xmlns:r="http://schemas.openxmlformats.org/officeDocument/2006/relationships" ref="O13" r:id="rId3"/>
    <hyperlink xmlns:r="http://schemas.openxmlformats.org/officeDocument/2006/relationships" ref="O14" r:id="rId4"/>
    <hyperlink xmlns:r="http://schemas.openxmlformats.org/officeDocument/2006/relationships" ref="O15" r:id="rId5"/>
    <hyperlink xmlns:r="http://schemas.openxmlformats.org/officeDocument/2006/relationships" ref="O16" r:id="rId6"/>
    <hyperlink xmlns:r="http://schemas.openxmlformats.org/officeDocument/2006/relationships" ref="O17" r:id="rId7"/>
    <hyperlink xmlns:r="http://schemas.openxmlformats.org/officeDocument/2006/relationships" ref="O18" r:id="rId8"/>
    <hyperlink xmlns:r="http://schemas.openxmlformats.org/officeDocument/2006/relationships" ref="O19" r:id="rId9"/>
    <hyperlink xmlns:r="http://schemas.openxmlformats.org/officeDocument/2006/relationships" ref="O20" r:id="rId10"/>
    <hyperlink xmlns:r="http://schemas.openxmlformats.org/officeDocument/2006/relationships" ref="O21" r:id="rId11"/>
    <hyperlink xmlns:r="http://schemas.openxmlformats.org/officeDocument/2006/relationships" ref="O22" r:id="rId12"/>
    <hyperlink xmlns:r="http://schemas.openxmlformats.org/officeDocument/2006/relationships" ref="O23" r:id="rId13"/>
    <hyperlink xmlns:r="http://schemas.openxmlformats.org/officeDocument/2006/relationships" ref="O24" r:id="rId14"/>
    <hyperlink xmlns:r="http://schemas.openxmlformats.org/officeDocument/2006/relationships" ref="O25" r:id="rId15"/>
    <hyperlink xmlns:r="http://schemas.openxmlformats.org/officeDocument/2006/relationships" ref="O26" r:id="rId16"/>
    <hyperlink xmlns:r="http://schemas.openxmlformats.org/officeDocument/2006/relationships" ref="O27" r:id="rId17"/>
    <hyperlink xmlns:r="http://schemas.openxmlformats.org/officeDocument/2006/relationships" ref="O28" r:id="rId18"/>
    <hyperlink xmlns:r="http://schemas.openxmlformats.org/officeDocument/2006/relationships" ref="O29" r:id="rId19"/>
    <hyperlink xmlns:r="http://schemas.openxmlformats.org/officeDocument/2006/relationships" ref="O30" r:id="rId20"/>
    <hyperlink xmlns:r="http://schemas.openxmlformats.org/officeDocument/2006/relationships" ref="O31" r:id="rId21"/>
    <hyperlink xmlns:r="http://schemas.openxmlformats.org/officeDocument/2006/relationships" ref="O32" r:id="rId22"/>
    <hyperlink xmlns:r="http://schemas.openxmlformats.org/officeDocument/2006/relationships" ref="O33" r:id="rId23"/>
    <hyperlink xmlns:r="http://schemas.openxmlformats.org/officeDocument/2006/relationships" ref="O34" r:id="rId24"/>
    <hyperlink xmlns:r="http://schemas.openxmlformats.org/officeDocument/2006/relationships" ref="O35" r:id="rId25"/>
    <hyperlink xmlns:r="http://schemas.openxmlformats.org/officeDocument/2006/relationships" ref="O36" r:id="rId26"/>
    <hyperlink xmlns:r="http://schemas.openxmlformats.org/officeDocument/2006/relationships" ref="O37" display="mailto:laura.cardona@perfek.com.co" r:id="rId27"/>
    <hyperlink xmlns:r="http://schemas.openxmlformats.org/officeDocument/2006/relationships" ref="O38" r:id="rId28"/>
    <hyperlink xmlns:r="http://schemas.openxmlformats.org/officeDocument/2006/relationships" ref="O39" r:id="rId29"/>
    <hyperlink xmlns:r="http://schemas.openxmlformats.org/officeDocument/2006/relationships" ref="O40" r:id="rId30"/>
    <hyperlink xmlns:r="http://schemas.openxmlformats.org/officeDocument/2006/relationships" ref="O45" r:id="rId31"/>
    <hyperlink xmlns:r="http://schemas.openxmlformats.org/officeDocument/2006/relationships" ref="O48" r:id="rId32"/>
    <hyperlink xmlns:r="http://schemas.openxmlformats.org/officeDocument/2006/relationships" ref="O49" r:id="rId33"/>
    <hyperlink xmlns:r="http://schemas.openxmlformats.org/officeDocument/2006/relationships" ref="O50" r:id="rId34"/>
    <hyperlink xmlns:r="http://schemas.openxmlformats.org/officeDocument/2006/relationships" ref="O52" r:id="rId35"/>
    <hyperlink xmlns:r="http://schemas.openxmlformats.org/officeDocument/2006/relationships" ref="O53" r:id="rId36"/>
    <hyperlink xmlns:r="http://schemas.openxmlformats.org/officeDocument/2006/relationships" ref="O54" r:id="rId37"/>
    <hyperlink xmlns:r="http://schemas.openxmlformats.org/officeDocument/2006/relationships" ref="O55" r:id="rId38"/>
    <hyperlink xmlns:r="http://schemas.openxmlformats.org/officeDocument/2006/relationships" ref="O57" r:id="rId39"/>
    <hyperlink xmlns:r="http://schemas.openxmlformats.org/officeDocument/2006/relationships" ref="O58" r:id="rId40"/>
    <hyperlink xmlns:r="http://schemas.openxmlformats.org/officeDocument/2006/relationships" ref="O63" display="mailto:jenifer.orozco@ingeniobim.co" r:id="rId41"/>
    <hyperlink xmlns:r="http://schemas.openxmlformats.org/officeDocument/2006/relationships" ref="O64" r:id="rId42"/>
    <hyperlink xmlns:r="http://schemas.openxmlformats.org/officeDocument/2006/relationships" ref="O66" r:id="rId43"/>
    <hyperlink xmlns:r="http://schemas.openxmlformats.org/officeDocument/2006/relationships" ref="O69" r:id="rId44"/>
    <hyperlink xmlns:r="http://schemas.openxmlformats.org/officeDocument/2006/relationships" ref="O71" r:id="rId45"/>
    <hyperlink xmlns:r="http://schemas.openxmlformats.org/officeDocument/2006/relationships" ref="O72" r:id="rId46"/>
    <hyperlink xmlns:r="http://schemas.openxmlformats.org/officeDocument/2006/relationships" ref="O73" r:id="rId47"/>
    <hyperlink xmlns:r="http://schemas.openxmlformats.org/officeDocument/2006/relationships" ref="O74" r:id="rId48"/>
    <hyperlink xmlns:r="http://schemas.openxmlformats.org/officeDocument/2006/relationships" ref="O75" r:id="rId49"/>
    <hyperlink xmlns:r="http://schemas.openxmlformats.org/officeDocument/2006/relationships" ref="O77" r:id="rId50"/>
    <hyperlink xmlns:r="http://schemas.openxmlformats.org/officeDocument/2006/relationships" ref="O79" r:id="rId51"/>
    <hyperlink xmlns:r="http://schemas.openxmlformats.org/officeDocument/2006/relationships" ref="O80" r:id="rId52"/>
    <hyperlink xmlns:r="http://schemas.openxmlformats.org/officeDocument/2006/relationships" ref="O81" r:id="rId53"/>
    <hyperlink xmlns:r="http://schemas.openxmlformats.org/officeDocument/2006/relationships" ref="O82" r:id="rId54"/>
    <hyperlink xmlns:r="http://schemas.openxmlformats.org/officeDocument/2006/relationships" ref="O84" r:id="rId55"/>
    <hyperlink xmlns:r="http://schemas.openxmlformats.org/officeDocument/2006/relationships" ref="O85" r:id="rId56"/>
    <hyperlink xmlns:r="http://schemas.openxmlformats.org/officeDocument/2006/relationships" ref="O86" r:id="rId57"/>
    <hyperlink xmlns:r="http://schemas.openxmlformats.org/officeDocument/2006/relationships" ref="O87" r:id="rId58"/>
    <hyperlink xmlns:r="http://schemas.openxmlformats.org/officeDocument/2006/relationships" ref="O88" r:id="rId59"/>
    <hyperlink xmlns:r="http://schemas.openxmlformats.org/officeDocument/2006/relationships" ref="O89" display="mailto:manuela.henao@desur.gov.co" r:id="rId60"/>
    <hyperlink xmlns:r="http://schemas.openxmlformats.org/officeDocument/2006/relationships" ref="O93" r:id="rId61"/>
    <hyperlink xmlns:r="http://schemas.openxmlformats.org/officeDocument/2006/relationships" ref="O94" r:id="rId62"/>
    <hyperlink xmlns:r="http://schemas.openxmlformats.org/officeDocument/2006/relationships" ref="O95" r:id="rId63"/>
    <hyperlink xmlns:r="http://schemas.openxmlformats.org/officeDocument/2006/relationships" ref="O96" r:id="rId64"/>
    <hyperlink xmlns:r="http://schemas.openxmlformats.org/officeDocument/2006/relationships" ref="O97" r:id="rId65"/>
    <hyperlink xmlns:r="http://schemas.openxmlformats.org/officeDocument/2006/relationships" ref="O100" r:id="rId66"/>
    <hyperlink xmlns:r="http://schemas.openxmlformats.org/officeDocument/2006/relationships" ref="O101" r:id="rId67"/>
    <hyperlink xmlns:r="http://schemas.openxmlformats.org/officeDocument/2006/relationships" ref="O102" r:id="rId68"/>
    <hyperlink xmlns:r="http://schemas.openxmlformats.org/officeDocument/2006/relationships" ref="O104" r:id="rId69"/>
    <hyperlink xmlns:r="http://schemas.openxmlformats.org/officeDocument/2006/relationships" ref="O105" r:id="rId70"/>
    <hyperlink xmlns:r="http://schemas.openxmlformats.org/officeDocument/2006/relationships" ref="O106" r:id="rId71"/>
    <hyperlink xmlns:r="http://schemas.openxmlformats.org/officeDocument/2006/relationships" ref="O107" r:id="rId72"/>
    <hyperlink xmlns:r="http://schemas.openxmlformats.org/officeDocument/2006/relationships" ref="O108" r:id="rId73"/>
    <hyperlink xmlns:r="http://schemas.openxmlformats.org/officeDocument/2006/relationships" ref="O109" r:id="rId74"/>
    <hyperlink xmlns:r="http://schemas.openxmlformats.org/officeDocument/2006/relationships" ref="O110" r:id="rId75"/>
    <hyperlink xmlns:r="http://schemas.openxmlformats.org/officeDocument/2006/relationships" ref="O111" r:id="rId76"/>
    <hyperlink xmlns:r="http://schemas.openxmlformats.org/officeDocument/2006/relationships" ref="O112" r:id="rId77"/>
    <hyperlink xmlns:r="http://schemas.openxmlformats.org/officeDocument/2006/relationships" ref="O113" r:id="rId78"/>
    <hyperlink xmlns:r="http://schemas.openxmlformats.org/officeDocument/2006/relationships" ref="O114" r:id="rId79"/>
    <hyperlink xmlns:r="http://schemas.openxmlformats.org/officeDocument/2006/relationships" ref="O115" r:id="rId80"/>
    <hyperlink xmlns:r="http://schemas.openxmlformats.org/officeDocument/2006/relationships" ref="O116" r:id="rId81"/>
    <hyperlink xmlns:r="http://schemas.openxmlformats.org/officeDocument/2006/relationships" ref="O117" r:id="rId82"/>
    <hyperlink xmlns:r="http://schemas.openxmlformats.org/officeDocument/2006/relationships" ref="O118" r:id="rId83"/>
    <hyperlink xmlns:r="http://schemas.openxmlformats.org/officeDocument/2006/relationships" ref="O119" r:id="rId84"/>
    <hyperlink xmlns:r="http://schemas.openxmlformats.org/officeDocument/2006/relationships" ref="O120" r:id="rId85"/>
    <hyperlink xmlns:r="http://schemas.openxmlformats.org/officeDocument/2006/relationships" ref="O123" r:id="rId86"/>
    <hyperlink xmlns:r="http://schemas.openxmlformats.org/officeDocument/2006/relationships" ref="O124" display="mailto:cristinapalacio@mensulaingenieros.com" r:id="rId87"/>
    <hyperlink xmlns:r="http://schemas.openxmlformats.org/officeDocument/2006/relationships" ref="O125" r:id="rId88"/>
    <hyperlink xmlns:r="http://schemas.openxmlformats.org/officeDocument/2006/relationships" ref="O126" r:id="rId89"/>
    <hyperlink xmlns:r="http://schemas.openxmlformats.org/officeDocument/2006/relationships" ref="O128" r:id="rId90"/>
    <hyperlink xmlns:r="http://schemas.openxmlformats.org/officeDocument/2006/relationships" ref="O129" r:id="rId91"/>
    <hyperlink xmlns:r="http://schemas.openxmlformats.org/officeDocument/2006/relationships" ref="O130" r:id="rId92"/>
    <hyperlink xmlns:r="http://schemas.openxmlformats.org/officeDocument/2006/relationships" ref="O131" r:id="rId93"/>
    <hyperlink xmlns:r="http://schemas.openxmlformats.org/officeDocument/2006/relationships" ref="O132" r:id="rId94"/>
    <hyperlink xmlns:r="http://schemas.openxmlformats.org/officeDocument/2006/relationships" ref="O133" r:id="rId95"/>
    <hyperlink xmlns:r="http://schemas.openxmlformats.org/officeDocument/2006/relationships" ref="O134" r:id="rId96"/>
    <hyperlink xmlns:r="http://schemas.openxmlformats.org/officeDocument/2006/relationships" ref="O135" r:id="rId97"/>
    <hyperlink xmlns:r="http://schemas.openxmlformats.org/officeDocument/2006/relationships" ref="O136" r:id="rId98"/>
    <hyperlink xmlns:r="http://schemas.openxmlformats.org/officeDocument/2006/relationships" ref="O137" r:id="rId99"/>
    <hyperlink xmlns:r="http://schemas.openxmlformats.org/officeDocument/2006/relationships" ref="O138" r:id="rId100"/>
    <hyperlink xmlns:r="http://schemas.openxmlformats.org/officeDocument/2006/relationships" ref="O139" r:id="rId101"/>
    <hyperlink xmlns:r="http://schemas.openxmlformats.org/officeDocument/2006/relationships" ref="O140" r:id="rId102"/>
    <hyperlink xmlns:r="http://schemas.openxmlformats.org/officeDocument/2006/relationships" ref="O141" r:id="rId103"/>
    <hyperlink xmlns:r="http://schemas.openxmlformats.org/officeDocument/2006/relationships" ref="O142" r:id="rId104"/>
    <hyperlink xmlns:r="http://schemas.openxmlformats.org/officeDocument/2006/relationships" ref="O143" r:id="rId105"/>
    <hyperlink xmlns:r="http://schemas.openxmlformats.org/officeDocument/2006/relationships" ref="O145" r:id="rId106"/>
    <hyperlink xmlns:r="http://schemas.openxmlformats.org/officeDocument/2006/relationships" ref="O146" r:id="rId107"/>
    <hyperlink xmlns:r="http://schemas.openxmlformats.org/officeDocument/2006/relationships" ref="O147" r:id="rId108"/>
    <hyperlink xmlns:r="http://schemas.openxmlformats.org/officeDocument/2006/relationships" ref="O148" r:id="rId109"/>
    <hyperlink xmlns:r="http://schemas.openxmlformats.org/officeDocument/2006/relationships" ref="O149" r:id="rId110"/>
    <hyperlink xmlns:r="http://schemas.openxmlformats.org/officeDocument/2006/relationships" ref="O150" r:id="rId111"/>
    <hyperlink xmlns:r="http://schemas.openxmlformats.org/officeDocument/2006/relationships" ref="O151" r:id="rId112"/>
    <hyperlink xmlns:r="http://schemas.openxmlformats.org/officeDocument/2006/relationships" ref="O152" r:id="rId113"/>
    <hyperlink xmlns:r="http://schemas.openxmlformats.org/officeDocument/2006/relationships" ref="O153" r:id="rId114"/>
    <hyperlink xmlns:r="http://schemas.openxmlformats.org/officeDocument/2006/relationships" ref="O154" r:id="rId115"/>
    <hyperlink xmlns:r="http://schemas.openxmlformats.org/officeDocument/2006/relationships" ref="O155" r:id="rId116"/>
    <hyperlink xmlns:r="http://schemas.openxmlformats.org/officeDocument/2006/relationships" ref="O156" r:id="rId117"/>
    <hyperlink xmlns:r="http://schemas.openxmlformats.org/officeDocument/2006/relationships" ref="O157" r:id="rId118"/>
    <hyperlink xmlns:r="http://schemas.openxmlformats.org/officeDocument/2006/relationships" ref="O158" r:id="rId119"/>
    <hyperlink xmlns:r="http://schemas.openxmlformats.org/officeDocument/2006/relationships" ref="O159" r:id="rId120"/>
    <hyperlink xmlns:r="http://schemas.openxmlformats.org/officeDocument/2006/relationships" ref="O160" r:id="rId121"/>
    <hyperlink xmlns:r="http://schemas.openxmlformats.org/officeDocument/2006/relationships" ref="O161" r:id="rId122"/>
    <hyperlink xmlns:r="http://schemas.openxmlformats.org/officeDocument/2006/relationships" ref="O162" r:id="rId123"/>
    <hyperlink xmlns:r="http://schemas.openxmlformats.org/officeDocument/2006/relationships" ref="O163" r:id="rId124"/>
    <hyperlink xmlns:r="http://schemas.openxmlformats.org/officeDocument/2006/relationships" ref="O164" r:id="rId125"/>
    <hyperlink xmlns:r="http://schemas.openxmlformats.org/officeDocument/2006/relationships" ref="O165" r:id="rId126"/>
    <hyperlink xmlns:r="http://schemas.openxmlformats.org/officeDocument/2006/relationships" ref="O166" r:id="rId127"/>
    <hyperlink xmlns:r="http://schemas.openxmlformats.org/officeDocument/2006/relationships" ref="O167" r:id="rId128"/>
    <hyperlink xmlns:r="http://schemas.openxmlformats.org/officeDocument/2006/relationships" ref="O168" r:id="rId129"/>
    <hyperlink xmlns:r="http://schemas.openxmlformats.org/officeDocument/2006/relationships" ref="O169" r:id="rId130"/>
    <hyperlink xmlns:r="http://schemas.openxmlformats.org/officeDocument/2006/relationships" ref="O170" r:id="rId131"/>
    <hyperlink xmlns:r="http://schemas.openxmlformats.org/officeDocument/2006/relationships" ref="O171" r:id="rId132"/>
    <hyperlink xmlns:r="http://schemas.openxmlformats.org/officeDocument/2006/relationships" ref="O172" r:id="rId133"/>
    <hyperlink xmlns:r="http://schemas.openxmlformats.org/officeDocument/2006/relationships" ref="O174" r:id="rId134"/>
    <hyperlink xmlns:r="http://schemas.openxmlformats.org/officeDocument/2006/relationships" ref="O175" r:id="rId135"/>
    <hyperlink xmlns:r="http://schemas.openxmlformats.org/officeDocument/2006/relationships" ref="O176" r:id="rId136"/>
    <hyperlink xmlns:r="http://schemas.openxmlformats.org/officeDocument/2006/relationships" ref="O177" r:id="rId137"/>
    <hyperlink xmlns:r="http://schemas.openxmlformats.org/officeDocument/2006/relationships" ref="O178" r:id="rId138"/>
    <hyperlink xmlns:r="http://schemas.openxmlformats.org/officeDocument/2006/relationships" ref="O181" r:id="rId139"/>
    <hyperlink xmlns:r="http://schemas.openxmlformats.org/officeDocument/2006/relationships" ref="O182" r:id="rId140"/>
    <hyperlink xmlns:r="http://schemas.openxmlformats.org/officeDocument/2006/relationships" ref="O183" r:id="rId141"/>
    <hyperlink xmlns:r="http://schemas.openxmlformats.org/officeDocument/2006/relationships" ref="O184" r:id="rId142"/>
    <hyperlink xmlns:r="http://schemas.openxmlformats.org/officeDocument/2006/relationships" ref="O185" r:id="rId143"/>
    <hyperlink xmlns:r="http://schemas.openxmlformats.org/officeDocument/2006/relationships" ref="O186" r:id="rId144"/>
    <hyperlink xmlns:r="http://schemas.openxmlformats.org/officeDocument/2006/relationships" ref="O187" r:id="rId145"/>
    <hyperlink xmlns:r="http://schemas.openxmlformats.org/officeDocument/2006/relationships" ref="O188" r:id="rId146"/>
    <hyperlink xmlns:r="http://schemas.openxmlformats.org/officeDocument/2006/relationships" ref="O189" r:id="rId147"/>
    <hyperlink xmlns:r="http://schemas.openxmlformats.org/officeDocument/2006/relationships" ref="O190" r:id="rId148"/>
    <hyperlink xmlns:r="http://schemas.openxmlformats.org/officeDocument/2006/relationships" ref="O191" r:id="rId149"/>
    <hyperlink xmlns:r="http://schemas.openxmlformats.org/officeDocument/2006/relationships" ref="O192" r:id="rId150"/>
    <hyperlink xmlns:r="http://schemas.openxmlformats.org/officeDocument/2006/relationships" ref="O195" r:id="rId151"/>
    <hyperlink xmlns:r="http://schemas.openxmlformats.org/officeDocument/2006/relationships" ref="O196" r:id="rId152"/>
    <hyperlink xmlns:r="http://schemas.openxmlformats.org/officeDocument/2006/relationships" ref="O197" r:id="rId153"/>
    <hyperlink xmlns:r="http://schemas.openxmlformats.org/officeDocument/2006/relationships" ref="O198" r:id="rId154"/>
    <hyperlink xmlns:r="http://schemas.openxmlformats.org/officeDocument/2006/relationships" ref="O199" r:id="rId155"/>
    <hyperlink xmlns:r="http://schemas.openxmlformats.org/officeDocument/2006/relationships" ref="O200" r:id="rId156"/>
    <hyperlink xmlns:r="http://schemas.openxmlformats.org/officeDocument/2006/relationships" ref="O202" r:id="rId157"/>
    <hyperlink xmlns:r="http://schemas.openxmlformats.org/officeDocument/2006/relationships" ref="O203" r:id="rId158"/>
    <hyperlink xmlns:r="http://schemas.openxmlformats.org/officeDocument/2006/relationships" ref="O205" r:id="rId159"/>
    <hyperlink xmlns:r="http://schemas.openxmlformats.org/officeDocument/2006/relationships" ref="O206" r:id="rId160"/>
    <hyperlink xmlns:r="http://schemas.openxmlformats.org/officeDocument/2006/relationships" ref="O207" r:id="rId161"/>
    <hyperlink xmlns:r="http://schemas.openxmlformats.org/officeDocument/2006/relationships" ref="O208" r:id="rId162"/>
    <hyperlink xmlns:r="http://schemas.openxmlformats.org/officeDocument/2006/relationships" ref="O209" r:id="rId163"/>
    <hyperlink xmlns:r="http://schemas.openxmlformats.org/officeDocument/2006/relationships" ref="O210" r:id="rId164"/>
    <hyperlink xmlns:r="http://schemas.openxmlformats.org/officeDocument/2006/relationships" ref="O211" r:id="rId165"/>
    <hyperlink xmlns:r="http://schemas.openxmlformats.org/officeDocument/2006/relationships" ref="O212" r:id="rId166"/>
    <hyperlink xmlns:r="http://schemas.openxmlformats.org/officeDocument/2006/relationships" ref="O213" r:id="rId167"/>
    <hyperlink xmlns:r="http://schemas.openxmlformats.org/officeDocument/2006/relationships" ref="O214" r:id="rId168"/>
    <hyperlink xmlns:r="http://schemas.openxmlformats.org/officeDocument/2006/relationships" ref="O215" r:id="rId169"/>
    <hyperlink xmlns:r="http://schemas.openxmlformats.org/officeDocument/2006/relationships" ref="O216" r:id="rId170"/>
    <hyperlink xmlns:r="http://schemas.openxmlformats.org/officeDocument/2006/relationships" ref="O217" r:id="rId171"/>
    <hyperlink xmlns:r="http://schemas.openxmlformats.org/officeDocument/2006/relationships" ref="O218" r:id="rId172"/>
    <hyperlink xmlns:r="http://schemas.openxmlformats.org/officeDocument/2006/relationships" ref="O219" r:id="rId173"/>
    <hyperlink xmlns:r="http://schemas.openxmlformats.org/officeDocument/2006/relationships" ref="O220" r:id="rId174"/>
    <hyperlink xmlns:r="http://schemas.openxmlformats.org/officeDocument/2006/relationships" ref="O221" r:id="rId175"/>
    <hyperlink xmlns:r="http://schemas.openxmlformats.org/officeDocument/2006/relationships" ref="O222" r:id="rId176"/>
    <hyperlink xmlns:r="http://schemas.openxmlformats.org/officeDocument/2006/relationships" ref="O223" r:id="rId177"/>
    <hyperlink xmlns:r="http://schemas.openxmlformats.org/officeDocument/2006/relationships" ref="O224" r:id="rId178"/>
    <hyperlink xmlns:r="http://schemas.openxmlformats.org/officeDocument/2006/relationships" ref="O225" r:id="rId179"/>
    <hyperlink xmlns:r="http://schemas.openxmlformats.org/officeDocument/2006/relationships" ref="O227" r:id="rId180"/>
    <hyperlink xmlns:r="http://schemas.openxmlformats.org/officeDocument/2006/relationships" ref="O228" r:id="rId181"/>
    <hyperlink xmlns:r="http://schemas.openxmlformats.org/officeDocument/2006/relationships" ref="O229" r:id="rId182"/>
    <hyperlink xmlns:r="http://schemas.openxmlformats.org/officeDocument/2006/relationships" ref="O231" r:id="rId183"/>
    <hyperlink xmlns:r="http://schemas.openxmlformats.org/officeDocument/2006/relationships" ref="O232" r:id="rId184"/>
    <hyperlink xmlns:r="http://schemas.openxmlformats.org/officeDocument/2006/relationships" ref="O233" r:id="rId185"/>
    <hyperlink xmlns:r="http://schemas.openxmlformats.org/officeDocument/2006/relationships" ref="O234" r:id="rId186"/>
    <hyperlink xmlns:r="http://schemas.openxmlformats.org/officeDocument/2006/relationships" ref="O235" r:id="rId187"/>
    <hyperlink xmlns:r="http://schemas.openxmlformats.org/officeDocument/2006/relationships" ref="O236" r:id="rId188"/>
    <hyperlink xmlns:r="http://schemas.openxmlformats.org/officeDocument/2006/relationships" ref="O237" r:id="rId189"/>
    <hyperlink xmlns:r="http://schemas.openxmlformats.org/officeDocument/2006/relationships" ref="O238" r:id="rId190"/>
    <hyperlink xmlns:r="http://schemas.openxmlformats.org/officeDocument/2006/relationships" ref="O240" r:id="rId191"/>
    <hyperlink xmlns:r="http://schemas.openxmlformats.org/officeDocument/2006/relationships" ref="O241" r:id="rId192"/>
    <hyperlink xmlns:r="http://schemas.openxmlformats.org/officeDocument/2006/relationships" ref="O242" r:id="rId193"/>
    <hyperlink xmlns:r="http://schemas.openxmlformats.org/officeDocument/2006/relationships" ref="O243" r:id="rId194"/>
    <hyperlink xmlns:r="http://schemas.openxmlformats.org/officeDocument/2006/relationships" ref="O245" r:id="rId195"/>
    <hyperlink xmlns:r="http://schemas.openxmlformats.org/officeDocument/2006/relationships" ref="O246" r:id="rId196"/>
    <hyperlink xmlns:r="http://schemas.openxmlformats.org/officeDocument/2006/relationships" ref="O247" r:id="rId197"/>
    <hyperlink xmlns:r="http://schemas.openxmlformats.org/officeDocument/2006/relationships" ref="O248" r:id="rId198"/>
    <hyperlink xmlns:r="http://schemas.openxmlformats.org/officeDocument/2006/relationships" ref="O250" r:id="rId199"/>
    <hyperlink xmlns:r="http://schemas.openxmlformats.org/officeDocument/2006/relationships" ref="O251" r:id="rId200"/>
    <hyperlink xmlns:r="http://schemas.openxmlformats.org/officeDocument/2006/relationships" ref="O252" r:id="rId201"/>
    <hyperlink xmlns:r="http://schemas.openxmlformats.org/officeDocument/2006/relationships" ref="O255" r:id="rId202"/>
    <hyperlink xmlns:r="http://schemas.openxmlformats.org/officeDocument/2006/relationships" ref="O256" r:id="rId203"/>
    <hyperlink xmlns:r="http://schemas.openxmlformats.org/officeDocument/2006/relationships" ref="O257" r:id="rId204"/>
    <hyperlink xmlns:r="http://schemas.openxmlformats.org/officeDocument/2006/relationships" ref="O260" r:id="rId205"/>
    <hyperlink xmlns:r="http://schemas.openxmlformats.org/officeDocument/2006/relationships" ref="O261" r:id="rId206"/>
    <hyperlink xmlns:r="http://schemas.openxmlformats.org/officeDocument/2006/relationships" ref="O262" r:id="rId207"/>
    <hyperlink xmlns:r="http://schemas.openxmlformats.org/officeDocument/2006/relationships" ref="O263" r:id="rId208"/>
    <hyperlink xmlns:r="http://schemas.openxmlformats.org/officeDocument/2006/relationships" ref="O264" r:id="rId209"/>
    <hyperlink xmlns:r="http://schemas.openxmlformats.org/officeDocument/2006/relationships" ref="O265" r:id="rId210"/>
    <hyperlink xmlns:r="http://schemas.openxmlformats.org/officeDocument/2006/relationships" ref="O266" r:id="rId211"/>
    <hyperlink xmlns:r="http://schemas.openxmlformats.org/officeDocument/2006/relationships" ref="O267" r:id="rId212"/>
    <hyperlink xmlns:r="http://schemas.openxmlformats.org/officeDocument/2006/relationships" ref="O268" r:id="rId213"/>
    <hyperlink xmlns:r="http://schemas.openxmlformats.org/officeDocument/2006/relationships" ref="O271" r:id="rId214"/>
    <hyperlink xmlns:r="http://schemas.openxmlformats.org/officeDocument/2006/relationships" ref="O272" r:id="rId215"/>
    <hyperlink xmlns:r="http://schemas.openxmlformats.org/officeDocument/2006/relationships" ref="O273" r:id="rId216"/>
    <hyperlink xmlns:r="http://schemas.openxmlformats.org/officeDocument/2006/relationships" ref="O274" r:id="rId217"/>
    <hyperlink xmlns:r="http://schemas.openxmlformats.org/officeDocument/2006/relationships" ref="O275" r:id="rId218"/>
    <hyperlink xmlns:r="http://schemas.openxmlformats.org/officeDocument/2006/relationships" ref="O281" r:id="rId219"/>
    <hyperlink xmlns:r="http://schemas.openxmlformats.org/officeDocument/2006/relationships" ref="O282" r:id="rId220"/>
    <hyperlink xmlns:r="http://schemas.openxmlformats.org/officeDocument/2006/relationships" ref="O284" r:id="rId221"/>
    <hyperlink xmlns:r="http://schemas.openxmlformats.org/officeDocument/2006/relationships" ref="O285" r:id="rId222"/>
    <hyperlink xmlns:r="http://schemas.openxmlformats.org/officeDocument/2006/relationships" ref="O286" r:id="rId223"/>
    <hyperlink xmlns:r="http://schemas.openxmlformats.org/officeDocument/2006/relationships" ref="O287" r:id="rId224"/>
    <hyperlink xmlns:r="http://schemas.openxmlformats.org/officeDocument/2006/relationships" ref="O288" r:id="rId225"/>
    <hyperlink xmlns:r="http://schemas.openxmlformats.org/officeDocument/2006/relationships" ref="O289" r:id="rId226"/>
    <hyperlink xmlns:r="http://schemas.openxmlformats.org/officeDocument/2006/relationships" ref="O290" r:id="rId227"/>
    <hyperlink xmlns:r="http://schemas.openxmlformats.org/officeDocument/2006/relationships" ref="O291" r:id="rId228"/>
    <hyperlink xmlns:r="http://schemas.openxmlformats.org/officeDocument/2006/relationships" ref="O292" r:id="rId229"/>
    <hyperlink xmlns:r="http://schemas.openxmlformats.org/officeDocument/2006/relationships" ref="O293" r:id="rId230"/>
    <hyperlink xmlns:r="http://schemas.openxmlformats.org/officeDocument/2006/relationships" ref="O294" r:id="rId231"/>
    <hyperlink xmlns:r="http://schemas.openxmlformats.org/officeDocument/2006/relationships" ref="O295" r:id="rId232"/>
    <hyperlink xmlns:r="http://schemas.openxmlformats.org/officeDocument/2006/relationships" ref="O297" r:id="rId233"/>
    <hyperlink xmlns:r="http://schemas.openxmlformats.org/officeDocument/2006/relationships" ref="O298" r:id="rId234"/>
    <hyperlink xmlns:r="http://schemas.openxmlformats.org/officeDocument/2006/relationships" ref="O299" r:id="rId235"/>
    <hyperlink xmlns:r="http://schemas.openxmlformats.org/officeDocument/2006/relationships" ref="O300" r:id="rId236"/>
    <hyperlink xmlns:r="http://schemas.openxmlformats.org/officeDocument/2006/relationships" ref="O301" r:id="rId237"/>
    <hyperlink xmlns:r="http://schemas.openxmlformats.org/officeDocument/2006/relationships" ref="O302" r:id="rId238"/>
    <hyperlink xmlns:r="http://schemas.openxmlformats.org/officeDocument/2006/relationships" ref="O303" r:id="rId239"/>
    <hyperlink xmlns:r="http://schemas.openxmlformats.org/officeDocument/2006/relationships" ref="O304" r:id="rId240"/>
    <hyperlink xmlns:r="http://schemas.openxmlformats.org/officeDocument/2006/relationships" ref="O305" r:id="rId241"/>
    <hyperlink xmlns:r="http://schemas.openxmlformats.org/officeDocument/2006/relationships" ref="O306" r:id="rId242"/>
    <hyperlink xmlns:r="http://schemas.openxmlformats.org/officeDocument/2006/relationships" ref="O307" r:id="rId243"/>
    <hyperlink xmlns:r="http://schemas.openxmlformats.org/officeDocument/2006/relationships" ref="O308" r:id="rId244"/>
    <hyperlink xmlns:r="http://schemas.openxmlformats.org/officeDocument/2006/relationships" ref="O309" r:id="rId245"/>
    <hyperlink xmlns:r="http://schemas.openxmlformats.org/officeDocument/2006/relationships" ref="O310" r:id="rId246"/>
    <hyperlink xmlns:r="http://schemas.openxmlformats.org/officeDocument/2006/relationships" ref="O311" r:id="rId247"/>
    <hyperlink xmlns:r="http://schemas.openxmlformats.org/officeDocument/2006/relationships" ref="O314" r:id="rId248"/>
    <hyperlink xmlns:r="http://schemas.openxmlformats.org/officeDocument/2006/relationships" ref="O315" r:id="rId249"/>
    <hyperlink xmlns:r="http://schemas.openxmlformats.org/officeDocument/2006/relationships" ref="O316" r:id="rId250"/>
    <hyperlink xmlns:r="http://schemas.openxmlformats.org/officeDocument/2006/relationships" ref="O317" r:id="rId251"/>
    <hyperlink xmlns:r="http://schemas.openxmlformats.org/officeDocument/2006/relationships" ref="O318" r:id="rId252"/>
    <hyperlink xmlns:r="http://schemas.openxmlformats.org/officeDocument/2006/relationships" ref="O319" r:id="rId253"/>
    <hyperlink xmlns:r="http://schemas.openxmlformats.org/officeDocument/2006/relationships" ref="O320" r:id="rId254"/>
    <hyperlink xmlns:r="http://schemas.openxmlformats.org/officeDocument/2006/relationships" ref="O321" r:id="rId255"/>
    <hyperlink xmlns:r="http://schemas.openxmlformats.org/officeDocument/2006/relationships" ref="O322" r:id="rId256"/>
    <hyperlink xmlns:r="http://schemas.openxmlformats.org/officeDocument/2006/relationships" ref="O323" r:id="rId257"/>
    <hyperlink xmlns:r="http://schemas.openxmlformats.org/officeDocument/2006/relationships" ref="O324" r:id="rId258"/>
    <hyperlink xmlns:r="http://schemas.openxmlformats.org/officeDocument/2006/relationships" ref="O325" r:id="rId259"/>
    <hyperlink xmlns:r="http://schemas.openxmlformats.org/officeDocument/2006/relationships" ref="O326" r:id="rId260"/>
    <hyperlink xmlns:r="http://schemas.openxmlformats.org/officeDocument/2006/relationships" ref="O327" r:id="rId261"/>
    <hyperlink xmlns:r="http://schemas.openxmlformats.org/officeDocument/2006/relationships" ref="O328" r:id="rId262"/>
    <hyperlink xmlns:r="http://schemas.openxmlformats.org/officeDocument/2006/relationships" ref="O329" r:id="rId263"/>
    <hyperlink xmlns:r="http://schemas.openxmlformats.org/officeDocument/2006/relationships" ref="O330" r:id="rId264"/>
    <hyperlink xmlns:r="http://schemas.openxmlformats.org/officeDocument/2006/relationships" ref="O331" r:id="rId265"/>
    <hyperlink xmlns:r="http://schemas.openxmlformats.org/officeDocument/2006/relationships" ref="O332" r:id="rId266"/>
    <hyperlink xmlns:r="http://schemas.openxmlformats.org/officeDocument/2006/relationships" ref="O333" r:id="rId267"/>
    <hyperlink xmlns:r="http://schemas.openxmlformats.org/officeDocument/2006/relationships" ref="O334" r:id="rId268"/>
    <hyperlink xmlns:r="http://schemas.openxmlformats.org/officeDocument/2006/relationships" ref="O335" r:id="rId269"/>
    <hyperlink xmlns:r="http://schemas.openxmlformats.org/officeDocument/2006/relationships" ref="O336" r:id="rId270"/>
    <hyperlink xmlns:r="http://schemas.openxmlformats.org/officeDocument/2006/relationships" ref="O337" r:id="rId271"/>
    <hyperlink xmlns:r="http://schemas.openxmlformats.org/officeDocument/2006/relationships" ref="O339" r:id="rId272"/>
    <hyperlink xmlns:r="http://schemas.openxmlformats.org/officeDocument/2006/relationships" ref="O340" r:id="rId273"/>
    <hyperlink xmlns:r="http://schemas.openxmlformats.org/officeDocument/2006/relationships" ref="O341" r:id="rId274"/>
    <hyperlink xmlns:r="http://schemas.openxmlformats.org/officeDocument/2006/relationships" ref="O342" r:id="rId275"/>
    <hyperlink xmlns:r="http://schemas.openxmlformats.org/officeDocument/2006/relationships" ref="O344" r:id="rId276"/>
    <hyperlink xmlns:r="http://schemas.openxmlformats.org/officeDocument/2006/relationships" ref="O345" r:id="rId277"/>
    <hyperlink xmlns:r="http://schemas.openxmlformats.org/officeDocument/2006/relationships" ref="O346" r:id="rId278"/>
    <hyperlink xmlns:r="http://schemas.openxmlformats.org/officeDocument/2006/relationships" ref="O347" r:id="rId279"/>
    <hyperlink xmlns:r="http://schemas.openxmlformats.org/officeDocument/2006/relationships" ref="O348" r:id="rId280"/>
    <hyperlink xmlns:r="http://schemas.openxmlformats.org/officeDocument/2006/relationships" ref="O349" r:id="rId281"/>
    <hyperlink xmlns:r="http://schemas.openxmlformats.org/officeDocument/2006/relationships" ref="O350" r:id="rId282"/>
    <hyperlink xmlns:r="http://schemas.openxmlformats.org/officeDocument/2006/relationships" ref="O351" r:id="rId283"/>
    <hyperlink xmlns:r="http://schemas.openxmlformats.org/officeDocument/2006/relationships" ref="O352" r:id="rId284"/>
    <hyperlink xmlns:r="http://schemas.openxmlformats.org/officeDocument/2006/relationships" ref="O353" r:id="rId285"/>
    <hyperlink xmlns:r="http://schemas.openxmlformats.org/officeDocument/2006/relationships" ref="O354" r:id="rId286"/>
    <hyperlink xmlns:r="http://schemas.openxmlformats.org/officeDocument/2006/relationships" ref="O355" r:id="rId287"/>
    <hyperlink xmlns:r="http://schemas.openxmlformats.org/officeDocument/2006/relationships" ref="O356" r:id="rId288"/>
    <hyperlink xmlns:r="http://schemas.openxmlformats.org/officeDocument/2006/relationships" ref="O357" r:id="rId289"/>
    <hyperlink xmlns:r="http://schemas.openxmlformats.org/officeDocument/2006/relationships" ref="O358" r:id="rId290"/>
    <hyperlink xmlns:r="http://schemas.openxmlformats.org/officeDocument/2006/relationships" ref="O359" r:id="rId291"/>
    <hyperlink xmlns:r="http://schemas.openxmlformats.org/officeDocument/2006/relationships" ref="O361" r:id="rId292"/>
    <hyperlink xmlns:r="http://schemas.openxmlformats.org/officeDocument/2006/relationships" ref="O362" r:id="rId293"/>
    <hyperlink xmlns:r="http://schemas.openxmlformats.org/officeDocument/2006/relationships" ref="O363" r:id="rId294"/>
    <hyperlink xmlns:r="http://schemas.openxmlformats.org/officeDocument/2006/relationships" ref="O367" r:id="rId295"/>
    <hyperlink xmlns:r="http://schemas.openxmlformats.org/officeDocument/2006/relationships" ref="O369" r:id="rId296"/>
    <hyperlink xmlns:r="http://schemas.openxmlformats.org/officeDocument/2006/relationships" ref="O370" r:id="rId297"/>
    <hyperlink xmlns:r="http://schemas.openxmlformats.org/officeDocument/2006/relationships" ref="O371" r:id="rId298"/>
    <hyperlink xmlns:r="http://schemas.openxmlformats.org/officeDocument/2006/relationships" ref="O372" r:id="rId299"/>
    <hyperlink xmlns:r="http://schemas.openxmlformats.org/officeDocument/2006/relationships" ref="O373" r:id="rId300"/>
    <hyperlink xmlns:r="http://schemas.openxmlformats.org/officeDocument/2006/relationships" ref="O374" r:id="rId301"/>
    <hyperlink xmlns:r="http://schemas.openxmlformats.org/officeDocument/2006/relationships" ref="O375" r:id="rId302"/>
    <hyperlink xmlns:r="http://schemas.openxmlformats.org/officeDocument/2006/relationships" ref="O376" r:id="rId303"/>
    <hyperlink xmlns:r="http://schemas.openxmlformats.org/officeDocument/2006/relationships" ref="O377" r:id="rId304"/>
    <hyperlink xmlns:r="http://schemas.openxmlformats.org/officeDocument/2006/relationships" ref="O378" r:id="rId305"/>
    <hyperlink xmlns:r="http://schemas.openxmlformats.org/officeDocument/2006/relationships" ref="O379" r:id="rId306"/>
    <hyperlink xmlns:r="http://schemas.openxmlformats.org/officeDocument/2006/relationships" ref="O380" r:id="rId307"/>
    <hyperlink xmlns:r="http://schemas.openxmlformats.org/officeDocument/2006/relationships" ref="O381" r:id="rId308"/>
    <hyperlink xmlns:r="http://schemas.openxmlformats.org/officeDocument/2006/relationships" ref="O382" r:id="rId309"/>
    <hyperlink xmlns:r="http://schemas.openxmlformats.org/officeDocument/2006/relationships" ref="O383" r:id="rId310"/>
    <hyperlink xmlns:r="http://schemas.openxmlformats.org/officeDocument/2006/relationships" ref="O384" r:id="rId311"/>
    <hyperlink xmlns:r="http://schemas.openxmlformats.org/officeDocument/2006/relationships" ref="O385" r:id="rId312"/>
    <hyperlink xmlns:r="http://schemas.openxmlformats.org/officeDocument/2006/relationships" ref="O386" r:id="rId313"/>
    <hyperlink xmlns:r="http://schemas.openxmlformats.org/officeDocument/2006/relationships" ref="O387" r:id="rId314"/>
    <hyperlink xmlns:r="http://schemas.openxmlformats.org/officeDocument/2006/relationships" ref="O388" r:id="rId315"/>
    <hyperlink xmlns:r="http://schemas.openxmlformats.org/officeDocument/2006/relationships" ref="O389" r:id="rId316"/>
    <hyperlink xmlns:r="http://schemas.openxmlformats.org/officeDocument/2006/relationships" ref="O390" r:id="rId317"/>
    <hyperlink xmlns:r="http://schemas.openxmlformats.org/officeDocument/2006/relationships" ref="O391" r:id="rId318"/>
    <hyperlink xmlns:r="http://schemas.openxmlformats.org/officeDocument/2006/relationships" ref="O392" r:id="rId319"/>
    <hyperlink xmlns:r="http://schemas.openxmlformats.org/officeDocument/2006/relationships" ref="O393" r:id="rId320"/>
    <hyperlink xmlns:r="http://schemas.openxmlformats.org/officeDocument/2006/relationships" ref="O394" r:id="rId321"/>
    <hyperlink xmlns:r="http://schemas.openxmlformats.org/officeDocument/2006/relationships" ref="O395" r:id="rId322"/>
    <hyperlink xmlns:r="http://schemas.openxmlformats.org/officeDocument/2006/relationships" ref="O396" r:id="rId323"/>
    <hyperlink xmlns:r="http://schemas.openxmlformats.org/officeDocument/2006/relationships" ref="O397" r:id="rId324"/>
    <hyperlink xmlns:r="http://schemas.openxmlformats.org/officeDocument/2006/relationships" ref="O399" r:id="rId325"/>
    <hyperlink xmlns:r="http://schemas.openxmlformats.org/officeDocument/2006/relationships" ref="O400" r:id="rId326"/>
    <hyperlink xmlns:r="http://schemas.openxmlformats.org/officeDocument/2006/relationships" ref="O401" r:id="rId327"/>
    <hyperlink xmlns:r="http://schemas.openxmlformats.org/officeDocument/2006/relationships" ref="O402" r:id="rId328"/>
    <hyperlink xmlns:r="http://schemas.openxmlformats.org/officeDocument/2006/relationships" ref="O403" r:id="rId329"/>
    <hyperlink xmlns:r="http://schemas.openxmlformats.org/officeDocument/2006/relationships" ref="O404" r:id="rId330"/>
    <hyperlink xmlns:r="http://schemas.openxmlformats.org/officeDocument/2006/relationships" ref="O405" r:id="rId331"/>
    <hyperlink xmlns:r="http://schemas.openxmlformats.org/officeDocument/2006/relationships" ref="O406" r:id="rId332"/>
    <hyperlink xmlns:r="http://schemas.openxmlformats.org/officeDocument/2006/relationships" ref="O408" r:id="rId333"/>
    <hyperlink xmlns:r="http://schemas.openxmlformats.org/officeDocument/2006/relationships" ref="O409" r:id="rId334"/>
    <hyperlink xmlns:r="http://schemas.openxmlformats.org/officeDocument/2006/relationships" ref="O410" r:id="rId335"/>
    <hyperlink xmlns:r="http://schemas.openxmlformats.org/officeDocument/2006/relationships" ref="O411" r:id="rId336"/>
    <hyperlink xmlns:r="http://schemas.openxmlformats.org/officeDocument/2006/relationships" ref="O412" r:id="rId337"/>
    <hyperlink xmlns:r="http://schemas.openxmlformats.org/officeDocument/2006/relationships" ref="O413" r:id="rId338"/>
    <hyperlink xmlns:r="http://schemas.openxmlformats.org/officeDocument/2006/relationships" ref="O414" display="mailto:cristinapalacio@mensulaingenieros.com" r:id="rId339"/>
    <hyperlink xmlns:r="http://schemas.openxmlformats.org/officeDocument/2006/relationships" ref="O415" r:id="rId340"/>
    <hyperlink xmlns:r="http://schemas.openxmlformats.org/officeDocument/2006/relationships" ref="O416" r:id="rId341"/>
    <hyperlink xmlns:r="http://schemas.openxmlformats.org/officeDocument/2006/relationships" ref="O419" r:id="rId342"/>
    <hyperlink xmlns:r="http://schemas.openxmlformats.org/officeDocument/2006/relationships" ref="O420" r:id="rId343"/>
    <hyperlink xmlns:r="http://schemas.openxmlformats.org/officeDocument/2006/relationships" ref="O421" r:id="rId344"/>
    <hyperlink xmlns:r="http://schemas.openxmlformats.org/officeDocument/2006/relationships" ref="O423" r:id="rId345"/>
    <hyperlink xmlns:r="http://schemas.openxmlformats.org/officeDocument/2006/relationships" ref="O424" r:id="rId346"/>
    <hyperlink xmlns:r="http://schemas.openxmlformats.org/officeDocument/2006/relationships" ref="O425" r:id="rId347"/>
    <hyperlink xmlns:r="http://schemas.openxmlformats.org/officeDocument/2006/relationships" ref="O426" r:id="rId348"/>
    <hyperlink xmlns:r="http://schemas.openxmlformats.org/officeDocument/2006/relationships" ref="O427" r:id="rId349"/>
    <hyperlink xmlns:r="http://schemas.openxmlformats.org/officeDocument/2006/relationships" ref="O429" r:id="rId350"/>
    <hyperlink xmlns:r="http://schemas.openxmlformats.org/officeDocument/2006/relationships" ref="O430" r:id="rId351"/>
    <hyperlink xmlns:r="http://schemas.openxmlformats.org/officeDocument/2006/relationships" ref="O431" r:id="rId352"/>
    <hyperlink xmlns:r="http://schemas.openxmlformats.org/officeDocument/2006/relationships" ref="O432" r:id="rId353"/>
    <hyperlink xmlns:r="http://schemas.openxmlformats.org/officeDocument/2006/relationships" ref="O433" r:id="rId354"/>
    <hyperlink xmlns:r="http://schemas.openxmlformats.org/officeDocument/2006/relationships" ref="O434" r:id="rId355"/>
    <hyperlink xmlns:r="http://schemas.openxmlformats.org/officeDocument/2006/relationships" ref="O435" r:id="rId356"/>
    <hyperlink xmlns:r="http://schemas.openxmlformats.org/officeDocument/2006/relationships" ref="O436" r:id="rId357"/>
    <hyperlink xmlns:r="http://schemas.openxmlformats.org/officeDocument/2006/relationships" ref="O437" r:id="rId358"/>
    <hyperlink xmlns:r="http://schemas.openxmlformats.org/officeDocument/2006/relationships" ref="O438" r:id="rId359"/>
    <hyperlink xmlns:r="http://schemas.openxmlformats.org/officeDocument/2006/relationships" ref="O439" r:id="rId360"/>
    <hyperlink xmlns:r="http://schemas.openxmlformats.org/officeDocument/2006/relationships" ref="O440" r:id="rId361"/>
    <hyperlink xmlns:r="http://schemas.openxmlformats.org/officeDocument/2006/relationships" ref="O442" r:id="rId362"/>
    <hyperlink xmlns:r="http://schemas.openxmlformats.org/officeDocument/2006/relationships" ref="O444" r:id="rId363"/>
    <hyperlink xmlns:r="http://schemas.openxmlformats.org/officeDocument/2006/relationships" ref="O445" r:id="rId364"/>
    <hyperlink xmlns:r="http://schemas.openxmlformats.org/officeDocument/2006/relationships" ref="O446" r:id="rId365"/>
    <hyperlink xmlns:r="http://schemas.openxmlformats.org/officeDocument/2006/relationships" ref="O447" r:id="rId366"/>
    <hyperlink xmlns:r="http://schemas.openxmlformats.org/officeDocument/2006/relationships" ref="O448" r:id="rId367"/>
    <hyperlink xmlns:r="http://schemas.openxmlformats.org/officeDocument/2006/relationships" ref="O449" r:id="rId368"/>
    <hyperlink xmlns:r="http://schemas.openxmlformats.org/officeDocument/2006/relationships" ref="O450" r:id="rId369"/>
    <hyperlink xmlns:r="http://schemas.openxmlformats.org/officeDocument/2006/relationships" ref="O452" r:id="rId370"/>
    <hyperlink xmlns:r="http://schemas.openxmlformats.org/officeDocument/2006/relationships" ref="O453" r:id="rId371"/>
    <hyperlink xmlns:r="http://schemas.openxmlformats.org/officeDocument/2006/relationships" ref="O455" r:id="rId372"/>
    <hyperlink xmlns:r="http://schemas.openxmlformats.org/officeDocument/2006/relationships" ref="O456" r:id="rId373"/>
    <hyperlink xmlns:r="http://schemas.openxmlformats.org/officeDocument/2006/relationships" ref="O457" r:id="rId374"/>
    <hyperlink xmlns:r="http://schemas.openxmlformats.org/officeDocument/2006/relationships" ref="O458" r:id="rId375"/>
    <hyperlink xmlns:r="http://schemas.openxmlformats.org/officeDocument/2006/relationships" ref="O459" r:id="rId376"/>
    <hyperlink xmlns:r="http://schemas.openxmlformats.org/officeDocument/2006/relationships" ref="O460" r:id="rId377"/>
    <hyperlink xmlns:r="http://schemas.openxmlformats.org/officeDocument/2006/relationships" ref="O461" r:id="rId378"/>
    <hyperlink xmlns:r="http://schemas.openxmlformats.org/officeDocument/2006/relationships" ref="O462" r:id="rId379"/>
    <hyperlink xmlns:r="http://schemas.openxmlformats.org/officeDocument/2006/relationships" ref="O463" r:id="rId380"/>
    <hyperlink xmlns:r="http://schemas.openxmlformats.org/officeDocument/2006/relationships" ref="O464" r:id="rId381"/>
    <hyperlink xmlns:r="http://schemas.openxmlformats.org/officeDocument/2006/relationships" ref="O465" r:id="rId382"/>
    <hyperlink xmlns:r="http://schemas.openxmlformats.org/officeDocument/2006/relationships" ref="O466" r:id="rId383"/>
    <hyperlink xmlns:r="http://schemas.openxmlformats.org/officeDocument/2006/relationships" ref="O467" r:id="rId384"/>
    <hyperlink xmlns:r="http://schemas.openxmlformats.org/officeDocument/2006/relationships" ref="O468" r:id="rId385"/>
    <hyperlink xmlns:r="http://schemas.openxmlformats.org/officeDocument/2006/relationships" ref="O469" r:id="rId386"/>
    <hyperlink xmlns:r="http://schemas.openxmlformats.org/officeDocument/2006/relationships" ref="O470" r:id="rId387"/>
    <hyperlink xmlns:r="http://schemas.openxmlformats.org/officeDocument/2006/relationships" ref="O471" r:id="rId388"/>
    <hyperlink xmlns:r="http://schemas.openxmlformats.org/officeDocument/2006/relationships" ref="O472" r:id="rId389"/>
    <hyperlink xmlns:r="http://schemas.openxmlformats.org/officeDocument/2006/relationships" ref="O473" r:id="rId390"/>
    <hyperlink xmlns:r="http://schemas.openxmlformats.org/officeDocument/2006/relationships" ref="O474" r:id="rId391"/>
    <hyperlink xmlns:r="http://schemas.openxmlformats.org/officeDocument/2006/relationships" ref="O475" r:id="rId392"/>
    <hyperlink xmlns:r="http://schemas.openxmlformats.org/officeDocument/2006/relationships" ref="O476" r:id="rId393"/>
    <hyperlink xmlns:r="http://schemas.openxmlformats.org/officeDocument/2006/relationships" ref="O477" r:id="rId394"/>
    <hyperlink xmlns:r="http://schemas.openxmlformats.org/officeDocument/2006/relationships" ref="O478" r:id="rId395"/>
    <hyperlink xmlns:r="http://schemas.openxmlformats.org/officeDocument/2006/relationships" ref="O479" r:id="rId396"/>
    <hyperlink xmlns:r="http://schemas.openxmlformats.org/officeDocument/2006/relationships" ref="O480" r:id="rId397"/>
    <hyperlink xmlns:r="http://schemas.openxmlformats.org/officeDocument/2006/relationships" ref="O481" r:id="rId398"/>
    <hyperlink xmlns:r="http://schemas.openxmlformats.org/officeDocument/2006/relationships" ref="O482" r:id="rId399"/>
    <hyperlink xmlns:r="http://schemas.openxmlformats.org/officeDocument/2006/relationships" ref="O483" r:id="rId400"/>
    <hyperlink xmlns:r="http://schemas.openxmlformats.org/officeDocument/2006/relationships" ref="O484" r:id="rId401"/>
    <hyperlink xmlns:r="http://schemas.openxmlformats.org/officeDocument/2006/relationships" ref="O485" r:id="rId402"/>
    <hyperlink xmlns:r="http://schemas.openxmlformats.org/officeDocument/2006/relationships" ref="O486" r:id="rId403"/>
    <hyperlink xmlns:r="http://schemas.openxmlformats.org/officeDocument/2006/relationships" ref="O487" r:id="rId404"/>
    <hyperlink xmlns:r="http://schemas.openxmlformats.org/officeDocument/2006/relationships" ref="O488" r:id="rId405"/>
    <hyperlink xmlns:r="http://schemas.openxmlformats.org/officeDocument/2006/relationships" ref="O489" r:id="rId406"/>
    <hyperlink xmlns:r="http://schemas.openxmlformats.org/officeDocument/2006/relationships" ref="O490" r:id="rId407"/>
    <hyperlink xmlns:r="http://schemas.openxmlformats.org/officeDocument/2006/relationships" ref="O491" r:id="rId408"/>
    <hyperlink xmlns:r="http://schemas.openxmlformats.org/officeDocument/2006/relationships" ref="O492" r:id="rId409"/>
    <hyperlink xmlns:r="http://schemas.openxmlformats.org/officeDocument/2006/relationships" ref="O493" r:id="rId410"/>
    <hyperlink xmlns:r="http://schemas.openxmlformats.org/officeDocument/2006/relationships" ref="O494" r:id="rId411"/>
    <hyperlink xmlns:r="http://schemas.openxmlformats.org/officeDocument/2006/relationships" ref="O495" r:id="rId412"/>
    <hyperlink xmlns:r="http://schemas.openxmlformats.org/officeDocument/2006/relationships" ref="O496" r:id="rId413"/>
    <hyperlink xmlns:r="http://schemas.openxmlformats.org/officeDocument/2006/relationships" ref="O497" r:id="rId414"/>
    <hyperlink xmlns:r="http://schemas.openxmlformats.org/officeDocument/2006/relationships" ref="O498" r:id="rId415"/>
    <hyperlink xmlns:r="http://schemas.openxmlformats.org/officeDocument/2006/relationships" ref="O499" r:id="rId416"/>
    <hyperlink xmlns:r="http://schemas.openxmlformats.org/officeDocument/2006/relationships" ref="O500" r:id="rId417"/>
    <hyperlink xmlns:r="http://schemas.openxmlformats.org/officeDocument/2006/relationships" ref="O501" r:id="rId418"/>
    <hyperlink xmlns:r="http://schemas.openxmlformats.org/officeDocument/2006/relationships" ref="O502" r:id="rId419"/>
    <hyperlink xmlns:r="http://schemas.openxmlformats.org/officeDocument/2006/relationships" ref="O508" r:id="rId420"/>
    <hyperlink xmlns:r="http://schemas.openxmlformats.org/officeDocument/2006/relationships" ref="O509" r:id="rId421"/>
    <hyperlink xmlns:r="http://schemas.openxmlformats.org/officeDocument/2006/relationships" ref="O510" r:id="rId422"/>
    <hyperlink xmlns:r="http://schemas.openxmlformats.org/officeDocument/2006/relationships" ref="O511" r:id="rId423"/>
    <hyperlink xmlns:r="http://schemas.openxmlformats.org/officeDocument/2006/relationships" ref="O512" r:id="rId424"/>
    <hyperlink xmlns:r="http://schemas.openxmlformats.org/officeDocument/2006/relationships" ref="O513" r:id="rId425"/>
    <hyperlink xmlns:r="http://schemas.openxmlformats.org/officeDocument/2006/relationships" ref="O514" r:id="rId426"/>
    <hyperlink xmlns:r="http://schemas.openxmlformats.org/officeDocument/2006/relationships" ref="O515" r:id="rId427"/>
    <hyperlink xmlns:r="http://schemas.openxmlformats.org/officeDocument/2006/relationships" ref="O516" r:id="rId428"/>
    <hyperlink xmlns:r="http://schemas.openxmlformats.org/officeDocument/2006/relationships" ref="O517" r:id="rId429"/>
    <hyperlink xmlns:r="http://schemas.openxmlformats.org/officeDocument/2006/relationships" ref="O518" r:id="rId430"/>
    <hyperlink xmlns:r="http://schemas.openxmlformats.org/officeDocument/2006/relationships" ref="O519" r:id="rId431"/>
    <hyperlink xmlns:r="http://schemas.openxmlformats.org/officeDocument/2006/relationships" ref="O520" r:id="rId432"/>
    <hyperlink xmlns:r="http://schemas.openxmlformats.org/officeDocument/2006/relationships" ref="O521" r:id="rId433"/>
    <hyperlink xmlns:r="http://schemas.openxmlformats.org/officeDocument/2006/relationships" ref="O522" r:id="rId434"/>
    <hyperlink xmlns:r="http://schemas.openxmlformats.org/officeDocument/2006/relationships" ref="O524" r:id="rId435"/>
    <hyperlink xmlns:r="http://schemas.openxmlformats.org/officeDocument/2006/relationships" ref="O525" r:id="rId436"/>
    <hyperlink xmlns:r="http://schemas.openxmlformats.org/officeDocument/2006/relationships" ref="O526" r:id="rId437"/>
    <hyperlink xmlns:r="http://schemas.openxmlformats.org/officeDocument/2006/relationships" ref="O527" r:id="rId438"/>
    <hyperlink xmlns:r="http://schemas.openxmlformats.org/officeDocument/2006/relationships" ref="O528" r:id="rId439"/>
    <hyperlink xmlns:r="http://schemas.openxmlformats.org/officeDocument/2006/relationships" ref="O529" r:id="rId440"/>
    <hyperlink xmlns:r="http://schemas.openxmlformats.org/officeDocument/2006/relationships" ref="O530" r:id="rId441"/>
    <hyperlink xmlns:r="http://schemas.openxmlformats.org/officeDocument/2006/relationships" ref="O531" r:id="rId442"/>
    <hyperlink xmlns:r="http://schemas.openxmlformats.org/officeDocument/2006/relationships" ref="O534" r:id="rId443"/>
    <hyperlink xmlns:r="http://schemas.openxmlformats.org/officeDocument/2006/relationships" ref="O535" r:id="rId444"/>
    <hyperlink xmlns:r="http://schemas.openxmlformats.org/officeDocument/2006/relationships" ref="O536" r:id="rId445"/>
    <hyperlink xmlns:r="http://schemas.openxmlformats.org/officeDocument/2006/relationships" ref="O537" r:id="rId446"/>
    <hyperlink xmlns:r="http://schemas.openxmlformats.org/officeDocument/2006/relationships" ref="O538" r:id="rId447"/>
    <hyperlink xmlns:r="http://schemas.openxmlformats.org/officeDocument/2006/relationships" ref="O539" r:id="rId448"/>
    <hyperlink xmlns:r="http://schemas.openxmlformats.org/officeDocument/2006/relationships" ref="O540" r:id="rId449"/>
    <hyperlink xmlns:r="http://schemas.openxmlformats.org/officeDocument/2006/relationships" ref="O541" r:id="rId450"/>
    <hyperlink xmlns:r="http://schemas.openxmlformats.org/officeDocument/2006/relationships" ref="O543" r:id="rId451"/>
    <hyperlink xmlns:r="http://schemas.openxmlformats.org/officeDocument/2006/relationships" ref="O545" r:id="rId452"/>
    <hyperlink xmlns:r="http://schemas.openxmlformats.org/officeDocument/2006/relationships" ref="O546" r:id="rId453"/>
    <hyperlink xmlns:r="http://schemas.openxmlformats.org/officeDocument/2006/relationships" ref="O547" r:id="rId454"/>
    <hyperlink xmlns:r="http://schemas.openxmlformats.org/officeDocument/2006/relationships" ref="O548" r:id="rId455"/>
    <hyperlink xmlns:r="http://schemas.openxmlformats.org/officeDocument/2006/relationships" ref="O549" r:id="rId456"/>
    <hyperlink xmlns:r="http://schemas.openxmlformats.org/officeDocument/2006/relationships" ref="O550" r:id="rId457"/>
    <hyperlink xmlns:r="http://schemas.openxmlformats.org/officeDocument/2006/relationships" ref="O551" r:id="rId458"/>
    <hyperlink xmlns:r="http://schemas.openxmlformats.org/officeDocument/2006/relationships" ref="O552" r:id="rId459"/>
    <hyperlink xmlns:r="http://schemas.openxmlformats.org/officeDocument/2006/relationships" ref="O553" r:id="rId460"/>
    <hyperlink xmlns:r="http://schemas.openxmlformats.org/officeDocument/2006/relationships" ref="O554" r:id="rId461"/>
    <hyperlink xmlns:r="http://schemas.openxmlformats.org/officeDocument/2006/relationships" ref="O555" r:id="rId462"/>
    <hyperlink xmlns:r="http://schemas.openxmlformats.org/officeDocument/2006/relationships" ref="O556" r:id="rId463"/>
    <hyperlink xmlns:r="http://schemas.openxmlformats.org/officeDocument/2006/relationships" ref="O557" r:id="rId464"/>
    <hyperlink xmlns:r="http://schemas.openxmlformats.org/officeDocument/2006/relationships" ref="O558" r:id="rId465"/>
    <hyperlink xmlns:r="http://schemas.openxmlformats.org/officeDocument/2006/relationships" ref="O559" r:id="rId466"/>
    <hyperlink xmlns:r="http://schemas.openxmlformats.org/officeDocument/2006/relationships" ref="O560" r:id="rId467"/>
    <hyperlink xmlns:r="http://schemas.openxmlformats.org/officeDocument/2006/relationships" ref="O561" r:id="rId468"/>
    <hyperlink xmlns:r="http://schemas.openxmlformats.org/officeDocument/2006/relationships" ref="O562" r:id="rId469"/>
    <hyperlink xmlns:r="http://schemas.openxmlformats.org/officeDocument/2006/relationships" ref="O563" r:id="rId470"/>
    <hyperlink xmlns:r="http://schemas.openxmlformats.org/officeDocument/2006/relationships" ref="O564" r:id="rId471"/>
    <hyperlink xmlns:r="http://schemas.openxmlformats.org/officeDocument/2006/relationships" ref="O565" r:id="rId472"/>
    <hyperlink xmlns:r="http://schemas.openxmlformats.org/officeDocument/2006/relationships" ref="O566" r:id="rId473"/>
    <hyperlink xmlns:r="http://schemas.openxmlformats.org/officeDocument/2006/relationships" ref="O568" r:id="rId474"/>
    <hyperlink xmlns:r="http://schemas.openxmlformats.org/officeDocument/2006/relationships" ref="O569" r:id="rId475"/>
    <hyperlink xmlns:r="http://schemas.openxmlformats.org/officeDocument/2006/relationships" ref="O570" r:id="rId476"/>
    <hyperlink xmlns:r="http://schemas.openxmlformats.org/officeDocument/2006/relationships" ref="O571" r:id="rId477"/>
    <hyperlink xmlns:r="http://schemas.openxmlformats.org/officeDocument/2006/relationships" ref="O572" r:id="rId478"/>
    <hyperlink xmlns:r="http://schemas.openxmlformats.org/officeDocument/2006/relationships" ref="O573" r:id="rId479"/>
    <hyperlink xmlns:r="http://schemas.openxmlformats.org/officeDocument/2006/relationships" ref="O574" r:id="rId480"/>
    <hyperlink xmlns:r="http://schemas.openxmlformats.org/officeDocument/2006/relationships" ref="O575" r:id="rId481"/>
    <hyperlink xmlns:r="http://schemas.openxmlformats.org/officeDocument/2006/relationships" ref="O576" r:id="rId482"/>
    <hyperlink xmlns:r="http://schemas.openxmlformats.org/officeDocument/2006/relationships" ref="O577" r:id="rId483"/>
    <hyperlink xmlns:r="http://schemas.openxmlformats.org/officeDocument/2006/relationships" ref="O578" r:id="rId484"/>
    <hyperlink xmlns:r="http://schemas.openxmlformats.org/officeDocument/2006/relationships" ref="O580" r:id="rId485"/>
    <hyperlink xmlns:r="http://schemas.openxmlformats.org/officeDocument/2006/relationships" ref="O581" r:id="rId486"/>
    <hyperlink xmlns:r="http://schemas.openxmlformats.org/officeDocument/2006/relationships" ref="O582" r:id="rId487"/>
    <hyperlink xmlns:r="http://schemas.openxmlformats.org/officeDocument/2006/relationships" ref="O583" r:id="rId488"/>
    <hyperlink xmlns:r="http://schemas.openxmlformats.org/officeDocument/2006/relationships" ref="O584" r:id="rId489"/>
    <hyperlink xmlns:r="http://schemas.openxmlformats.org/officeDocument/2006/relationships" ref="O585" r:id="rId490"/>
    <hyperlink xmlns:r="http://schemas.openxmlformats.org/officeDocument/2006/relationships" ref="O586" r:id="rId491"/>
    <hyperlink xmlns:r="http://schemas.openxmlformats.org/officeDocument/2006/relationships" ref="O587" r:id="rId492"/>
    <hyperlink xmlns:r="http://schemas.openxmlformats.org/officeDocument/2006/relationships" ref="O588" r:id="rId493"/>
    <hyperlink xmlns:r="http://schemas.openxmlformats.org/officeDocument/2006/relationships" ref="O591" r:id="rId494"/>
    <hyperlink xmlns:r="http://schemas.openxmlformats.org/officeDocument/2006/relationships" ref="O592" r:id="rId495"/>
    <hyperlink xmlns:r="http://schemas.openxmlformats.org/officeDocument/2006/relationships" ref="O593" r:id="rId496"/>
    <hyperlink xmlns:r="http://schemas.openxmlformats.org/officeDocument/2006/relationships" ref="O594" r:id="rId497"/>
    <hyperlink xmlns:r="http://schemas.openxmlformats.org/officeDocument/2006/relationships" ref="O595" r:id="rId498"/>
    <hyperlink xmlns:r="http://schemas.openxmlformats.org/officeDocument/2006/relationships" ref="O596" r:id="rId499"/>
    <hyperlink xmlns:r="http://schemas.openxmlformats.org/officeDocument/2006/relationships" ref="O597" r:id="rId500"/>
    <hyperlink xmlns:r="http://schemas.openxmlformats.org/officeDocument/2006/relationships" ref="O598" r:id="rId501"/>
    <hyperlink xmlns:r="http://schemas.openxmlformats.org/officeDocument/2006/relationships" ref="O599" r:id="rId502"/>
    <hyperlink xmlns:r="http://schemas.openxmlformats.org/officeDocument/2006/relationships" ref="O600" r:id="rId503"/>
    <hyperlink xmlns:r="http://schemas.openxmlformats.org/officeDocument/2006/relationships" ref="O602" r:id="rId504"/>
    <hyperlink xmlns:r="http://schemas.openxmlformats.org/officeDocument/2006/relationships" ref="O603" r:id="rId505"/>
    <hyperlink xmlns:r="http://schemas.openxmlformats.org/officeDocument/2006/relationships" ref="O604" r:id="rId506"/>
    <hyperlink xmlns:r="http://schemas.openxmlformats.org/officeDocument/2006/relationships" ref="O605" r:id="rId507"/>
    <hyperlink xmlns:r="http://schemas.openxmlformats.org/officeDocument/2006/relationships" ref="O606" r:id="rId508"/>
    <hyperlink xmlns:r="http://schemas.openxmlformats.org/officeDocument/2006/relationships" ref="O608" r:id="rId509"/>
    <hyperlink xmlns:r="http://schemas.openxmlformats.org/officeDocument/2006/relationships" ref="O609" r:id="rId510"/>
    <hyperlink xmlns:r="http://schemas.openxmlformats.org/officeDocument/2006/relationships" ref="O610" r:id="rId511"/>
    <hyperlink xmlns:r="http://schemas.openxmlformats.org/officeDocument/2006/relationships" ref="O611" r:id="rId512"/>
    <hyperlink xmlns:r="http://schemas.openxmlformats.org/officeDocument/2006/relationships" ref="O612" r:id="rId513"/>
    <hyperlink xmlns:r="http://schemas.openxmlformats.org/officeDocument/2006/relationships" ref="O613" r:id="rId514"/>
    <hyperlink xmlns:r="http://schemas.openxmlformats.org/officeDocument/2006/relationships" ref="O614" r:id="rId515"/>
    <hyperlink xmlns:r="http://schemas.openxmlformats.org/officeDocument/2006/relationships" ref="O615" r:id="rId516"/>
    <hyperlink xmlns:r="http://schemas.openxmlformats.org/officeDocument/2006/relationships" ref="O616" r:id="rId517"/>
    <hyperlink xmlns:r="http://schemas.openxmlformats.org/officeDocument/2006/relationships" ref="O617" r:id="rId518"/>
    <hyperlink xmlns:r="http://schemas.openxmlformats.org/officeDocument/2006/relationships" ref="O618" r:id="rId519"/>
    <hyperlink xmlns:r="http://schemas.openxmlformats.org/officeDocument/2006/relationships" ref="O619" r:id="rId520"/>
    <hyperlink xmlns:r="http://schemas.openxmlformats.org/officeDocument/2006/relationships" ref="O620" r:id="rId521"/>
    <hyperlink xmlns:r="http://schemas.openxmlformats.org/officeDocument/2006/relationships" ref="O621" r:id="rId522"/>
    <hyperlink xmlns:r="http://schemas.openxmlformats.org/officeDocument/2006/relationships" ref="O622" r:id="rId523"/>
    <hyperlink xmlns:r="http://schemas.openxmlformats.org/officeDocument/2006/relationships" ref="O623" r:id="rId524"/>
    <hyperlink xmlns:r="http://schemas.openxmlformats.org/officeDocument/2006/relationships" ref="O627" r:id="rId525"/>
    <hyperlink xmlns:r="http://schemas.openxmlformats.org/officeDocument/2006/relationships" ref="O630" r:id="rId526"/>
    <hyperlink xmlns:r="http://schemas.openxmlformats.org/officeDocument/2006/relationships" ref="O631" r:id="rId527"/>
    <hyperlink xmlns:r="http://schemas.openxmlformats.org/officeDocument/2006/relationships" ref="O632" r:id="rId528"/>
    <hyperlink xmlns:r="http://schemas.openxmlformats.org/officeDocument/2006/relationships" ref="O633" r:id="rId529"/>
    <hyperlink xmlns:r="http://schemas.openxmlformats.org/officeDocument/2006/relationships" ref="O634" r:id="rId530"/>
    <hyperlink xmlns:r="http://schemas.openxmlformats.org/officeDocument/2006/relationships" ref="O635" r:id="rId531"/>
    <hyperlink xmlns:r="http://schemas.openxmlformats.org/officeDocument/2006/relationships" ref="O637" r:id="rId532"/>
    <hyperlink xmlns:r="http://schemas.openxmlformats.org/officeDocument/2006/relationships" ref="O638" r:id="rId533"/>
    <hyperlink xmlns:r="http://schemas.openxmlformats.org/officeDocument/2006/relationships" ref="O639" r:id="rId534"/>
    <hyperlink xmlns:r="http://schemas.openxmlformats.org/officeDocument/2006/relationships" ref="O640" r:id="rId535"/>
    <hyperlink xmlns:r="http://schemas.openxmlformats.org/officeDocument/2006/relationships" ref="O641" r:id="rId536"/>
    <hyperlink xmlns:r="http://schemas.openxmlformats.org/officeDocument/2006/relationships" ref="O643" r:id="rId537"/>
    <hyperlink xmlns:r="http://schemas.openxmlformats.org/officeDocument/2006/relationships" ref="O644" r:id="rId538"/>
    <hyperlink xmlns:r="http://schemas.openxmlformats.org/officeDocument/2006/relationships" ref="O645" r:id="rId539"/>
    <hyperlink xmlns:r="http://schemas.openxmlformats.org/officeDocument/2006/relationships" ref="O646" r:id="rId540"/>
    <hyperlink xmlns:r="http://schemas.openxmlformats.org/officeDocument/2006/relationships" ref="O647" r:id="rId541"/>
    <hyperlink xmlns:r="http://schemas.openxmlformats.org/officeDocument/2006/relationships" ref="O650" r:id="rId542"/>
    <hyperlink xmlns:r="http://schemas.openxmlformats.org/officeDocument/2006/relationships" ref="O651" r:id="rId543"/>
    <hyperlink xmlns:r="http://schemas.openxmlformats.org/officeDocument/2006/relationships" ref="O652" r:id="rId544"/>
    <hyperlink xmlns:r="http://schemas.openxmlformats.org/officeDocument/2006/relationships" ref="O653" r:id="rId545"/>
    <hyperlink xmlns:r="http://schemas.openxmlformats.org/officeDocument/2006/relationships" ref="O654" r:id="rId546"/>
    <hyperlink xmlns:r="http://schemas.openxmlformats.org/officeDocument/2006/relationships" ref="O655" r:id="rId547"/>
    <hyperlink xmlns:r="http://schemas.openxmlformats.org/officeDocument/2006/relationships" ref="O656" r:id="rId548"/>
    <hyperlink xmlns:r="http://schemas.openxmlformats.org/officeDocument/2006/relationships" ref="O657" r:id="rId549"/>
    <hyperlink xmlns:r="http://schemas.openxmlformats.org/officeDocument/2006/relationships" ref="O658" r:id="rId550"/>
    <hyperlink xmlns:r="http://schemas.openxmlformats.org/officeDocument/2006/relationships" ref="O660" r:id="rId551"/>
    <hyperlink xmlns:r="http://schemas.openxmlformats.org/officeDocument/2006/relationships" ref="O661" r:id="rId552"/>
    <hyperlink xmlns:r="http://schemas.openxmlformats.org/officeDocument/2006/relationships" ref="O662" r:id="rId553"/>
    <hyperlink xmlns:r="http://schemas.openxmlformats.org/officeDocument/2006/relationships" ref="O663" r:id="rId554"/>
    <hyperlink xmlns:r="http://schemas.openxmlformats.org/officeDocument/2006/relationships" ref="O665" r:id="rId555"/>
    <hyperlink xmlns:r="http://schemas.openxmlformats.org/officeDocument/2006/relationships" ref="O666" r:id="rId556"/>
    <hyperlink xmlns:r="http://schemas.openxmlformats.org/officeDocument/2006/relationships" ref="O667" r:id="rId557"/>
  </hyperlink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5"/>
  <sheetViews>
    <sheetView tabSelected="1" topLeftCell="A3" zoomScale="90" zoomScaleNormal="90" workbookViewId="0">
      <pane ySplit="8" topLeftCell="A655" activePane="bottomLeft" state="frozen"/>
      <selection activeCell="A3" sqref="A3"/>
      <selection pane="bottomLeft" activeCell="B674" sqref="B674"/>
    </sheetView>
  </sheetViews>
  <sheetFormatPr baseColWidth="10" defaultColWidth="11.44140625" defaultRowHeight="14.4"/>
  <cols>
    <col width="3.109375" customWidth="1" min="1" max="1"/>
    <col width="12.44140625" customWidth="1" min="2" max="2"/>
    <col width="13.5546875" customWidth="1" min="3" max="3"/>
    <col width="19.109375" customWidth="1" min="4" max="4"/>
    <col width="18.5546875" customWidth="1" min="5" max="5"/>
    <col width="18.88671875" customWidth="1" min="6" max="6"/>
    <col width="13.5546875" customWidth="1" min="7" max="7"/>
    <col width="27" customWidth="1" min="8" max="8"/>
    <col width="35" customWidth="1" min="9" max="9"/>
    <col width="17.109375" bestFit="1" customWidth="1" min="10" max="10"/>
    <col width="12.5546875" customWidth="1" min="11" max="11"/>
    <col width="10.44140625" bestFit="1" customWidth="1" min="12" max="12"/>
    <col width="23.5546875" customWidth="1" min="13" max="13"/>
    <col width="35.109375" customWidth="1" min="14" max="15"/>
    <col width="38.5546875" customWidth="1" min="16" max="16"/>
  </cols>
  <sheetData>
    <row r="1" ht="15" customHeight="1" thickBot="1">
      <c r="A1" s="108" t="n"/>
      <c r="B1" s="109" t="n"/>
      <c r="C1" s="275" t="n"/>
      <c r="D1" s="275" t="n"/>
      <c r="E1" s="275" t="n"/>
      <c r="F1" s="275" t="n"/>
      <c r="G1" s="275" t="n"/>
      <c r="H1" s="275" t="n"/>
      <c r="I1" s="275" t="n"/>
      <c r="J1" s="109" t="n"/>
      <c r="K1" s="109" t="n"/>
      <c r="L1" s="109" t="n"/>
      <c r="M1" s="109" t="n"/>
      <c r="N1" s="109" t="n"/>
      <c r="O1" s="109" t="n"/>
      <c r="P1" s="109" t="n"/>
    </row>
    <row r="2">
      <c r="A2" s="108" t="n"/>
      <c r="B2" s="335" t="n"/>
      <c r="C2" s="296" t="n"/>
      <c r="D2" s="331" t="inlineStr">
        <is>
          <t>SEGUIMIENTO A COTIZACIONES - 2026</t>
        </is>
      </c>
      <c r="E2" s="296" t="n"/>
      <c r="F2" s="296" t="n"/>
      <c r="G2" s="296" t="n"/>
      <c r="H2" s="296" t="n"/>
      <c r="I2" s="296" t="n"/>
      <c r="J2" s="296" t="n"/>
      <c r="K2" s="296" t="n"/>
      <c r="L2" s="296" t="n"/>
      <c r="M2" s="296" t="n"/>
      <c r="N2" s="296" t="n"/>
      <c r="O2" s="296" t="n"/>
      <c r="P2" s="298" t="n"/>
    </row>
    <row r="3">
      <c r="A3" s="108" t="n"/>
      <c r="B3" s="299" t="n"/>
      <c r="D3" s="299" t="n"/>
      <c r="P3" s="300" t="n"/>
    </row>
    <row r="4">
      <c r="A4" s="108" t="n"/>
      <c r="B4" s="299" t="n"/>
      <c r="D4" s="299" t="n"/>
      <c r="P4" s="300" t="n"/>
    </row>
    <row r="5">
      <c r="A5" s="108" t="n"/>
      <c r="B5" s="299" t="n"/>
      <c r="D5" s="299" t="n"/>
      <c r="P5" s="300" t="n"/>
    </row>
    <row r="6">
      <c r="A6" s="108" t="n"/>
      <c r="B6" s="299" t="n"/>
      <c r="D6" s="299" t="n"/>
      <c r="P6" s="300" t="n"/>
    </row>
    <row r="7">
      <c r="A7" s="108" t="n"/>
      <c r="B7" s="299" t="n"/>
      <c r="D7" s="299" t="n"/>
      <c r="P7" s="300" t="n"/>
    </row>
    <row r="8">
      <c r="A8" s="108" t="n"/>
      <c r="B8" s="299" t="n"/>
      <c r="D8" s="299" t="n"/>
      <c r="P8" s="300" t="n"/>
    </row>
    <row r="9" ht="15" customHeight="1" thickBot="1">
      <c r="A9" s="108" t="n"/>
      <c r="B9" s="301" t="n"/>
      <c r="C9" s="302" t="n"/>
      <c r="D9" s="301" t="n"/>
      <c r="E9" s="302" t="n"/>
      <c r="F9" s="302" t="n"/>
      <c r="G9" s="302" t="n"/>
      <c r="H9" s="302" t="n"/>
      <c r="I9" s="302" t="n"/>
      <c r="J9" s="302" t="n"/>
      <c r="K9" s="302" t="n"/>
      <c r="L9" s="302" t="n"/>
      <c r="M9" s="302" t="n"/>
      <c r="N9" s="302" t="n"/>
      <c r="O9" s="302" t="n"/>
      <c r="P9" s="303" t="n"/>
    </row>
    <row r="10" ht="27.6" customHeight="1">
      <c r="A10" s="108" t="n"/>
      <c r="B10" s="179" t="inlineStr">
        <is>
          <t>Número de cotización</t>
        </is>
      </c>
      <c r="C10" s="236" t="inlineStr">
        <is>
          <t>Descripción de la cotización</t>
        </is>
      </c>
      <c r="D10" s="332" t="n"/>
      <c r="E10" s="332" t="n"/>
      <c r="F10" s="332" t="n"/>
      <c r="G10" s="332" t="n"/>
      <c r="H10" s="333" t="n"/>
      <c r="I10" s="195" t="inlineStr">
        <is>
          <t>Cliente</t>
        </is>
      </c>
      <c r="J10" s="191" t="inlineStr">
        <is>
          <t>Valor sin IVA</t>
        </is>
      </c>
      <c r="K10" s="193" t="inlineStr">
        <is>
          <t>Fecha de cotización</t>
        </is>
      </c>
      <c r="L10" s="193" t="inlineStr">
        <is>
          <t>Aprobado</t>
        </is>
      </c>
      <c r="M10" s="195" t="inlineStr">
        <is>
          <t>Telefono</t>
        </is>
      </c>
      <c r="N10" s="195" t="inlineStr">
        <is>
          <t>Persona Encargada</t>
        </is>
      </c>
      <c r="O10" s="195" t="inlineStr">
        <is>
          <t>Cargo</t>
        </is>
      </c>
      <c r="P10" s="195" t="inlineStr">
        <is>
          <t>Correo</t>
        </is>
      </c>
    </row>
    <row r="11" ht="15" customHeight="1">
      <c r="A11" s="108" t="n"/>
      <c r="B11" s="39" t="n">
        <v>1</v>
      </c>
      <c r="C11" s="278" t="inlineStr">
        <is>
          <t>COTIZACION DE LOS DISEÑOS DE SEGURIDAD HUMANA Y PROTECCIÓN CONTRA INCENDIOS - RIVER PARK</t>
        </is>
      </c>
      <c r="I11" s="39" t="inlineStr">
        <is>
          <t>Arquitectura y Concreto</t>
        </is>
      </c>
      <c r="J11" s="336" t="n">
        <v>32150000</v>
      </c>
      <c r="K11" s="112" t="n">
        <v>46027</v>
      </c>
      <c r="L11" s="39" t="n"/>
      <c r="M11" s="39" t="n">
        <v>3162439535</v>
      </c>
      <c r="N11" s="39" t="inlineStr">
        <is>
          <t>Sebastián Ochoa Gómez</t>
        </is>
      </c>
      <c r="O11" s="39" t="inlineStr">
        <is>
          <t>Coordinación Técnica</t>
        </is>
      </c>
      <c r="P11" s="52" t="inlineStr">
        <is>
          <t>sebastianochoa@arquitecturayconcreto.com</t>
        </is>
      </c>
    </row>
    <row r="12">
      <c r="A12" s="108" t="n"/>
      <c r="B12" s="39" t="n">
        <v>2</v>
      </c>
      <c r="C12" s="278" t="inlineStr">
        <is>
          <t>COTIZACION DE LOS DISEÑOS DE SEGURIDAD HUMANA Y PROTECCIÓN CONTRA INCENDIOS - GUARNE</t>
        </is>
      </c>
      <c r="I12" s="39" t="inlineStr">
        <is>
          <t xml:space="preserve">FCR </t>
        </is>
      </c>
      <c r="J12" s="336" t="inlineStr">
        <is>
          <t>No se cotizó</t>
        </is>
      </c>
      <c r="K12" s="112" t="n">
        <v>46027</v>
      </c>
      <c r="L12" s="39" t="n"/>
      <c r="M12" s="39" t="inlineStr">
        <is>
          <t>321 6068780</t>
        </is>
      </c>
      <c r="N12" s="39" t="inlineStr">
        <is>
          <t>Luz Stella Ibarra</t>
        </is>
      </c>
      <c r="O12" s="39" t="n"/>
      <c r="P12" s="52" t="inlineStr">
        <is>
          <t>stellaibarra@gmail.com</t>
        </is>
      </c>
    </row>
    <row r="13">
      <c r="A13" s="108" t="n"/>
      <c r="B13" s="39" t="n">
        <v>3</v>
      </c>
      <c r="C13" s="278" t="inlineStr">
        <is>
          <t>COTIZACION CAPACITACIÓN SISTEMAS CONTRA INCENDIOS</t>
        </is>
      </c>
      <c r="I13" s="39" t="inlineStr">
        <is>
          <t>FIREEQUIPOS</t>
        </is>
      </c>
      <c r="J13" s="336" t="n">
        <v>4500000</v>
      </c>
      <c r="K13" s="112" t="n">
        <v>46027</v>
      </c>
      <c r="L13" s="39" t="n"/>
      <c r="M13" s="39" t="inlineStr">
        <is>
          <t xml:space="preserve">	3136650714</t>
        </is>
      </c>
      <c r="N13" s="39" t="inlineStr">
        <is>
          <t>Samuel Piedrahíta</t>
        </is>
      </c>
      <c r="O13" s="39" t="inlineStr">
        <is>
          <t>Director Técnico</t>
        </is>
      </c>
      <c r="P13" s="52" t="inlineStr">
        <is>
          <t>operaciones.fireyequipos@gmail.com</t>
        </is>
      </c>
    </row>
    <row r="14">
      <c r="A14" s="108" t="n"/>
      <c r="B14" s="39" t="n">
        <v>4</v>
      </c>
      <c r="C14" s="278" t="inlineStr">
        <is>
          <t>COTIZACION DE LOS DISEÑOS DE SEGURIDAD HUMANA Y PROTECCIÓN CONTRA INCENDIOS - BOSQUE DE PIEDRA</t>
        </is>
      </c>
      <c r="I14" s="39" t="inlineStr">
        <is>
          <t>Comfama</t>
        </is>
      </c>
      <c r="J14" s="336" t="n">
        <v>33870000</v>
      </c>
      <c r="K14" s="112" t="n">
        <v>46035</v>
      </c>
      <c r="L14" s="39" t="n"/>
      <c r="M14" s="39" t="inlineStr">
        <is>
          <t>310 4057513</t>
        </is>
      </c>
      <c r="N14" s="39" t="inlineStr">
        <is>
          <t>Claudia Marcela Ramírez Gómez</t>
        </is>
      </c>
      <c r="O14" s="39" t="inlineStr">
        <is>
          <t>Coordinadora de Proyectos</t>
        </is>
      </c>
      <c r="P14" s="52" t="inlineStr">
        <is>
          <t>ClaudiaRamirez@comfama.com.co</t>
        </is>
      </c>
    </row>
    <row r="15">
      <c r="A15" s="108" t="n"/>
      <c r="B15" s="39" t="n">
        <v>5</v>
      </c>
      <c r="C15" s="278" t="inlineStr">
        <is>
          <t>COTIZACION DE LOS DISEÑOS DE SEGURIDAD HUMANA Y PROTECCIÓN CONTRA INCENDIOS - SAN SIMÓN T3</t>
        </is>
      </c>
      <c r="I15" s="39" t="inlineStr">
        <is>
          <t>Constructora Altos de la Abadía</t>
        </is>
      </c>
      <c r="J15" s="336" t="n">
        <v>29970000</v>
      </c>
      <c r="K15" s="112" t="n">
        <v>46035</v>
      </c>
      <c r="L15" s="39" t="n"/>
      <c r="M15" s="39" t="inlineStr">
        <is>
          <t>313 4250445</t>
        </is>
      </c>
      <c r="N15" s="102" t="inlineStr">
        <is>
          <t>Jessica Chiguasuque</t>
        </is>
      </c>
      <c r="O15" s="102" t="inlineStr">
        <is>
          <t>Coordinadora BIM</t>
        </is>
      </c>
      <c r="P15" s="52" t="inlineStr">
        <is>
          <t>j.chiguasuque@altosdelaabadia.com</t>
        </is>
      </c>
    </row>
    <row r="16">
      <c r="A16" s="108" t="n"/>
      <c r="B16" s="39" t="n">
        <v>6</v>
      </c>
      <c r="C16" s="278" t="inlineStr">
        <is>
          <t>COTIZACION DEL ANÁLISIS DE SEGURIDAD HUMANA - NUEVO POBLADO ETAPA 3</t>
        </is>
      </c>
      <c r="I16" s="39" t="inlineStr">
        <is>
          <t>Conconcreto</t>
        </is>
      </c>
      <c r="J16" s="336" t="n">
        <v>9970000</v>
      </c>
      <c r="K16" s="112" t="n">
        <v>46035</v>
      </c>
      <c r="L16" s="39" t="n"/>
      <c r="M16" s="39" t="inlineStr">
        <is>
          <t>300 4938086</t>
        </is>
      </c>
      <c r="N16" s="39" t="inlineStr">
        <is>
          <t>Andrés Felipe Martinez</t>
        </is>
      </c>
      <c r="O16" s="39" t="inlineStr">
        <is>
          <t>Coordinador de diseño de arquitectura</t>
        </is>
      </c>
      <c r="P16" s="52" t="inlineStr">
        <is>
          <t>amartineza@conconcreto.com</t>
        </is>
      </c>
    </row>
    <row r="17">
      <c r="A17" s="108" t="n"/>
      <c r="B17" s="39" t="n">
        <v>7</v>
      </c>
      <c r="C17" s="278" t="inlineStr">
        <is>
          <t>COTIZACION DEL DISEÑO DE EXTINCIÓN DE INCENDIOS - PARQUEADERO Y ESTADIO DE BEISBOL ATANASIO</t>
        </is>
      </c>
      <c r="I17" s="39" t="inlineStr">
        <is>
          <t>AD Arquitectura y diseño urbano</t>
        </is>
      </c>
      <c r="J17" s="336" t="n">
        <v>49950000</v>
      </c>
      <c r="K17" s="112" t="n">
        <v>46029</v>
      </c>
      <c r="L17" s="39" t="n"/>
      <c r="M17" s="39" t="inlineStr">
        <is>
          <t>314 8934775</t>
        </is>
      </c>
      <c r="N17" s="39" t="inlineStr">
        <is>
          <t>Diego Fernando Uribe Alvarez</t>
        </is>
      </c>
      <c r="O17" s="39" t="n"/>
      <c r="P17" s="52" t="n"/>
    </row>
    <row r="18">
      <c r="A18" s="108" t="n"/>
      <c r="B18" s="39" t="n">
        <v>8</v>
      </c>
      <c r="C18" s="278" t="inlineStr">
        <is>
          <t>COTIZACION DEL DISEÑO DE EXTINCIÓN DE INCENDIOS - IRIS AMBAR ALCABAMA</t>
        </is>
      </c>
      <c r="I18" s="39" t="inlineStr">
        <is>
          <t>Good group</t>
        </is>
      </c>
      <c r="J18" s="336" t="n">
        <v>3950000</v>
      </c>
      <c r="K18" s="112" t="n">
        <v>46029</v>
      </c>
      <c r="L18" s="39" t="n"/>
      <c r="M18" s="39" t="n">
        <v>3155713220</v>
      </c>
      <c r="N18" s="39" t="inlineStr">
        <is>
          <t xml:space="preserve">
Adriana Pulido</t>
        </is>
      </c>
      <c r="O18" s="39" t="n"/>
      <c r="P18" s="52" t="inlineStr">
        <is>
          <t>comercial@goodgroup.com.co</t>
        </is>
      </c>
    </row>
    <row r="19">
      <c r="A19" s="108" t="n"/>
      <c r="B19" s="39" t="n">
        <v>9</v>
      </c>
      <c r="C19" s="278" t="inlineStr">
        <is>
          <t>COTIZACION DEL ANÁLISIS DE SEGURIDAD HUMANA - MALL LA KONDINA</t>
        </is>
      </c>
      <c r="I19" s="39" t="inlineStr">
        <is>
          <t>Raiz Constructora</t>
        </is>
      </c>
      <c r="J19" s="336" t="n">
        <v>7550000</v>
      </c>
      <c r="K19" s="112" t="n">
        <v>46029</v>
      </c>
      <c r="L19" s="39" t="n"/>
      <c r="M19" s="39" t="n">
        <v>3113555383</v>
      </c>
      <c r="N19" s="39" t="inlineStr">
        <is>
          <t>Daniel Fernando Hernández</t>
        </is>
      </c>
      <c r="O19" s="39" t="n"/>
      <c r="P19" s="52" t="inlineStr">
        <is>
          <t>coordinadorobra@raizconstructora.com.co</t>
        </is>
      </c>
    </row>
    <row r="20">
      <c r="A20" s="108" t="n"/>
      <c r="B20" s="39" t="n">
        <v>10</v>
      </c>
      <c r="C20" s="278" t="inlineStr">
        <is>
          <t>COTIZACION DEL DISEÑO DE EXTINCIÓN DE INCENDIOS - CALMO TORRE 3 Y 4</t>
        </is>
      </c>
      <c r="I20" s="39" t="inlineStr">
        <is>
          <t>Proyectos urbanos</t>
        </is>
      </c>
      <c r="J20" s="336" t="n">
        <v>12550000</v>
      </c>
      <c r="K20" s="112" t="n">
        <v>46029</v>
      </c>
      <c r="L20" s="39" t="n"/>
      <c r="M20" s="39" t="n">
        <v>3113733919</v>
      </c>
      <c r="N20" s="39" t="inlineStr">
        <is>
          <t>Priscila Quintero</t>
        </is>
      </c>
      <c r="O20" s="39" t="n"/>
      <c r="P20" s="52" t="inlineStr">
        <is>
          <t>planeacion@proyectosurbanos.com.co</t>
        </is>
      </c>
    </row>
    <row r="21">
      <c r="A21" s="108" t="n"/>
      <c r="B21" s="39" t="n">
        <v>11</v>
      </c>
      <c r="C21" s="278" t="inlineStr">
        <is>
          <t>COTIZACION DE LOS DISEÑOS DE SEGURIDAD HUMANA Y PROTECCIÓN CONTRA INCENDIOS - HOSPITAL NEUROLÓGICO</t>
        </is>
      </c>
      <c r="I21" s="39" t="inlineStr">
        <is>
          <t>Hospital Neurologico</t>
        </is>
      </c>
      <c r="J21" s="336" t="n">
        <v>45150000</v>
      </c>
      <c r="K21" s="112" t="n">
        <v>46029</v>
      </c>
      <c r="L21" s="39" t="n"/>
      <c r="M21" s="39" t="n"/>
      <c r="N21" s="103" t="inlineStr">
        <is>
          <t>Maria Isabel Betancur</t>
        </is>
      </c>
      <c r="O21" s="103" t="n"/>
      <c r="P21" s="52" t="inlineStr">
        <is>
          <t>maria.betancur@neurologico.org.co</t>
        </is>
      </c>
    </row>
    <row r="22">
      <c r="A22" s="108" t="n"/>
      <c r="B22" s="39" t="n">
        <v>12</v>
      </c>
      <c r="C22" s="278" t="inlineStr">
        <is>
          <t>COTIZACION DE LOS DISEÑOS DE PROTECCIÓN CONTRA INCENDIOS - PLANTA DE GLP</t>
        </is>
      </c>
      <c r="I22" s="39" t="inlineStr">
        <is>
          <t>Massy Energy</t>
        </is>
      </c>
      <c r="J22" s="336" t="inlineStr">
        <is>
          <t>No se cotizó</t>
        </is>
      </c>
      <c r="K22" s="112" t="n">
        <v>46029</v>
      </c>
      <c r="L22" s="39" t="n"/>
      <c r="M22" s="39" t="n">
        <v>3205465936</v>
      </c>
      <c r="N22" s="103" t="inlineStr">
        <is>
          <t>Jean Pierre López León</t>
        </is>
      </c>
      <c r="O22" s="103" t="n"/>
      <c r="P22" s="52" t="inlineStr">
        <is>
          <t>jean.lopez@massygroup.com</t>
        </is>
      </c>
    </row>
    <row r="23">
      <c r="A23" s="108" t="n"/>
      <c r="B23" s="39" t="n">
        <v>13</v>
      </c>
      <c r="C23" s="278" t="inlineStr">
        <is>
          <t>COTIZACION DEL DISEÑO DE EXTINCIÓN DE INCENDIOS - ÁREAS CLASIFICADAS</t>
        </is>
      </c>
      <c r="I23" s="39" t="inlineStr">
        <is>
          <t>Alcecol ingenieria</t>
        </is>
      </c>
      <c r="J23" s="336" t="n">
        <v>24950000</v>
      </c>
      <c r="K23" s="112" t="n">
        <v>46029</v>
      </c>
      <c r="L23" s="39" t="n"/>
      <c r="M23" s="39" t="n">
        <v>3202156014</v>
      </c>
      <c r="N23" s="102" t="inlineStr">
        <is>
          <t>David A Ceron</t>
        </is>
      </c>
      <c r="O23" s="102" t="n"/>
      <c r="P23" s="52" t="inlineStr">
        <is>
          <t>Inspecciones@alcecol.com</t>
        </is>
      </c>
    </row>
    <row r="24">
      <c r="A24" s="108" t="n"/>
      <c r="B24" s="39" t="n">
        <v>14</v>
      </c>
      <c r="C24" s="278" t="inlineStr">
        <is>
          <t>COTIZACION DEL ANÁLISIS DE SEGURIDAD HUMANA - HILTON CALI</t>
        </is>
      </c>
      <c r="I24" s="39" t="inlineStr">
        <is>
          <t>Girar Construcciones</t>
        </is>
      </c>
      <c r="J24" s="336" t="n">
        <v>9970000</v>
      </c>
      <c r="K24" s="112" t="n">
        <v>46035</v>
      </c>
      <c r="L24" s="39" t="n"/>
      <c r="M24" s="39" t="inlineStr">
        <is>
          <t>310 5377343</t>
        </is>
      </c>
      <c r="N24" s="39" t="inlineStr">
        <is>
          <t>Felipe Giraldo Cube</t>
        </is>
      </c>
      <c r="O24" s="39" t="n"/>
      <c r="P24" s="52" t="inlineStr">
        <is>
          <t>girarconstrucciones@gmail.com</t>
        </is>
      </c>
    </row>
    <row r="25">
      <c r="A25" s="108" t="n"/>
      <c r="B25" s="39" t="n">
        <v>15</v>
      </c>
      <c r="C25" s="278" t="inlineStr">
        <is>
          <t>COTIZACION DE LOS DISEÑOS DE PROTECCIÓN CONTRA INCENDIOS - D1 MALL SANTANA</t>
        </is>
      </c>
      <c r="I25" s="39" t="inlineStr">
        <is>
          <t>Ingesed</t>
        </is>
      </c>
      <c r="J25" s="336" t="n">
        <v>5000000</v>
      </c>
      <c r="K25" s="112" t="n">
        <v>46032</v>
      </c>
      <c r="L25" s="39" t="n"/>
      <c r="M25" s="39" t="inlineStr">
        <is>
          <t>321 8338189</t>
        </is>
      </c>
      <c r="N25" s="39" t="inlineStr">
        <is>
          <t>Laura Delgado</t>
        </is>
      </c>
      <c r="O25" s="39" t="n"/>
      <c r="P25" s="52" t="inlineStr">
        <is>
          <t>operacionesingesed@gmail.com</t>
        </is>
      </c>
    </row>
    <row r="26">
      <c r="A26" s="108" t="n"/>
      <c r="B26" s="39" t="n">
        <v>16</v>
      </c>
      <c r="C26" s="278" t="inlineStr">
        <is>
          <t>COTIZACION DEL DISEÑO DE EXTINCIÓN DE INCENDIOS - AUTOLAND BARRANQUILLA</t>
        </is>
      </c>
      <c r="I26" s="39" t="inlineStr">
        <is>
          <t>Ingesed</t>
        </is>
      </c>
      <c r="J26" s="336" t="n">
        <v>13950000</v>
      </c>
      <c r="K26" s="112" t="n">
        <v>46035</v>
      </c>
      <c r="L26" s="2" t="n"/>
      <c r="M26" s="39" t="n">
        <v>3014201614</v>
      </c>
      <c r="N26" s="39" t="inlineStr">
        <is>
          <t>Jhon Anderson Rodriguez Nieto</t>
        </is>
      </c>
      <c r="O26" s="39" t="n"/>
      <c r="P26" s="52" t="inlineStr">
        <is>
          <t>jrodriguez@ingesed.com</t>
        </is>
      </c>
    </row>
    <row r="27">
      <c r="A27" s="108" t="n"/>
      <c r="B27" s="39" t="n">
        <v>17</v>
      </c>
      <c r="C27" s="278" t="inlineStr">
        <is>
          <t>COTIZACION DEL DISEÑO DE EXTINCIÓN DE INCENDIOS - TEATRO LIDO</t>
        </is>
      </c>
      <c r="I27" s="39" t="inlineStr">
        <is>
          <t>Civilsa</t>
        </is>
      </c>
      <c r="J27" s="336" t="n">
        <v>5000000</v>
      </c>
      <c r="K27" s="112" t="n">
        <v>46032</v>
      </c>
      <c r="L27" s="39" t="n"/>
      <c r="M27" s="39" t="inlineStr">
        <is>
          <t>310 4659572</t>
        </is>
      </c>
      <c r="N27" s="39" t="inlineStr">
        <is>
          <t>Julio Alzate</t>
        </is>
      </c>
      <c r="O27" s="39" t="inlineStr">
        <is>
          <t>Ingeniero Sanitario</t>
        </is>
      </c>
      <c r="P27" s="52" t="inlineStr">
        <is>
          <t xml:space="preserve">julialzate@une.net.co </t>
        </is>
      </c>
    </row>
    <row r="28">
      <c r="A28" s="108" t="n"/>
      <c r="B28" s="39" t="n">
        <v>18</v>
      </c>
      <c r="C28" s="278" t="inlineStr">
        <is>
          <t>COTIZACION DEL DISEÑO DE EXTINCIÓN DE INCENDIOS - AUTOLAND LAS VEGAS</t>
        </is>
      </c>
      <c r="I28" s="39" t="inlineStr">
        <is>
          <t>Ingesed</t>
        </is>
      </c>
      <c r="J28" s="336" t="n">
        <v>15950000</v>
      </c>
      <c r="K28" s="112" t="n">
        <v>46035</v>
      </c>
      <c r="L28" s="2" t="n"/>
      <c r="M28" s="39" t="n">
        <v>3014201614</v>
      </c>
      <c r="N28" s="39" t="inlineStr">
        <is>
          <t>Jhon Anderson Rodriguez Nieto</t>
        </is>
      </c>
      <c r="O28" s="39" t="n"/>
      <c r="P28" s="52" t="inlineStr">
        <is>
          <t>jrodriguez@ingesed.com</t>
        </is>
      </c>
    </row>
    <row r="29">
      <c r="A29" s="108" t="n"/>
      <c r="B29" s="39" t="n">
        <v>19</v>
      </c>
      <c r="C29" s="278" t="inlineStr">
        <is>
          <t>COTIZACION DE LOS DISEÑOS DE SEGURIDAD HUMANA Y EXTINCIÓN DE INCENDIOS - ZC MONTERREY</t>
        </is>
      </c>
      <c r="I29" s="39" t="inlineStr">
        <is>
          <t>I+Constructora</t>
        </is>
      </c>
      <c r="J29" s="336" t="n">
        <v>9950000</v>
      </c>
      <c r="K29" s="112" t="n">
        <v>46036</v>
      </c>
      <c r="L29" s="39" t="n"/>
      <c r="M29" s="39" t="inlineStr">
        <is>
          <t>(604) 4443091</t>
        </is>
      </c>
      <c r="N29" s="39" t="inlineStr">
        <is>
          <t>Lina Maria Montoya</t>
        </is>
      </c>
      <c r="O29" s="39" t="n"/>
      <c r="P29" s="116" t="inlineStr">
        <is>
          <t>lmontoya@iconsultores.com.co</t>
        </is>
      </c>
    </row>
    <row r="30" ht="14.25" customHeight="1">
      <c r="A30" s="108" t="n"/>
      <c r="B30" s="39" t="n">
        <v>20</v>
      </c>
      <c r="C30" s="278" t="inlineStr">
        <is>
          <t>COTIZACION DE LOS DISEÑOS DE PROTECCIÓN CONTRA INCENDIOS - DISCOLMEDICA</t>
        </is>
      </c>
      <c r="I30" s="39" t="inlineStr">
        <is>
          <t>SPCI</t>
        </is>
      </c>
      <c r="J30" s="336" t="n">
        <v>14980000</v>
      </c>
      <c r="K30" s="112" t="n">
        <v>46037</v>
      </c>
      <c r="L30" s="39" t="n"/>
      <c r="M30" s="39" t="n">
        <v>3104165783</v>
      </c>
      <c r="N30" s="39" t="inlineStr">
        <is>
          <t>Cristiam Gustavo Mondragon</t>
        </is>
      </c>
      <c r="O30" s="39" t="inlineStr">
        <is>
          <t>Director técnico</t>
        </is>
      </c>
      <c r="P30" s="52" t="inlineStr">
        <is>
          <t>dir.tecnico@spci.com.co</t>
        </is>
      </c>
    </row>
    <row r="31">
      <c r="A31" s="108" t="n"/>
      <c r="B31" s="39" t="n">
        <v>21</v>
      </c>
      <c r="C31" s="278" t="inlineStr">
        <is>
          <t>COTIZACION DE LOS DISEÑOS DE SEGURIDAD HUMANA Y PROTECCIÓN CONTRA INCENDIOS - KRATO</t>
        </is>
      </c>
      <c r="I31" s="39" t="inlineStr">
        <is>
          <t>Ingesed</t>
        </is>
      </c>
      <c r="J31" s="336" t="n">
        <v>24980000</v>
      </c>
      <c r="K31" s="112" t="n">
        <v>46037</v>
      </c>
      <c r="L31" s="39" t="n"/>
      <c r="M31" s="39" t="n">
        <v>3135401714</v>
      </c>
      <c r="N31" s="39" t="inlineStr">
        <is>
          <t>Eliana Isabel Cardona Ríos</t>
        </is>
      </c>
      <c r="O31" s="39" t="n"/>
      <c r="P31" s="52" t="inlineStr">
        <is>
          <t>comercial@ingesed.com</t>
        </is>
      </c>
    </row>
    <row r="32">
      <c r="A32" s="108" t="n"/>
      <c r="B32" s="39" t="n">
        <v>22</v>
      </c>
      <c r="C32" s="278" t="inlineStr">
        <is>
          <t>COTIZACION DEL ANÁLISIS DE SEGURIDAD HUMANA - MALL MELÉNDEZ</t>
        </is>
      </c>
      <c r="I32" s="39" t="inlineStr">
        <is>
          <t>Coninsa</t>
        </is>
      </c>
      <c r="J32" s="336" t="n">
        <v>9980000</v>
      </c>
      <c r="K32" s="112" t="n">
        <v>46037</v>
      </c>
      <c r="L32" s="39" t="n"/>
      <c r="M32" s="39" t="inlineStr">
        <is>
          <t>315 5264386</t>
        </is>
      </c>
      <c r="N32" s="39" t="inlineStr">
        <is>
          <t>Yuliana Tamayo Zapata</t>
        </is>
      </c>
      <c r="O32" s="39" t="inlineStr">
        <is>
          <t>Profesional Senior de Estructuración Técnica</t>
        </is>
      </c>
      <c r="P32" s="52" t="inlineStr">
        <is>
          <t>ytamayo@coninsa.co</t>
        </is>
      </c>
    </row>
    <row r="33">
      <c r="A33" s="108" t="n"/>
      <c r="B33" s="39" t="n">
        <v>23</v>
      </c>
      <c r="C33" s="278" t="inlineStr">
        <is>
          <t>COTIZACION DEL ANÁLISIS DE SEGURIDAD HUMANA - MALL MELÉNDEZ</t>
        </is>
      </c>
      <c r="I33" s="39" t="inlineStr">
        <is>
          <t>Condiseño</t>
        </is>
      </c>
      <c r="J33" s="336" t="n">
        <v>9980000</v>
      </c>
      <c r="K33" s="112" t="n">
        <v>46037</v>
      </c>
      <c r="L33" s="39" t="n"/>
      <c r="M33" s="39" t="n">
        <v>3175594091</v>
      </c>
      <c r="N33" s="39" t="inlineStr">
        <is>
          <t>Nakary García</t>
        </is>
      </c>
      <c r="O33" s="39" t="inlineStr">
        <is>
          <t>Directora Comercial</t>
        </is>
      </c>
      <c r="P33" s="52" t="inlineStr">
        <is>
          <t>n.garcia@condiseno.co</t>
        </is>
      </c>
    </row>
    <row r="34">
      <c r="A34" s="108" t="n"/>
      <c r="B34" s="39" t="n">
        <v>24</v>
      </c>
      <c r="C34" s="278" t="inlineStr">
        <is>
          <t>COTIZACION DEL DISEÑO DE EXTINCIÓN DE INCENDIOS - FIBRATORE PAVCO</t>
        </is>
      </c>
      <c r="I34" s="39" t="inlineStr">
        <is>
          <t>Prosoma</t>
        </is>
      </c>
      <c r="J34" s="336" t="n">
        <v>25000000</v>
      </c>
      <c r="K34" s="112" t="n">
        <v>46037</v>
      </c>
      <c r="L34" s="39" t="n"/>
      <c r="M34" s="39" t="n">
        <v>3147537411</v>
      </c>
      <c r="N34" s="39" t="inlineStr">
        <is>
          <t>Adolfo Florez Cossio</t>
        </is>
      </c>
      <c r="O34" s="39" t="n"/>
      <c r="P34" s="52" t="inlineStr">
        <is>
          <t>proyectos@prosoma.com.co</t>
        </is>
      </c>
    </row>
    <row r="35" ht="15" customHeight="1">
      <c r="A35" s="108" t="n"/>
      <c r="B35" s="39" t="n">
        <v>25</v>
      </c>
      <c r="C35" s="278" t="inlineStr">
        <is>
          <t>COTIZACION DE LOS DISEÑOS DE PROTECCIÓN CONTRA INCENDIOS - LUKER AGRICOLA</t>
        </is>
      </c>
      <c r="I35" s="39" t="inlineStr">
        <is>
          <t>Ingesed</t>
        </is>
      </c>
      <c r="J35" s="336" t="n">
        <v>12540000</v>
      </c>
      <c r="K35" s="112" t="n">
        <v>46038</v>
      </c>
      <c r="L35" s="39" t="n"/>
      <c r="M35" s="39" t="n">
        <v>3014201614</v>
      </c>
      <c r="N35" s="39" t="inlineStr">
        <is>
          <t>Jhon A. Rodríguez Nieto</t>
        </is>
      </c>
      <c r="O35" s="39" t="n"/>
      <c r="P35" s="116" t="inlineStr">
        <is>
          <t>jrodriguez@ingesed.com</t>
        </is>
      </c>
    </row>
    <row r="36">
      <c r="A36" s="108" t="n"/>
      <c r="B36" s="39" t="n">
        <v>26</v>
      </c>
      <c r="C36" s="278" t="inlineStr">
        <is>
          <t>COTIZACION DE LOS DISEÑOS DE SEGURIDAD HUMANA Y PROTECCIÓN CONTRA INCENDIOS - SELVATICO</t>
        </is>
      </c>
      <c r="I36" s="39" t="inlineStr">
        <is>
          <t>Constructora Fortich</t>
        </is>
      </c>
      <c r="J36" s="336" t="n">
        <v>26920000</v>
      </c>
      <c r="K36" s="112" t="n">
        <v>46038</v>
      </c>
      <c r="L36" s="39" t="n"/>
      <c r="M36" s="39" t="n">
        <v>3153547367</v>
      </c>
      <c r="N36" s="39" t="inlineStr">
        <is>
          <t>Tomás Fortich</t>
        </is>
      </c>
      <c r="O36" s="39" t="n"/>
      <c r="P36" s="52" t="inlineStr">
        <is>
          <t>Constructorafortich@gmail.com</t>
        </is>
      </c>
    </row>
    <row r="37">
      <c r="A37" s="108" t="n"/>
      <c r="B37" s="39" t="n">
        <v>27</v>
      </c>
      <c r="C37" s="278" t="inlineStr">
        <is>
          <t>COTIZACION DEL ANÁLISIS DE SEGURIDAD HUMANA - BOMBEROS CORTIJO</t>
        </is>
      </c>
      <c r="I37" s="39" t="inlineStr">
        <is>
          <t>Londoño Gomez</t>
        </is>
      </c>
      <c r="J37" s="336" t="n">
        <v>1450000</v>
      </c>
      <c r="K37" s="112" t="n">
        <v>46038</v>
      </c>
      <c r="L37" s="39" t="n"/>
      <c r="M37" s="170" t="inlineStr">
        <is>
          <t>3111770 ext 455</t>
        </is>
      </c>
      <c r="N37" s="170" t="inlineStr">
        <is>
          <t>Lina M Saldarriaga</t>
        </is>
      </c>
      <c r="O37" s="39" t="n"/>
      <c r="P37" s="52" t="inlineStr">
        <is>
          <t>lsaldarriaga@interlg.com</t>
        </is>
      </c>
    </row>
    <row r="38">
      <c r="A38" s="108" t="n"/>
      <c r="B38" s="39" t="n">
        <v>28</v>
      </c>
      <c r="C38" s="278" t="inlineStr">
        <is>
          <t>COTIZACION DE LOS DISEÑOS DE SEGURIDAD HUMANA Y PROTECCIÓN CONTRA INCENDIOS - BRUMARIA 2</t>
        </is>
      </c>
      <c r="I38" s="39" t="inlineStr">
        <is>
          <t>Redigroup</t>
        </is>
      </c>
      <c r="J38" s="336" t="n">
        <v>9950000</v>
      </c>
      <c r="K38" s="112" t="n">
        <v>46038</v>
      </c>
      <c r="L38" s="39" t="n"/>
      <c r="M38" s="39" t="n">
        <v>3053533308</v>
      </c>
      <c r="N38" s="39" t="inlineStr">
        <is>
          <t>Santiago Franco</t>
        </is>
      </c>
      <c r="O38" s="39" t="n"/>
      <c r="P38" s="52" t="inlineStr">
        <is>
          <t>santiago.franco@redigroup.co</t>
        </is>
      </c>
    </row>
    <row r="39">
      <c r="A39" s="108" t="n"/>
      <c r="B39" s="39" t="n">
        <v>29</v>
      </c>
      <c r="C39" s="278" t="inlineStr">
        <is>
          <t>COTIZACION DE LOS DISEÑOS DE PROTECCIÓN CONTRA INCENDIOS - AUTOLAND LAS VEGAS</t>
        </is>
      </c>
      <c r="I39" s="39" t="inlineStr">
        <is>
          <t>Ingesed</t>
        </is>
      </c>
      <c r="J39" s="336" t="n">
        <v>21990000</v>
      </c>
      <c r="K39" s="112" t="n">
        <v>46038</v>
      </c>
      <c r="L39" s="39" t="n"/>
      <c r="M39" s="39" t="n">
        <v>3014201614</v>
      </c>
      <c r="N39" s="39" t="inlineStr">
        <is>
          <t>Jhon Rodriguez</t>
        </is>
      </c>
      <c r="O39" s="39" t="n"/>
      <c r="P39" s="52" t="inlineStr">
        <is>
          <t xml:space="preserve">jrodriguez@ingesed.com </t>
        </is>
      </c>
    </row>
    <row r="40">
      <c r="A40" s="108" t="n"/>
      <c r="B40" s="39" t="n">
        <v>30</v>
      </c>
      <c r="C40" s="278" t="inlineStr">
        <is>
          <t>COTIZACION DE LOS DISEÑOS DE PROTECCIÓN CONTRA INCENDIOS - AUTOLAND BARRANQUILLA</t>
        </is>
      </c>
      <c r="I40" s="39" t="inlineStr">
        <is>
          <t>Ingesed</t>
        </is>
      </c>
      <c r="J40" s="336" t="n">
        <v>20550000</v>
      </c>
      <c r="K40" s="112" t="n">
        <v>46038</v>
      </c>
      <c r="L40" s="39" t="n"/>
      <c r="M40" s="39" t="n">
        <v>3014201614</v>
      </c>
      <c r="N40" s="39" t="inlineStr">
        <is>
          <t>Jhon Rodriguez</t>
        </is>
      </c>
      <c r="O40" s="39" t="n"/>
      <c r="P40" s="52" t="inlineStr">
        <is>
          <t xml:space="preserve">jrodriguez@ingesed.com </t>
        </is>
      </c>
    </row>
    <row r="41">
      <c r="A41" s="108" t="n"/>
      <c r="B41" s="39" t="n">
        <v>31</v>
      </c>
      <c r="C41" s="278" t="inlineStr">
        <is>
          <t>COTIZACION DEL DISEÑO DE EXTINCIÓN DE INCENDIOS - HOTEL HERITAGE</t>
        </is>
      </c>
      <c r="I41" s="39" t="inlineStr">
        <is>
          <t>Fire &amp; Equipos</t>
        </is>
      </c>
      <c r="J41" s="336" t="n">
        <v>15000000</v>
      </c>
      <c r="K41" s="112" t="n">
        <v>46041</v>
      </c>
      <c r="L41" s="39" t="n"/>
      <c r="M41" s="39" t="n">
        <v>3134451063</v>
      </c>
      <c r="N41" s="39" t="inlineStr">
        <is>
          <t>Juan José Monsalve</t>
        </is>
      </c>
      <c r="O41" s="39" t="inlineStr">
        <is>
          <t>Director comercial y de proyectos</t>
        </is>
      </c>
      <c r="P41" s="52" t="inlineStr">
        <is>
          <t>Directorcomercial@fireyequipos.com</t>
        </is>
      </c>
    </row>
    <row r="42" ht="15" customHeight="1">
      <c r="A42" s="108" t="n"/>
      <c r="B42" s="39" t="n">
        <v>32</v>
      </c>
      <c r="C42" s="278" t="inlineStr">
        <is>
          <t>COTIZACION DEL DISEÑO DE EXTINCIÓN DE INCENDIOS - SAN NICOLAS</t>
        </is>
      </c>
      <c r="I42" s="39" t="inlineStr">
        <is>
          <t>CC San Nicolas</t>
        </is>
      </c>
      <c r="J42" s="336" t="n">
        <v>39950000</v>
      </c>
      <c r="K42" s="112" t="n">
        <v>46041</v>
      </c>
      <c r="L42" s="39" t="n"/>
      <c r="M42" s="39" t="inlineStr">
        <is>
          <t>6045614886 ext 132</t>
        </is>
      </c>
      <c r="N42" s="39" t="inlineStr">
        <is>
          <t>Yeremy Sebastián Muñoz Zamarra</t>
        </is>
      </c>
      <c r="O42" s="39" t="inlineStr">
        <is>
          <t>Coordinador de infraestructura</t>
        </is>
      </c>
      <c r="P42" s="52" t="inlineStr">
        <is>
          <t>infraestructura@sannicolas.co</t>
        </is>
      </c>
    </row>
    <row r="43">
      <c r="A43" s="108" t="n"/>
      <c r="B43" s="39" t="n">
        <v>33</v>
      </c>
      <c r="C43" s="278" t="inlineStr">
        <is>
          <t>COTIZACION DE LOS DISEÑOS DE PROTECCIÓN CONTRA INCENDIOS - MANANTIALES</t>
        </is>
      </c>
      <c r="I43" s="39" t="inlineStr">
        <is>
          <t>Seriinco</t>
        </is>
      </c>
      <c r="J43" s="336">
        <f>9410000*3</f>
        <v/>
      </c>
      <c r="K43" s="112" t="n">
        <v>46042</v>
      </c>
      <c r="L43" s="39" t="n"/>
      <c r="M43" s="39" t="n">
        <v>3052837617</v>
      </c>
      <c r="N43" s="39" t="inlineStr">
        <is>
          <t>Alvaro Garcia</t>
        </is>
      </c>
      <c r="O43" s="39" t="n"/>
      <c r="P43" s="52" t="inlineStr">
        <is>
          <t>alvaro.garcia@seriinco.com</t>
        </is>
      </c>
    </row>
    <row r="44">
      <c r="A44" s="108" t="n"/>
      <c r="B44" s="39" t="n">
        <v>34</v>
      </c>
      <c r="C44" s="278" t="inlineStr">
        <is>
          <t>COTIZACION DE LOS DISEÑOS DE SEGURIDAD HUMANA Y PROTECCIÓN CONTRA INCENDIOS - AZZURI TORRES 3 Y 4</t>
        </is>
      </c>
      <c r="I44" s="39" t="inlineStr">
        <is>
          <t>Conaltura</t>
        </is>
      </c>
      <c r="J44" s="336">
        <f>15920000*2</f>
        <v/>
      </c>
      <c r="K44" s="112" t="n">
        <v>46042</v>
      </c>
      <c r="L44" s="39" t="n"/>
      <c r="M44" s="39" t="n">
        <v>3122310202</v>
      </c>
      <c r="N44" s="39" t="inlineStr">
        <is>
          <t>Yesenia Pareja</t>
        </is>
      </c>
      <c r="O44" s="39" t="inlineStr">
        <is>
          <t>Profesional Técnico</t>
        </is>
      </c>
      <c r="P44" s="116" t="inlineStr">
        <is>
          <t>ypareja@conaltura.com</t>
        </is>
      </c>
    </row>
    <row r="45">
      <c r="A45" s="108" t="n"/>
      <c r="B45" s="39" t="n">
        <v>35</v>
      </c>
      <c r="C45" s="278" t="inlineStr">
        <is>
          <t>COTIZACION DEL DISEÑO DE EXTINCIÓN DE INCENDIOS - AURORA</t>
        </is>
      </c>
      <c r="I45" s="39" t="inlineStr">
        <is>
          <t>Constructora MC</t>
        </is>
      </c>
      <c r="J45" s="314" t="n">
        <v>2950000</v>
      </c>
      <c r="K45" s="112" t="n">
        <v>46042</v>
      </c>
      <c r="L45" s="2" t="n"/>
      <c r="M45" s="39" t="n"/>
      <c r="N45" s="39" t="inlineStr">
        <is>
          <t>Yurany Orozco</t>
        </is>
      </c>
      <c r="O45" s="39" t="n"/>
      <c r="P45" s="116" t="inlineStr">
        <is>
          <t>yuranyorozcoconstructoramc@gmail.com</t>
        </is>
      </c>
    </row>
    <row r="46">
      <c r="A46" s="108" t="n"/>
      <c r="B46" s="39" t="n">
        <v>36</v>
      </c>
      <c r="C46" s="278" t="inlineStr">
        <is>
          <t>COTIZACION DEL DISEÑO DE EXTINCIÓN DE INCENDIOS - TORRE GÉNESIS</t>
        </is>
      </c>
      <c r="I46" s="39" t="inlineStr">
        <is>
          <t>Constructora MC</t>
        </is>
      </c>
      <c r="J46" s="336" t="n">
        <v>3250000</v>
      </c>
      <c r="K46" s="112" t="n">
        <v>46042</v>
      </c>
      <c r="L46" s="39" t="n"/>
      <c r="M46" s="39" t="n"/>
      <c r="N46" s="39" t="inlineStr">
        <is>
          <t>Yurany Orozco</t>
        </is>
      </c>
      <c r="O46" s="39" t="n"/>
      <c r="P46" s="52" t="inlineStr">
        <is>
          <t>yuranyorozcoconstructoramc@gmail.com</t>
        </is>
      </c>
    </row>
    <row r="47">
      <c r="A47" s="108" t="n"/>
      <c r="B47" s="39" t="n">
        <v>37</v>
      </c>
      <c r="C47" s="278" t="inlineStr">
        <is>
          <t>COTIZACION DE LOS DISEÑOS DE SEGURIDAD HUMANA Y PROTECCIÓN CONTRA INCENDIOS - I.E.NUEVA COLONIA</t>
        </is>
      </c>
      <c r="I47" s="39" t="inlineStr">
        <is>
          <t>IngenioBIM</t>
        </is>
      </c>
      <c r="J47" s="336" t="n">
        <v>39880000</v>
      </c>
      <c r="K47" s="112" t="n">
        <v>46042</v>
      </c>
      <c r="L47" s="39" t="n"/>
      <c r="M47" s="39" t="n">
        <v>3044244065</v>
      </c>
      <c r="N47" s="39" t="inlineStr">
        <is>
          <t>Nasly Caro</t>
        </is>
      </c>
      <c r="O47" s="39" t="n"/>
      <c r="P47" s="116" t="n"/>
    </row>
    <row r="48">
      <c r="A48" s="108" t="n"/>
      <c r="B48" s="39" t="n">
        <v>38</v>
      </c>
      <c r="C48" s="278" t="inlineStr">
        <is>
          <t>COTIZACION DE LOS DISEÑOS DE SEGURIDAD HUMANA Y PROTECCIÓN CONTRA INCENDIOS - CARDIO INFANTIL PISO 2</t>
        </is>
      </c>
      <c r="I48" s="39" t="inlineStr">
        <is>
          <t>Condiseño</t>
        </is>
      </c>
      <c r="J48" s="336" t="n">
        <v>10950000</v>
      </c>
      <c r="K48" s="112" t="n">
        <v>46042</v>
      </c>
      <c r="L48" s="39" t="n"/>
      <c r="M48" s="39" t="n">
        <v>3175594091</v>
      </c>
      <c r="N48" s="39" t="inlineStr">
        <is>
          <t>Nakary García</t>
        </is>
      </c>
      <c r="O48" s="39" t="inlineStr">
        <is>
          <t>Directora Comercial</t>
        </is>
      </c>
      <c r="P48" s="52" t="inlineStr">
        <is>
          <t>n.garcia@condiseno.co</t>
        </is>
      </c>
    </row>
    <row r="49" ht="15" customHeight="1">
      <c r="A49" s="108" t="n"/>
      <c r="B49" s="39" t="n">
        <v>39</v>
      </c>
      <c r="C49" s="278" t="inlineStr">
        <is>
          <t>COTIZACION DE LOS DISEÑOS DE SEGURIDAD HUMANA Y PROTECCIÓN CONTRA INCENDIOS - TIERRAVIVA</t>
        </is>
      </c>
      <c r="I49" s="39" t="inlineStr">
        <is>
          <t>Mensula</t>
        </is>
      </c>
      <c r="J49" s="336" t="n">
        <v>39950000</v>
      </c>
      <c r="K49" s="112" t="n">
        <v>46043</v>
      </c>
      <c r="L49" s="39" t="n"/>
      <c r="M49" s="39" t="n">
        <v>3188712570</v>
      </c>
      <c r="N49" s="39" t="inlineStr">
        <is>
          <t>Javier A. Zapa Oyola</t>
        </is>
      </c>
      <c r="O49" s="39" t="n"/>
      <c r="P49" s="52" t="inlineStr">
        <is>
          <t>javierzapa@mensulaingenieros.com</t>
        </is>
      </c>
    </row>
    <row r="50" ht="15" customHeight="1">
      <c r="A50" s="108" t="n"/>
      <c r="B50" s="39" t="n">
        <v>40</v>
      </c>
      <c r="C50" s="278" t="inlineStr">
        <is>
          <t>COTIZACIÓN DE LA REVISIÓN TÉCNICA PARA LA RED CONTRA INCENDIOS NUEVA Y EXISTENTE DEL EDIFICIO 43 AVENIDA</t>
        </is>
      </c>
      <c r="I50" s="39" t="inlineStr">
        <is>
          <t>ACEIS</t>
        </is>
      </c>
      <c r="J50" s="336" t="n">
        <v>5000000</v>
      </c>
      <c r="K50" s="112" t="n">
        <v>46043</v>
      </c>
      <c r="L50" s="39" t="n"/>
      <c r="M50" s="39" t="n">
        <v>3168335985</v>
      </c>
      <c r="N50" s="39" t="inlineStr">
        <is>
          <t>Andrés Gómez</t>
        </is>
      </c>
      <c r="O50" s="39" t="inlineStr">
        <is>
          <t>Administración Edificio 43 Avenida</t>
        </is>
      </c>
      <c r="P50" s="52" t="inlineStr">
        <is>
          <t>administracion.43avenida@aceis.com.co</t>
        </is>
      </c>
    </row>
    <row r="51">
      <c r="A51" s="108" t="n"/>
      <c r="B51" s="39" t="n">
        <v>41</v>
      </c>
      <c r="C51" s="278" t="inlineStr">
        <is>
          <t>COTIZACION DE LOS DISEÑOS DE SEGURIDAD HUMANA Y PROTECCIÓN CONTRA INCENDIOS -LA 30 ETAPA 1</t>
        </is>
      </c>
      <c r="I51" s="39" t="inlineStr">
        <is>
          <t>Constructora Altos de la Abadía</t>
        </is>
      </c>
      <c r="J51" s="336" t="n">
        <v>20000000</v>
      </c>
      <c r="K51" s="112" t="n">
        <v>46044</v>
      </c>
      <c r="L51" s="39" t="n"/>
      <c r="M51" s="39" t="n">
        <v>3175180141</v>
      </c>
      <c r="N51" s="39" t="inlineStr">
        <is>
          <t>Esteban Ramírez Pineda</t>
        </is>
      </c>
      <c r="O51" s="39" t="inlineStr">
        <is>
          <t xml:space="preserve">Subgerente diseños técnicos </t>
        </is>
      </c>
      <c r="P51" s="116" t="inlineStr">
        <is>
          <t xml:space="preserve">e.ramirez@altosdelaabadia.com  
</t>
        </is>
      </c>
    </row>
    <row r="52">
      <c r="A52" s="108" t="n"/>
      <c r="B52" s="39" t="n">
        <v>42</v>
      </c>
      <c r="C52" s="278" t="inlineStr">
        <is>
          <t>COTIZACION DEL DISEÑO DE EXTINCIÓN DE INCENDIOS - BLOQUE B</t>
        </is>
      </c>
      <c r="I52" s="39" t="inlineStr">
        <is>
          <t>Universidad Pontificia Bolivariana</t>
        </is>
      </c>
      <c r="J52" s="336" t="n">
        <v>19950000</v>
      </c>
      <c r="K52" s="112" t="n">
        <v>46044</v>
      </c>
      <c r="L52" s="39" t="n"/>
      <c r="M52" s="39" t="n">
        <v>6044455900</v>
      </c>
      <c r="N52" s="39" t="inlineStr">
        <is>
          <t>Maribel Gutiérrez Cifuentes</t>
        </is>
      </c>
      <c r="O52" s="39" t="n"/>
      <c r="P52" s="52" t="inlineStr">
        <is>
          <t>maribel.gutierrez@upb.edu.co</t>
        </is>
      </c>
    </row>
    <row r="53">
      <c r="A53" s="108" t="n"/>
      <c r="B53" s="39" t="n">
        <v>43</v>
      </c>
      <c r="C53" s="278" t="inlineStr">
        <is>
          <t>COTIZACION DE LOS DISEÑOS DE SEGURIDAD HUMANA Y PROTECCIÓN CONTRA INCENDIOS - CC MONTERREY</t>
        </is>
      </c>
      <c r="I53" s="39" t="inlineStr">
        <is>
          <t>I+Constructora</t>
        </is>
      </c>
      <c r="J53" s="336" t="n">
        <v>69950000</v>
      </c>
      <c r="K53" s="112" t="n">
        <v>46044</v>
      </c>
      <c r="L53" s="39" t="n"/>
      <c r="M53" s="39" t="n">
        <v>6044443091</v>
      </c>
      <c r="N53" s="39" t="inlineStr">
        <is>
          <t>Juan Guillermo Urrea Tabares</t>
        </is>
      </c>
      <c r="O53" s="39" t="n"/>
      <c r="P53" s="52" t="inlineStr">
        <is>
          <t>juangurreat@iconsultores.com.co</t>
        </is>
      </c>
    </row>
    <row r="54">
      <c r="A54" s="108" t="n"/>
      <c r="B54" s="39" t="n">
        <v>44</v>
      </c>
      <c r="C54" s="278" t="inlineStr">
        <is>
          <t>COTIZACION DE LOS DISEÑOS DE PROTECCIÓN CONTRA INCENDIOS - OKRE</t>
        </is>
      </c>
      <c r="I54" s="39" t="inlineStr">
        <is>
          <t>Nivelum</t>
        </is>
      </c>
      <c r="J54" s="336" t="n">
        <v>18150000</v>
      </c>
      <c r="K54" s="112" t="n">
        <v>46044</v>
      </c>
      <c r="L54" s="39" t="n"/>
      <c r="M54" s="39" t="n">
        <v>3146620375</v>
      </c>
      <c r="N54" s="39" t="inlineStr">
        <is>
          <t>Sergio Osorio</t>
        </is>
      </c>
      <c r="O54" s="39" t="n"/>
      <c r="P54" s="52" t="inlineStr">
        <is>
          <t>sosorio@nivelum.com</t>
        </is>
      </c>
    </row>
    <row r="55">
      <c r="A55" s="108" t="n"/>
      <c r="B55" s="39" t="n">
        <v>45</v>
      </c>
      <c r="C55" s="278" t="inlineStr">
        <is>
          <t>COTIZACION DE LOS DISEÑOS DE SEGURIDAD HUMANA Y PROTECCIÓN CONTRA INCENDIOS - PROPIEDAD DE 157.000 M2</t>
        </is>
      </c>
      <c r="I55" s="39" t="inlineStr">
        <is>
          <t>Condiseño</t>
        </is>
      </c>
      <c r="J55" s="336" t="n">
        <v>25000000</v>
      </c>
      <c r="K55" s="112" t="n">
        <v>46044</v>
      </c>
      <c r="L55" s="39" t="n"/>
      <c r="M55" s="39" t="n">
        <v>3175594091</v>
      </c>
      <c r="N55" s="39" t="inlineStr">
        <is>
          <t>Nakary García</t>
        </is>
      </c>
      <c r="O55" s="39" t="inlineStr">
        <is>
          <t>Directora Comercial</t>
        </is>
      </c>
      <c r="P55" s="52" t="inlineStr">
        <is>
          <t>n.garcia@condiseno.co</t>
        </is>
      </c>
    </row>
    <row r="56">
      <c r="A56" s="108" t="n"/>
      <c r="B56" s="39" t="n">
        <v>46</v>
      </c>
      <c r="C56" s="278" t="inlineStr">
        <is>
          <t>COTIZACION DE LOS DISEÑOS DE SEGURIDAD HUMANA Y PROTECCIÓN CONTRA INCENDIOS - JIBC CHAMBACÚ</t>
        </is>
      </c>
      <c r="I56" s="39" t="inlineStr">
        <is>
          <t>MGL Ingenieros</t>
        </is>
      </c>
      <c r="J56" s="336" t="n">
        <v>6950000</v>
      </c>
      <c r="K56" s="112" t="n">
        <v>46044</v>
      </c>
      <c r="L56" s="39" t="n"/>
      <c r="M56" s="39" t="n">
        <v>3104297680</v>
      </c>
      <c r="N56" s="39" t="inlineStr">
        <is>
          <t>Faber Betancur</t>
        </is>
      </c>
      <c r="O56" s="39" t="n"/>
      <c r="P56" s="116" t="n"/>
    </row>
    <row r="57">
      <c r="A57" s="108" t="n"/>
      <c r="B57" s="39" t="n">
        <v>47</v>
      </c>
      <c r="C57" s="278" t="inlineStr">
        <is>
          <t>COTIZACION DEL DISEÑO DE EXTINCIÓN DE INCENDIOS - NEIVANA</t>
        </is>
      </c>
      <c r="I57" s="39" t="inlineStr">
        <is>
          <t>Fire &amp; Equipos</t>
        </is>
      </c>
      <c r="J57" s="336" t="n">
        <v>11950000</v>
      </c>
      <c r="K57" s="112" t="n">
        <v>46044</v>
      </c>
      <c r="L57" s="39" t="n"/>
      <c r="M57" s="39" t="inlineStr">
        <is>
          <t xml:space="preserve">	3136650714</t>
        </is>
      </c>
      <c r="N57" s="39" t="inlineStr">
        <is>
          <t>Samuel Piedrahíta</t>
        </is>
      </c>
      <c r="O57" s="39" t="inlineStr">
        <is>
          <t>Director Técnico</t>
        </is>
      </c>
      <c r="P57" s="52" t="inlineStr">
        <is>
          <t>operaciones.fireyequipos@gmail.com</t>
        </is>
      </c>
    </row>
    <row r="58">
      <c r="A58" s="108" t="n"/>
      <c r="B58" s="39" t="n">
        <v>48</v>
      </c>
      <c r="C58" s="278" t="inlineStr">
        <is>
          <t>COTIZACION DEL ANÁLISIS DE SEGURIDAD HUMANA - BODEGA JERÓNIMO MARTINS MOSQUERA</t>
        </is>
      </c>
      <c r="I58" s="39" t="inlineStr">
        <is>
          <t>Conconcreto</t>
        </is>
      </c>
      <c r="J58" s="336" t="n">
        <v>11950000</v>
      </c>
      <c r="K58" s="112" t="n">
        <v>46046</v>
      </c>
      <c r="L58" s="39" t="n"/>
      <c r="M58" s="39" t="n">
        <v>3003404902</v>
      </c>
      <c r="N58" s="39" t="inlineStr">
        <is>
          <t>Pilar Arango Restrepo</t>
        </is>
      </c>
      <c r="O58" s="39" t="inlineStr">
        <is>
          <t>Coordinadora de Diseño y Arquitectura</t>
        </is>
      </c>
      <c r="P58" s="116" t="inlineStr">
        <is>
          <t>parangor@conconcreto.com</t>
        </is>
      </c>
    </row>
    <row r="59">
      <c r="A59" s="108" t="n"/>
      <c r="B59" s="39" t="n">
        <v>49</v>
      </c>
      <c r="C59" s="278" t="inlineStr">
        <is>
          <t>COTIZACION DE LOS DISEÑOS DE SEGURIDAD HUMANA Y DETECCIÓN DE INCENDIOS - BRENTA</t>
        </is>
      </c>
      <c r="I59" s="39" t="inlineStr">
        <is>
          <t>Cusezar</t>
        </is>
      </c>
      <c r="J59" s="336" t="n">
        <v>53950000</v>
      </c>
      <c r="K59" s="112" t="n">
        <v>46048</v>
      </c>
      <c r="L59" s="39" t="n"/>
      <c r="M59" s="39" t="n">
        <v>6516066</v>
      </c>
      <c r="N59" s="125" t="inlineStr">
        <is>
          <t>Olinda Milena Borja Villamil</t>
        </is>
      </c>
      <c r="O59" s="39" t="n"/>
      <c r="P59" s="52" t="inlineStr">
        <is>
          <t>oborja@cusezar.com</t>
        </is>
      </c>
    </row>
    <row r="60">
      <c r="A60" s="108" t="n"/>
      <c r="B60" s="39" t="n">
        <v>50</v>
      </c>
      <c r="C60" s="278" t="inlineStr">
        <is>
          <t>COTIZACION DEL DISEÑO DE EXTINCIÓN DE INCENDIOS - PORTO</t>
        </is>
      </c>
      <c r="I60" s="39" t="inlineStr">
        <is>
          <t>Tres E</t>
        </is>
      </c>
      <c r="J60" s="336" t="n">
        <v>27550000</v>
      </c>
      <c r="K60" s="112" t="n">
        <v>46048</v>
      </c>
      <c r="L60" s="39" t="n"/>
      <c r="M60" s="39" t="n"/>
      <c r="N60" s="39" t="inlineStr">
        <is>
          <t>Alejandro Restrepo</t>
        </is>
      </c>
      <c r="O60" s="39" t="n"/>
      <c r="P60" s="116" t="inlineStr">
        <is>
          <t>alejandrorestrepo@tres-e.com</t>
        </is>
      </c>
    </row>
    <row r="61">
      <c r="A61" s="108" t="n"/>
      <c r="B61" s="39" t="n">
        <v>51</v>
      </c>
      <c r="C61" s="278" t="inlineStr">
        <is>
          <t>COTIZACION DEL ANÁLISIS DE SEGURIDAD HUMANA - COLEGIO COLUMBUS</t>
        </is>
      </c>
      <c r="I61" s="39" t="inlineStr">
        <is>
          <t>Condiseño</t>
        </is>
      </c>
      <c r="J61" s="336" t="n">
        <v>15000000</v>
      </c>
      <c r="K61" s="112" t="n">
        <v>46048</v>
      </c>
      <c r="L61" s="39" t="n"/>
      <c r="M61" s="39" t="n">
        <v>3175594091</v>
      </c>
      <c r="N61" s="39" t="inlineStr">
        <is>
          <t>Nakary García</t>
        </is>
      </c>
      <c r="O61" s="39" t="inlineStr">
        <is>
          <t>Directora Comercial</t>
        </is>
      </c>
      <c r="P61" s="52" t="inlineStr">
        <is>
          <t>n.garcia@condiseno.co</t>
        </is>
      </c>
    </row>
    <row r="62">
      <c r="A62" s="108" t="n"/>
      <c r="B62" s="39" t="n">
        <v>52</v>
      </c>
      <c r="C62" s="278" t="inlineStr">
        <is>
          <t>COTIZACION DE LOS DISEÑOS DE SEGURIDAD HUMANA Y PROTECCIÓN CONTRA INCENDIOS - AMPLIACIÓN PARK 10</t>
        </is>
      </c>
      <c r="I62" s="39" t="inlineStr">
        <is>
          <t>Camilo Pineda</t>
        </is>
      </c>
      <c r="J62" s="336" t="n">
        <v>24000000</v>
      </c>
      <c r="K62" s="112" t="n">
        <v>46050</v>
      </c>
      <c r="L62" s="39" t="n"/>
      <c r="M62" s="39" t="n"/>
      <c r="N62" s="39" t="inlineStr">
        <is>
          <t>Camilo Pineda</t>
        </is>
      </c>
      <c r="O62" s="39" t="inlineStr">
        <is>
          <t>Arquitecto</t>
        </is>
      </c>
      <c r="P62" s="116" t="n"/>
    </row>
    <row r="63">
      <c r="A63" s="108" t="n"/>
      <c r="B63" s="39" t="n">
        <v>53</v>
      </c>
      <c r="C63" s="278" t="inlineStr">
        <is>
          <t>COTIZACION DEL ANÁLISIS DE SEGURIDAD HUMANA - VIVIENDA PRADO PINZÓN</t>
        </is>
      </c>
      <c r="I63" s="39" t="inlineStr">
        <is>
          <t>Conconcreto</t>
        </is>
      </c>
      <c r="J63" s="336" t="n">
        <v>8780000</v>
      </c>
      <c r="K63" s="112" t="n">
        <v>46051</v>
      </c>
      <c r="L63" s="39" t="n"/>
      <c r="M63" s="39" t="n">
        <v>3148721400</v>
      </c>
      <c r="N63" s="39" t="inlineStr">
        <is>
          <t>Adriana Agudelo López</t>
        </is>
      </c>
      <c r="O63" s="39" t="inlineStr">
        <is>
          <t>Arquitecta Coordinadora</t>
        </is>
      </c>
      <c r="P63" s="52" t="inlineStr">
        <is>
          <t>aagudelol@conconcreto.com</t>
        </is>
      </c>
    </row>
    <row r="64">
      <c r="A64" s="108" t="n"/>
      <c r="B64" s="39" t="n">
        <v>54</v>
      </c>
      <c r="C64" s="278" t="inlineStr">
        <is>
          <t>COTIZACION DEL DISEÑO DE EXTINCIÓN DE INCENDIOS - POLÍGONO</t>
        </is>
      </c>
      <c r="I64" s="39" t="inlineStr">
        <is>
          <t>GEODIC</t>
        </is>
      </c>
      <c r="J64" s="336" t="n">
        <v>2500000</v>
      </c>
      <c r="K64" s="112" t="n">
        <v>46050</v>
      </c>
      <c r="L64" s="39" t="n"/>
      <c r="M64" s="39" t="n"/>
      <c r="N64" s="39" t="inlineStr">
        <is>
          <t>Andrés Mauricio Muñoz Molina</t>
        </is>
      </c>
      <c r="O64" s="39" t="n"/>
      <c r="P64" s="52" t="inlineStr">
        <is>
          <t>directorpoligono.geodic@hotmail.com</t>
        </is>
      </c>
    </row>
    <row r="65">
      <c r="A65" s="108" t="n"/>
      <c r="B65" s="39" t="n">
        <v>55</v>
      </c>
      <c r="C65" s="278" t="inlineStr">
        <is>
          <t>COTIZACION DE LOS DISEÑOS DE SEGURIDAD HUMANA Y PROTECCIÓN CONTRA INCENDIOS - PALAU VOILA Y LEPINOT</t>
        </is>
      </c>
      <c r="I65" s="39" t="inlineStr">
        <is>
          <t>Inversiones TP</t>
        </is>
      </c>
      <c r="J65" s="336" t="n">
        <v>26950000</v>
      </c>
      <c r="K65" s="112" t="n">
        <v>46051</v>
      </c>
      <c r="L65" s="39" t="n"/>
      <c r="M65" s="39" t="n">
        <v>3207202429</v>
      </c>
      <c r="N65" s="39" t="inlineStr">
        <is>
          <t xml:space="preserve">
Diana Patricia Giraldo Roman</t>
        </is>
      </c>
      <c r="O65" s="39" t="n"/>
      <c r="P65" s="52" t="inlineStr">
        <is>
          <t>sstdianagiraldo@gmail.com</t>
        </is>
      </c>
    </row>
    <row r="66">
      <c r="A66" s="108" t="n"/>
      <c r="B66" s="39" t="n">
        <v>56</v>
      </c>
      <c r="C66" s="278" t="inlineStr">
        <is>
          <t>COTIZACION DEL ANÁLISIS DE SEGURIDAD HUMANA - INSTITUCIÓN ETNOEDUCATIVA NUEVA COLONIA</t>
        </is>
      </c>
      <c r="I66" s="39" t="inlineStr">
        <is>
          <t>Conconcreto</t>
        </is>
      </c>
      <c r="J66" s="336" t="n">
        <v>7500000</v>
      </c>
      <c r="K66" s="112" t="n">
        <v>46051</v>
      </c>
      <c r="L66" s="39" t="n"/>
      <c r="M66" s="39" t="n">
        <v>3206194853</v>
      </c>
      <c r="N66" s="39" t="inlineStr">
        <is>
          <t>Laura Sofia Foronda Vasquez</t>
        </is>
      </c>
      <c r="O66" s="39" t="inlineStr">
        <is>
          <t>Auxiliar administrativa ofertas y presupuestos</t>
        </is>
      </c>
      <c r="P66" s="52" t="inlineStr">
        <is>
          <t>lforondav@conconcreto.com</t>
        </is>
      </c>
    </row>
    <row r="67">
      <c r="A67" s="108" t="n"/>
      <c r="B67" s="39" t="n">
        <v>57</v>
      </c>
      <c r="C67" s="278" t="inlineStr">
        <is>
          <t>COTIZACION DEL DISEÑO DE EXTINCIÓN DE INCENDIOS - HACEB</t>
        </is>
      </c>
      <c r="I67" s="39" t="inlineStr">
        <is>
          <t>Seriinco</t>
        </is>
      </c>
      <c r="J67" s="336" t="n">
        <v>27000000</v>
      </c>
      <c r="K67" s="112" t="n">
        <v>46051</v>
      </c>
      <c r="L67" s="170" t="n"/>
      <c r="M67" s="39" t="n">
        <v>3052837617</v>
      </c>
      <c r="N67" s="39" t="inlineStr">
        <is>
          <t>Alvaro Garcia</t>
        </is>
      </c>
      <c r="O67" s="39" t="n"/>
      <c r="P67" s="52" t="inlineStr">
        <is>
          <t>alvaro.garcia@seriinco.com</t>
        </is>
      </c>
    </row>
    <row r="68">
      <c r="A68" s="108" t="n"/>
      <c r="B68" s="39" t="n">
        <v>58</v>
      </c>
      <c r="C68" s="278" t="inlineStr">
        <is>
          <t>COTIZACION DEL DISEÑO DE LA SUCCIÓN DE LA BOMBA CONTRA INCENDIOS - PLANTA RYMEL</t>
        </is>
      </c>
      <c r="I68" s="39" t="inlineStr">
        <is>
          <t>Rymel</t>
        </is>
      </c>
      <c r="J68" s="336" t="n">
        <v>4000000</v>
      </c>
      <c r="K68" s="112" t="n">
        <v>46051</v>
      </c>
      <c r="L68" s="39" t="n"/>
      <c r="M68" s="39" t="n">
        <v>3209066577</v>
      </c>
      <c r="N68" s="39" t="inlineStr">
        <is>
          <t>Juan David Cano</t>
        </is>
      </c>
      <c r="O68" s="39" t="n"/>
      <c r="P68" s="116" t="n"/>
    </row>
    <row r="69">
      <c r="A69" s="108" t="n"/>
      <c r="B69" s="39" t="n">
        <v>59</v>
      </c>
      <c r="C69" s="278" t="inlineStr">
        <is>
          <t>COTIZACION DEL ANÁLISIS DE SEGURIDAD HUMANA - SEDE ADMINISTRATIVA VERSALLES</t>
        </is>
      </c>
      <c r="I69" s="39" t="inlineStr">
        <is>
          <t>Coprocenva</t>
        </is>
      </c>
      <c r="J69" s="336" t="n">
        <v>5950000</v>
      </c>
      <c r="K69" s="112" t="n">
        <v>46052</v>
      </c>
      <c r="L69" s="39" t="n"/>
      <c r="M69" s="39" t="n"/>
      <c r="N69" s="39" t="inlineStr">
        <is>
          <t xml:space="preserve"> Juan Paulo Valdés</t>
        </is>
      </c>
      <c r="O69" s="39" t="n"/>
      <c r="P69" s="52" t="inlineStr">
        <is>
          <t>coordinadorinfraestructura@coprocenva.coop</t>
        </is>
      </c>
    </row>
    <row r="70" ht="15" customHeight="1">
      <c r="A70" s="108" t="n"/>
      <c r="B70" s="39" t="n">
        <v>60</v>
      </c>
      <c r="C70" s="278" t="inlineStr">
        <is>
          <t>COTIZACION DE LOS DISEÑOS DE SEGURIDAD HUMANA Y PROTECCIÓN CONTRA INCENDIOS - NIWA</t>
        </is>
      </c>
      <c r="I70" s="39" t="inlineStr">
        <is>
          <t>IS Civiles</t>
        </is>
      </c>
      <c r="J70" s="336" t="n">
        <v>2500000</v>
      </c>
      <c r="K70" s="112" t="n">
        <v>46052</v>
      </c>
      <c r="L70" s="39" t="n"/>
      <c r="M70" s="39" t="inlineStr">
        <is>
          <t>3143624300/3007518982</t>
        </is>
      </c>
      <c r="N70" s="39" t="inlineStr">
        <is>
          <t xml:space="preserve">Heder Alvarez Cardozo </t>
        </is>
      </c>
      <c r="O70" s="39" t="n"/>
      <c r="P70" s="52" t="inlineStr">
        <is>
          <t>heder.cardozo@isciviles.com.co</t>
        </is>
      </c>
    </row>
    <row r="71">
      <c r="A71" s="108" t="n"/>
      <c r="B71" s="39" t="n">
        <v>61</v>
      </c>
      <c r="C71" s="278" t="inlineStr">
        <is>
          <t>COTIZACION DEL DISEÑO DE DETECCIÓN DE INCENDIOS - PELDAR TORRE RESIDENCIAL PRIMERA ETAPA</t>
        </is>
      </c>
      <c r="I71" s="39" t="inlineStr">
        <is>
          <t>H&amp;Fire</t>
        </is>
      </c>
      <c r="J71" s="336" t="n">
        <v>13550000</v>
      </c>
      <c r="K71" s="112" t="n">
        <v>46052</v>
      </c>
      <c r="L71" s="39" t="n"/>
      <c r="M71" s="39" t="n">
        <v>4798165</v>
      </c>
      <c r="N71" s="125" t="inlineStr">
        <is>
          <t>Juliana Jaramillo</t>
        </is>
      </c>
      <c r="O71" s="39" t="inlineStr">
        <is>
          <t>Delineante de Ingeniería</t>
        </is>
      </c>
      <c r="P71" s="52" t="inlineStr">
        <is>
          <t>diseno@hyfiresas.com</t>
        </is>
      </c>
    </row>
    <row r="72">
      <c r="A72" s="108" t="n"/>
      <c r="B72" s="39" t="n">
        <v>62</v>
      </c>
      <c r="C72" s="278" t="inlineStr">
        <is>
          <t>COTIZACION DEL DISEÑO DE DETECCIÓN DE INCENDIOS - CELESTI T1</t>
        </is>
      </c>
      <c r="I72" s="39" t="inlineStr">
        <is>
          <t>H&amp;Fire</t>
        </is>
      </c>
      <c r="J72" s="336" t="n">
        <v>7250000</v>
      </c>
      <c r="K72" s="112" t="n">
        <v>46052</v>
      </c>
      <c r="L72" s="39" t="n"/>
      <c r="M72" s="39" t="n">
        <v>4798165</v>
      </c>
      <c r="N72" s="125" t="inlineStr">
        <is>
          <t>Juliana Jaramillo</t>
        </is>
      </c>
      <c r="O72" s="39" t="inlineStr">
        <is>
          <t>Delineante de Ingeniería</t>
        </is>
      </c>
      <c r="P72" s="52" t="inlineStr">
        <is>
          <t>diseno@hyfiresas.com</t>
        </is>
      </c>
    </row>
    <row r="73">
      <c r="A73" s="108" t="n"/>
      <c r="B73" s="39" t="n">
        <v>63</v>
      </c>
      <c r="C73" s="278" t="inlineStr">
        <is>
          <t>COTIZACION DEL DISEÑO DE DETECCIÓN DE INCENDIOS - FANTASIA T2</t>
        </is>
      </c>
      <c r="I73" s="39" t="inlineStr">
        <is>
          <t>H&amp;Fire</t>
        </is>
      </c>
      <c r="J73" s="336" t="n">
        <v>6950000</v>
      </c>
      <c r="K73" s="112" t="n">
        <v>46052</v>
      </c>
      <c r="L73" s="39" t="n"/>
      <c r="M73" s="39" t="n">
        <v>4798165</v>
      </c>
      <c r="N73" s="125" t="inlineStr">
        <is>
          <t>Juliana Jaramillo</t>
        </is>
      </c>
      <c r="O73" s="39" t="inlineStr">
        <is>
          <t>Delineante de Ingeniería</t>
        </is>
      </c>
      <c r="P73" s="52" t="inlineStr">
        <is>
          <t>diseno@hyfiresas.com</t>
        </is>
      </c>
    </row>
    <row r="74" ht="15" customHeight="1">
      <c r="A74" s="108" t="n"/>
      <c r="B74" s="39" t="n">
        <v>64</v>
      </c>
      <c r="C74" s="278" t="inlineStr">
        <is>
          <t>COTIZACION DEL DISEÑO DE DETECCIÓN DE INCENDIOS - LAZARITO</t>
        </is>
      </c>
      <c r="I74" s="39" t="inlineStr">
        <is>
          <t>H&amp;Fire</t>
        </is>
      </c>
      <c r="J74" s="336" t="n">
        <v>19500000</v>
      </c>
      <c r="K74" s="112" t="n">
        <v>46052</v>
      </c>
      <c r="L74" s="39" t="n"/>
      <c r="M74" s="39" t="n">
        <v>4798165</v>
      </c>
      <c r="N74" s="125" t="inlineStr">
        <is>
          <t>Juliana Jaramillo</t>
        </is>
      </c>
      <c r="O74" s="39" t="inlineStr">
        <is>
          <t>Delineante de Ingeniería</t>
        </is>
      </c>
      <c r="P74" s="52" t="inlineStr">
        <is>
          <t>diseno@hyfiresas.com</t>
        </is>
      </c>
    </row>
    <row r="75">
      <c r="A75" s="108" t="n"/>
      <c r="B75" s="39" t="n">
        <v>65</v>
      </c>
      <c r="C75" s="278" t="inlineStr">
        <is>
          <t>COTIZACION DEL DISEÑO DE EXTINCIÓN DE INCENDIOS - HACEB ROCIADORES</t>
        </is>
      </c>
      <c r="I75" s="39" t="inlineStr">
        <is>
          <t>SPCI</t>
        </is>
      </c>
      <c r="J75" s="336" t="n">
        <v>42000000</v>
      </c>
      <c r="K75" s="112" t="n">
        <v>46053</v>
      </c>
      <c r="L75" s="39" t="n"/>
      <c r="M75" s="39" t="n">
        <v>3104165783</v>
      </c>
      <c r="N75" s="39" t="inlineStr">
        <is>
          <t>Cristiam Gustavo Mondragon</t>
        </is>
      </c>
      <c r="O75" s="39" t="inlineStr">
        <is>
          <t>Director técnico</t>
        </is>
      </c>
      <c r="P75" s="52" t="inlineStr">
        <is>
          <t>dir.tecnico@spci.com.co</t>
        </is>
      </c>
    </row>
    <row r="76">
      <c r="A76" s="108" t="n"/>
      <c r="B76" s="39" t="n">
        <v>66</v>
      </c>
      <c r="C76" s="278" t="inlineStr">
        <is>
          <t>COTIZACION DE LOS DISEÑOS DE PROTECCIÓN CONTRA INCENDIOS - GAS PAÍS</t>
        </is>
      </c>
      <c r="I76" s="39" t="inlineStr">
        <is>
          <t>Gas País</t>
        </is>
      </c>
      <c r="J76" s="336">
        <f>15000000*10</f>
        <v/>
      </c>
      <c r="K76" s="112" t="n">
        <v>46059</v>
      </c>
      <c r="L76" s="39" t="n"/>
      <c r="M76" s="39" t="n">
        <v>3214813898</v>
      </c>
      <c r="N76" s="39" t="inlineStr">
        <is>
          <t>María Del Pilar Cortes González</t>
        </is>
      </c>
      <c r="O76" s="39" t="n"/>
      <c r="P76" s="52" t="inlineStr">
        <is>
          <t>mariacortes@gaspais.com.co</t>
        </is>
      </c>
    </row>
    <row r="77">
      <c r="A77" s="108" t="n"/>
      <c r="B77" s="39" t="n">
        <v>67</v>
      </c>
      <c r="C77" s="278" t="inlineStr">
        <is>
          <t>COTIZACION DEL DISEÑO DE EXTINCIÓN DE INCENDIOS - LOCAL AYURA CENTER</t>
        </is>
      </c>
      <c r="I77" s="39" t="inlineStr">
        <is>
          <t>Ingesed</t>
        </is>
      </c>
      <c r="J77" s="336" t="n">
        <v>5000000</v>
      </c>
      <c r="K77" s="112" t="n">
        <v>46058</v>
      </c>
      <c r="L77" s="39" t="n"/>
      <c r="M77" s="39" t="inlineStr">
        <is>
          <t>321 8338189</t>
        </is>
      </c>
      <c r="N77" s="39" t="inlineStr">
        <is>
          <t>Laura Delgado</t>
        </is>
      </c>
      <c r="O77" s="39" t="inlineStr">
        <is>
          <t>Directora de operaciones</t>
        </is>
      </c>
      <c r="P77" s="52" t="inlineStr">
        <is>
          <t>operacionesingesed@gmail.com</t>
        </is>
      </c>
    </row>
    <row r="78">
      <c r="A78" s="108" t="n"/>
      <c r="B78" s="39" t="n">
        <v>68</v>
      </c>
      <c r="C78" s="278" t="inlineStr">
        <is>
          <t>COTIZACION DE LOS DISEÑOS DE SEGURIDAD HUMANA Y PROTECCIÓN CONTRA INCENDIOS - PALAU VOILA Y LEPINOT</t>
        </is>
      </c>
      <c r="I78" s="39" t="inlineStr">
        <is>
          <t>Inversiones TP</t>
        </is>
      </c>
      <c r="J78" s="336" t="n">
        <v>26950000</v>
      </c>
      <c r="K78" s="112" t="n">
        <v>46055</v>
      </c>
      <c r="L78" s="39" t="n"/>
      <c r="M78" s="39" t="n">
        <v>3207202429</v>
      </c>
      <c r="N78" s="39" t="inlineStr">
        <is>
          <t xml:space="preserve">
Diana Patricia Giraldo Roman</t>
        </is>
      </c>
      <c r="O78" s="39" t="n"/>
      <c r="P78" s="52" t="inlineStr">
        <is>
          <t>sstdianagiraldo@gmail.com</t>
        </is>
      </c>
    </row>
    <row r="79">
      <c r="A79" s="108" t="n"/>
      <c r="B79" s="39" t="n">
        <v>69</v>
      </c>
      <c r="C79" s="278" t="inlineStr">
        <is>
          <t>COTIZACION DE LOS DISEÑOS DE SEGURIDAD HUMANA Y PROTECCIÓN CONTRA INCENDIOS - PROYECTO GIN</t>
        </is>
      </c>
      <c r="I79" s="39" t="inlineStr">
        <is>
          <t xml:space="preserve">FCR </t>
        </is>
      </c>
      <c r="J79" s="336" t="n">
        <v>27320000</v>
      </c>
      <c r="K79" s="112" t="n">
        <v>46056</v>
      </c>
      <c r="L79" s="39" t="n"/>
      <c r="M79" s="39" t="inlineStr">
        <is>
          <t>310 5304562</t>
        </is>
      </c>
      <c r="N79" s="39" t="inlineStr">
        <is>
          <t xml:space="preserve">Vanessa Zapata </t>
        </is>
      </c>
      <c r="O79" s="39" t="n"/>
      <c r="P79" s="52" t="inlineStr">
        <is>
          <t>vanessazapata.fcr@gmail.com</t>
        </is>
      </c>
    </row>
    <row r="80">
      <c r="A80" s="108" t="n"/>
      <c r="B80" s="39" t="n">
        <v>70</v>
      </c>
      <c r="C80" s="278" t="inlineStr">
        <is>
          <t>COTIZACION DE LOS DISEÑOS DE SEGURIDAD HUMANA Y PROTECCIÓN CONTRA INCENDIOS - PARQUEADEROS NUEVOS WATANA ETAPA 2</t>
        </is>
      </c>
      <c r="I80" s="39" t="inlineStr">
        <is>
          <t>Coninsa</t>
        </is>
      </c>
      <c r="J80" s="336" t="n">
        <v>10000000</v>
      </c>
      <c r="K80" s="112" t="n">
        <v>46056</v>
      </c>
      <c r="L80" s="39" t="n"/>
      <c r="M80" s="39" t="n">
        <v>3007549649</v>
      </c>
      <c r="N80" s="39" t="inlineStr">
        <is>
          <t>Zully Milena López Molina</t>
        </is>
      </c>
      <c r="O80" s="39" t="inlineStr">
        <is>
          <t>Estructuración técnica Medellín</t>
        </is>
      </c>
      <c r="P80" s="116" t="inlineStr">
        <is>
          <t>zmlopez@coninsa.co</t>
        </is>
      </c>
    </row>
    <row r="81">
      <c r="A81" s="108" t="n"/>
      <c r="B81" s="39" t="n">
        <v>71</v>
      </c>
      <c r="C81" s="278" t="inlineStr">
        <is>
          <t>COTIZACION DEL ANÁLISIS DE SEGURIDAD HUMANA - CIUDAD CAPRI</t>
        </is>
      </c>
      <c r="I81" s="39" t="inlineStr">
        <is>
          <t>Coprocenva</t>
        </is>
      </c>
      <c r="J81" s="336" t="n">
        <v>7550000</v>
      </c>
      <c r="K81" s="112" t="n">
        <v>46057</v>
      </c>
      <c r="L81" s="39" t="n"/>
      <c r="M81" s="39" t="n"/>
      <c r="N81" s="39" t="inlineStr">
        <is>
          <t xml:space="preserve"> Juan Paulo Valdés</t>
        </is>
      </c>
      <c r="O81" s="39" t="n"/>
      <c r="P81" s="52" t="inlineStr">
        <is>
          <t>coordinadorinfraestructura@coprocenva.coop</t>
        </is>
      </c>
    </row>
    <row r="82" ht="15" customHeight="1">
      <c r="A82" s="108" t="n"/>
      <c r="B82" s="39" t="n">
        <v>72</v>
      </c>
      <c r="C82" s="278" t="inlineStr">
        <is>
          <t>COTIZACION DEL REDISEÑO DE EXTINCIÓN DE INCENDIOS - MADERO DE LOS BOSQUES</t>
        </is>
      </c>
      <c r="I82" s="39" t="inlineStr">
        <is>
          <t>Soluciones Civiles</t>
        </is>
      </c>
      <c r="J82" s="336" t="n">
        <v>5000000</v>
      </c>
      <c r="K82" s="112" t="n">
        <v>46058</v>
      </c>
      <c r="L82" s="39" t="n"/>
      <c r="M82" s="39" t="inlineStr">
        <is>
          <t>310 4425769</t>
        </is>
      </c>
      <c r="N82" s="39" t="inlineStr">
        <is>
          <t>Juliana Ante</t>
        </is>
      </c>
      <c r="O82" s="39" t="n"/>
      <c r="P82" s="116" t="n"/>
    </row>
    <row r="83">
      <c r="A83" s="108" t="n"/>
      <c r="B83" s="39" t="n">
        <v>73</v>
      </c>
      <c r="C83" s="278" t="inlineStr">
        <is>
          <t>COTIZACION DE LOS DISEÑOS DE SEGURIDAD HUMANA Y PROTECCIÓN CONTRA INCENDIOS - PRADO BELLO</t>
        </is>
      </c>
      <c r="I83" s="39" t="inlineStr">
        <is>
          <t>Tamayo ingenieros SAS</t>
        </is>
      </c>
      <c r="J83" s="336" t="n">
        <v>16310000</v>
      </c>
      <c r="K83" s="112" t="n">
        <v>46059</v>
      </c>
      <c r="L83" s="39" t="n"/>
      <c r="M83" s="39" t="n"/>
      <c r="N83" s="39" t="inlineStr">
        <is>
          <t>Juan Fernando Arroyave</t>
        </is>
      </c>
      <c r="O83" s="39" t="n"/>
      <c r="P83" s="116" t="n"/>
    </row>
    <row r="84">
      <c r="A84" s="108" t="n"/>
      <c r="B84" s="39" t="n">
        <v>74</v>
      </c>
      <c r="C84" s="278" t="inlineStr">
        <is>
          <t>COTIZACION DE LOS DISEÑOS DE SEGURIDAD HUMANA Y PROTECCIÓN CONTRA INCENDIOS - BASILEA</t>
        </is>
      </c>
      <c r="I84" s="39" t="inlineStr">
        <is>
          <t>Coninsa</t>
        </is>
      </c>
      <c r="J84" s="336" t="n">
        <v>75200000</v>
      </c>
      <c r="K84" s="112" t="n">
        <v>46058</v>
      </c>
      <c r="L84" s="39" t="n"/>
      <c r="M84" s="39" t="n">
        <v>3007549649</v>
      </c>
      <c r="N84" s="39" t="inlineStr">
        <is>
          <t>Zully Milena López Molina</t>
        </is>
      </c>
      <c r="O84" s="39" t="inlineStr">
        <is>
          <t>Estructuración técnica Medellín</t>
        </is>
      </c>
      <c r="P84" s="116" t="inlineStr">
        <is>
          <t>zmlopez@coninsa.co</t>
        </is>
      </c>
    </row>
    <row r="85">
      <c r="A85" s="108" t="n"/>
      <c r="B85" s="39" t="n">
        <v>75</v>
      </c>
      <c r="C85" s="278" t="inlineStr">
        <is>
          <t>COTIZACION DEL DISEÑO DE DETECCIÓN DE INCENDIOS - BELLA PIEL</t>
        </is>
      </c>
      <c r="I85" s="39" t="inlineStr">
        <is>
          <t>SPCI</t>
        </is>
      </c>
      <c r="J85" s="336" t="n">
        <v>1050000</v>
      </c>
      <c r="K85" s="112" t="n">
        <v>46058</v>
      </c>
      <c r="L85" s="39" t="n"/>
      <c r="M85" s="39" t="n">
        <v>3104165783</v>
      </c>
      <c r="N85" s="39" t="inlineStr">
        <is>
          <t>Cristiam Gustavo Mondragon</t>
        </is>
      </c>
      <c r="O85" s="39" t="inlineStr">
        <is>
          <t>Director técnico</t>
        </is>
      </c>
      <c r="P85" s="52" t="inlineStr">
        <is>
          <t>dir.tecnico@spci.com.co</t>
        </is>
      </c>
    </row>
    <row r="86">
      <c r="A86" s="108" t="n"/>
      <c r="B86" s="39" t="n">
        <v>76</v>
      </c>
      <c r="C86" s="278" t="inlineStr">
        <is>
          <t>COTIZACION DEL REDISEÑO DE ANÁLISIS DE SEGURIDAD HUMANA - PARQUIAMERICA</t>
        </is>
      </c>
      <c r="I86" s="39" t="inlineStr">
        <is>
          <t>SPCI</t>
        </is>
      </c>
      <c r="J86" s="336" t="n">
        <v>2000000</v>
      </c>
      <c r="K86" s="112" t="n">
        <v>46058</v>
      </c>
      <c r="L86" s="39" t="n"/>
      <c r="M86" s="39" t="n">
        <v>3104165783</v>
      </c>
      <c r="N86" s="39" t="inlineStr">
        <is>
          <t>Cristiam Gustavo Mondragon</t>
        </is>
      </c>
      <c r="O86" s="39" t="inlineStr">
        <is>
          <t>Director técnico</t>
        </is>
      </c>
      <c r="P86" s="52" t="inlineStr">
        <is>
          <t>dir.tecnico@spci.com.co</t>
        </is>
      </c>
    </row>
    <row r="87">
      <c r="A87" s="108" t="n"/>
      <c r="B87" s="39" t="n">
        <v>77</v>
      </c>
      <c r="C87" s="278" t="inlineStr">
        <is>
          <t>COTIZACION DE LOS DISEÑOS DE SEGURIDAD HUMANA Y PROTECCIÓN CONTRA INCENDIOS - FONTANAR TORRE 8</t>
        </is>
      </c>
      <c r="I87" s="39" t="inlineStr">
        <is>
          <t>Bienes y bienes</t>
        </is>
      </c>
      <c r="J87" s="336" t="n">
        <v>13750000</v>
      </c>
      <c r="K87" s="112" t="n">
        <v>46058</v>
      </c>
      <c r="L87" s="39" t="n"/>
      <c r="M87" s="39" t="n">
        <v>3108542361</v>
      </c>
      <c r="N87" s="39" t="inlineStr">
        <is>
          <t>Carlos Adolfo Zapata Molina</t>
        </is>
      </c>
      <c r="O87" s="39" t="inlineStr">
        <is>
          <t>Coordinador BIM</t>
        </is>
      </c>
      <c r="P87" s="52" t="inlineStr">
        <is>
          <t>carlos.zapata@bienesybienes.com.co</t>
        </is>
      </c>
    </row>
    <row r="88">
      <c r="A88" s="108" t="n"/>
      <c r="B88" s="39" t="n">
        <v>78</v>
      </c>
      <c r="C88" s="278" t="inlineStr">
        <is>
          <t>COTIZACION DE LOS DISEÑOS DE PROTECCIÓN CONTRA INCENDIOS - BODEGA 2.000 M2</t>
        </is>
      </c>
      <c r="I88" s="39" t="inlineStr">
        <is>
          <t>CGR SA</t>
        </is>
      </c>
      <c r="J88" s="336" t="n">
        <v>13800000</v>
      </c>
      <c r="K88" s="112" t="n">
        <v>46059</v>
      </c>
      <c r="L88" s="39" t="n"/>
      <c r="M88" s="39" t="n">
        <v>3108542361</v>
      </c>
      <c r="N88" s="39" t="inlineStr">
        <is>
          <t>Carlos Julio Escamilla Niño</t>
        </is>
      </c>
      <c r="O88" s="39" t="inlineStr">
        <is>
          <t>Asesor técnico PMO</t>
        </is>
      </c>
      <c r="P88" s="52" t="inlineStr">
        <is>
          <t>carlos.escamilla@cgr-bogota.com</t>
        </is>
      </c>
    </row>
    <row r="89">
      <c r="A89" s="108" t="n"/>
      <c r="B89" s="39" t="n">
        <v>79</v>
      </c>
      <c r="C89" s="278" t="inlineStr">
        <is>
          <t>COTIZACION DEL DISEÑO DE EXTINCIÓN DE INCENDIOS - D1 FACTORY</t>
        </is>
      </c>
      <c r="I89" s="39" t="inlineStr">
        <is>
          <t>Ingesed</t>
        </is>
      </c>
      <c r="J89" s="336" t="n">
        <v>3000000</v>
      </c>
      <c r="K89" s="112" t="n">
        <v>46058</v>
      </c>
      <c r="L89" s="39" t="n"/>
      <c r="M89" s="39" t="inlineStr">
        <is>
          <t>321 8338189</t>
        </is>
      </c>
      <c r="N89" s="39" t="inlineStr">
        <is>
          <t>Laura Delgado</t>
        </is>
      </c>
      <c r="O89" s="39" t="n"/>
      <c r="P89" s="52" t="inlineStr">
        <is>
          <t>operacionesingesed@gmail.com</t>
        </is>
      </c>
    </row>
    <row r="90" ht="15" customHeight="1">
      <c r="A90" s="108" t="n"/>
      <c r="B90" s="39" t="n">
        <v>80</v>
      </c>
      <c r="C90" s="278" t="inlineStr">
        <is>
          <t>COTIZACION DE LOS DISEÑOS DE SEGURIDAD HUMANA Y EXTINCIÓN DE INCENDIOS - TORRE SEGUROS BOLÍVAR</t>
        </is>
      </c>
      <c r="I90" s="39" t="inlineStr">
        <is>
          <t>STUDIOSUR</t>
        </is>
      </c>
      <c r="J90" s="336" t="inlineStr">
        <is>
          <t>Variable</t>
        </is>
      </c>
      <c r="K90" s="112" t="n">
        <v>46062</v>
      </c>
      <c r="L90" s="39" t="n"/>
      <c r="M90" s="156" t="n">
        <v>3127764680</v>
      </c>
      <c r="N90" s="39" t="inlineStr">
        <is>
          <t>Liliana Gutierrez</t>
        </is>
      </c>
      <c r="O90" s="39" t="inlineStr">
        <is>
          <t>Arquitecta</t>
        </is>
      </c>
      <c r="P90" s="52" t="inlineStr">
        <is>
          <t>liliana.gutierrez@studiosur.net</t>
        </is>
      </c>
    </row>
    <row r="91" ht="15" customHeight="1">
      <c r="A91" s="108" t="n"/>
      <c r="B91" s="39" t="n">
        <v>81</v>
      </c>
      <c r="C91" s="278" t="inlineStr">
        <is>
          <t>COTIZACION DE LOS DISEÑOS DE PROTECCIÓN CONTRA INCENDIOS LOTE 1</t>
        </is>
      </c>
      <c r="I91" s="39" t="inlineStr">
        <is>
          <t>Ingesed</t>
        </is>
      </c>
      <c r="J91" s="336" t="n">
        <v>19990000</v>
      </c>
      <c r="K91" s="112" t="n">
        <v>46062</v>
      </c>
      <c r="L91" s="39" t="n"/>
      <c r="M91" s="39" t="n">
        <v>3014201614</v>
      </c>
      <c r="N91" s="39" t="inlineStr">
        <is>
          <t>Jhon Rodriguez</t>
        </is>
      </c>
      <c r="O91" s="39" t="n"/>
      <c r="P91" s="116" t="inlineStr">
        <is>
          <t xml:space="preserve">jrodriguez@ingesed.com </t>
        </is>
      </c>
    </row>
    <row r="92">
      <c r="A92" s="108" t="n"/>
      <c r="B92" s="39" t="n">
        <v>82</v>
      </c>
      <c r="C92" s="278" t="inlineStr">
        <is>
          <t>COTIZACION DE LOS DISEÑOS DE PROTECCIÓN CONTRA INCENDIOS - COMODISIMOS</t>
        </is>
      </c>
      <c r="I92" s="39" t="inlineStr">
        <is>
          <t>Securetec</t>
        </is>
      </c>
      <c r="J92" s="336" t="n">
        <v>18950000</v>
      </c>
      <c r="K92" s="112" t="n">
        <v>46063</v>
      </c>
      <c r="L92" s="39" t="n"/>
      <c r="M92" s="39" t="n">
        <v>3206678830</v>
      </c>
      <c r="N92" s="39" t="inlineStr">
        <is>
          <t>Jhonny A. Castro</t>
        </is>
      </c>
      <c r="O92" s="39" t="n"/>
      <c r="P92" s="52" t="inlineStr">
        <is>
          <t>dirproyectos@securetec.com.co</t>
        </is>
      </c>
    </row>
    <row r="93">
      <c r="A93" s="108" t="n"/>
      <c r="B93" s="39" t="n">
        <v>83</v>
      </c>
      <c r="C93" s="278" t="inlineStr">
        <is>
          <t>COTIZACION DE LOS DISEÑOS DE SEGURIDAD HUMANA Y PROTECCIÓN CONTRA INCENDIOS - CLINICA COA</t>
        </is>
      </c>
      <c r="I93" s="39" t="inlineStr">
        <is>
          <t>Control medic plus</t>
        </is>
      </c>
      <c r="J93" s="336" t="n">
        <v>3950000</v>
      </c>
      <c r="K93" s="112" t="n">
        <v>46063</v>
      </c>
      <c r="L93" s="39" t="n"/>
      <c r="M93" s="39" t="n">
        <v>3128939595</v>
      </c>
      <c r="N93" s="39" t="inlineStr">
        <is>
          <t>Oscar Oosorio</t>
        </is>
      </c>
      <c r="O93" s="39" t="n"/>
      <c r="P93" s="116" t="n"/>
    </row>
    <row r="94">
      <c r="A94" s="108" t="n"/>
      <c r="B94" s="39" t="n">
        <v>84</v>
      </c>
      <c r="C94" s="278" t="inlineStr">
        <is>
          <t>COTIZACION DE LOS DISEÑOS DE SEGURIDAD HUMANA Y PROTECCIÓN CONTRA INCENDIOS - TORRE VALLENTA</t>
        </is>
      </c>
      <c r="I94" s="39" t="inlineStr">
        <is>
          <t>David Duque</t>
        </is>
      </c>
      <c r="J94" s="336" t="n">
        <v>24990000</v>
      </c>
      <c r="K94" s="112" t="n">
        <v>46063</v>
      </c>
      <c r="L94" s="39" t="n"/>
      <c r="M94" s="39" t="inlineStr">
        <is>
          <t>322 6861576</t>
        </is>
      </c>
      <c r="N94" s="39" t="inlineStr">
        <is>
          <t>David Duque</t>
        </is>
      </c>
      <c r="O94" s="39" t="n"/>
      <c r="P94" s="116" t="n"/>
    </row>
    <row r="95">
      <c r="A95" s="108" t="n"/>
      <c r="B95" s="39" t="n">
        <v>85</v>
      </c>
      <c r="C95" s="278" t="inlineStr">
        <is>
          <t>COTIZACION DEL ANÁLISIS DE SEGURIDAD HUMANA - HOTEL EN GUATAPÉ</t>
        </is>
      </c>
      <c r="I95" s="39" t="inlineStr">
        <is>
          <t>AFC Profire</t>
        </is>
      </c>
      <c r="J95" s="336" t="n">
        <v>4950000</v>
      </c>
      <c r="K95" s="112" t="n">
        <v>46064</v>
      </c>
      <c r="L95" s="39" t="n"/>
      <c r="M95" s="39" t="n">
        <v>3116456726</v>
      </c>
      <c r="N95" s="39" t="inlineStr">
        <is>
          <t xml:space="preserve"> Andrés Felipe Cruz Restrepo</t>
        </is>
      </c>
      <c r="O95" s="39" t="inlineStr">
        <is>
          <t>Director comercial</t>
        </is>
      </c>
      <c r="P95" s="52" t="inlineStr">
        <is>
          <t>andres.cruz@afcprofire.com</t>
        </is>
      </c>
    </row>
    <row r="96">
      <c r="A96" s="108" t="n"/>
      <c r="B96" s="39" t="n">
        <v>86</v>
      </c>
      <c r="C96" s="278" t="inlineStr">
        <is>
          <t>COTIZACION DEL ANÁLISIS DE SEGURIDAD HUMANA - EDIFICIO SAN ANTONIO DE PRADO</t>
        </is>
      </c>
      <c r="I96" s="39" t="inlineStr">
        <is>
          <t>AFC Profire</t>
        </is>
      </c>
      <c r="J96" s="336" t="n">
        <v>6250000</v>
      </c>
      <c r="K96" s="112" t="n">
        <v>46064</v>
      </c>
      <c r="L96" s="39" t="n"/>
      <c r="M96" s="39" t="n">
        <v>3116456726</v>
      </c>
      <c r="N96" s="39" t="inlineStr">
        <is>
          <t xml:space="preserve"> Andrés Felipe Cruz Restrepo</t>
        </is>
      </c>
      <c r="O96" s="39" t="inlineStr">
        <is>
          <t>Director comercial</t>
        </is>
      </c>
      <c r="P96" s="52" t="inlineStr">
        <is>
          <t>andres.cruz@afcprofire.com</t>
        </is>
      </c>
    </row>
    <row r="97">
      <c r="A97" s="108" t="n"/>
      <c r="B97" s="39" t="n">
        <v>87</v>
      </c>
      <c r="C97" s="278" t="inlineStr">
        <is>
          <t>COTIZACION DE LOS DISEÑOS DE SEGURIDAD HUMANA Y DETECCIÓN DE INCENDIOS - LA FELICIDAD MANZANA 12 Y 19</t>
        </is>
      </c>
      <c r="I97" s="39" t="inlineStr">
        <is>
          <t>Cusezar</t>
        </is>
      </c>
      <c r="J97" s="336" t="n">
        <v>49900000</v>
      </c>
      <c r="K97" s="112" t="n">
        <v>46064</v>
      </c>
      <c r="L97" s="39" t="n"/>
      <c r="M97" s="39" t="n">
        <v>3153267338</v>
      </c>
      <c r="N97" s="39" t="inlineStr">
        <is>
          <t>Diana Lucia Torres Yunda</t>
        </is>
      </c>
      <c r="O97" s="39" t="n"/>
      <c r="P97" s="52" t="inlineStr">
        <is>
          <t>dtorres@cusezar.com</t>
        </is>
      </c>
    </row>
    <row r="98">
      <c r="A98" s="108" t="n"/>
      <c r="B98" s="39" t="n">
        <v>88</v>
      </c>
      <c r="C98" s="278" t="inlineStr">
        <is>
          <t>COTIZACION DE LOS DISEÑOS DE PROTECCIÓN CONTRA INCENDIOS - PLANTA PIEDECUESTA</t>
        </is>
      </c>
      <c r="I98" s="39" t="inlineStr">
        <is>
          <t>Good group</t>
        </is>
      </c>
      <c r="J98" s="336" t="n">
        <v>53950000</v>
      </c>
      <c r="K98" s="112" t="n">
        <v>46064</v>
      </c>
      <c r="L98" s="39" t="n"/>
      <c r="M98" s="39" t="n">
        <v>3162963854</v>
      </c>
      <c r="N98" s="39" t="inlineStr">
        <is>
          <t>Deisy Duque</t>
        </is>
      </c>
      <c r="O98" s="39" t="n"/>
      <c r="P98" s="52" t="inlineStr">
        <is>
          <t>operaciones@goodgroup.com.co</t>
        </is>
      </c>
    </row>
    <row r="99">
      <c r="A99" s="108" t="n"/>
      <c r="B99" s="39" t="n">
        <v>89</v>
      </c>
      <c r="C99" s="278" t="inlineStr">
        <is>
          <t>COTIZACION DE LOS DISEÑOS DE PROTECCIÓN CONTRA INCENDIOS - PLANTA FLORIDABLANCA</t>
        </is>
      </c>
      <c r="I99" s="39" t="inlineStr">
        <is>
          <t>Good group</t>
        </is>
      </c>
      <c r="J99" s="336" t="n">
        <v>39750000</v>
      </c>
      <c r="K99" s="112" t="n">
        <v>46064</v>
      </c>
      <c r="L99" s="39" t="n"/>
      <c r="M99" s="39" t="n">
        <v>3162963854</v>
      </c>
      <c r="N99" s="39" t="inlineStr">
        <is>
          <t>Deisy Duque</t>
        </is>
      </c>
      <c r="O99" s="39" t="n"/>
      <c r="P99" s="52" t="inlineStr">
        <is>
          <t>operaciones@goodgroup.com.co</t>
        </is>
      </c>
    </row>
    <row r="100">
      <c r="A100" s="108" t="n"/>
      <c r="B100" s="39" t="n">
        <v>90</v>
      </c>
      <c r="C100" s="278" t="inlineStr">
        <is>
          <t>COTIZACION DE LOS DISEÑOS DE PROTECCIÓN CONTRA INCENDIOS - PALACIO DE JUSTICIA</t>
        </is>
      </c>
      <c r="I100" s="39" t="inlineStr">
        <is>
          <t>Ingesed</t>
        </is>
      </c>
      <c r="J100" s="336" t="n">
        <v>37930000</v>
      </c>
      <c r="K100" s="112" t="n">
        <v>46066</v>
      </c>
      <c r="L100" s="39" t="n"/>
      <c r="M100" s="39" t="n">
        <v>3135401714</v>
      </c>
      <c r="N100" s="39" t="inlineStr">
        <is>
          <t>Eliana Isabel Cardona Ríos</t>
        </is>
      </c>
      <c r="O100" s="39" t="n"/>
      <c r="P100" s="52" t="inlineStr">
        <is>
          <t>comercial@ingesed.com</t>
        </is>
      </c>
    </row>
    <row r="101">
      <c r="A101" s="108" t="n"/>
      <c r="B101" s="39" t="n">
        <v>91</v>
      </c>
      <c r="C101" s="278" t="inlineStr">
        <is>
          <t>COTIZACION DE LOS DISEÑOS DE SEGURIDAD HUMANA Y PROTECCIÓN CONTRA INCENDIOS - MATADERO PORCE</t>
        </is>
      </c>
      <c r="I101" s="39" t="inlineStr">
        <is>
          <t>Ingesed</t>
        </is>
      </c>
      <c r="J101" s="336" t="n">
        <v>29980000</v>
      </c>
      <c r="K101" s="112" t="n">
        <v>46066</v>
      </c>
      <c r="L101" s="39" t="n"/>
      <c r="M101" s="39" t="n">
        <v>3135401714</v>
      </c>
      <c r="N101" s="39" t="inlineStr">
        <is>
          <t>Eliana Isabel Cardona Ríos</t>
        </is>
      </c>
      <c r="O101" s="39" t="n"/>
      <c r="P101" s="52" t="inlineStr">
        <is>
          <t>comercial@ingesed.com</t>
        </is>
      </c>
    </row>
    <row r="102">
      <c r="A102" s="108" t="n"/>
      <c r="B102" s="39" t="n">
        <v>92</v>
      </c>
      <c r="C102" s="278" t="inlineStr">
        <is>
          <t>COTIZACION DE LOS DISEÑOS DE SEGURIDAD HUMANA Y DETECCIÓN DE INCENDIOS - VIEW POINT ET 3</t>
        </is>
      </c>
      <c r="I102" s="39" t="inlineStr">
        <is>
          <t>Coninsa</t>
        </is>
      </c>
      <c r="J102" s="336" t="n">
        <v>15970000</v>
      </c>
      <c r="K102" s="112" t="n">
        <v>46066</v>
      </c>
      <c r="L102" s="39" t="n"/>
      <c r="M102" s="39" t="inlineStr">
        <is>
          <t>315 5264386</t>
        </is>
      </c>
      <c r="N102" s="39" t="inlineStr">
        <is>
          <t>Yuliana Tamayo Zapata</t>
        </is>
      </c>
      <c r="O102" s="39" t="inlineStr">
        <is>
          <t>Profesional Senior de Estructuración Técnica</t>
        </is>
      </c>
      <c r="P102" s="116" t="inlineStr">
        <is>
          <t>ytamayo@coninsa.co</t>
        </is>
      </c>
    </row>
    <row r="103">
      <c r="A103" s="108" t="n"/>
      <c r="B103" s="39" t="n">
        <v>93</v>
      </c>
      <c r="C103" s="278" t="inlineStr">
        <is>
          <t>COTIZACION DE LOS DISEÑOS DE SEGURIDAD HUMANA Y EXTINCIÓN DE INCENDIOS - OFICINAS CITI  BOGOTÁ</t>
        </is>
      </c>
      <c r="I103" s="39" t="inlineStr">
        <is>
          <t>STUDIOSUR</t>
        </is>
      </c>
      <c r="J103" s="336" t="n">
        <v>28250000</v>
      </c>
      <c r="K103" s="112" t="n">
        <v>46066</v>
      </c>
      <c r="L103" s="39" t="n"/>
      <c r="M103" s="39" t="n">
        <v>3127764680</v>
      </c>
      <c r="N103" s="39" t="inlineStr">
        <is>
          <t>Liliana Gutierrez</t>
        </is>
      </c>
      <c r="O103" s="39" t="n"/>
      <c r="P103" s="52" t="inlineStr">
        <is>
          <t>liliana.gutierrez@studiosur.net</t>
        </is>
      </c>
    </row>
    <row r="104">
      <c r="A104" s="108" t="n"/>
      <c r="B104" s="39" t="n">
        <v>94</v>
      </c>
      <c r="C104" s="278" t="inlineStr">
        <is>
          <t>COTIZACION DE LOS DISEÑOS DE SEGURIDAD HUMANA Y PROTECCIÓN CONTRA INCENDIOS - PUNTA VELA MALL</t>
        </is>
      </c>
      <c r="I104" s="39" t="inlineStr">
        <is>
          <t>Convel</t>
        </is>
      </c>
      <c r="J104" s="336" t="n">
        <v>22850000</v>
      </c>
      <c r="K104" s="112" t="n">
        <v>46066</v>
      </c>
      <c r="L104" s="39" t="n"/>
      <c r="M104" s="39" t="inlineStr">
        <is>
          <t>604-3508866</t>
        </is>
      </c>
      <c r="N104" s="39" t="inlineStr">
        <is>
          <t>Luis Esteban Gaviria Gomez</t>
        </is>
      </c>
      <c r="O104" s="39" t="n"/>
      <c r="P104" s="52" t="inlineStr">
        <is>
          <t>luisgaviria@convel.co</t>
        </is>
      </c>
    </row>
    <row r="105" ht="15" customHeight="1">
      <c r="A105" s="108" t="n"/>
      <c r="B105" s="39" t="n">
        <v>95</v>
      </c>
      <c r="C105" s="278" t="inlineStr">
        <is>
          <t>COTIZACION DEL DISEÑO DE DETECCIÓN DE INCENDIOS - CLÍNICA PANAMERICANA</t>
        </is>
      </c>
      <c r="I105" s="39" t="inlineStr">
        <is>
          <t>Clínica Panamericana</t>
        </is>
      </c>
      <c r="J105" s="336" t="inlineStr">
        <is>
          <t>No se presentó</t>
        </is>
      </c>
      <c r="K105" s="112" t="n">
        <v>46066</v>
      </c>
      <c r="L105" s="39" t="n"/>
      <c r="M105" s="39" t="n">
        <v>3112823159</v>
      </c>
      <c r="N105" s="39" t="inlineStr">
        <is>
          <t>Jose David Cely Espitia</t>
        </is>
      </c>
      <c r="O105" s="39" t="inlineStr">
        <is>
          <t>Coordinador de infraestructura</t>
        </is>
      </c>
      <c r="P105" s="52" t="inlineStr">
        <is>
          <t>infraestructura@clinicapanamericana.co</t>
        </is>
      </c>
    </row>
    <row r="106">
      <c r="A106" s="108" t="n"/>
      <c r="B106" s="39" t="n">
        <v>96</v>
      </c>
      <c r="C106" s="278" t="inlineStr">
        <is>
          <t>COTIZACION DE LOS DISEÑOS DE SEGURIDAD HUMANA Y PROTECCIÓN CONTRA INCENDIOS - ALLEGRO ETAPA 3</t>
        </is>
      </c>
      <c r="I106" s="39" t="inlineStr">
        <is>
          <t>Mensula</t>
        </is>
      </c>
      <c r="J106" s="336" t="n">
        <v>18850000</v>
      </c>
      <c r="K106" s="112" t="n">
        <v>46066</v>
      </c>
      <c r="L106" s="39" t="n"/>
      <c r="M106" s="39" t="inlineStr">
        <is>
          <t>475 79 81</t>
        </is>
      </c>
      <c r="N106" s="39" t="inlineStr">
        <is>
          <t xml:space="preserve"> Alejandro Giraldo Ospina</t>
        </is>
      </c>
      <c r="O106" s="39" t="n"/>
      <c r="P106" s="52" t="inlineStr">
        <is>
          <t>alejandrogiraldo@mensulaingenieros.com</t>
        </is>
      </c>
    </row>
    <row r="107">
      <c r="A107" s="108" t="n"/>
      <c r="B107" s="39" t="n">
        <v>97</v>
      </c>
      <c r="C107" s="278" t="inlineStr">
        <is>
          <t>COTIZACION DEL DISEÑO DE EXTINCIÓN DE INCENDIOS - PIMIENTA</t>
        </is>
      </c>
      <c r="I107" s="39" t="inlineStr">
        <is>
          <t>Idea base arquitectos</t>
        </is>
      </c>
      <c r="J107" s="336" t="n">
        <v>2420000</v>
      </c>
      <c r="K107" s="112" t="n">
        <v>46066</v>
      </c>
      <c r="L107" s="39" t="n"/>
      <c r="M107" s="39" t="n">
        <v>3042614902</v>
      </c>
      <c r="N107" s="39" t="inlineStr">
        <is>
          <t>Kely Andrea Castaño Chavarriaga</t>
        </is>
      </c>
      <c r="O107" s="39" t="n"/>
      <c r="P107" s="52" t="inlineStr">
        <is>
          <t>hola@ideabasearquitectos.com</t>
        </is>
      </c>
    </row>
    <row r="108">
      <c r="A108" s="108" t="n"/>
      <c r="B108" s="39" t="n">
        <v>98</v>
      </c>
      <c r="C108" s="278" t="inlineStr">
        <is>
          <t>COTIZACION DE LOS DISEÑOS DE SEGURIDAD HUMANA Y PROTECCIÓN CONTRA INCENDIOS - CLÍNICA ISIS</t>
        </is>
      </c>
      <c r="I108" s="39" t="inlineStr">
        <is>
          <t xml:space="preserve">Lab Inmobiliario </t>
        </is>
      </c>
      <c r="J108" s="336" t="n">
        <v>37250000</v>
      </c>
      <c r="K108" s="112" t="n">
        <v>46069</v>
      </c>
      <c r="L108" s="39" t="n"/>
      <c r="M108" s="39" t="n">
        <v>3134019808</v>
      </c>
      <c r="N108" s="39" t="inlineStr">
        <is>
          <t>Maria Camila Pavía Pinzón</t>
        </is>
      </c>
      <c r="O108" s="39" t="n"/>
      <c r="P108" s="52" t="inlineStr">
        <is>
          <t>camila.pavia@labinmobiliario.com</t>
        </is>
      </c>
    </row>
    <row r="109">
      <c r="A109" s="108" t="n"/>
      <c r="B109" s="39" t="n">
        <v>99</v>
      </c>
      <c r="C109" s="278" t="inlineStr">
        <is>
          <t>COTIZACION DE LOS DISEÑOS DE PROTECCIÓN CONTRA INCENDIOS - LA CAMPANA HOTEL BOUTIQUE</t>
        </is>
      </c>
      <c r="I109" s="39" t="inlineStr">
        <is>
          <t>SPCI</t>
        </is>
      </c>
      <c r="J109" s="336" t="n">
        <v>7520000</v>
      </c>
      <c r="K109" s="112" t="n">
        <v>46069</v>
      </c>
      <c r="L109" s="39" t="n"/>
      <c r="M109" s="39" t="n">
        <v>3104165783</v>
      </c>
      <c r="N109" s="39" t="inlineStr">
        <is>
          <t>Cristiam Gustavo Mondragon</t>
        </is>
      </c>
      <c r="O109" s="39" t="inlineStr">
        <is>
          <t>Director técnico</t>
        </is>
      </c>
      <c r="P109" s="52" t="inlineStr">
        <is>
          <t>dir.tecnico@spci.com.co</t>
        </is>
      </c>
    </row>
    <row r="110">
      <c r="A110" s="108" t="n"/>
      <c r="B110" s="39" t="n">
        <v>100</v>
      </c>
      <c r="C110" s="278" t="inlineStr">
        <is>
          <t>COTIZACION DEL DISEÑO DE EXTINCIÓN DE INCENDIOS - ZONA FRANCA</t>
        </is>
      </c>
      <c r="I110" s="39" t="inlineStr">
        <is>
          <t>SPCI</t>
        </is>
      </c>
      <c r="J110" s="336" t="n">
        <v>25250000</v>
      </c>
      <c r="K110" s="112" t="n">
        <v>46071</v>
      </c>
      <c r="L110" s="39" t="n"/>
      <c r="M110" s="39" t="n">
        <v>3104165783</v>
      </c>
      <c r="N110" s="39" t="inlineStr">
        <is>
          <t>Cristiam Gustavo Mondragon</t>
        </is>
      </c>
      <c r="O110" s="39" t="inlineStr">
        <is>
          <t>Director técnico</t>
        </is>
      </c>
      <c r="P110" s="52" t="inlineStr">
        <is>
          <t>dir.tecnico@spci.com.co</t>
        </is>
      </c>
    </row>
    <row r="111">
      <c r="A111" s="108" t="n"/>
      <c r="B111" s="39" t="n">
        <v>101</v>
      </c>
      <c r="C111" s="278" t="inlineStr">
        <is>
          <t>COTIZACION DE LOS DISEÑOS DE SEGURIDAD HUMANA Y PROTECCIÓN CONTRA INCENDIOS - SAINT MARTIN</t>
        </is>
      </c>
      <c r="I111" s="39" t="inlineStr">
        <is>
          <t>SPCI</t>
        </is>
      </c>
      <c r="J111" s="336" t="n">
        <v>36600000</v>
      </c>
      <c r="K111" s="112" t="n">
        <v>46071</v>
      </c>
      <c r="L111" s="39" t="n"/>
      <c r="M111" s="39" t="n">
        <v>3104165783</v>
      </c>
      <c r="N111" s="39" t="inlineStr">
        <is>
          <t>Cristiam Gustavo Mondragon</t>
        </is>
      </c>
      <c r="O111" s="39" t="inlineStr">
        <is>
          <t>Director técnico</t>
        </is>
      </c>
      <c r="P111" s="52" t="inlineStr">
        <is>
          <t>dir.tecnico@spci.com.co</t>
        </is>
      </c>
    </row>
    <row r="112">
      <c r="A112" s="108" t="n"/>
      <c r="B112" s="39" t="n">
        <v>102</v>
      </c>
      <c r="C112" s="278" t="inlineStr">
        <is>
          <t>COTIZACION DE LOS DISEÑOS DE PROTECCIÓN CONTRA INCENDIOS - BODEGA GEODIC</t>
        </is>
      </c>
      <c r="I112" s="39" t="inlineStr">
        <is>
          <t>Ingesed</t>
        </is>
      </c>
      <c r="J112" s="336" t="n">
        <v>2500000</v>
      </c>
      <c r="K112" s="112" t="n">
        <v>46071</v>
      </c>
      <c r="L112" s="39" t="n"/>
      <c r="M112" s="39" t="n">
        <v>3135401714</v>
      </c>
      <c r="N112" s="39" t="inlineStr">
        <is>
          <t>Eliana Isabel Cardona Ríos</t>
        </is>
      </c>
      <c r="O112" s="39" t="n"/>
      <c r="P112" s="52" t="inlineStr">
        <is>
          <t>comercial@ingesed.com</t>
        </is>
      </c>
    </row>
    <row r="113">
      <c r="A113" s="108" t="n"/>
      <c r="B113" s="39" t="n">
        <v>103</v>
      </c>
      <c r="C113" s="278" t="inlineStr">
        <is>
          <t>COTIZACION DEL DISEÑO DE EXTINCIÓN DE INCENDIOS - ZONA FRANCA DE RIONEGRO</t>
        </is>
      </c>
      <c r="I113" s="39" t="inlineStr">
        <is>
          <t xml:space="preserve"> ZONA FRANCA DE RIONEGRO</t>
        </is>
      </c>
      <c r="J113" s="336" t="n">
        <v>25250000</v>
      </c>
      <c r="K113" s="112" t="n">
        <v>46071</v>
      </c>
      <c r="L113" s="39" t="n"/>
      <c r="M113" s="39" t="n">
        <v>3146729645</v>
      </c>
      <c r="N113" s="39" t="inlineStr">
        <is>
          <t>Paola Andrea Patiño Henao</t>
        </is>
      </c>
      <c r="O113" s="39" t="n"/>
      <c r="P113" s="52" t="inlineStr">
        <is>
          <t>ppatino@zonafrancarionegro.com</t>
        </is>
      </c>
    </row>
    <row r="114">
      <c r="A114" s="108" t="n"/>
      <c r="B114" s="39" t="n">
        <v>104</v>
      </c>
      <c r="C114" s="278" t="inlineStr">
        <is>
          <t>COTIZACION DE LOS DISEÑOS DE SEGURIDAD HUMANA Y PROTECCIÓN CONTRA INCENDIOS - ZONAS COMUNES TIERRA Y SABANA</t>
        </is>
      </c>
      <c r="I114" s="39" t="inlineStr">
        <is>
          <t>Conaltura</t>
        </is>
      </c>
      <c r="J114" s="336" t="n">
        <v>5000000</v>
      </c>
      <c r="K114" s="112" t="n">
        <v>46071</v>
      </c>
      <c r="L114" s="39" t="n"/>
      <c r="M114" s="39" t="n">
        <v>3122310202</v>
      </c>
      <c r="N114" s="39" t="inlineStr">
        <is>
          <t>Yesenia Pareja</t>
        </is>
      </c>
      <c r="O114" s="39" t="inlineStr">
        <is>
          <t>Profesional Técnico</t>
        </is>
      </c>
      <c r="P114" s="116" t="inlineStr">
        <is>
          <t>ypareja@conaltura.com</t>
        </is>
      </c>
    </row>
    <row r="115">
      <c r="A115" s="108" t="n"/>
      <c r="B115" s="39" t="n">
        <v>105</v>
      </c>
      <c r="C115" s="278" t="inlineStr">
        <is>
          <t>COTIZACION DE LOS DISEÑOS DE SEGURIDAD HUMANA Y PROTECCIÓN CONTRA INCENDIOS - HOTEL LA TECKA</t>
        </is>
      </c>
      <c r="I115" s="39" t="inlineStr">
        <is>
          <t>Macca desarrollo inmobiliario</t>
        </is>
      </c>
      <c r="J115" s="336" t="n">
        <v>21950000</v>
      </c>
      <c r="K115" s="112" t="n">
        <v>46077</v>
      </c>
      <c r="L115" s="39" t="n"/>
      <c r="M115" s="39" t="n">
        <v>3174382383</v>
      </c>
      <c r="N115" s="39" t="inlineStr">
        <is>
          <t>Marcela Ricaurte</t>
        </is>
      </c>
      <c r="O115" s="39" t="n"/>
      <c r="P115" s="52" t="inlineStr">
        <is>
          <t>marcela.ricaurte@macca.com.co</t>
        </is>
      </c>
    </row>
    <row r="116">
      <c r="A116" s="108" t="n"/>
      <c r="B116" s="39" t="n">
        <v>106</v>
      </c>
      <c r="C116" s="278" t="inlineStr">
        <is>
          <t>COTIZACION DEL ANÁLISIS DE SEGURIDAD HUMANA - ALTOS DE LA SULTANA TORRES A Y B</t>
        </is>
      </c>
      <c r="I116" s="39" t="inlineStr">
        <is>
          <t>Perfek</t>
        </is>
      </c>
      <c r="J116" s="336" t="n">
        <v>7950000</v>
      </c>
      <c r="K116" s="112" t="n">
        <v>46077</v>
      </c>
      <c r="L116" s="39" t="n"/>
      <c r="M116" s="39" t="inlineStr">
        <is>
          <t>057+6 885 37 90</t>
        </is>
      </c>
      <c r="N116" s="39" t="inlineStr">
        <is>
          <t>Sebastian Cardona Sánchez</t>
        </is>
      </c>
      <c r="O116" s="39" t="n"/>
      <c r="P116" s="52" t="inlineStr">
        <is>
          <t>sebastian.cardona@perfek.com.co</t>
        </is>
      </c>
    </row>
    <row r="117" ht="15" customHeight="1">
      <c r="A117" s="108" t="n"/>
      <c r="B117" s="39" t="n">
        <v>107</v>
      </c>
      <c r="C117" s="278" t="inlineStr">
        <is>
          <t>COTIZACION DE LOS DISEÑOS DE SEGURIDAD HUMANA Y PROTECCIÓN CONTRA INCENDIOS - CEDRO AZUL</t>
        </is>
      </c>
      <c r="I117" s="39" t="inlineStr">
        <is>
          <t>Link Inmobiliario</t>
        </is>
      </c>
      <c r="J117" s="336" t="n">
        <v>22590000</v>
      </c>
      <c r="K117" s="112" t="n">
        <v>46077</v>
      </c>
      <c r="L117" s="39" t="n"/>
      <c r="M117" s="39" t="n">
        <v>3207420151</v>
      </c>
      <c r="N117" s="39" t="inlineStr">
        <is>
          <t>Yulieth Fonnegra</t>
        </is>
      </c>
      <c r="O117" s="39" t="n"/>
      <c r="P117" s="52" t="inlineStr">
        <is>
          <t>yulieth.fonnegra@link-inmobiliario.com</t>
        </is>
      </c>
    </row>
    <row r="118">
      <c r="A118" s="108" t="n"/>
      <c r="B118" s="39" t="n">
        <v>108</v>
      </c>
      <c r="C118" s="278" t="inlineStr">
        <is>
          <t>COTIZACION DE LOS DISEÑOS DE PROTECCIÓN CONTRA INCENDIOS - JAPANESE POP - WAKE 2</t>
        </is>
      </c>
      <c r="I118" s="39" t="inlineStr">
        <is>
          <t>SPCI</t>
        </is>
      </c>
      <c r="J118" s="336" t="n">
        <v>4340000</v>
      </c>
      <c r="K118" s="112" t="n">
        <v>46077</v>
      </c>
      <c r="L118" s="39" t="n"/>
      <c r="M118" s="39" t="n">
        <v>3104165783</v>
      </c>
      <c r="N118" s="39" t="inlineStr">
        <is>
          <t>Cristiam Gustavo Mondragon</t>
        </is>
      </c>
      <c r="O118" s="39" t="inlineStr">
        <is>
          <t>Director técnico</t>
        </is>
      </c>
      <c r="P118" s="52" t="inlineStr">
        <is>
          <t>dir.tecnico@spci.com.co</t>
        </is>
      </c>
    </row>
    <row r="119">
      <c r="A119" s="108" t="n"/>
      <c r="B119" s="39" t="n">
        <v>109</v>
      </c>
      <c r="C119" s="278" t="inlineStr">
        <is>
          <t>COTIZACION DE LOS DISEÑOS DE PROTECCIÓN CONTRA INCENDIOS - VAQUITA EXPRESS</t>
        </is>
      </c>
      <c r="I119" s="39" t="inlineStr">
        <is>
          <t>SPCI</t>
        </is>
      </c>
      <c r="J119" s="336" t="n">
        <v>24950000</v>
      </c>
      <c r="K119" s="112" t="n">
        <v>46077</v>
      </c>
      <c r="L119" s="39" t="n"/>
      <c r="M119" s="39" t="n">
        <v>3104165783</v>
      </c>
      <c r="N119" s="39" t="inlineStr">
        <is>
          <t>Cristiam Gustavo Mondragon</t>
        </is>
      </c>
      <c r="O119" s="39" t="inlineStr">
        <is>
          <t>Director técnico</t>
        </is>
      </c>
      <c r="P119" s="52" t="inlineStr">
        <is>
          <t>dir.tecnico@spci.com.co</t>
        </is>
      </c>
    </row>
    <row r="120" ht="15" customHeight="1">
      <c r="A120" s="108" t="n"/>
      <c r="B120" s="39" t="n">
        <v>110</v>
      </c>
      <c r="C120" s="278" t="inlineStr">
        <is>
          <t>COTIZACION DEL DISEÑO DE EXTINCIÓN DE INCENDIOS - EDIFICIO ADMINISTRATIVO EL COLOMBIANO</t>
        </is>
      </c>
      <c r="I120" s="39" t="inlineStr">
        <is>
          <t>Ingeniería Inmobiliaria</t>
        </is>
      </c>
      <c r="J120" s="336" t="n">
        <v>5950000</v>
      </c>
      <c r="K120" s="112" t="n">
        <v>46077</v>
      </c>
      <c r="L120" s="39" t="n"/>
      <c r="M120" s="39" t="n">
        <v>3126186988</v>
      </c>
      <c r="N120" s="39" t="inlineStr">
        <is>
          <t>Lucas Tamayo</t>
        </is>
      </c>
      <c r="O120" s="39" t="n"/>
      <c r="P120" s="116" t="n"/>
    </row>
    <row r="121" ht="15" customHeight="1">
      <c r="A121" s="108" t="n"/>
      <c r="B121" s="39" t="n">
        <v>111</v>
      </c>
      <c r="C121" s="278" t="inlineStr">
        <is>
          <t>COTIZACION DE LOS DISEÑOS DE SEGURIDAD HUMANA Y PROTECCIÓN CONTRA INCENDIOS - HOTEL AV PALMAS</t>
        </is>
      </c>
      <c r="I121" s="39" t="inlineStr">
        <is>
          <t>Mesa Estudio</t>
        </is>
      </c>
      <c r="J121" s="336" t="n">
        <v>32950000</v>
      </c>
      <c r="K121" s="112" t="n">
        <v>46078</v>
      </c>
      <c r="L121" s="39" t="n"/>
      <c r="M121" s="39" t="n"/>
      <c r="N121" s="39" t="n"/>
      <c r="O121" s="39" t="n"/>
      <c r="P121" s="116" t="n"/>
    </row>
    <row r="122">
      <c r="A122" s="108" t="n"/>
      <c r="B122" s="39" t="n">
        <v>112</v>
      </c>
      <c r="C122" s="278" t="inlineStr">
        <is>
          <t>COTIZACION DE LOS DISEÑOS DE PROTECCIÓN CONTRA INCENDIOS - LOCAL NADYA KATICH</t>
        </is>
      </c>
      <c r="I122" s="39" t="inlineStr">
        <is>
          <t>Jorge Gonzalez Ingeniería</t>
        </is>
      </c>
      <c r="J122" s="336" t="n">
        <v>3950000</v>
      </c>
      <c r="K122" s="112" t="n">
        <v>46078</v>
      </c>
      <c r="L122" s="39" t="n"/>
      <c r="M122" s="39" t="inlineStr">
        <is>
          <t>57 (4) 423 7149</t>
        </is>
      </c>
      <c r="N122" s="39" t="inlineStr">
        <is>
          <t>Jorge Gonzalez</t>
        </is>
      </c>
      <c r="O122" s="39" t="n"/>
      <c r="P122" s="52" t="inlineStr">
        <is>
          <t>gerencia@jorgegonzalezingenieria.com</t>
        </is>
      </c>
    </row>
    <row r="123">
      <c r="A123" s="108" t="n"/>
      <c r="B123" s="39" t="n">
        <v>113</v>
      </c>
      <c r="C123" s="278" t="inlineStr">
        <is>
          <t>COTIZACION DE LOS DISEÑOS DE PROTECCIÓN CONTRA INCENDIOS - PLANTA DE COLCHONES</t>
        </is>
      </c>
      <c r="I123" s="39" t="inlineStr">
        <is>
          <t>Gustavo Trujillo Montoya</t>
        </is>
      </c>
      <c r="J123" s="336" t="n">
        <v>26300000</v>
      </c>
      <c r="K123" s="112" t="n">
        <v>46079</v>
      </c>
      <c r="L123" s="39" t="n"/>
      <c r="M123" s="39" t="n">
        <v>3148909676</v>
      </c>
      <c r="N123" s="39" t="inlineStr">
        <is>
          <t>Gustavo Trujillo Montoya</t>
        </is>
      </c>
      <c r="O123" s="39" t="n"/>
      <c r="P123" s="52" t="inlineStr">
        <is>
          <t>gtrumon@gmail.com</t>
        </is>
      </c>
    </row>
    <row r="124">
      <c r="A124" s="108" t="n"/>
      <c r="B124" s="39" t="n">
        <v>114</v>
      </c>
      <c r="C124" s="278" t="inlineStr">
        <is>
          <t>COTIZACION DEL DISEÑO DE EXTINCIÓN DE INCENDIOS - ALFA PADEL</t>
        </is>
      </c>
      <c r="I124" s="39" t="inlineStr">
        <is>
          <t>Coninsa</t>
        </is>
      </c>
      <c r="J124" s="336" t="n">
        <v>3950000</v>
      </c>
      <c r="K124" s="112" t="n">
        <v>46079</v>
      </c>
      <c r="L124" s="39" t="n"/>
      <c r="M124" s="39" t="n">
        <v>3122447026</v>
      </c>
      <c r="N124" s="39" t="inlineStr">
        <is>
          <t>Dianella Castro Alvarez</t>
        </is>
      </c>
      <c r="O124" s="39" t="inlineStr">
        <is>
          <t>Directora de Obra</t>
        </is>
      </c>
      <c r="P124" s="52" t="inlineStr">
        <is>
          <t>dscastro@coninsa.co</t>
        </is>
      </c>
    </row>
    <row r="125">
      <c r="A125" s="108" t="n"/>
      <c r="B125" s="39" t="n">
        <v>115</v>
      </c>
      <c r="C125" s="278" t="inlineStr">
        <is>
          <t>COTIZACION DE LOS DISEÑOS DE SEGURIDAD HUMANA Y PROTECCIÓN CONTRA INCENDIOS - HOTEL CAFETERITO</t>
        </is>
      </c>
      <c r="I125" s="39" t="inlineStr">
        <is>
          <t>Idea base arquitectos</t>
        </is>
      </c>
      <c r="J125" s="336" t="n">
        <v>22860000</v>
      </c>
      <c r="K125" s="112" t="n">
        <v>46079</v>
      </c>
      <c r="L125" s="39" t="n"/>
      <c r="M125" s="39" t="n">
        <v>3045624551</v>
      </c>
      <c r="N125" s="39" t="inlineStr">
        <is>
          <t>Ana Sofía Roldan Pimienta</t>
        </is>
      </c>
      <c r="O125" s="39" t="n"/>
      <c r="P125" s="52" t="inlineStr">
        <is>
          <t>sofia@ideabasearquitectos.com</t>
        </is>
      </c>
    </row>
    <row r="126" ht="15" customHeight="1">
      <c r="A126" s="108" t="n"/>
      <c r="B126" s="39" t="n">
        <v>116</v>
      </c>
      <c r="C126" s="278" t="inlineStr">
        <is>
          <t>COTIZACION DE LOS DISEÑOS DE SEGURIDAD HUMANA Y PROTECCIÓN CONTRA INCENDIOS - CENTRO DE CONEXIONES</t>
        </is>
      </c>
      <c r="I126" s="39" t="inlineStr">
        <is>
          <t>Coninsa</t>
        </is>
      </c>
      <c r="J126" s="336" t="n">
        <v>64350000</v>
      </c>
      <c r="K126" s="112" t="n">
        <v>46079</v>
      </c>
      <c r="L126" s="39" t="n"/>
      <c r="M126" s="39" t="n">
        <v>3005934637</v>
      </c>
      <c r="N126" s="39" t="inlineStr">
        <is>
          <t>Nasser Jose Sir Cedeno</t>
        </is>
      </c>
      <c r="O126" s="39" t="inlineStr">
        <is>
          <t>Analista de Estructuración técnica y constructiva de proyectos</t>
        </is>
      </c>
      <c r="P126" s="52" t="inlineStr">
        <is>
          <t>njsirc@coninsa.co</t>
        </is>
      </c>
    </row>
    <row r="127">
      <c r="A127" s="108" t="n"/>
      <c r="B127" s="39" t="n">
        <v>117</v>
      </c>
      <c r="C127" s="278" t="inlineStr">
        <is>
          <t>COTIZACION DE LOS DISEÑOS DE PROTECCIÓN CONTRA INCENDIOS - EDIFICIO PENMANN</t>
        </is>
      </c>
      <c r="I127" s="39" t="inlineStr">
        <is>
          <t>David Duque</t>
        </is>
      </c>
      <c r="J127" s="336" t="n">
        <v>15000000</v>
      </c>
      <c r="K127" s="112" t="n">
        <v>46083</v>
      </c>
      <c r="L127" s="39" t="n"/>
      <c r="M127" s="39" t="inlineStr">
        <is>
          <t>322 6861576</t>
        </is>
      </c>
      <c r="N127" s="39" t="inlineStr">
        <is>
          <t>David Duque</t>
        </is>
      </c>
      <c r="O127" s="39" t="n"/>
      <c r="P127" s="116" t="n"/>
    </row>
    <row r="128">
      <c r="A128" s="108" t="n"/>
      <c r="B128" s="39" t="n">
        <v>118</v>
      </c>
      <c r="C128" s="278" t="inlineStr">
        <is>
          <t>COTIZACION DEL DISEÑO DE DETECCIÓN DE INCENDIOS - CONJUNTO PLATINUM SUPERIOR PH</t>
        </is>
      </c>
      <c r="I128" s="39" t="inlineStr">
        <is>
          <t>ACEIS</t>
        </is>
      </c>
      <c r="J128" s="336" t="n">
        <v>15550000</v>
      </c>
      <c r="K128" s="112" t="n">
        <v>46083</v>
      </c>
      <c r="L128" s="39" t="n"/>
      <c r="M128" s="39" t="n"/>
      <c r="N128" s="39" t="inlineStr">
        <is>
          <t>Maribel Velásquez Legarda</t>
        </is>
      </c>
      <c r="O128" s="39" t="inlineStr">
        <is>
          <t>Analista de negociación y abastecimiento</t>
        </is>
      </c>
      <c r="P128" s="52" t="inlineStr">
        <is>
          <t>analista3.nyp@aceis.com.co</t>
        </is>
      </c>
    </row>
    <row r="129">
      <c r="A129" s="108" t="n"/>
      <c r="B129" s="39" t="n">
        <v>119</v>
      </c>
      <c r="C129" s="278" t="inlineStr">
        <is>
          <t>COTIZACIÓN DEL ANÁLISIS DE SEGURIDAD HUMANA - CENTRO COMERCIAL PASTO</t>
        </is>
      </c>
      <c r="I129" s="39" t="inlineStr">
        <is>
          <t>Condiseño</t>
        </is>
      </c>
      <c r="J129" s="336" t="n">
        <v>6500000</v>
      </c>
      <c r="K129" s="112" t="n">
        <v>46085</v>
      </c>
      <c r="L129" s="39" t="n"/>
      <c r="M129" s="39" t="n">
        <v>3175594091</v>
      </c>
      <c r="N129" s="39" t="inlineStr">
        <is>
          <t>Nakary García</t>
        </is>
      </c>
      <c r="O129" s="39" t="inlineStr">
        <is>
          <t>Directora Comercial</t>
        </is>
      </c>
      <c r="P129" s="52" t="inlineStr">
        <is>
          <t>n.garcia@condiseno.co</t>
        </is>
      </c>
    </row>
    <row r="130" ht="15" customHeight="1">
      <c r="A130" s="108" t="n"/>
      <c r="B130" s="39" t="n">
        <v>120</v>
      </c>
      <c r="C130" s="278" t="inlineStr">
        <is>
          <t>COTIZACION DEL DISEÑO DE DETECCIÓN DE INCENDIOS - OLMO</t>
        </is>
      </c>
      <c r="I130" s="39" t="inlineStr">
        <is>
          <t>H&amp;Fire</t>
        </is>
      </c>
      <c r="J130" s="336" t="inlineStr">
        <is>
          <t>No se cotizó</t>
        </is>
      </c>
      <c r="K130" s="112" t="n">
        <v>46085</v>
      </c>
      <c r="L130" s="39" t="n"/>
      <c r="M130" s="39" t="n">
        <v>4798165</v>
      </c>
      <c r="N130" s="39" t="inlineStr">
        <is>
          <t>Jorge Vega</t>
        </is>
      </c>
      <c r="O130" s="39" t="inlineStr">
        <is>
          <t>Hidráulica e Ingeniería en Seguridad Contra Incendios</t>
        </is>
      </c>
      <c r="P130" s="52" t="inlineStr">
        <is>
          <t>hyfireingenieros@gmail.com</t>
        </is>
      </c>
    </row>
    <row r="131">
      <c r="A131" s="108" t="n"/>
      <c r="B131" s="39" t="n">
        <v>121</v>
      </c>
      <c r="C131" s="278" t="inlineStr">
        <is>
          <t>COTIZACION DE LOS DISEÑOS DE PROTECCIÓN CONTRA INCENDIOS - AVINSA</t>
        </is>
      </c>
      <c r="I131" s="39" t="inlineStr">
        <is>
          <t>SPCI</t>
        </is>
      </c>
      <c r="J131" s="336" t="n">
        <v>30000000</v>
      </c>
      <c r="K131" s="112" t="n">
        <v>46085</v>
      </c>
      <c r="L131" s="39" t="n"/>
      <c r="M131" s="39" t="n">
        <v>3104165783</v>
      </c>
      <c r="N131" s="39" t="inlineStr">
        <is>
          <t>Cristiam Gustavo Mondragon</t>
        </is>
      </c>
      <c r="O131" s="39" t="inlineStr">
        <is>
          <t>Director técnico</t>
        </is>
      </c>
      <c r="P131" s="52" t="inlineStr">
        <is>
          <t>dir.tecnico@spci.com.co</t>
        </is>
      </c>
    </row>
    <row r="132">
      <c r="A132" s="108" t="n"/>
      <c r="B132" s="39" t="n">
        <v>122</v>
      </c>
      <c r="C132" s="278" t="inlineStr">
        <is>
          <t>COTIZACION DE LOS DISEÑOS DE SEGURIDAD HUMANA Y PROTECCIÓN CONTRA INCENDIOS - ON APARTAMENTOS</t>
        </is>
      </c>
      <c r="I132" s="39" t="inlineStr">
        <is>
          <t>Arquitectura y Concreto</t>
        </is>
      </c>
      <c r="J132" s="336" t="n">
        <v>44850000</v>
      </c>
      <c r="K132" s="112" t="n">
        <v>46085</v>
      </c>
      <c r="L132" s="39" t="n"/>
      <c r="M132" s="39" t="n">
        <v>3162439535</v>
      </c>
      <c r="N132" s="39" t="inlineStr">
        <is>
          <t>Sebastián Ochoa Gómez</t>
        </is>
      </c>
      <c r="O132" s="39" t="inlineStr">
        <is>
          <t>Coordinación Técnica</t>
        </is>
      </c>
      <c r="P132" s="52" t="inlineStr">
        <is>
          <t>sebastianochoa@arquitecturayconcreto.com</t>
        </is>
      </c>
    </row>
    <row r="133" ht="15" customHeight="1">
      <c r="A133" s="108" t="n"/>
      <c r="B133" s="39" t="n">
        <v>123</v>
      </c>
      <c r="C133" s="278" t="inlineStr">
        <is>
          <t>COTIZACION DEL DISEÑO DE EXTINCIÓN DE INCENDIOS - EXITO PASTO CENTRO</t>
        </is>
      </c>
      <c r="I133" s="39" t="inlineStr">
        <is>
          <t>SPCI</t>
        </is>
      </c>
      <c r="J133" s="336" t="n">
        <v>14900000</v>
      </c>
      <c r="K133" s="112" t="n">
        <v>46085</v>
      </c>
      <c r="L133" s="39" t="n"/>
      <c r="M133" s="39" t="n">
        <v>3104165783</v>
      </c>
      <c r="N133" s="39" t="inlineStr">
        <is>
          <t>Cristiam Gustavo Mondragon</t>
        </is>
      </c>
      <c r="O133" s="39" t="inlineStr">
        <is>
          <t>Director técnico</t>
        </is>
      </c>
      <c r="P133" s="52" t="inlineStr">
        <is>
          <t>dir.tecnico@spci.com.co</t>
        </is>
      </c>
    </row>
    <row r="134">
      <c r="A134" s="108" t="n"/>
      <c r="B134" s="39" t="n">
        <v>124</v>
      </c>
      <c r="C134" s="278" t="inlineStr">
        <is>
          <t>COTIZACION DE LOS DISEÑOS DE SEGURIDAD HUMANA Y PROTECCIÓN CONTRA INCENDIOS - EDIFICIO TÉCNICO CLÍNICA TRAUMAS Y FRACTURAS</t>
        </is>
      </c>
      <c r="I134" s="39" t="inlineStr">
        <is>
          <t>A3 Consulting</t>
        </is>
      </c>
      <c r="J134" s="336" t="n">
        <v>9950000</v>
      </c>
      <c r="K134" s="112" t="n">
        <v>46085</v>
      </c>
      <c r="L134" s="39" t="n"/>
      <c r="M134" s="39" t="n">
        <v>3127846921</v>
      </c>
      <c r="N134" s="39" t="inlineStr">
        <is>
          <t>Jorge Toro</t>
        </is>
      </c>
      <c r="O134" s="39" t="inlineStr">
        <is>
          <t>Ingeniero de Proyectos</t>
        </is>
      </c>
      <c r="P134" s="116" t="inlineStr">
        <is>
          <t>jorge@a3consulting.com.co</t>
        </is>
      </c>
    </row>
    <row r="135">
      <c r="A135" s="108" t="n"/>
      <c r="B135" s="39" t="n">
        <v>125</v>
      </c>
      <c r="C135" s="278" t="inlineStr">
        <is>
          <t>COTIZACION DE LOS DISEÑOS DE SEGURIDAD HUMANA Y PROTECCIÓN CONTRA INCENDIOS - PUG BUCAROS ETP3</t>
        </is>
      </c>
      <c r="I135" s="39" t="inlineStr">
        <is>
          <t>Roomie</t>
        </is>
      </c>
      <c r="J135" s="336" t="n">
        <v>25920000</v>
      </c>
      <c r="K135" s="112" t="n">
        <v>46086</v>
      </c>
      <c r="L135" s="39" t="n"/>
      <c r="M135" s="39" t="n">
        <v>3195175091</v>
      </c>
      <c r="N135" s="39" t="inlineStr">
        <is>
          <t>Camilo Ruiz Pérez</t>
        </is>
      </c>
      <c r="O135" s="39" t="n"/>
      <c r="P135" s="116" t="inlineStr">
        <is>
          <t>zzarq1602@gmail.com</t>
        </is>
      </c>
    </row>
    <row r="136">
      <c r="A136" s="108" t="n"/>
      <c r="B136" s="39" t="n">
        <v>126</v>
      </c>
      <c r="C136" s="278" t="inlineStr">
        <is>
          <t>COTIZACION DEL DISEÑO DE EXTINCIÓN DE INCENDIOS - INMOCENTE RIONEGRO</t>
        </is>
      </c>
      <c r="I136" s="39" t="inlineStr">
        <is>
          <t>Inmocente Rionegro</t>
        </is>
      </c>
      <c r="J136" s="336" t="n">
        <v>6000000</v>
      </c>
      <c r="K136" s="112" t="n">
        <v>46091</v>
      </c>
      <c r="L136" s="39" t="n"/>
      <c r="M136" s="39" t="n">
        <v>3235244851</v>
      </c>
      <c r="N136" s="39" t="inlineStr">
        <is>
          <t>Jorge Durago</t>
        </is>
      </c>
      <c r="O136" s="39" t="n"/>
      <c r="P136" s="116" t="inlineStr">
        <is>
          <t>sst@inmocente.com</t>
        </is>
      </c>
    </row>
    <row r="137" ht="14.4" customHeight="1">
      <c r="A137" s="108" t="n"/>
      <c r="B137" s="39" t="n">
        <v>127</v>
      </c>
      <c r="C137" s="278" t="inlineStr">
        <is>
          <t>COTIZACION DEL DISEÑO DE EXTINCIÓN DE INCENDIOS - BODEGA TESLA</t>
        </is>
      </c>
      <c r="I137" s="39" t="inlineStr">
        <is>
          <t>Tres Cimas</t>
        </is>
      </c>
      <c r="J137" s="336" t="inlineStr">
        <is>
          <t>No se cotizó</t>
        </is>
      </c>
      <c r="K137" s="112" t="n">
        <v>46091</v>
      </c>
      <c r="L137" s="39" t="n"/>
      <c r="M137" s="39" t="n">
        <v>3147380188</v>
      </c>
      <c r="N137" s="39" t="inlineStr">
        <is>
          <t>Juan Camilo Rey Jaramillo</t>
        </is>
      </c>
      <c r="O137" s="39" t="n"/>
      <c r="P137" s="116" t="n"/>
    </row>
    <row r="138">
      <c r="A138" s="108" t="n"/>
      <c r="B138" s="39" t="n">
        <v>128</v>
      </c>
      <c r="C138" s="278" t="inlineStr">
        <is>
          <t>COTIZACION DE LOS DISEÑOS DE SEGURIDAD HUMANA Y PROTECCIÓN CONTRA INCENDIOS - SERENIA</t>
        </is>
      </c>
      <c r="I138" s="39" t="inlineStr">
        <is>
          <t>Constructora Altos de la Abadía</t>
        </is>
      </c>
      <c r="J138" s="336" t="n">
        <v>31920000</v>
      </c>
      <c r="K138" s="112" t="n">
        <v>46091</v>
      </c>
      <c r="L138" s="39" t="n"/>
      <c r="M138" s="39" t="n">
        <v>6044486800</v>
      </c>
      <c r="N138" s="39" t="inlineStr">
        <is>
          <t>Luz Aleidy Cuartas Perez</t>
        </is>
      </c>
      <c r="O138" s="39" t="inlineStr">
        <is>
          <t xml:space="preserve">Jefe de diseños técnicos </t>
        </is>
      </c>
      <c r="P138" s="52" t="inlineStr">
        <is>
          <t>l.cuartas@altosdelaabadia.com</t>
        </is>
      </c>
    </row>
    <row r="139" ht="15" customHeight="1">
      <c r="A139" s="108" t="n"/>
      <c r="B139" s="39" t="n">
        <v>129</v>
      </c>
      <c r="C139" s="278" t="inlineStr">
        <is>
          <t>COTIZACION DEL DISEÑO DE EXTINCIÓN DE INCENDIOS - IMAT ONCOMEDICA T1 Y T2</t>
        </is>
      </c>
      <c r="I139" s="39" t="inlineStr">
        <is>
          <t>SPCI</t>
        </is>
      </c>
      <c r="J139" s="336" t="n">
        <v>25080000</v>
      </c>
      <c r="K139" s="112" t="n">
        <v>46091</v>
      </c>
      <c r="L139" s="39" t="n"/>
      <c r="M139" s="39" t="n">
        <v>3104165783</v>
      </c>
      <c r="N139" s="39" t="inlineStr">
        <is>
          <t>Cristiam Gustavo Mondragon</t>
        </is>
      </c>
      <c r="O139" s="39" t="inlineStr">
        <is>
          <t>Director técnico</t>
        </is>
      </c>
      <c r="P139" s="52" t="inlineStr">
        <is>
          <t>dir.tecnico@spci.com.co</t>
        </is>
      </c>
    </row>
    <row r="140" ht="15" customHeight="1">
      <c r="A140" s="108" t="n"/>
      <c r="B140" s="39" t="n">
        <v>130</v>
      </c>
      <c r="C140" s="278" t="inlineStr">
        <is>
          <t>COTIZACION DEL DISEÑO DE EXTINCIÓN DE INCENDIOS - LA PASCASIA</t>
        </is>
      </c>
      <c r="I140" s="39" t="inlineStr">
        <is>
          <t>Corporación común y corriente</t>
        </is>
      </c>
      <c r="J140" s="336" t="n">
        <v>17950000</v>
      </c>
      <c r="K140" s="112" t="n">
        <v>46091</v>
      </c>
      <c r="L140" s="39" t="n"/>
      <c r="M140" s="39" t="n">
        <v>3013358626</v>
      </c>
      <c r="N140" s="126" t="inlineStr">
        <is>
          <t>Diana Giraldo Navarro</t>
        </is>
      </c>
      <c r="O140" s="39" t="n"/>
      <c r="P140" s="52" t="inlineStr">
        <is>
          <t>diseno.casacalda@gmail.com</t>
        </is>
      </c>
    </row>
    <row r="141" ht="15" customHeight="1">
      <c r="A141" s="108" t="n"/>
      <c r="B141" s="39" t="n">
        <v>131</v>
      </c>
      <c r="C141" s="278" t="inlineStr">
        <is>
          <t>COTIZACION DE LOS DISEÑOS DE SEGURIDAD HUMANA Y PROTECCIÓN CONTRA INCENDIOS - CIRUELO</t>
        </is>
      </c>
      <c r="I141" s="39" t="inlineStr">
        <is>
          <t>CONINTEL</t>
        </is>
      </c>
      <c r="J141" s="336" t="n">
        <v>31110000</v>
      </c>
      <c r="K141" s="112" t="n">
        <v>46091</v>
      </c>
      <c r="L141" s="39" t="n"/>
      <c r="M141" s="39" t="n">
        <v>6042662377</v>
      </c>
      <c r="N141" s="39" t="inlineStr">
        <is>
          <t>Adriana Bermúdez</t>
        </is>
      </c>
      <c r="O141" s="39" t="inlineStr">
        <is>
          <t>Coordinador de Proyectos</t>
        </is>
      </c>
      <c r="P141" s="52" t="inlineStr">
        <is>
          <t>coordinacion@conintel.com.co</t>
        </is>
      </c>
    </row>
    <row r="142" ht="15" customHeight="1">
      <c r="A142" s="108" t="n"/>
      <c r="B142" s="39" t="n">
        <v>132</v>
      </c>
      <c r="C142" s="278" t="inlineStr">
        <is>
          <t>COTIZACION DE LOS DISEÑOS DE SEGURIDAD HUMANA Y PROTECCIÓN CONTRA INCENDIOS - VILLA FÁTIMA</t>
        </is>
      </c>
      <c r="I142" s="39" t="inlineStr">
        <is>
          <t>Urbanica</t>
        </is>
      </c>
      <c r="J142" s="336" t="n">
        <v>32350000</v>
      </c>
      <c r="K142" s="112" t="n">
        <v>46091</v>
      </c>
      <c r="L142" s="39" t="n"/>
      <c r="M142" s="39" t="n">
        <v>3004496232</v>
      </c>
      <c r="N142" s="39" t="inlineStr">
        <is>
          <t>Sandra Gomez</t>
        </is>
      </c>
      <c r="O142" s="39" t="n"/>
      <c r="P142" s="52" t="inlineStr">
        <is>
          <t>sandra@urbanica.co</t>
        </is>
      </c>
    </row>
    <row r="143" ht="15" customHeight="1">
      <c r="A143" s="108" t="n"/>
      <c r="B143" s="39" t="n">
        <v>133</v>
      </c>
      <c r="C143" s="278" t="inlineStr">
        <is>
          <t>COTIZACION DE LOS DISEÑOS DE SEGURIDAD HUMANA Y EXTINCIÓN DE INCENDIOS PARA PRESUPUESTO - HACEB</t>
        </is>
      </c>
      <c r="I143" s="39" t="inlineStr">
        <is>
          <t>Condiseño</t>
        </is>
      </c>
      <c r="J143" s="336" t="n">
        <v>25000000</v>
      </c>
      <c r="K143" s="112" t="n">
        <v>46093</v>
      </c>
      <c r="L143" s="39" t="n"/>
      <c r="M143" s="39" t="n">
        <v>3175594091</v>
      </c>
      <c r="N143" s="39" t="inlineStr">
        <is>
          <t>Nakary García</t>
        </is>
      </c>
      <c r="O143" s="39" t="inlineStr">
        <is>
          <t>Directora Comercial</t>
        </is>
      </c>
      <c r="P143" s="52" t="inlineStr">
        <is>
          <t>n.garcia@condiseno.co</t>
        </is>
      </c>
    </row>
    <row r="144">
      <c r="A144" s="108" t="n"/>
      <c r="B144" s="39" t="n">
        <v>134</v>
      </c>
      <c r="C144" s="278" t="inlineStr">
        <is>
          <t>COTIZACION DE LOS PLANOS DE SEÑALIZACIÓN DE EMERGENCIA - INSTITUCIONES EDUCATIVAS MEDELLIN</t>
        </is>
      </c>
      <c r="I144" s="39" t="inlineStr">
        <is>
          <t>Corporación ayuda humanitaria</t>
        </is>
      </c>
      <c r="J144" s="336" t="n">
        <v>1600000</v>
      </c>
      <c r="K144" s="112" t="n">
        <v>46093</v>
      </c>
      <c r="L144" s="170" t="n"/>
      <c r="M144" s="39" t="n">
        <v>3142231578</v>
      </c>
      <c r="N144" s="39" t="inlineStr">
        <is>
          <t>Santiago Quintero</t>
        </is>
      </c>
      <c r="O144" s="39" t="n"/>
      <c r="P144" s="52" t="inlineStr">
        <is>
          <t>saos64cah@gmail.com</t>
        </is>
      </c>
    </row>
    <row r="145">
      <c r="A145" s="108" t="n"/>
      <c r="B145" s="39" t="n">
        <v>135</v>
      </c>
      <c r="C145" s="278" t="inlineStr">
        <is>
          <t>COTIZACION DEL DISEÑO DE EXTINCIÓN DE INCENDIOS - BF PLAZA BOCAGRANDE</t>
        </is>
      </c>
      <c r="I145" s="39" t="n"/>
      <c r="J145" s="336" t="n">
        <v>2568210</v>
      </c>
      <c r="K145" s="112" t="n">
        <v>46094</v>
      </c>
      <c r="L145" s="39" t="n"/>
      <c r="M145" s="39" t="n"/>
      <c r="N145" s="39" t="n"/>
      <c r="O145" s="39" t="n"/>
      <c r="P145" s="116" t="n"/>
    </row>
    <row r="146">
      <c r="A146" s="108" t="n"/>
      <c r="B146" s="39" t="n">
        <v>136</v>
      </c>
      <c r="C146" s="278" t="inlineStr">
        <is>
          <t>COTIZACION DE LOS DISEÑOS DE SEGURIDAD HUMANA Y PROTECCIÓN CONTRA INCENDIOS - LOTE LAS PALMAS</t>
        </is>
      </c>
      <c r="I146" s="39" t="inlineStr">
        <is>
          <t>Federico Gómez Piedrahita</t>
        </is>
      </c>
      <c r="J146" s="336" t="inlineStr">
        <is>
          <t>No se presentó</t>
        </is>
      </c>
      <c r="K146" s="112" t="n">
        <v>46098</v>
      </c>
      <c r="L146" s="39" t="n"/>
      <c r="M146" s="39" t="n">
        <v>3103818032</v>
      </c>
      <c r="N146" s="39" t="inlineStr">
        <is>
          <t>Federico Gómez Piedrahita</t>
        </is>
      </c>
      <c r="O146" s="39" t="n"/>
      <c r="P146" s="52" t="inlineStr">
        <is>
          <t>federico@gomezpiedrahita.com</t>
        </is>
      </c>
    </row>
    <row r="147">
      <c r="A147" s="108" t="n"/>
      <c r="B147" s="39" t="n">
        <v>137</v>
      </c>
      <c r="C147" s="278" t="inlineStr">
        <is>
          <t>COTIZACION DE LOS DISEÑOS DE SEGURIDAD HUMANA Y PROTECCIÓN CONTRA INCENDIOS - NATURA BEACH</t>
        </is>
      </c>
      <c r="I147" s="39" t="inlineStr">
        <is>
          <t>Arquitectura Gustavo Jaramillo</t>
        </is>
      </c>
      <c r="J147" s="336" t="n">
        <v>24950000</v>
      </c>
      <c r="K147" s="112" t="n">
        <v>46098</v>
      </c>
      <c r="L147" s="39" t="n"/>
      <c r="M147" s="39" t="inlineStr">
        <is>
          <t>366 32 76</t>
        </is>
      </c>
      <c r="N147" s="39" t="inlineStr">
        <is>
          <t>Gustavo Jaramillo</t>
        </is>
      </c>
      <c r="O147" s="39" t="n"/>
      <c r="P147" s="52" t="inlineStr">
        <is>
          <t>g.jaramillo.arq@gmail.com</t>
        </is>
      </c>
    </row>
    <row r="148">
      <c r="A148" s="108" t="n"/>
      <c r="B148" s="39" t="n">
        <v>138</v>
      </c>
      <c r="C148" s="278" t="inlineStr">
        <is>
          <t>COTIZACION DE LOS DISEÑOS DE SEGURIDAD HUMANA Y PROTECCIÓN CONTRA INCENDIOS - MADERA</t>
        </is>
      </c>
      <c r="I148" s="39" t="inlineStr">
        <is>
          <t>Avenida</t>
        </is>
      </c>
      <c r="J148" s="336" t="n">
        <v>45457500</v>
      </c>
      <c r="K148" s="112" t="n">
        <v>46098</v>
      </c>
      <c r="L148" s="39" t="n"/>
      <c r="M148" s="39" t="n">
        <v>3005720520</v>
      </c>
      <c r="N148" s="39" t="inlineStr">
        <is>
          <t>Lizeth Florez</t>
        </is>
      </c>
      <c r="O148" s="39" t="inlineStr">
        <is>
          <t>Projec Director</t>
        </is>
      </c>
      <c r="P148" s="52" t="inlineStr">
        <is>
          <t>lflorez@avenidacap.com</t>
        </is>
      </c>
    </row>
    <row r="149">
      <c r="A149" s="108" t="n"/>
      <c r="B149" s="39" t="n">
        <v>139</v>
      </c>
      <c r="C149" s="278" t="inlineStr">
        <is>
          <t>COTIZACION DE LOS DISEÑOS DE SEGURIDAD HUMANA Y PROTECCIÓN CONTRA INCENDIOS - V-63 BBC - CONTENT CITY</t>
        </is>
      </c>
      <c r="I149" s="39" t="inlineStr">
        <is>
          <t>Javier Vera Arquitectos S.A.S.</t>
        </is>
      </c>
      <c r="J149" s="336" t="n">
        <v>39850000</v>
      </c>
      <c r="K149" s="112" t="n">
        <v>46098</v>
      </c>
      <c r="L149" s="39" t="n"/>
      <c r="M149" s="39" t="n">
        <v>3128513052</v>
      </c>
      <c r="N149" s="39" t="inlineStr">
        <is>
          <t>Ana Isabel Valencia Velásquez</t>
        </is>
      </c>
      <c r="O149" s="39" t="n"/>
      <c r="P149" s="52" t="inlineStr">
        <is>
          <t>proyectos@jveraarqs.com</t>
        </is>
      </c>
    </row>
    <row r="150">
      <c r="A150" s="108" t="n"/>
      <c r="B150" s="39" t="n">
        <v>140</v>
      </c>
      <c r="C150" s="278" t="inlineStr">
        <is>
          <t>COTIZACION DE LOS DISEÑOS DE SEGURIDAD HUMANA Y EXTINCIÓN DE INCENDIOS - LABORATORIO T&amp;T</t>
        </is>
      </c>
      <c r="I150" s="39" t="inlineStr">
        <is>
          <t>Condiseño</t>
        </is>
      </c>
      <c r="J150" s="336" t="n">
        <v>9950000</v>
      </c>
      <c r="K150" s="112" t="n">
        <v>46098</v>
      </c>
      <c r="L150" s="39" t="n"/>
      <c r="M150" s="39" t="n">
        <v>3175594091</v>
      </c>
      <c r="N150" s="39" t="inlineStr">
        <is>
          <t>Nakary García</t>
        </is>
      </c>
      <c r="O150" s="39" t="inlineStr">
        <is>
          <t>Directora Comercial</t>
        </is>
      </c>
      <c r="P150" s="52" t="inlineStr">
        <is>
          <t>n.garcia@condiseno.co</t>
        </is>
      </c>
    </row>
    <row r="151">
      <c r="A151" s="108" t="n"/>
      <c r="B151" s="39" t="n">
        <v>141</v>
      </c>
      <c r="C151" s="278" t="inlineStr">
        <is>
          <t>COTIZACION DE LOS DISEÑOS DE SEGURIDAD HUMANA Y PROTECCIÓN CONTRA INCENDIOS - ALTAIR</t>
        </is>
      </c>
      <c r="I151" s="39" t="inlineStr">
        <is>
          <t>FCR</t>
        </is>
      </c>
      <c r="J151" s="336" t="n">
        <v>30980000</v>
      </c>
      <c r="K151" s="112" t="n">
        <v>46098</v>
      </c>
      <c r="L151" s="39" t="n"/>
      <c r="M151" s="39" t="inlineStr">
        <is>
          <t>311 3304231</t>
        </is>
      </c>
      <c r="N151" s="39" t="inlineStr">
        <is>
          <t>Daniela Vélez</t>
        </is>
      </c>
      <c r="O151" s="39" t="n"/>
      <c r="P151" s="116" t="inlineStr">
        <is>
          <t>danielavelez.fcr@gmail.com</t>
        </is>
      </c>
    </row>
    <row r="152">
      <c r="A152" s="108" t="n"/>
      <c r="B152" s="39" t="n">
        <v>142</v>
      </c>
      <c r="C152" s="278" t="inlineStr">
        <is>
          <t>COTIZACION DE LOS DISEÑOS DE SEGURIDAD HUMANA Y PROTECCIÓN CONTRA INCENDIOS - LEPINOT</t>
        </is>
      </c>
      <c r="I152" s="39" t="inlineStr">
        <is>
          <t>Inversiones TP</t>
        </is>
      </c>
      <c r="J152" s="336" t="n">
        <v>7000000</v>
      </c>
      <c r="K152" s="112" t="n">
        <v>46098</v>
      </c>
      <c r="L152" s="39" t="n"/>
      <c r="M152" s="39" t="n">
        <v>3207202429</v>
      </c>
      <c r="N152" s="39" t="inlineStr">
        <is>
          <t xml:space="preserve">
Diana Patricia Giraldo Roman</t>
        </is>
      </c>
      <c r="O152" s="39" t="n"/>
      <c r="P152" s="52" t="inlineStr">
        <is>
          <t>sstdianagiraldo@gmail.com</t>
        </is>
      </c>
    </row>
    <row r="153">
      <c r="A153" s="108" t="n"/>
      <c r="B153" s="39" t="n">
        <v>143</v>
      </c>
      <c r="C153" s="278" t="inlineStr">
        <is>
          <t>COTIZACION DE LOS DISEÑOS DE SEGURIDAD HUMANA Y PROTECCIÓN CONTRA INCENDIOS - CASA CLUB</t>
        </is>
      </c>
      <c r="I153" s="39" t="inlineStr">
        <is>
          <t xml:space="preserve">Ingenium </t>
        </is>
      </c>
      <c r="J153" s="336" t="n">
        <v>29950000</v>
      </c>
      <c r="K153" s="112" t="n">
        <v>42447</v>
      </c>
      <c r="L153" s="39" t="n"/>
      <c r="M153" s="39" t="n"/>
      <c r="N153" s="39" t="n"/>
      <c r="O153" s="39" t="n"/>
      <c r="P153" s="116" t="n"/>
    </row>
    <row r="154">
      <c r="A154" s="108" t="n"/>
      <c r="B154" s="39" t="n">
        <v>144</v>
      </c>
      <c r="C154" s="278" t="inlineStr">
        <is>
          <t>COTIZACION DE LOS DISEÑOS DE SEGURIDAD HUMANA Y PROTECCIÓN CONTRA INCENDIOS - ZURI</t>
        </is>
      </c>
      <c r="I154" s="39" t="inlineStr">
        <is>
          <t>Constructora Altos de la Abadía</t>
        </is>
      </c>
      <c r="J154" s="336" t="n">
        <v>29970000</v>
      </c>
      <c r="K154" s="112" t="n">
        <v>46099</v>
      </c>
      <c r="L154" s="39" t="n"/>
      <c r="M154" s="39" t="n">
        <v>3175180141</v>
      </c>
      <c r="N154" s="39" t="inlineStr">
        <is>
          <t>Esteban Ramírez Pineda</t>
        </is>
      </c>
      <c r="O154" s="39" t="inlineStr">
        <is>
          <t xml:space="preserve">Subgerente diseños técnicos </t>
        </is>
      </c>
      <c r="P154" s="116" t="inlineStr">
        <is>
          <t xml:space="preserve">e.ramirez@altosdelaabadia.com  
</t>
        </is>
      </c>
    </row>
    <row r="155">
      <c r="A155" s="108" t="n"/>
      <c r="B155" s="39" t="n">
        <v>145</v>
      </c>
      <c r="C155" s="278" t="inlineStr">
        <is>
          <t>COTIZACION DE LOS DISEÑOS DE PROTECCIÓN CONTRA INCENDIOS Y SEGURIDAD HUMANA - MISTRAL ETAPA 2</t>
        </is>
      </c>
      <c r="I155" s="39" t="inlineStr">
        <is>
          <t>Conaltura</t>
        </is>
      </c>
      <c r="J155" s="336" t="n">
        <v>32450000</v>
      </c>
      <c r="K155" s="112" t="n">
        <v>46100</v>
      </c>
      <c r="L155" s="39" t="n"/>
      <c r="M155" s="39" t="n">
        <v>3122310202</v>
      </c>
      <c r="N155" s="39" t="inlineStr">
        <is>
          <t>Yesenia Pareja</t>
        </is>
      </c>
      <c r="O155" s="39" t="inlineStr">
        <is>
          <t>Profesional Técnico</t>
        </is>
      </c>
      <c r="P155" s="116" t="inlineStr">
        <is>
          <t>ypareja@conaltura.com</t>
        </is>
      </c>
    </row>
    <row r="156">
      <c r="A156" s="108" t="n"/>
      <c r="B156" s="39" t="n">
        <v>146</v>
      </c>
      <c r="C156" s="278" t="inlineStr">
        <is>
          <t>COTIZACION DE LOS DISEÑOS DE SEGURIDAD HUMANA Y PROTECCIÓN CONTRA INCENDIOS - RESERVA SANTA MARIA</t>
        </is>
      </c>
      <c r="I156" s="39" t="inlineStr">
        <is>
          <t>Arquitectura y Concreto</t>
        </is>
      </c>
      <c r="J156" s="336" t="n"/>
      <c r="K156" s="112" t="n">
        <v>46101</v>
      </c>
      <c r="L156" s="39" t="n"/>
      <c r="M156" s="39" t="n">
        <v>3162439535</v>
      </c>
      <c r="N156" s="39" t="inlineStr">
        <is>
          <t>Sebastián Ochoa Gómez</t>
        </is>
      </c>
      <c r="O156" s="39" t="inlineStr">
        <is>
          <t>Coordinación Técnica</t>
        </is>
      </c>
      <c r="P156" s="52" t="inlineStr">
        <is>
          <t>sebastianochoa@arquitecturayconcreto.com</t>
        </is>
      </c>
    </row>
    <row r="157">
      <c r="A157" s="108" t="n"/>
      <c r="B157" s="39" t="n">
        <v>147</v>
      </c>
      <c r="C157" s="278" t="inlineStr">
        <is>
          <t>COTIZACION DE LOS DISEÑOS DE SEGURIDAD HUMANA Y PROTECCIÓN CONTRA INCENDIOS - ALMA DEL RIO</t>
        </is>
      </c>
      <c r="I157" s="39" t="inlineStr">
        <is>
          <t>Arquitectura y Concreto</t>
        </is>
      </c>
      <c r="J157" s="336" t="n">
        <v>29950000</v>
      </c>
      <c r="K157" s="112" t="n">
        <v>46101</v>
      </c>
      <c r="L157" s="39" t="n"/>
      <c r="M157" s="39" t="n">
        <v>3162439535</v>
      </c>
      <c r="N157" s="39" t="inlineStr">
        <is>
          <t>Sebastián Ochoa Gómez</t>
        </is>
      </c>
      <c r="O157" s="39" t="inlineStr">
        <is>
          <t>Coordinación Técnica</t>
        </is>
      </c>
      <c r="P157" s="52" t="inlineStr">
        <is>
          <t>sebastianochoa@arquitecturayconcreto.com</t>
        </is>
      </c>
    </row>
    <row r="158">
      <c r="A158" s="108" t="n"/>
      <c r="B158" s="39" t="n">
        <v>148</v>
      </c>
      <c r="C158" s="278" t="inlineStr">
        <is>
          <t>COTIZACION DE LOS DISEÑOS DE PROTECCIÓN CONTRA INCENDIOS - OBELISCO</t>
        </is>
      </c>
      <c r="I158" s="39" t="inlineStr">
        <is>
          <t>AFC Profire</t>
        </is>
      </c>
      <c r="J158" s="336" t="n">
        <v>6850000</v>
      </c>
      <c r="K158" s="112" t="n">
        <v>46101</v>
      </c>
      <c r="L158" s="39" t="n"/>
      <c r="M158" s="39" t="n">
        <v>3116456726</v>
      </c>
      <c r="N158" s="39" t="inlineStr">
        <is>
          <t xml:space="preserve"> Andrés Felipe Cruz Restrepo</t>
        </is>
      </c>
      <c r="O158" s="39" t="inlineStr">
        <is>
          <t>Director comercial</t>
        </is>
      </c>
      <c r="P158" s="52" t="inlineStr">
        <is>
          <t>andres.cruz@afcprofire.com</t>
        </is>
      </c>
    </row>
    <row r="159">
      <c r="A159" s="108" t="n"/>
      <c r="B159" s="39" t="n">
        <v>149</v>
      </c>
      <c r="C159" s="278" t="inlineStr">
        <is>
          <t>COTIZACION DEL DISEÑO DE DETECCIÓN DE INCENDIOS - BODEGAS DE COLANTA EN QBOX</t>
        </is>
      </c>
      <c r="I159" s="39" t="inlineStr">
        <is>
          <t>Seriinco</t>
        </is>
      </c>
      <c r="J159" s="336" t="n">
        <v>7500000</v>
      </c>
      <c r="K159" s="112" t="n">
        <v>46101</v>
      </c>
      <c r="L159" s="39" t="n"/>
      <c r="M159" s="39" t="n">
        <v>3116460496</v>
      </c>
      <c r="N159" s="39" t="inlineStr">
        <is>
          <t>Francisco Unda</t>
        </is>
      </c>
      <c r="O159" s="39" t="n"/>
      <c r="P159" s="52" t="inlineStr">
        <is>
          <t>francisco.unda@seriinco.com</t>
        </is>
      </c>
    </row>
    <row r="160">
      <c r="A160" s="108" t="n"/>
      <c r="B160" s="39" t="n">
        <v>150</v>
      </c>
      <c r="C160" s="278" t="inlineStr">
        <is>
          <t>COTIZACION DEL DISEÑO DE DETECCIÓN DE INCENDIOS - ÁREA DE GESTION DOCUMENTAL HACEB</t>
        </is>
      </c>
      <c r="I160" s="39" t="inlineStr">
        <is>
          <t>Seriinco</t>
        </is>
      </c>
      <c r="J160" s="336" t="n">
        <v>2500000</v>
      </c>
      <c r="K160" s="112" t="n">
        <v>46101</v>
      </c>
      <c r="L160" s="39" t="n"/>
      <c r="M160" s="39" t="n">
        <v>3116460496</v>
      </c>
      <c r="N160" s="39" t="inlineStr">
        <is>
          <t>Francisco Unda</t>
        </is>
      </c>
      <c r="O160" s="39" t="n"/>
      <c r="P160" s="52" t="inlineStr">
        <is>
          <t>francisco.unda@seriinco.com</t>
        </is>
      </c>
    </row>
    <row r="161">
      <c r="A161" s="108" t="n"/>
      <c r="B161" s="39" t="n">
        <v>151</v>
      </c>
      <c r="C161" s="278" t="inlineStr">
        <is>
          <t>COTIZACION DEL DISEÑO DE DETECCIÓN DE INCENDIOS - WE AGRO</t>
        </is>
      </c>
      <c r="I161" s="39" t="inlineStr">
        <is>
          <t>Seriinco</t>
        </is>
      </c>
      <c r="J161" s="336" t="n">
        <v>9970000</v>
      </c>
      <c r="K161" s="112" t="n">
        <v>46101</v>
      </c>
      <c r="L161" s="39" t="n"/>
      <c r="M161" s="39" t="n">
        <v>3116460496</v>
      </c>
      <c r="N161" s="39" t="inlineStr">
        <is>
          <t>Francisco Unda</t>
        </is>
      </c>
      <c r="O161" s="39" t="n"/>
      <c r="P161" s="52" t="inlineStr">
        <is>
          <t>francisco.unda@seriinco.com</t>
        </is>
      </c>
    </row>
    <row r="162">
      <c r="A162" s="108" t="n"/>
      <c r="B162" s="39" t="n">
        <v>152</v>
      </c>
      <c r="C162" s="278" t="inlineStr">
        <is>
          <t>COTIZACION DE LOS DISEÑOS DE SEGURIDAD HUMANA Y PROTECCIÓN CONTRA INCENDIOS - DISTRITO EKI</t>
        </is>
      </c>
      <c r="I162" s="39" t="inlineStr">
        <is>
          <t>Bienes y bienes</t>
        </is>
      </c>
      <c r="J162" s="336" t="n">
        <v>39950000</v>
      </c>
      <c r="K162" s="112" t="n">
        <v>46102</v>
      </c>
      <c r="L162" s="39" t="n"/>
      <c r="M162" s="39" t="n">
        <v>3147788200</v>
      </c>
      <c r="N162" s="39" t="inlineStr">
        <is>
          <t>Diego Fernando Paredes Peña</t>
        </is>
      </c>
      <c r="O162" s="39" t="inlineStr">
        <is>
          <t>Director De Estudios Y Diseños</t>
        </is>
      </c>
      <c r="P162" s="52" t="inlineStr">
        <is>
          <t>diego.paredes@bienesybienes.com.co</t>
        </is>
      </c>
    </row>
    <row r="163">
      <c r="A163" s="108" t="n"/>
      <c r="B163" s="39" t="n">
        <v>153</v>
      </c>
      <c r="C163" s="278" t="inlineStr">
        <is>
          <t>COTIZACION DE LOS DISEÑOS DE PROTECCIÓN CONTRA INCENDIOS - DATACENTER CETAD</t>
        </is>
      </c>
      <c r="I163" s="39" t="inlineStr">
        <is>
          <t>Seriinco</t>
        </is>
      </c>
      <c r="J163" s="336" t="n">
        <v>19950000</v>
      </c>
      <c r="K163" s="112" t="n">
        <v>46105</v>
      </c>
      <c r="L163" s="39" t="n"/>
      <c r="M163" s="39" t="n">
        <v>3104529624</v>
      </c>
      <c r="N163" s="39" t="inlineStr">
        <is>
          <t>Carlos Bernal Montenegro</t>
        </is>
      </c>
      <c r="O163" s="39" t="n"/>
      <c r="P163" s="52" t="inlineStr">
        <is>
          <t>carlos.bernal@seriinco.com</t>
        </is>
      </c>
    </row>
    <row r="164">
      <c r="A164" s="108" t="n"/>
      <c r="B164" s="39" t="n">
        <v>154</v>
      </c>
      <c r="C164" s="278" t="inlineStr">
        <is>
          <t>COTIZACION DEL DISEÑO DE EXTINCIÓN DE INCENDIOS - CINCUENTENARIO</t>
        </is>
      </c>
      <c r="I164" s="39" t="inlineStr">
        <is>
          <t>Mauricio Sepulveda</t>
        </is>
      </c>
      <c r="J164" s="336" t="n">
        <v>7500000</v>
      </c>
      <c r="K164" s="112" t="n">
        <v>46105</v>
      </c>
      <c r="L164" s="39" t="n"/>
      <c r="M164" s="39" t="n">
        <v>3012547727</v>
      </c>
      <c r="N164" s="39" t="inlineStr">
        <is>
          <t>Mauricio Sepulveda</t>
        </is>
      </c>
      <c r="O164" s="39" t="n"/>
      <c r="P164" s="116" t="n"/>
    </row>
    <row r="165">
      <c r="A165" s="108" t="n"/>
      <c r="B165" s="39" t="n">
        <v>155</v>
      </c>
      <c r="C165" s="278" t="inlineStr">
        <is>
          <t>COTIZACION DE LOS DISEÑOS DE SEGURIDAD HUMANA Y PROTECCIÓN CONTRA INCENDIOS - TIERRA Y SABANA E1</t>
        </is>
      </c>
      <c r="I165" s="39" t="inlineStr">
        <is>
          <t>Conaltura</t>
        </is>
      </c>
      <c r="J165" s="336" t="n">
        <v>31760000</v>
      </c>
      <c r="K165" s="112" t="n">
        <v>46105</v>
      </c>
      <c r="L165" s="39" t="n"/>
      <c r="M165" s="39" t="n">
        <v>3122310202</v>
      </c>
      <c r="N165" s="39" t="inlineStr">
        <is>
          <t>Yesenia Pareja</t>
        </is>
      </c>
      <c r="O165" s="39" t="inlineStr">
        <is>
          <t>Profesional Técnico</t>
        </is>
      </c>
      <c r="P165" s="116" t="inlineStr">
        <is>
          <t>ypareja@conaltura.com</t>
        </is>
      </c>
    </row>
    <row r="166">
      <c r="A166" s="108" t="n"/>
      <c r="B166" s="39" t="n">
        <v>156</v>
      </c>
      <c r="C166" s="278" t="inlineStr">
        <is>
          <t>COTIZACION DE LOS DISEÑOS DE SEGURIDAD HUMANA Y PROTECCIÓN CONTRA INCENDIOS - EDIFICIO SENIOR</t>
        </is>
      </c>
      <c r="I166" s="39" t="inlineStr">
        <is>
          <t>Conaltura</t>
        </is>
      </c>
      <c r="J166" s="336" t="n">
        <v>31760000</v>
      </c>
      <c r="K166" s="112" t="n">
        <v>46105</v>
      </c>
      <c r="L166" s="39" t="n"/>
      <c r="M166" s="39" t="n">
        <v>3122310202</v>
      </c>
      <c r="N166" s="39" t="inlineStr">
        <is>
          <t>Yesenia Pareja</t>
        </is>
      </c>
      <c r="O166" s="39" t="inlineStr">
        <is>
          <t>Profesional Técnico</t>
        </is>
      </c>
      <c r="P166" s="116" t="inlineStr">
        <is>
          <t>ypareja@conaltura.com</t>
        </is>
      </c>
    </row>
    <row r="167" ht="15" customHeight="1">
      <c r="A167" s="108" t="n"/>
      <c r="B167" s="39" t="n">
        <v>157</v>
      </c>
      <c r="C167" s="278" t="inlineStr">
        <is>
          <t>COTIZACION DEL ANÁLISIS DE SEGURIDAD HUMANA - AUDITORIO CAMPÍN</t>
        </is>
      </c>
      <c r="I167" s="39" t="inlineStr">
        <is>
          <t>Conconcreto</t>
        </is>
      </c>
      <c r="J167" s="336" t="n">
        <v>24950000</v>
      </c>
      <c r="K167" s="112" t="n">
        <v>46108</v>
      </c>
      <c r="L167" s="39" t="n"/>
      <c r="M167" s="39" t="n"/>
      <c r="N167" s="39" t="inlineStr">
        <is>
          <t>Manuela Jaramillo Castaño</t>
        </is>
      </c>
      <c r="O167" s="39" t="inlineStr">
        <is>
          <t>Especialista comercial</t>
        </is>
      </c>
      <c r="P167" s="52" t="inlineStr">
        <is>
          <t>mjaramilloc@doublec.com</t>
        </is>
      </c>
    </row>
    <row r="168">
      <c r="A168" s="108" t="n"/>
      <c r="B168" s="39" t="n">
        <v>158</v>
      </c>
      <c r="C168" s="278" t="inlineStr">
        <is>
          <t>COTIZACION DE LOS DISEÑOS DE PROTECCIÓN CONTRA INCENDIOS - PLANTA CONFITERIA TRIUNFO CASA LUKER</t>
        </is>
      </c>
      <c r="I168" s="39" t="inlineStr">
        <is>
          <t>SPCI</t>
        </is>
      </c>
      <c r="J168" s="336" t="n">
        <v>28230000</v>
      </c>
      <c r="K168" s="112" t="n">
        <v>46108</v>
      </c>
      <c r="L168" s="39" t="n"/>
      <c r="M168" s="39" t="n">
        <v>3104165783</v>
      </c>
      <c r="N168" s="39" t="inlineStr">
        <is>
          <t>Cristiam Gustavo Mondragon</t>
        </is>
      </c>
      <c r="O168" s="39" t="inlineStr">
        <is>
          <t>Director técnico</t>
        </is>
      </c>
      <c r="P168" s="52" t="inlineStr">
        <is>
          <t>dir.tecnico@spci.com.co</t>
        </is>
      </c>
    </row>
    <row r="169">
      <c r="A169" s="108" t="n"/>
      <c r="B169" s="39" t="n">
        <v>159</v>
      </c>
      <c r="C169" s="278" t="inlineStr">
        <is>
          <t>COTIZACION DEL ANÁLISIS DE SEGURIDAD HUMANA - REMODELACION SEDE COPROCENVA</t>
        </is>
      </c>
      <c r="I169" s="39" t="inlineStr">
        <is>
          <t>Coprocenva</t>
        </is>
      </c>
      <c r="J169" s="336" t="n">
        <v>9950000</v>
      </c>
      <c r="K169" s="112" t="n">
        <v>46108</v>
      </c>
      <c r="L169" s="39" t="n"/>
      <c r="M169" s="39" t="n"/>
      <c r="N169" s="39" t="inlineStr">
        <is>
          <t>Juan Paulo Valdés</t>
        </is>
      </c>
      <c r="O169" s="39" t="n"/>
      <c r="P169" s="52" t="inlineStr">
        <is>
          <t>coordinadorinfraestructura@coprocenva.coop</t>
        </is>
      </c>
    </row>
    <row r="170">
      <c r="A170" s="108" t="n"/>
      <c r="B170" s="39" t="n">
        <v>160</v>
      </c>
      <c r="C170" s="278" t="inlineStr">
        <is>
          <t>COTIZACION DEL DISEÑO DE EXTINCIÓN DE INCENDIOS - LA RESISTENCIA</t>
        </is>
      </c>
      <c r="I170" s="39" t="inlineStr">
        <is>
          <t>Hidro F. Salinas</t>
        </is>
      </c>
      <c r="J170" s="336" t="n">
        <v>5950000</v>
      </c>
      <c r="K170" s="112" t="n">
        <v>46111</v>
      </c>
      <c r="L170" s="39" t="n"/>
      <c r="M170" s="39" t="n">
        <v>3104139821</v>
      </c>
      <c r="N170" s="39" t="inlineStr">
        <is>
          <t>Carolina Volkmar R.</t>
        </is>
      </c>
      <c r="O170" s="39" t="n"/>
      <c r="P170" s="116" t="inlineStr">
        <is>
          <t>carolina@hidrofsalinas.com</t>
        </is>
      </c>
    </row>
    <row r="171">
      <c r="A171" s="108" t="n"/>
      <c r="B171" s="39" t="n">
        <v>161</v>
      </c>
      <c r="C171" s="278" t="inlineStr">
        <is>
          <t>COTIZACION DE LOS DISEÑOS DE SEGURIDAD HUMANA Y PROTECCIÓN CONTRA INCENDIOS - BUCAROS</t>
        </is>
      </c>
      <c r="I171" s="39" t="inlineStr">
        <is>
          <t>Securetec</t>
        </is>
      </c>
      <c r="J171" s="336" t="n">
        <v>22850000</v>
      </c>
      <c r="K171" s="112" t="n">
        <v>46111</v>
      </c>
      <c r="L171" s="39" t="n"/>
      <c r="M171" s="39" t="n">
        <v>3206678830</v>
      </c>
      <c r="N171" s="39" t="inlineStr">
        <is>
          <t>Jhonny A Castro</t>
        </is>
      </c>
      <c r="O171" s="39" t="n"/>
      <c r="P171" s="52" t="inlineStr">
        <is>
          <t>dirproyectos@securetec.com.co</t>
        </is>
      </c>
    </row>
    <row r="172">
      <c r="A172" s="108" t="n"/>
      <c r="B172" s="39" t="n">
        <v>162</v>
      </c>
      <c r="C172" s="278" t="inlineStr">
        <is>
          <t>COTIZACION DE LOS DISEÑOS DE SEGURIDAD HUMANA Y DETECCIÓN DE INCENDIOS - ROSALES</t>
        </is>
      </c>
      <c r="I172" s="39" t="inlineStr">
        <is>
          <t>Coninsa</t>
        </is>
      </c>
      <c r="J172" s="336" t="inlineStr">
        <is>
          <t>variable por etapas</t>
        </is>
      </c>
      <c r="K172" s="112" t="n">
        <v>46119</v>
      </c>
      <c r="L172" s="39" t="n"/>
      <c r="M172" s="39" t="n">
        <v>3005934637</v>
      </c>
      <c r="N172" s="39" t="inlineStr">
        <is>
          <t>Nasser Jose Sir Cedeño</t>
        </is>
      </c>
      <c r="O172" s="39" t="inlineStr">
        <is>
          <t>Analista de Estructuración técnica y constructiva de proyectos</t>
        </is>
      </c>
      <c r="P172" s="52" t="inlineStr">
        <is>
          <t>njsirc@coninsa.co</t>
        </is>
      </c>
    </row>
    <row r="173">
      <c r="A173" s="108" t="n"/>
      <c r="B173" s="39" t="n">
        <v>163</v>
      </c>
      <c r="C173" s="278" t="inlineStr">
        <is>
          <t>COTIZACION DE LOS DISEÑOS DE SEGURIDAD HUMANA Y PROTECCIÓN CONTRA INCENDIOS - VERDE AGUA</t>
        </is>
      </c>
      <c r="I173" s="39" t="inlineStr">
        <is>
          <t>Arquitectura y Concreto</t>
        </is>
      </c>
      <c r="J173" s="336" t="n">
        <v>24950000</v>
      </c>
      <c r="K173" s="112" t="n">
        <v>46119</v>
      </c>
      <c r="L173" s="39" t="n"/>
      <c r="M173" s="39" t="n">
        <v>3162439535</v>
      </c>
      <c r="N173" s="39" t="inlineStr">
        <is>
          <t>Sebastián Ochoa Gómez</t>
        </is>
      </c>
      <c r="O173" s="39" t="inlineStr">
        <is>
          <t>Coordinación Técnica</t>
        </is>
      </c>
      <c r="P173" s="52" t="inlineStr">
        <is>
          <t>sebastianochoa@arquitecturayconcreto.com</t>
        </is>
      </c>
    </row>
    <row r="174">
      <c r="A174" s="108" t="n"/>
      <c r="B174" s="39" t="n">
        <v>164</v>
      </c>
      <c r="C174" s="278" t="inlineStr">
        <is>
          <t>COTIZACION DEL REDISEÑO DE EXTINCIÓN DE INCENDIOS - ZONA COMIDAS P2 CC SAN NICOLAS</t>
        </is>
      </c>
      <c r="I174" s="39" t="inlineStr">
        <is>
          <t>San Nicolás</t>
        </is>
      </c>
      <c r="J174" s="336" t="n">
        <v>1550000</v>
      </c>
      <c r="K174" s="112" t="n">
        <v>46120</v>
      </c>
      <c r="L174" s="39" t="n"/>
      <c r="M174" s="39" t="inlineStr">
        <is>
          <t>6045614886 ext 132</t>
        </is>
      </c>
      <c r="N174" s="39" t="inlineStr">
        <is>
          <t>Yeremy Sebastián Muñoz Zamarra</t>
        </is>
      </c>
      <c r="O174" s="39" t="n"/>
      <c r="P174" s="52" t="inlineStr">
        <is>
          <t>infraestructura@sannicolas.co</t>
        </is>
      </c>
    </row>
    <row r="175" ht="15" customHeight="1">
      <c r="A175" s="108" t="n"/>
      <c r="B175" s="39" t="n">
        <v>165</v>
      </c>
      <c r="C175" s="278" t="inlineStr">
        <is>
          <t>COTIZACION DEL DISEÑO DE EXTINCIÓN DE INCENDIOS - ALKOMPRAR POPAYÁN</t>
        </is>
      </c>
      <c r="I175" s="39" t="inlineStr">
        <is>
          <t>Socomes</t>
        </is>
      </c>
      <c r="J175" s="336" t="n">
        <v>5500000</v>
      </c>
      <c r="K175" s="112" t="n">
        <v>46120</v>
      </c>
      <c r="L175" s="39" t="n"/>
      <c r="M175" s="39" t="n">
        <v>3137851941</v>
      </c>
      <c r="N175" s="39" t="inlineStr">
        <is>
          <t>David Lopera</t>
        </is>
      </c>
      <c r="O175" s="39" t="inlineStr">
        <is>
          <t>Director Comercial</t>
        </is>
      </c>
      <c r="P175" s="52" t="inlineStr">
        <is>
          <t>david.lopera@socomes.com</t>
        </is>
      </c>
    </row>
    <row r="176" ht="15" customHeight="1">
      <c r="A176" s="108" t="n"/>
      <c r="B176" s="39" t="n">
        <v>166</v>
      </c>
      <c r="C176" s="278" t="inlineStr">
        <is>
          <t>COTIZACION DEL DISEÑO DE EXTINCIÓN DE INCENDIOS - GIMNASIOS SMARTFIT</t>
        </is>
      </c>
      <c r="I176" s="39" t="inlineStr">
        <is>
          <t>Casas Bee</t>
        </is>
      </c>
      <c r="J176" s="336" t="n">
        <v>4950000</v>
      </c>
      <c r="K176" s="112" t="n">
        <v>46122</v>
      </c>
      <c r="L176" s="39" t="n"/>
      <c r="M176" s="39" t="n">
        <v>3014832094</v>
      </c>
      <c r="N176" s="39" t="inlineStr">
        <is>
          <t>Juan David Hoyos</t>
        </is>
      </c>
      <c r="O176" s="39" t="n"/>
      <c r="P176" s="52" t="inlineStr">
        <is>
          <t>juanda@casasbee.com</t>
        </is>
      </c>
    </row>
    <row r="177">
      <c r="A177" s="108" t="n"/>
      <c r="B177" s="39" t="n">
        <v>167</v>
      </c>
      <c r="C177" s="278" t="inlineStr">
        <is>
          <t>COTIZACION DE LOS DISEÑOS DE PROTECCIÓN CONTRA INCENDIOS - OBRA CONSOLATA</t>
        </is>
      </c>
      <c r="I177" s="39" t="inlineStr">
        <is>
          <t>Mattur</t>
        </is>
      </c>
      <c r="J177" s="336" t="n">
        <v>15950000</v>
      </c>
      <c r="K177" s="112" t="n">
        <v>46122</v>
      </c>
      <c r="L177" s="39" t="n"/>
      <c r="M177" s="39" t="n">
        <v>3137246726</v>
      </c>
      <c r="N177" s="39" t="inlineStr">
        <is>
          <t>Yesenia Corrales</t>
        </is>
      </c>
      <c r="O177" s="39" t="n"/>
      <c r="P177" s="52" t="inlineStr">
        <is>
          <t>matturobraconsolata@gmail.com</t>
        </is>
      </c>
    </row>
    <row r="178">
      <c r="A178" s="108" t="n"/>
      <c r="B178" s="39" t="n">
        <v>168</v>
      </c>
      <c r="C178" s="278" t="inlineStr">
        <is>
          <t>COTIZACION DE LOS DISEÑOS DE SEGURIDAD HUMANA Y PROTECCIÓN CONTRA INCENDIOS - ROSÉ</t>
        </is>
      </c>
      <c r="I178" s="39" t="inlineStr">
        <is>
          <t>Arquitectura y Concreto</t>
        </is>
      </c>
      <c r="J178" s="336" t="n">
        <v>39850000</v>
      </c>
      <c r="K178" s="112" t="n">
        <v>46122</v>
      </c>
      <c r="L178" s="39" t="n"/>
      <c r="M178" s="39" t="n">
        <v>3162439535</v>
      </c>
      <c r="N178" s="39" t="inlineStr">
        <is>
          <t>Sebastián Ochoa Gómez</t>
        </is>
      </c>
      <c r="O178" s="39" t="inlineStr">
        <is>
          <t>Coordinación Técnica</t>
        </is>
      </c>
      <c r="P178" s="52" t="inlineStr">
        <is>
          <t>sebastianochoa@arquitecturayconcreto.com</t>
        </is>
      </c>
    </row>
    <row r="179" ht="15" customHeight="1">
      <c r="A179" s="108" t="n"/>
      <c r="B179" s="39" t="n">
        <v>169</v>
      </c>
      <c r="C179" s="278" t="inlineStr">
        <is>
          <t>COTIZACION DE LOS DISEÑOS DE SEGURIDAD HUMANA Y PROTECCIÓN CONTRA INCENDIOS - D1 PALMAS</t>
        </is>
      </c>
      <c r="I179" s="39" t="inlineStr">
        <is>
          <t>Convel</t>
        </is>
      </c>
      <c r="J179" s="336" t="n">
        <v>6550000</v>
      </c>
      <c r="K179" s="112" t="n">
        <v>46126</v>
      </c>
      <c r="L179" s="39" t="n"/>
      <c r="M179" s="39" t="n">
        <v>3137337587</v>
      </c>
      <c r="N179" s="39" t="inlineStr">
        <is>
          <t>Juan Carlos Naranjo</t>
        </is>
      </c>
      <c r="O179" s="39" t="n"/>
      <c r="P179" s="52" t="inlineStr">
        <is>
          <t>juannaranjo@convel.co</t>
        </is>
      </c>
    </row>
    <row r="180">
      <c r="A180" s="108" t="n"/>
      <c r="B180" s="39" t="n">
        <v>170</v>
      </c>
      <c r="C180" s="278" t="inlineStr">
        <is>
          <t>COTIZACION DE LOS DISEÑOS DE SEGURIDAD HUMANA Y PROTECCIÓN CONTRA INCENDIOS - D1 BALSOS</t>
        </is>
      </c>
      <c r="I180" s="39" t="inlineStr">
        <is>
          <t>Convel</t>
        </is>
      </c>
      <c r="J180" s="336" t="n">
        <v>7250000</v>
      </c>
      <c r="K180" s="112" t="n">
        <v>46126</v>
      </c>
      <c r="L180" s="39" t="n"/>
      <c r="M180" s="39" t="n">
        <v>3137337587</v>
      </c>
      <c r="N180" s="39" t="inlineStr">
        <is>
          <t>Juan Carlos Naranjo</t>
        </is>
      </c>
      <c r="O180" s="39" t="n"/>
      <c r="P180" s="52" t="inlineStr">
        <is>
          <t>juannaranjo@convel.co</t>
        </is>
      </c>
    </row>
    <row r="181">
      <c r="A181" s="108" t="n"/>
      <c r="B181" s="39" t="n">
        <v>171</v>
      </c>
      <c r="C181" s="278" t="inlineStr">
        <is>
          <t>COTIZACION DEL DISEÑO DE EXTINCIÓN DE INCENDIOS - GIMNASIO</t>
        </is>
      </c>
      <c r="I181" s="39" t="inlineStr">
        <is>
          <t>Civilsa</t>
        </is>
      </c>
      <c r="J181" s="336" t="n">
        <v>5350000</v>
      </c>
      <c r="K181" s="112" t="n">
        <v>46126</v>
      </c>
      <c r="L181" s="39" t="n"/>
      <c r="M181" s="39" t="inlineStr">
        <is>
          <t>310 4659572</t>
        </is>
      </c>
      <c r="N181" s="39" t="inlineStr">
        <is>
          <t>Julio Alzate</t>
        </is>
      </c>
      <c r="O181" s="39" t="inlineStr">
        <is>
          <t>Ingeniero Sanitario</t>
        </is>
      </c>
      <c r="P181" s="52" t="inlineStr">
        <is>
          <t xml:space="preserve">julialzate@une.net.co </t>
        </is>
      </c>
    </row>
    <row r="182">
      <c r="A182" s="108" t="n"/>
      <c r="B182" s="39" t="n">
        <v>172</v>
      </c>
      <c r="C182" s="278" t="inlineStr">
        <is>
          <t>COTIZACION DE LOS DISEÑOS DE SEGURIDAD HUMANA Y PROTECCIÓN CONTRA INCENDIOS - COLINAS APARTAMENTOS</t>
        </is>
      </c>
      <c r="I182" s="39" t="inlineStr">
        <is>
          <t xml:space="preserve">AYL INGENIERIA ESTRUCTURAL </t>
        </is>
      </c>
      <c r="J182" s="336" t="n">
        <v>16930000</v>
      </c>
      <c r="K182" s="112" t="n">
        <v>46126</v>
      </c>
      <c r="L182" s="39" t="n"/>
      <c r="M182" s="39" t="n">
        <v>3207840159</v>
      </c>
      <c r="N182" s="39" t="inlineStr">
        <is>
          <t>Juan David Arboleda</t>
        </is>
      </c>
      <c r="O182" s="39" t="inlineStr">
        <is>
          <t>Director de Proyectos</t>
        </is>
      </c>
      <c r="P182" s="52" t="inlineStr">
        <is>
          <t>aylingenieriaestructural@gmail.com</t>
        </is>
      </c>
    </row>
    <row r="183">
      <c r="A183" s="108" t="n"/>
      <c r="B183" s="39" t="n">
        <v>173</v>
      </c>
      <c r="C183" s="278" t="inlineStr">
        <is>
          <t>COTIZACION DEL ANÁLISIS DE SEGURIDAD HUMANA - SOLUNION MEDELLIN</t>
        </is>
      </c>
      <c r="I183" s="39" t="inlineStr">
        <is>
          <t>STUDIOSUR</t>
        </is>
      </c>
      <c r="J183" s="336" t="n">
        <v>3150000</v>
      </c>
      <c r="K183" s="112" t="n">
        <v>46126</v>
      </c>
      <c r="L183" s="39" t="n"/>
      <c r="M183" s="39" t="n">
        <v>6012357612</v>
      </c>
      <c r="N183" s="39" t="inlineStr">
        <is>
          <t>Laura Arias Abad</t>
        </is>
      </c>
      <c r="O183" s="39" t="n"/>
      <c r="P183" s="52" t="inlineStr">
        <is>
          <t>laura.arias@studiosur.net</t>
        </is>
      </c>
    </row>
    <row r="184">
      <c r="A184" s="108" t="n"/>
      <c r="B184" s="39" t="n">
        <v>174</v>
      </c>
      <c r="C184" s="278" t="inlineStr">
        <is>
          <t>COTIZACION DEL ANÁLISIS DE SEGURIDAD HUMANA - HOTEL CONVENCIONES BARÚ</t>
        </is>
      </c>
      <c r="I184" s="39" t="inlineStr">
        <is>
          <t>Conconcreto</t>
        </is>
      </c>
      <c r="J184" s="336" t="n">
        <v>15950000</v>
      </c>
      <c r="K184" s="112" t="n">
        <v>46126</v>
      </c>
      <c r="L184" s="6" t="n"/>
      <c r="M184" s="6" t="n"/>
      <c r="N184" s="39" t="inlineStr">
        <is>
          <t xml:space="preserve">Laura Cristina Castaño Guzmán </t>
        </is>
      </c>
      <c r="O184" s="39" t="inlineStr">
        <is>
          <t>Profesional de ofertas y presupuestos</t>
        </is>
      </c>
      <c r="P184" s="52" t="inlineStr">
        <is>
          <t>lcastanog@doublec.com</t>
        </is>
      </c>
    </row>
    <row r="185">
      <c r="A185" s="108" t="n"/>
      <c r="B185" s="39" t="n">
        <v>175</v>
      </c>
      <c r="C185" s="278" t="inlineStr">
        <is>
          <t>COTIZACION DE LOS DISEÑOS DE PROTECCIÓN CONTRA INCENDIOS - SALVA</t>
        </is>
      </c>
      <c r="I185" s="39" t="inlineStr">
        <is>
          <t>FCR</t>
        </is>
      </c>
      <c r="J185" s="336" t="n">
        <v>2500000</v>
      </c>
      <c r="K185" s="112" t="n">
        <v>46126</v>
      </c>
      <c r="L185" s="39" t="n"/>
      <c r="M185" s="39" t="n">
        <v>3014317086</v>
      </c>
      <c r="N185" s="39" t="inlineStr">
        <is>
          <t>Tamara Puerta</t>
        </is>
      </c>
      <c r="O185" s="39" t="n"/>
      <c r="P185" s="116" t="inlineStr">
        <is>
          <t>fcrtamarapuerta@gmail.com</t>
        </is>
      </c>
    </row>
    <row r="186">
      <c r="A186" s="108" t="n"/>
      <c r="B186" s="39" t="n">
        <v>176</v>
      </c>
      <c r="C186" s="278" t="inlineStr">
        <is>
          <t>COTIZACION DEL DISEÑO DE DETECCIÓN DE INCENDIOS - MECÁNICOS UNIDOS</t>
        </is>
      </c>
      <c r="I186" s="39" t="inlineStr">
        <is>
          <t>Seriinco</t>
        </is>
      </c>
      <c r="J186" s="336" t="n">
        <v>16300000</v>
      </c>
      <c r="K186" s="112" t="n">
        <v>46127</v>
      </c>
      <c r="L186" s="6" t="n"/>
      <c r="M186" s="39" t="n">
        <v>3116460496</v>
      </c>
      <c r="N186" s="39" t="inlineStr">
        <is>
          <t>Francisco Unda</t>
        </is>
      </c>
      <c r="O186" s="39" t="n"/>
      <c r="P186" s="52" t="inlineStr">
        <is>
          <t>francisco.unda@seriinco.com</t>
        </is>
      </c>
    </row>
    <row r="187" ht="15" customHeight="1">
      <c r="A187" s="108" t="n"/>
      <c r="B187" s="39" t="n">
        <v>177</v>
      </c>
      <c r="C187" s="278" t="inlineStr">
        <is>
          <t>COTIZACION DEL DISEÑO DE EXTINCIÓN DE INCENDIOS - D1 MANANTIAL</t>
        </is>
      </c>
      <c r="I187" s="39" t="inlineStr">
        <is>
          <t>Ingesed</t>
        </is>
      </c>
      <c r="J187" s="336" t="n">
        <v>2500000</v>
      </c>
      <c r="K187" s="112" t="n">
        <v>46127</v>
      </c>
      <c r="L187" s="39" t="n"/>
      <c r="M187" s="39" t="n">
        <v>3014201614</v>
      </c>
      <c r="N187" s="39" t="inlineStr">
        <is>
          <t>Jhon Anderson Rodriguez Nieto</t>
        </is>
      </c>
      <c r="O187" s="39" t="n"/>
      <c r="P187" s="52" t="inlineStr">
        <is>
          <t>jrodriguez@ingesed.com</t>
        </is>
      </c>
    </row>
    <row r="188" ht="15" customHeight="1">
      <c r="A188" s="108" t="n"/>
      <c r="B188" s="39" t="n">
        <v>178</v>
      </c>
      <c r="C188" s="278" t="inlineStr">
        <is>
          <t>COTIZACION DE LOS DISEÑOS DE PROTECCIÓN CONTRA INCENDIOS - BODEGA</t>
        </is>
      </c>
      <c r="I188" s="39" t="inlineStr">
        <is>
          <t>Good group</t>
        </is>
      </c>
      <c r="J188" s="336" t="n">
        <v>29950000</v>
      </c>
      <c r="K188" s="112" t="n">
        <v>46132</v>
      </c>
      <c r="L188" s="39" t="n"/>
      <c r="M188" s="39" t="n"/>
      <c r="N188" s="39" t="inlineStr">
        <is>
          <t>Luis C. Bueno P.</t>
        </is>
      </c>
      <c r="O188" s="39" t="n"/>
      <c r="P188" s="52" t="inlineStr">
        <is>
          <t>gerencia@goodgroup.com.co</t>
        </is>
      </c>
    </row>
    <row r="189">
      <c r="A189" s="108" t="n"/>
      <c r="B189" s="39" t="n">
        <v>179</v>
      </c>
      <c r="C189" s="278" t="inlineStr">
        <is>
          <t>COTIZACION DE LOS DISEÑOS DE SEGURIDAD HUMANA Y DETECCIÓN DE INCENDIOS - BARRIO ABAJO</t>
        </is>
      </c>
      <c r="I189" s="39" t="inlineStr">
        <is>
          <t>Coninsa</t>
        </is>
      </c>
      <c r="J189" s="336" t="n">
        <v>10940000</v>
      </c>
      <c r="K189" s="112" t="n">
        <v>46132</v>
      </c>
      <c r="L189" s="39" t="n"/>
      <c r="M189" s="39" t="n">
        <v>3005934637</v>
      </c>
      <c r="N189" s="39" t="inlineStr">
        <is>
          <t>James Enmanuel Duarte Prado</t>
        </is>
      </c>
      <c r="O189" s="39" t="inlineStr">
        <is>
          <t>Analista de estructuración técnica y constructiva de proyectos</t>
        </is>
      </c>
      <c r="P189" s="52" t="inlineStr">
        <is>
          <t>jeduarte@coninsa.co</t>
        </is>
      </c>
    </row>
    <row r="190">
      <c r="A190" s="108" t="n"/>
      <c r="B190" s="39" t="n">
        <v>180</v>
      </c>
      <c r="C190" s="278" t="inlineStr">
        <is>
          <t>COTIZACION DEL DISEÑO DE EXTINCIÓN DE INCENDIOS - AYURÁ CENTER PISO 8</t>
        </is>
      </c>
      <c r="I190" s="39" t="inlineStr">
        <is>
          <t>Ingesed</t>
        </is>
      </c>
      <c r="J190" s="336" t="n">
        <v>2860000</v>
      </c>
      <c r="K190" s="112" t="n">
        <v>46132</v>
      </c>
      <c r="L190" s="39" t="n"/>
      <c r="M190" s="39" t="inlineStr">
        <is>
          <t>321 8338189</t>
        </is>
      </c>
      <c r="N190" s="39" t="inlineStr">
        <is>
          <t>Laura Delgado</t>
        </is>
      </c>
      <c r="O190" s="39" t="n"/>
      <c r="P190" s="52" t="inlineStr">
        <is>
          <t>operacionesingesed@gmail.com</t>
        </is>
      </c>
    </row>
    <row r="191">
      <c r="A191" s="108" t="n"/>
      <c r="B191" s="39" t="n">
        <v>181</v>
      </c>
      <c r="C191" s="278" t="inlineStr">
        <is>
          <t>COTIZACION DEL DISEÑO DE DETECCIÓN DE INCENDIOS - ÁREA FUMIGACIÓN CONTECAR</t>
        </is>
      </c>
      <c r="I191" s="39" t="inlineStr">
        <is>
          <t>SPCI</t>
        </is>
      </c>
      <c r="J191" s="336" t="n">
        <v>3400000</v>
      </c>
      <c r="K191" s="112" t="n">
        <v>46132</v>
      </c>
      <c r="L191" s="39" t="n"/>
      <c r="M191" s="39" t="n">
        <v>3104165783</v>
      </c>
      <c r="N191" s="39" t="inlineStr">
        <is>
          <t>Cristiam Gustavo Mondragon</t>
        </is>
      </c>
      <c r="O191" s="39" t="inlineStr">
        <is>
          <t>Director técnico</t>
        </is>
      </c>
      <c r="P191" s="52" t="inlineStr">
        <is>
          <t>dir.tecnico@spci.com.co</t>
        </is>
      </c>
    </row>
    <row r="192">
      <c r="A192" s="108" t="n"/>
      <c r="B192" s="39" t="n">
        <v>182</v>
      </c>
      <c r="C192" s="278" t="inlineStr">
        <is>
          <t>COTIZACION DE LOS DISEÑOS DE SEGURIDAD HUMANA Y PROTECCIÓN CONTRA INCENDIOS - VIVALTTA</t>
        </is>
      </c>
      <c r="I192" s="39" t="inlineStr">
        <is>
          <t>Arquitectura y Concreto</t>
        </is>
      </c>
      <c r="J192" s="336" t="n">
        <v>41950000</v>
      </c>
      <c r="K192" s="112" t="n">
        <v>46132</v>
      </c>
      <c r="L192" s="39" t="n"/>
      <c r="M192" s="39" t="n">
        <v>3162439535</v>
      </c>
      <c r="N192" s="39" t="inlineStr">
        <is>
          <t>Sebastián Ochoa Gómez</t>
        </is>
      </c>
      <c r="O192" s="39" t="inlineStr">
        <is>
          <t>Coordinación Técnica</t>
        </is>
      </c>
      <c r="P192" s="52" t="inlineStr">
        <is>
          <t>sebastianochoa@arquitecturayconcreto.com</t>
        </is>
      </c>
    </row>
    <row r="193">
      <c r="A193" s="108" t="n"/>
      <c r="B193" s="39" t="n">
        <v>183</v>
      </c>
      <c r="C193" s="278" t="inlineStr">
        <is>
          <t>COTIZACION DEL DISEÑO DE EXTINCIÓN DE INCENDIOS - ONGOING BLOQUE 1 UNIVERSIDAD EAFIT</t>
        </is>
      </c>
      <c r="I193" s="39" t="inlineStr">
        <is>
          <t>Prosoma</t>
        </is>
      </c>
      <c r="J193" s="336" t="n">
        <v>19980000</v>
      </c>
      <c r="K193" s="112" t="n">
        <v>46134</v>
      </c>
      <c r="L193" s="39" t="n"/>
      <c r="M193" s="39" t="n">
        <v>3147537411</v>
      </c>
      <c r="N193" s="39" t="inlineStr">
        <is>
          <t>Adolfo Florez Cossio</t>
        </is>
      </c>
      <c r="O193" s="39" t="n"/>
      <c r="P193" s="52" t="inlineStr">
        <is>
          <t>proyectos@prosoma.com.co</t>
        </is>
      </c>
    </row>
    <row r="194">
      <c r="A194" s="108" t="n"/>
      <c r="B194" s="39" t="n">
        <v>184</v>
      </c>
      <c r="C194" s="278" t="inlineStr">
        <is>
          <t>COTIZACION DE LOS DISEÑOS DE PROTECCIÓN CONTRA INCENDIOS - POSTOBON BELLO SOLPED</t>
        </is>
      </c>
      <c r="I194" s="39" t="inlineStr">
        <is>
          <t>SPCI</t>
        </is>
      </c>
      <c r="J194" s="336" t="n">
        <v>210000000</v>
      </c>
      <c r="K194" s="112" t="n">
        <v>46134</v>
      </c>
      <c r="L194" s="39" t="n"/>
      <c r="M194" s="39" t="n">
        <v>3104165783</v>
      </c>
      <c r="N194" s="39" t="inlineStr">
        <is>
          <t>Cristiam Gustavo Mondragon</t>
        </is>
      </c>
      <c r="O194" s="39" t="inlineStr">
        <is>
          <t>Director técnico</t>
        </is>
      </c>
      <c r="P194" s="52" t="inlineStr">
        <is>
          <t>dir.tecnico@spci.com.co</t>
        </is>
      </c>
    </row>
    <row r="195">
      <c r="A195" s="108" t="n"/>
      <c r="B195" s="39" t="n">
        <v>185</v>
      </c>
      <c r="C195" s="278" t="inlineStr">
        <is>
          <t>COTIZACION DE LOS DISEÑOS DE PROTECCIÓN CONTRA INCENDIOS - POSTOBON BELLO SOLPED</t>
        </is>
      </c>
      <c r="I195" s="39" t="inlineStr">
        <is>
          <t>Securetec</t>
        </is>
      </c>
      <c r="J195" s="336" t="n">
        <v>210000000</v>
      </c>
      <c r="K195" s="112" t="n">
        <v>46134</v>
      </c>
      <c r="L195" s="39" t="n"/>
      <c r="M195" s="39" t="n">
        <v>3014111727</v>
      </c>
      <c r="N195" s="39" t="inlineStr">
        <is>
          <t>Julian David Camacho Galvis</t>
        </is>
      </c>
      <c r="O195" s="39" t="n"/>
      <c r="P195" s="52" t="inlineStr">
        <is>
          <t>ascomercial2@securetec.com.co</t>
        </is>
      </c>
    </row>
    <row r="196">
      <c r="A196" s="108" t="n"/>
      <c r="B196" s="39" t="n">
        <v>186</v>
      </c>
      <c r="C196" s="278" t="inlineStr">
        <is>
          <t>COTIZACION DEL DISEÑO DE DETECCIÓN DE INCENDIOS - NACIONAL DE CHOCOLATES</t>
        </is>
      </c>
      <c r="I196" s="39" t="inlineStr">
        <is>
          <t>Seriinco</t>
        </is>
      </c>
      <c r="J196" s="336" t="n">
        <v>13500000</v>
      </c>
      <c r="K196" s="112" t="n">
        <v>46134</v>
      </c>
      <c r="L196" s="39" t="n"/>
      <c r="M196" s="39" t="n">
        <v>3116460496</v>
      </c>
      <c r="N196" s="39" t="inlineStr">
        <is>
          <t>Francisco Unda</t>
        </is>
      </c>
      <c r="O196" s="39" t="n"/>
      <c r="P196" s="52" t="inlineStr">
        <is>
          <t>francisco.unda@seriinco.com</t>
        </is>
      </c>
    </row>
    <row r="197">
      <c r="A197" s="108" t="n"/>
      <c r="B197" s="39" t="n">
        <v>187</v>
      </c>
      <c r="C197" s="278" t="inlineStr">
        <is>
          <t>COTIZACION DEL DISEÑO DE EXTINCIÓN DE INCENDIOS - ONGOING BLOQUE 1 UNIVERSIDAD EAFIT</t>
        </is>
      </c>
      <c r="I197" s="39" t="inlineStr">
        <is>
          <t>Socomes</t>
        </is>
      </c>
      <c r="J197" s="336" t="n">
        <v>19980000</v>
      </c>
      <c r="K197" s="112" t="n">
        <v>46134</v>
      </c>
      <c r="L197" s="39" t="n"/>
      <c r="M197" s="39" t="n">
        <v>3137851941</v>
      </c>
      <c r="N197" s="39" t="inlineStr">
        <is>
          <t>David Lopera</t>
        </is>
      </c>
      <c r="O197" s="39" t="n"/>
      <c r="P197" s="52" t="inlineStr">
        <is>
          <t>david.lopera@socomes.com</t>
        </is>
      </c>
    </row>
    <row r="198">
      <c r="A198" s="108" t="n"/>
      <c r="B198" s="39" t="n">
        <v>188</v>
      </c>
      <c r="C198" s="278" t="inlineStr">
        <is>
          <t>COTIZACION DEL DISEÑO DE EXTINCIÓN DE INCENDIOS - RIKATAS</t>
        </is>
      </c>
      <c r="I198" s="39" t="inlineStr">
        <is>
          <t>Sehiso</t>
        </is>
      </c>
      <c r="J198" s="336" t="n">
        <v>14950000</v>
      </c>
      <c r="K198" s="112" t="n">
        <v>46134</v>
      </c>
      <c r="L198" s="39" t="n"/>
      <c r="M198" s="39" t="n">
        <v>3127200512</v>
      </c>
      <c r="N198" s="39" t="inlineStr">
        <is>
          <t>Sebastian Martinez</t>
        </is>
      </c>
      <c r="O198" s="39" t="n"/>
      <c r="P198" s="116" t="n"/>
    </row>
    <row r="199">
      <c r="A199" s="108" t="n"/>
      <c r="B199" s="39" t="n">
        <v>189</v>
      </c>
      <c r="C199" s="278" t="inlineStr">
        <is>
          <t>COTIZACION DEL ANÁLISIS DE SEGURIDAD HUMANA - IPS PRAXIS</t>
        </is>
      </c>
      <c r="I199" s="39" t="inlineStr">
        <is>
          <t>Praxis</t>
        </is>
      </c>
      <c r="J199" s="336" t="n">
        <v>1850000</v>
      </c>
      <c r="K199" s="112" t="n">
        <v>46134</v>
      </c>
      <c r="L199" s="39" t="n"/>
      <c r="M199" s="39" t="n">
        <v>3014220879</v>
      </c>
      <c r="N199" s="39" t="inlineStr">
        <is>
          <t>Angela Olaya</t>
        </is>
      </c>
      <c r="O199" s="39" t="n"/>
      <c r="P199" s="116" t="n"/>
    </row>
    <row r="200">
      <c r="A200" s="108" t="n"/>
      <c r="B200" s="39" t="n">
        <v>190</v>
      </c>
      <c r="C200" s="278" t="inlineStr">
        <is>
          <t>COTIZACION DEL DISEÑO DE DETECCIÓN DE INCENDIOS - SAN NICOLAS ETAPA 1,2 Y 3</t>
        </is>
      </c>
      <c r="I200" s="39" t="inlineStr">
        <is>
          <t>San Nicolas</t>
        </is>
      </c>
      <c r="J200" s="336" t="n">
        <v>20950000</v>
      </c>
      <c r="K200" s="112" t="n">
        <v>46134</v>
      </c>
      <c r="L200" s="39" t="n"/>
      <c r="M200" s="39" t="inlineStr">
        <is>
          <t>6045614886 ext 132</t>
        </is>
      </c>
      <c r="N200" s="39" t="inlineStr">
        <is>
          <t>Yeremy Sebastián Muñoz Zamarra</t>
        </is>
      </c>
      <c r="O200" s="39" t="n"/>
      <c r="P200" s="52" t="inlineStr">
        <is>
          <t>infraestructura@sannicolas.co</t>
        </is>
      </c>
    </row>
    <row r="201">
      <c r="A201" s="108" t="n"/>
      <c r="B201" s="39" t="n">
        <v>191</v>
      </c>
      <c r="C201" s="278" t="inlineStr">
        <is>
          <t>COTIZACION DEL ANÁLISIS DE SEGURIDAD HUMANA - FRUVER</t>
        </is>
      </c>
      <c r="I201" s="39" t="inlineStr">
        <is>
          <t>Arquitectura Valor</t>
        </is>
      </c>
      <c r="J201" s="336" t="n">
        <v>10950000</v>
      </c>
      <c r="K201" s="112" t="n">
        <v>46136</v>
      </c>
      <c r="L201" s="39" t="n"/>
      <c r="M201" s="39" t="n">
        <v>6014320020</v>
      </c>
      <c r="N201" s="39" t="inlineStr">
        <is>
          <t>Laura Valentina Bello Tovar</t>
        </is>
      </c>
      <c r="O201" s="39" t="inlineStr">
        <is>
          <t>Directora de Interventoría</t>
        </is>
      </c>
      <c r="P201" s="52" t="inlineStr">
        <is>
          <t>arquitectura1@grupovalor.com.co</t>
        </is>
      </c>
    </row>
    <row r="202">
      <c r="A202" s="108" t="n"/>
      <c r="B202" s="39" t="n">
        <v>192</v>
      </c>
      <c r="C202" s="278" t="inlineStr">
        <is>
          <t>COTIZACION DE LOS DISEÑOS DE SEGURIDAD HUMANA Y PROTECCIÓN CONTRA INCENDIOS - SERENITY</t>
        </is>
      </c>
      <c r="I202" s="39" t="inlineStr">
        <is>
          <t>G4 Proyectos Inmobiliarios</t>
        </is>
      </c>
      <c r="J202" s="336" t="n">
        <v>19980000</v>
      </c>
      <c r="K202" s="112" t="n">
        <v>46136</v>
      </c>
      <c r="L202" s="39" t="n"/>
      <c r="M202" s="39" t="n">
        <v>3052501777</v>
      </c>
      <c r="N202" s="39" t="inlineStr">
        <is>
          <t>Steven Maya</t>
        </is>
      </c>
      <c r="O202" s="39" t="n"/>
      <c r="P202" s="52" t="inlineStr">
        <is>
          <t>coordinadorproyectos1@g4ingenieros.com</t>
        </is>
      </c>
    </row>
    <row r="203">
      <c r="A203" s="108" t="n"/>
      <c r="B203" s="39" t="n">
        <v>193</v>
      </c>
      <c r="C203" s="278" t="inlineStr">
        <is>
          <t>COTIZACION DE LOS DISEÑOS DE EXTINCIÓN DE INCENDIOS Y SEGURIDAD HUMANA PARA EL PROYECTO FRIGORIFICO</t>
        </is>
      </c>
      <c r="I203" s="39" t="inlineStr">
        <is>
          <t>Perspectiva</t>
        </is>
      </c>
      <c r="J203" s="336" t="n">
        <v>29950000</v>
      </c>
      <c r="K203" s="112" t="n">
        <v>46139</v>
      </c>
      <c r="L203" s="39" t="n"/>
      <c r="M203" s="39" t="n"/>
      <c r="N203" s="39" t="inlineStr">
        <is>
          <t>Juan Diego Echeverri</t>
        </is>
      </c>
      <c r="O203" s="39" t="n"/>
      <c r="P203" s="52" t="inlineStr">
        <is>
          <t>jecheverri@perspectivac.co</t>
        </is>
      </c>
    </row>
    <row r="204" ht="15" customHeight="1">
      <c r="A204" s="108" t="n"/>
      <c r="B204" s="39" t="n">
        <v>194</v>
      </c>
      <c r="C204" s="278" t="inlineStr">
        <is>
          <t>COTIZACION DE LOS DISEÑOS DE PROTECCIÓN CONTRA INCENDIOS - FARMACEUTICA</t>
        </is>
      </c>
      <c r="I204" s="39" t="inlineStr">
        <is>
          <t>Orientar Group</t>
        </is>
      </c>
      <c r="J204" s="336" t="n">
        <v>24950000</v>
      </c>
      <c r="K204" s="112" t="n">
        <v>46140</v>
      </c>
      <c r="L204" s="39" t="n"/>
      <c r="M204" s="39" t="n">
        <v>3104033227</v>
      </c>
      <c r="N204" s="39" t="inlineStr">
        <is>
          <t>Juan Felipe Muñoz Rendón</t>
        </is>
      </c>
      <c r="O204" s="39" t="n"/>
      <c r="P204" s="116" t="n"/>
    </row>
    <row r="205">
      <c r="A205" s="108" t="n"/>
      <c r="B205" s="39" t="n">
        <v>195</v>
      </c>
      <c r="C205" s="278" t="inlineStr">
        <is>
          <t>COTIZACION DEL ANÁLISIS DE SEGURIDAD HUMANA - FLA</t>
        </is>
      </c>
      <c r="I205" s="39" t="inlineStr">
        <is>
          <t>Fábrica de Licores y alcoholes de Antioquia- FLA</t>
        </is>
      </c>
      <c r="J205" s="336" t="n">
        <v>79950000</v>
      </c>
      <c r="K205" s="112" t="n">
        <v>46140</v>
      </c>
      <c r="L205" s="39" t="n"/>
      <c r="M205" s="39" t="n">
        <v>3136130779</v>
      </c>
      <c r="N205" s="39" t="inlineStr">
        <is>
          <t>Juliana Núñez Castaño</t>
        </is>
      </c>
      <c r="O205" s="39" t="n"/>
      <c r="P205" s="116" t="n"/>
    </row>
    <row r="206">
      <c r="A206" s="108" t="n"/>
      <c r="B206" s="39" t="n">
        <v>196</v>
      </c>
      <c r="C206" s="278" t="inlineStr">
        <is>
          <t>COTIZACION DE LOS DISEÑOS DE SEGURIDAD HUMANA Y PROTECCIÓN CONTRA INCENDIOS - DUMA</t>
        </is>
      </c>
      <c r="I206" s="39" t="inlineStr">
        <is>
          <t>Project &amp; Solutions</t>
        </is>
      </c>
      <c r="J206" s="336" t="n">
        <v>39510000</v>
      </c>
      <c r="K206" s="112" t="n">
        <v>46140</v>
      </c>
      <c r="L206" s="39" t="n"/>
      <c r="M206" s="39" t="n">
        <v>3113079477</v>
      </c>
      <c r="N206" s="39" t="inlineStr">
        <is>
          <t>Sebastián López Duque</t>
        </is>
      </c>
      <c r="O206" s="39" t="n"/>
      <c r="P206" s="52" t="inlineStr">
        <is>
          <t>gerencia@projectsolutions.com.co</t>
        </is>
      </c>
    </row>
    <row r="207">
      <c r="A207" s="108" t="n"/>
      <c r="B207" s="39" t="n">
        <v>197</v>
      </c>
      <c r="C207" s="278" t="inlineStr">
        <is>
          <t>COTIZACION DEL DISEÑO DE EXTINCIÓN DE INCENDIOS - BODEGAS AMERICA MEDELLÍN</t>
        </is>
      </c>
      <c r="I207" s="39" t="inlineStr">
        <is>
          <t>Project &amp; Solutions</t>
        </is>
      </c>
      <c r="J207" s="336" t="n">
        <v>21950000</v>
      </c>
      <c r="K207" s="112" t="n">
        <v>46140</v>
      </c>
      <c r="L207" s="39" t="n"/>
      <c r="M207" s="39" t="n">
        <v>3113079478</v>
      </c>
      <c r="N207" s="39" t="inlineStr">
        <is>
          <t>Sebastián López Duque</t>
        </is>
      </c>
      <c r="O207" s="39" t="n"/>
      <c r="P207" s="52" t="inlineStr">
        <is>
          <t>gerencia@projectsolutions.com.co</t>
        </is>
      </c>
    </row>
    <row r="208" ht="15" customHeight="1">
      <c r="A208" s="108" t="n"/>
      <c r="B208" s="39" t="n">
        <v>198</v>
      </c>
      <c r="C208" s="278" t="inlineStr">
        <is>
          <t>COTIZACION DE LOS DISEÑOS DE SEGURIDAD HUMANA Y EXTINCIÓN DE INCENDIOS - EKI</t>
        </is>
      </c>
      <c r="I208" s="39" t="inlineStr">
        <is>
          <t>Qbo</t>
        </is>
      </c>
      <c r="J208" s="336" t="n">
        <v>39950000</v>
      </c>
      <c r="K208" s="112" t="n">
        <v>46140</v>
      </c>
      <c r="L208" s="39" t="n"/>
      <c r="M208" s="39" t="n">
        <v>3217576906</v>
      </c>
      <c r="N208" s="39" t="inlineStr">
        <is>
          <t>Alba Lucia Guinand Vives</t>
        </is>
      </c>
      <c r="O208" s="39" t="n"/>
      <c r="P208" s="52" t="inlineStr">
        <is>
          <t>aguinand@qbo.co</t>
        </is>
      </c>
    </row>
    <row r="209">
      <c r="A209" s="108" t="n"/>
      <c r="B209" s="39" t="n">
        <v>199</v>
      </c>
      <c r="C209" s="278" t="inlineStr">
        <is>
          <t>COTIZACION DEL DISEÑO DE EXTINCIÓN DE INCENDIOS - BODEGA U8-B4</t>
        </is>
      </c>
      <c r="I209" s="39" t="inlineStr">
        <is>
          <t>Cubic 33</t>
        </is>
      </c>
      <c r="J209" s="336" t="n">
        <v>17500000</v>
      </c>
      <c r="K209" s="112" t="n">
        <v>46140</v>
      </c>
      <c r="L209" s="39" t="n"/>
      <c r="M209" s="39" t="n">
        <v>3138403145</v>
      </c>
      <c r="N209" s="39" t="inlineStr">
        <is>
          <t>Wilmar Vargas Luque</t>
        </is>
      </c>
      <c r="O209" s="39" t="n"/>
      <c r="P209" s="52" t="inlineStr">
        <is>
          <t>wv@cubic33group.com</t>
        </is>
      </c>
    </row>
    <row r="210">
      <c r="A210" s="108" t="n"/>
      <c r="B210" s="39" t="n">
        <v>200</v>
      </c>
      <c r="C210" s="278" t="inlineStr">
        <is>
          <t>COTIZACION DE LOS DISEÑOS DE SEGURIDAD HUMANA Y PROTECCIÓN CONTRA INCENDIOS - ADASAGI V1</t>
        </is>
      </c>
      <c r="I210" s="39" t="inlineStr">
        <is>
          <t>CasaF</t>
        </is>
      </c>
      <c r="J210" s="336" t="n"/>
      <c r="K210" s="112" t="n">
        <v>46140</v>
      </c>
      <c r="L210" s="39" t="n"/>
      <c r="M210" s="39" t="n">
        <v>3002451504</v>
      </c>
      <c r="N210" s="39" t="inlineStr">
        <is>
          <t xml:space="preserve">Emel González </t>
        </is>
      </c>
      <c r="O210" s="39" t="n"/>
      <c r="P210" s="52" t="n"/>
    </row>
    <row r="211">
      <c r="A211" s="108" t="n"/>
      <c r="B211" s="39" t="n">
        <v>201</v>
      </c>
      <c r="C211" s="278" t="inlineStr">
        <is>
          <t>COTIZACION DE LOS DISEÑOS DE SEGURIDAD HUMANA Y PROTECCIÓN CONTRA INCENDIOS - BODEGA DE ALCOHOL</t>
        </is>
      </c>
      <c r="I211" s="39" t="inlineStr">
        <is>
          <t>Ingesed</t>
        </is>
      </c>
      <c r="J211" s="336" t="n">
        <v>11920000</v>
      </c>
      <c r="K211" s="112" t="n">
        <v>46146</v>
      </c>
      <c r="L211" s="39" t="n"/>
      <c r="M211" s="39" t="n">
        <v>3135401714</v>
      </c>
      <c r="N211" s="39" t="inlineStr">
        <is>
          <t>Eliana Isabel Cardona Ríos</t>
        </is>
      </c>
      <c r="O211" s="39" t="n"/>
      <c r="P211" s="52" t="inlineStr">
        <is>
          <t>comercial@ingesed.com</t>
        </is>
      </c>
    </row>
    <row r="212" ht="15" customHeight="1">
      <c r="A212" s="108" t="n"/>
      <c r="B212" s="39" t="n">
        <v>202</v>
      </c>
      <c r="C212" s="278" t="inlineStr">
        <is>
          <t>COTIZACION DE LOS DISEÑOS DE SEGURIDAD HUMANA Y PROTECCIÓN CONTRA INCENDIOS - BODEGA AGROPALLETS</t>
        </is>
      </c>
      <c r="I212" s="39" t="inlineStr">
        <is>
          <t>Ingesed</t>
        </is>
      </c>
      <c r="J212" s="336" t="n">
        <v>29980000</v>
      </c>
      <c r="K212" s="112" t="n">
        <v>46146</v>
      </c>
      <c r="L212" s="39" t="n"/>
      <c r="M212" s="39" t="n">
        <v>3135401714</v>
      </c>
      <c r="N212" s="39" t="inlineStr">
        <is>
          <t>Eliana Isabel Cardona Ríos</t>
        </is>
      </c>
      <c r="O212" s="39" t="n"/>
      <c r="P212" s="52" t="inlineStr">
        <is>
          <t>comercial@ingesed.com</t>
        </is>
      </c>
    </row>
    <row r="213">
      <c r="A213" s="108" t="n"/>
      <c r="B213" s="39" t="n">
        <v>203</v>
      </c>
      <c r="C213" s="278" t="inlineStr">
        <is>
          <t>COTIZACION DE LOS DISEÑOS DE PROTECCIÓN CONTRA INCENDIOS - BODEGA 5</t>
        </is>
      </c>
      <c r="I213" s="39" t="inlineStr">
        <is>
          <t>SPCI</t>
        </is>
      </c>
      <c r="J213" s="336" t="n">
        <v>28850000</v>
      </c>
      <c r="K213" s="112" t="n">
        <v>46146</v>
      </c>
      <c r="L213" s="39" t="n"/>
      <c r="M213" s="39" t="n">
        <v>3137546144</v>
      </c>
      <c r="N213" s="39" t="inlineStr">
        <is>
          <t xml:space="preserve">Juan Camilo Quintero Bedoya </t>
        </is>
      </c>
      <c r="O213" s="39" t="inlineStr">
        <is>
          <t>Director de Mantenimiento</t>
        </is>
      </c>
      <c r="P213" s="52" t="inlineStr">
        <is>
          <t>camilo.quintero@spci.com.co</t>
        </is>
      </c>
    </row>
    <row r="214">
      <c r="A214" s="108" t="n"/>
      <c r="B214" s="39" t="n">
        <v>204</v>
      </c>
      <c r="C214" s="278" t="inlineStr">
        <is>
          <t>COTIZACION DE LOS DISEÑOS DE SEGURIDAD HUMANA Y PROTECCIÓN CONTRA INCENDIOS - PUEBLO PANACA</t>
        </is>
      </c>
      <c r="I214" s="39" t="inlineStr">
        <is>
          <t>Perfek</t>
        </is>
      </c>
      <c r="J214" s="336" t="n">
        <v>50970000</v>
      </c>
      <c r="K214" s="112" t="n">
        <v>46146</v>
      </c>
      <c r="L214" s="39" t="n"/>
      <c r="M214" s="39" t="n">
        <v>3007701428</v>
      </c>
      <c r="N214" s="39" t="inlineStr">
        <is>
          <t>Johana Montoya Zapata</t>
        </is>
      </c>
      <c r="O214" s="39" t="n"/>
      <c r="P214" s="116" t="inlineStr">
        <is>
          <t>Johana.montoya@perfek.com.co</t>
        </is>
      </c>
    </row>
    <row r="215">
      <c r="A215" s="108" t="n"/>
      <c r="B215" s="39" t="n">
        <v>205</v>
      </c>
      <c r="C215" s="278" t="inlineStr">
        <is>
          <t>COTIZACIÓN DE LOS PLANOS DE SEGURIDAD HUMANA PROYECTO TRRAZO</t>
        </is>
      </c>
      <c r="I215" s="39" t="inlineStr">
        <is>
          <t>Perfek</t>
        </is>
      </c>
      <c r="J215" s="336" t="n">
        <v>1500000</v>
      </c>
      <c r="K215" s="112" t="n">
        <v>46146</v>
      </c>
      <c r="L215" s="39" t="n"/>
      <c r="M215" s="39" t="n">
        <v>3007701428</v>
      </c>
      <c r="N215" s="39" t="inlineStr">
        <is>
          <t>Johana Montoya Zapata</t>
        </is>
      </c>
      <c r="O215" s="39" t="n"/>
      <c r="P215" s="116" t="inlineStr">
        <is>
          <t>Johana.montoya@perfek.com.co</t>
        </is>
      </c>
    </row>
    <row r="216">
      <c r="A216" s="108" t="n"/>
      <c r="B216" s="39" t="n">
        <v>206</v>
      </c>
      <c r="C216" s="278" t="inlineStr">
        <is>
          <t>COTIZACIÓN DE LOS PLANOS DE EXTINCIÓN DETECCIÓN Y SEGURIDAD HUMANA DE LA PORTERÍA AWÁ</t>
        </is>
      </c>
      <c r="I216" s="39" t="inlineStr">
        <is>
          <t>Construgen</t>
        </is>
      </c>
      <c r="J216" s="336" t="n">
        <v>1500000</v>
      </c>
      <c r="K216" s="112" t="n">
        <v>46146</v>
      </c>
      <c r="L216" s="39" t="n"/>
      <c r="M216" s="39" t="n">
        <v>3136550192</v>
      </c>
      <c r="N216" s="39" t="inlineStr">
        <is>
          <t>Carlos Tamayo</t>
        </is>
      </c>
      <c r="O216" s="39" t="n"/>
      <c r="P216" s="52" t="inlineStr">
        <is>
          <t>carlos.tamayo@construgen.com</t>
        </is>
      </c>
    </row>
    <row r="217">
      <c r="A217" s="108" t="n"/>
      <c r="B217" s="39" t="n">
        <v>207</v>
      </c>
      <c r="C217" s="278" t="inlineStr">
        <is>
          <t>COTIZACION DE LOS DISEÑOS DE SEGURIDAD HUMANA Y PROTECCIÓN CONTRA INCENDIOS - PALMANOVA</t>
        </is>
      </c>
      <c r="I217" s="39" t="inlineStr">
        <is>
          <t>FCR</t>
        </is>
      </c>
      <c r="J217" s="336" t="n">
        <v>38760000</v>
      </c>
      <c r="K217" s="112" t="n">
        <v>46147</v>
      </c>
      <c r="L217" s="39" t="n"/>
      <c r="M217" s="39" t="inlineStr">
        <is>
          <t>310 5304562</t>
        </is>
      </c>
      <c r="N217" s="39" t="inlineStr">
        <is>
          <t xml:space="preserve">Vanessa Zapata </t>
        </is>
      </c>
      <c r="O217" s="39" t="n"/>
      <c r="P217" s="52" t="inlineStr">
        <is>
          <t>vanessazapata.fcr@gmail.com</t>
        </is>
      </c>
    </row>
    <row r="218">
      <c r="A218" s="108" t="n"/>
      <c r="B218" s="39" t="n">
        <v>208</v>
      </c>
      <c r="C218" s="278" t="inlineStr">
        <is>
          <t>COTIZACION DE LOS DISEÑOS DE SEGURIDAD HUMANA Y PROTECCIÓN CONTRA INCENDIOS - DUMA</t>
        </is>
      </c>
      <c r="I218" s="39" t="inlineStr">
        <is>
          <t>DUMA</t>
        </is>
      </c>
      <c r="J218" s="336" t="n">
        <v>39510000</v>
      </c>
      <c r="K218" s="112" t="n">
        <v>46147</v>
      </c>
      <c r="L218" s="39" t="n"/>
      <c r="M218" s="39" t="n">
        <v>3113908241</v>
      </c>
      <c r="N218" s="39" t="inlineStr">
        <is>
          <t>Maria Clemencia Arbelaez</t>
        </is>
      </c>
      <c r="O218" s="39" t="n"/>
      <c r="P218" s="52" t="inlineStr">
        <is>
          <t>gerencia.construccionvisual@gmail.com</t>
        </is>
      </c>
    </row>
    <row r="219">
      <c r="A219" s="108" t="n"/>
      <c r="B219" s="39" t="n">
        <v>209</v>
      </c>
      <c r="C219" s="278" t="inlineStr">
        <is>
          <t>COTIZACION DEL DISEÑO DE DETECCIÓN DE INCENDIOS - BODEGA</t>
        </is>
      </c>
      <c r="I219" s="39" t="inlineStr">
        <is>
          <t>Fire &amp; Equipos</t>
        </is>
      </c>
      <c r="J219" s="336" t="n">
        <v>8750000</v>
      </c>
      <c r="K219" s="112" t="n">
        <v>46148</v>
      </c>
      <c r="L219" s="39" t="n"/>
      <c r="M219" s="39" t="inlineStr">
        <is>
          <t xml:space="preserve">	3136650714</t>
        </is>
      </c>
      <c r="N219" s="39" t="inlineStr">
        <is>
          <t>Samuel Piedrahíta</t>
        </is>
      </c>
      <c r="O219" s="39" t="inlineStr">
        <is>
          <t>Director Técnico</t>
        </is>
      </c>
      <c r="P219" s="52" t="inlineStr">
        <is>
          <t>operaciones.fireyequipos@gmail.com</t>
        </is>
      </c>
    </row>
    <row r="220">
      <c r="A220" s="108" t="n"/>
      <c r="B220" s="39" t="n">
        <v>210</v>
      </c>
      <c r="C220" s="278" t="inlineStr">
        <is>
          <t>COTIZACION DE LOS DISEÑOS DE SEGURIDAD HUMANA Y PROTECCIÓN CONTRA INCENDIOS - FANTASIA T03</t>
        </is>
      </c>
      <c r="I220" s="39" t="inlineStr">
        <is>
          <t>Altos de la Ábadia</t>
        </is>
      </c>
      <c r="J220" s="336" t="n">
        <v>29970000</v>
      </c>
      <c r="K220" s="112" t="n">
        <v>46148</v>
      </c>
      <c r="L220" s="39" t="n"/>
      <c r="M220" s="39" t="inlineStr">
        <is>
          <t xml:space="preserve">(604) 4486800 Ext. 172 </t>
        </is>
      </c>
      <c r="N220" s="39" t="inlineStr">
        <is>
          <t xml:space="preserve">Luz Aleidy Cuartas Pérez </t>
        </is>
      </c>
      <c r="O220" s="39" t="inlineStr">
        <is>
          <t xml:space="preserve">Jefe de diseños técnicos </t>
        </is>
      </c>
      <c r="P220" s="52" t="inlineStr">
        <is>
          <t>l.cuartas@altosdelaabadia.com</t>
        </is>
      </c>
    </row>
    <row r="221">
      <c r="A221" s="108" t="n"/>
      <c r="B221" s="39" t="n">
        <v>211</v>
      </c>
      <c r="C221" s="278" t="inlineStr">
        <is>
          <t>COTIZACION DEL DISEÑO DE EXTINCIÓN DE INCENDIOS - BIBLIOTECA ESPAÑA</t>
        </is>
      </c>
      <c r="I221" s="39" t="inlineStr">
        <is>
          <t>FP Services</t>
        </is>
      </c>
      <c r="J221" s="336" t="n">
        <v>9950000</v>
      </c>
      <c r="K221" s="112" t="n">
        <v>46149</v>
      </c>
      <c r="L221" s="39" t="n"/>
      <c r="M221" s="113" t="n">
        <v>3104513967</v>
      </c>
      <c r="N221" s="39" t="inlineStr">
        <is>
          <t>Julio Millan</t>
        </is>
      </c>
      <c r="O221" s="39" t="n"/>
      <c r="P221" s="52" t="inlineStr">
        <is>
          <t>comercial@fpservices.com.co</t>
        </is>
      </c>
    </row>
    <row r="222">
      <c r="A222" s="108" t="n"/>
      <c r="B222" s="39" t="n">
        <v>212</v>
      </c>
      <c r="C222" s="278" t="inlineStr">
        <is>
          <t>COTIZACION DE LOS DISEÑOS DE SEGURIDAD HUMANA Y PROTECCIÓN CONTRA INCENDIOS - FORUM UPB</t>
        </is>
      </c>
      <c r="I222" s="39" t="inlineStr">
        <is>
          <t>CYP INSTALACION DE SISTEMAS CONTRA INCENDIOS S.A.S</t>
        </is>
      </c>
      <c r="J222" s="336" t="n">
        <v>29950000</v>
      </c>
      <c r="K222" s="112" t="n">
        <v>46150</v>
      </c>
      <c r="L222" s="39" t="n"/>
      <c r="M222" s="39" t="n"/>
      <c r="N222" s="39" t="n"/>
      <c r="O222" s="39" t="n"/>
      <c r="P222" s="52" t="inlineStr">
        <is>
          <t>pedroquido39@gmail.com</t>
        </is>
      </c>
    </row>
    <row r="223" ht="15.75" customHeight="1">
      <c r="A223" s="108" t="n"/>
      <c r="B223" s="39" t="n">
        <v>213</v>
      </c>
      <c r="C223" s="278" t="inlineStr">
        <is>
          <t>COTIZACION DEL DISEÑO DE EXTINCIÓN DE INCENDIOS - HOTELERA MEDELLÍN</t>
        </is>
      </c>
      <c r="I223" s="39" t="inlineStr">
        <is>
          <t xml:space="preserve">Arango Arango </t>
        </is>
      </c>
      <c r="J223" s="336" t="n">
        <v>5550000</v>
      </c>
      <c r="K223" s="112" t="n">
        <v>46150</v>
      </c>
      <c r="L223" s="39" t="n"/>
      <c r="M223" s="39" t="n">
        <v>3016361315</v>
      </c>
      <c r="N223" s="39" t="inlineStr">
        <is>
          <t xml:space="preserve">	
Natalia Andrea Valencia Rodriguez</t>
        </is>
      </c>
      <c r="O223" s="39" t="inlineStr">
        <is>
          <t>Directora de Interventoría</t>
        </is>
      </c>
      <c r="P223" s="52" t="inlineStr">
        <is>
          <t>nataliavalenciar25@gmail.com</t>
        </is>
      </c>
    </row>
    <row r="224">
      <c r="A224" s="108" t="n"/>
      <c r="B224" s="39" t="n">
        <v>214</v>
      </c>
      <c r="C224" s="278" t="inlineStr">
        <is>
          <t>COTIZACION DE LOS DISEÑOS DE PROTECCIÓN CONTRA INCENDIOS - BODEGA LOS LAGOS</t>
        </is>
      </c>
      <c r="I224" s="39" t="inlineStr">
        <is>
          <t>Hector Ivan Parra Tovar</t>
        </is>
      </c>
      <c r="J224" s="336" t="n">
        <v>16940000</v>
      </c>
      <c r="K224" s="112" t="n">
        <v>46150</v>
      </c>
      <c r="L224" s="39" t="n"/>
      <c r="M224" s="39" t="n">
        <v>3227665056</v>
      </c>
      <c r="N224" s="39" t="inlineStr">
        <is>
          <t>Hector Ivan Parra Tovar</t>
        </is>
      </c>
      <c r="O224" s="39" t="n"/>
      <c r="P224" s="52" t="inlineStr">
        <is>
          <t>arq.hectorparra1598@gmail.com</t>
        </is>
      </c>
    </row>
    <row r="225">
      <c r="A225" s="108" t="n"/>
      <c r="B225" s="39" t="n">
        <v>215</v>
      </c>
      <c r="C225" s="278" t="inlineStr">
        <is>
          <t>COTIZACION DE LOS DISEÑOS DE PROTECCIÓN CONTRA INCENDIOS - RIKATAS</t>
        </is>
      </c>
      <c r="I225" s="39" t="inlineStr">
        <is>
          <t>Sehiso</t>
        </is>
      </c>
      <c r="J225" s="336" t="n">
        <v>8770000</v>
      </c>
      <c r="K225" s="112" t="n">
        <v>46150</v>
      </c>
      <c r="L225" s="39" t="n"/>
      <c r="M225" s="39" t="n">
        <v>3127200512</v>
      </c>
      <c r="N225" s="39" t="inlineStr">
        <is>
          <t>Sebastian Martinez</t>
        </is>
      </c>
      <c r="O225" s="39" t="n"/>
      <c r="P225" s="116" t="n"/>
    </row>
    <row r="226">
      <c r="A226" s="108" t="n"/>
      <c r="B226" s="39" t="n">
        <v>216</v>
      </c>
      <c r="C226" s="278" t="inlineStr">
        <is>
          <t>COTIZACION DE LOS DISEÑOS DE SEGURIDAD HUMANA Y PROTECCIÓN CONTRA INCENDIOS - LOBBY TORRE NORTE BANCOLOMBIA</t>
        </is>
      </c>
      <c r="I226" s="39" t="inlineStr">
        <is>
          <t>STUDIOSUR</t>
        </is>
      </c>
      <c r="J226" s="336" t="n">
        <v>13450000</v>
      </c>
      <c r="K226" s="112" t="n">
        <v>46150</v>
      </c>
      <c r="L226" s="39" t="n"/>
      <c r="M226" s="39" t="n"/>
      <c r="N226" s="39" t="inlineStr">
        <is>
          <t>Andrea Sánchez</t>
        </is>
      </c>
      <c r="O226" s="39" t="n"/>
      <c r="P226" s="116" t="n"/>
    </row>
    <row r="227">
      <c r="A227" s="108" t="n"/>
      <c r="B227" s="39" t="n">
        <v>217</v>
      </c>
      <c r="C227" s="278" t="inlineStr">
        <is>
          <t>COTIZACION DE LOS DISEÑOS DE PROTECCIÓN CONTRA INCENDIOS Y SEGURIDAD HUMANA PARA EL PROYECTO BODEGA AUDICOL</t>
        </is>
      </c>
      <c r="I227" s="39" t="inlineStr">
        <is>
          <t>Ingesed</t>
        </is>
      </c>
      <c r="J227" s="336" t="n">
        <v>28210000</v>
      </c>
      <c r="K227" s="112" t="n">
        <v>46151</v>
      </c>
      <c r="L227" s="39" t="n"/>
      <c r="M227" s="39" t="n">
        <v>3135401714</v>
      </c>
      <c r="N227" s="39" t="inlineStr">
        <is>
          <t>Eliana Isabel Cardona Ríos</t>
        </is>
      </c>
      <c r="O227" s="39" t="n"/>
      <c r="P227" s="52" t="inlineStr">
        <is>
          <t>comercial@ingesed.com</t>
        </is>
      </c>
    </row>
    <row r="228" ht="15" customHeight="1">
      <c r="A228" s="108" t="n"/>
      <c r="B228" s="39" t="n">
        <v>218</v>
      </c>
      <c r="C228" s="278" t="inlineStr">
        <is>
          <t>COTIZACION DEL DISEÑO DE EXTINCIÓN DE INCENDIOS - BODEGAS PUERTA DEL SUR</t>
        </is>
      </c>
      <c r="I228" s="39" t="inlineStr">
        <is>
          <t>SPCI</t>
        </is>
      </c>
      <c r="J228" s="336" t="n">
        <v>12540000</v>
      </c>
      <c r="K228" s="112" t="n">
        <v>46151</v>
      </c>
      <c r="L228" s="39" t="n"/>
      <c r="M228" s="39" t="n">
        <v>3137546144</v>
      </c>
      <c r="N228" s="39" t="inlineStr">
        <is>
          <t xml:space="preserve">Juan Camilo Quintero Bedoya </t>
        </is>
      </c>
      <c r="O228" s="39" t="inlineStr">
        <is>
          <t>Director de Mantenimiento</t>
        </is>
      </c>
      <c r="P228" s="52" t="inlineStr">
        <is>
          <t>camilo.quintero@spci.com.co</t>
        </is>
      </c>
    </row>
    <row r="229" ht="15" customHeight="1">
      <c r="A229" s="108" t="n"/>
      <c r="B229" s="39" t="n">
        <v>219</v>
      </c>
      <c r="C229" s="278" t="inlineStr">
        <is>
          <t>COTIZACION DE LOS DISEÑOS DE SEGURIDAD HUMANA Y PROTECCIÓN CONTRA INCENDIOS - IDEM</t>
        </is>
      </c>
      <c r="I229" s="39" t="inlineStr">
        <is>
          <t>DESur</t>
        </is>
      </c>
      <c r="J229" s="336" t="n">
        <v>13800000</v>
      </c>
      <c r="K229" s="112" t="n">
        <v>46154</v>
      </c>
      <c r="L229" s="39" t="n"/>
      <c r="M229" s="39" t="inlineStr">
        <is>
          <t>(604) 4801300 Ext 126</t>
        </is>
      </c>
      <c r="N229" s="39" t="inlineStr">
        <is>
          <t>Julian Henao</t>
        </is>
      </c>
      <c r="O229" s="39" t="n"/>
      <c r="P229" s="52" t="inlineStr">
        <is>
          <t>daniel.henao@desur.gov.co</t>
        </is>
      </c>
    </row>
    <row r="230" ht="18" customHeight="1">
      <c r="A230" s="108" t="n"/>
      <c r="B230" s="39" t="n">
        <v>220</v>
      </c>
      <c r="C230" s="278" t="inlineStr">
        <is>
          <t>COTIZACION DE LOS DISEÑOS DE SEGURIDAD HUMANA Y PROTECCIÓN CONTRA INCENDIOS - ARENA TERRA</t>
        </is>
      </c>
      <c r="I230" s="39" t="inlineStr">
        <is>
          <t>Cimentando</t>
        </is>
      </c>
      <c r="J230" s="336" t="n">
        <v>2480000</v>
      </c>
      <c r="K230" s="112" t="n">
        <v>46154</v>
      </c>
      <c r="L230" s="39" t="n"/>
      <c r="M230" s="39" t="n">
        <v>3117237168</v>
      </c>
      <c r="N230" s="39" t="inlineStr">
        <is>
          <t>John Andres Mesa</t>
        </is>
      </c>
      <c r="O230" s="39" t="n"/>
      <c r="P230" s="157" t="inlineStr">
        <is>
          <t>cimentandosas@hotmail.com
mesabass24@hotmail.com</t>
        </is>
      </c>
    </row>
    <row r="231">
      <c r="A231" s="108" t="n"/>
      <c r="B231" s="39" t="n">
        <v>221</v>
      </c>
      <c r="C231" s="278" t="inlineStr">
        <is>
          <t>COTIZACION DE LOS DISEÑOS DE PROTECCIÓN CONTRA INCENDIOS Y SEGURIDAD HUMANA PARA EL PROYECTO EDIFICIO 8,000 M2</t>
        </is>
      </c>
      <c r="I231" s="39" t="inlineStr">
        <is>
          <t>Diseño y Construcciones</t>
        </is>
      </c>
      <c r="J231" s="336" t="n">
        <v>27600000</v>
      </c>
      <c r="K231" s="112" t="n">
        <v>46154</v>
      </c>
      <c r="L231" s="39" t="n"/>
      <c r="M231" s="39" t="n">
        <v>3134010231</v>
      </c>
      <c r="N231" s="39" t="inlineStr">
        <is>
          <t>Paulo</t>
        </is>
      </c>
      <c r="O231" s="39" t="n"/>
      <c r="P231" s="116" t="n"/>
    </row>
    <row r="232">
      <c r="A232" s="108" t="n"/>
      <c r="B232" s="39" t="n">
        <v>222</v>
      </c>
      <c r="C232" s="278" t="inlineStr">
        <is>
          <t>COTIZACION DEL DISEÑO DE EXTINCIÓN DE INCENDIOS - AGENTE LIMPIO HOTELERA MDE</t>
        </is>
      </c>
      <c r="I232" s="39" t="inlineStr">
        <is>
          <t xml:space="preserve">Arango Arango </t>
        </is>
      </c>
      <c r="J232" s="336" t="n">
        <v>11950000</v>
      </c>
      <c r="K232" s="112" t="n">
        <v>46155</v>
      </c>
      <c r="L232" s="39" t="n"/>
      <c r="M232" s="39" t="n">
        <v>3016361315</v>
      </c>
      <c r="N232" s="39" t="inlineStr">
        <is>
          <t xml:space="preserve">	
Natalia Andrea Valencia Rodriguez</t>
        </is>
      </c>
      <c r="O232" s="39" t="inlineStr">
        <is>
          <t>Directora de Interventoría</t>
        </is>
      </c>
      <c r="P232" s="52" t="inlineStr">
        <is>
          <t>nataliavalenciar25@gmail.com</t>
        </is>
      </c>
    </row>
    <row r="233" ht="15" customHeight="1">
      <c r="A233" s="108" t="n"/>
      <c r="B233" s="39" t="n">
        <v>223</v>
      </c>
      <c r="C233" s="278" t="inlineStr">
        <is>
          <t>COTIZACION DE LOS DISEÑOS DE PROTECCIÓN CONTRA INCENDIOS - HOTEL HAVEN</t>
        </is>
      </c>
      <c r="I233" s="39" t="inlineStr">
        <is>
          <t>Mensula</t>
        </is>
      </c>
      <c r="J233" s="336" t="inlineStr">
        <is>
          <t>No se presentó</t>
        </is>
      </c>
      <c r="K233" s="112" t="n">
        <v>46156</v>
      </c>
      <c r="L233" s="39" t="n"/>
      <c r="M233" s="39" t="n">
        <v>3008643710</v>
      </c>
      <c r="N233" s="39" t="inlineStr">
        <is>
          <t xml:space="preserve">	
Cristina Palacio Perez</t>
        </is>
      </c>
      <c r="O233" s="39" t="n"/>
      <c r="P233" s="52" t="inlineStr">
        <is>
          <t>cristinapalacio@mensulaingenieros.com</t>
        </is>
      </c>
    </row>
    <row r="234">
      <c r="A234" s="108" t="n"/>
      <c r="B234" s="39" t="n">
        <v>224</v>
      </c>
      <c r="C234" s="278" t="inlineStr">
        <is>
          <t>COTIZACION DEL ANÁLISIS DE SEGURIDAD HUMANA - ED. VIVIENDA Y COMERCIO RIONEGRO</t>
        </is>
      </c>
      <c r="I234" s="39" t="inlineStr">
        <is>
          <t>Ingesed</t>
        </is>
      </c>
      <c r="J234" s="336" t="n">
        <v>5500000</v>
      </c>
      <c r="K234" s="112" t="n">
        <v>46156</v>
      </c>
      <c r="L234" s="39" t="n"/>
      <c r="M234" s="39" t="inlineStr">
        <is>
          <t>321 8338189</t>
        </is>
      </c>
      <c r="N234" s="39" t="inlineStr">
        <is>
          <t>Laura Delgado</t>
        </is>
      </c>
      <c r="O234" s="39" t="n"/>
      <c r="P234" s="52" t="inlineStr">
        <is>
          <t>operacionesingesed@gmail.com</t>
        </is>
      </c>
    </row>
    <row r="235">
      <c r="A235" s="108" t="n"/>
      <c r="B235" s="39" t="n">
        <v>225</v>
      </c>
      <c r="C235" s="278" t="inlineStr">
        <is>
          <t>COTIZACION DE LOS DISEÑOS DE PROTECCIÓN CONTRA INCENDIOS - CONCESIONARIO MAGMA</t>
        </is>
      </c>
      <c r="I235" s="39" t="inlineStr">
        <is>
          <t>Grupo Ingenium</t>
        </is>
      </c>
      <c r="J235" s="336" t="n">
        <v>5000000</v>
      </c>
      <c r="K235" s="112" t="n">
        <v>46156</v>
      </c>
      <c r="L235" s="39" t="n"/>
      <c r="M235" s="170" t="n"/>
      <c r="N235" s="39" t="inlineStr">
        <is>
          <t>Luisa Restrepo</t>
        </is>
      </c>
      <c r="O235" s="39" t="n"/>
      <c r="P235" s="116" t="n"/>
    </row>
    <row r="236">
      <c r="A236" s="108" t="n"/>
      <c r="B236" s="39" t="n">
        <v>226</v>
      </c>
      <c r="C236" s="278" t="inlineStr">
        <is>
          <t>COTIZACION DE LOS DISEÑOS DE SEGURIDAD HUMANA Y PROTECCIÓN CONTRA INCENDIOS - FRIGORÍFICO</t>
        </is>
      </c>
      <c r="I236" s="39" t="inlineStr">
        <is>
          <t>Ingesed</t>
        </is>
      </c>
      <c r="J236" s="336" t="n">
        <v>33990000</v>
      </c>
      <c r="K236" s="112" t="n">
        <v>46157</v>
      </c>
      <c r="L236" s="39" t="n"/>
      <c r="M236" s="39" t="n">
        <v>3135401714</v>
      </c>
      <c r="N236" s="39" t="inlineStr">
        <is>
          <t>Eliana Isabel Cardona Ríos</t>
        </is>
      </c>
      <c r="O236" s="39" t="n"/>
      <c r="P236" s="52" t="inlineStr">
        <is>
          <t>comercial@ingesed.com</t>
        </is>
      </c>
    </row>
    <row r="237" ht="15" customHeight="1">
      <c r="A237" s="108" t="n"/>
      <c r="B237" s="39" t="n">
        <v>227</v>
      </c>
      <c r="C237" s="278" t="inlineStr">
        <is>
          <t>COTIZACION DE LOS DISEÑOS DE SEGURIDAD HUMANA Y PROTECCIÓN CONTRA INCENDIOS - COLOMBINA</t>
        </is>
      </c>
      <c r="I237" s="39" t="inlineStr">
        <is>
          <t>Colombina</t>
        </is>
      </c>
      <c r="J237" s="336" t="n">
        <v>12550000</v>
      </c>
      <c r="K237" s="112" t="n">
        <v>46157</v>
      </c>
      <c r="L237" s="39" t="n"/>
      <c r="M237" s="39" t="n">
        <v>3148051569</v>
      </c>
      <c r="N237" s="39" t="inlineStr">
        <is>
          <t>Lina Alejandra Duque Posada</t>
        </is>
      </c>
      <c r="O237" s="39" t="inlineStr">
        <is>
          <t>Coordinadora de S.I – Planta Helados Medellín</t>
        </is>
      </c>
      <c r="P237" s="52" t="inlineStr">
        <is>
          <t>laduque@colombina.com</t>
        </is>
      </c>
    </row>
    <row r="238" ht="15" customHeight="1">
      <c r="A238" s="108" t="n"/>
      <c r="B238" s="39" t="n">
        <v>228</v>
      </c>
      <c r="C238" s="278" t="inlineStr">
        <is>
          <t>COTIZACION DEL ANÁLISIS DE SEGURIDAD HUMANA - CASA 3 SAN LUCAS</t>
        </is>
      </c>
      <c r="I238" s="39" t="inlineStr">
        <is>
          <t>Verde Selva Constructores</t>
        </is>
      </c>
      <c r="J238" s="336" t="inlineStr">
        <is>
          <t>No se cotizó</t>
        </is>
      </c>
      <c r="K238" s="112" t="n">
        <v>46157</v>
      </c>
      <c r="L238" s="39" t="n"/>
      <c r="M238" s="39" t="n">
        <v>3122888615</v>
      </c>
      <c r="N238" s="39" t="inlineStr">
        <is>
          <t>Sebastián penagos</t>
        </is>
      </c>
      <c r="O238" s="39" t="n"/>
      <c r="P238" s="52" t="inlineStr">
        <is>
          <t>santiagor@verdeselva.com.co</t>
        </is>
      </c>
    </row>
    <row r="239">
      <c r="A239" s="108" t="n"/>
      <c r="B239" s="39" t="n">
        <v>229</v>
      </c>
      <c r="C239" s="278" t="inlineStr">
        <is>
          <t>COTIZACION DE LOS DISEÑOS DE PROTECCIÓN CONTRA INCENDIOS - PARQUE EMPRESARIAL GUADUALES</t>
        </is>
      </c>
      <c r="I239" s="39" t="inlineStr">
        <is>
          <t>Ingema Hidraulica</t>
        </is>
      </c>
      <c r="J239" s="336" t="n">
        <v>18820000</v>
      </c>
      <c r="K239" s="112" t="n">
        <v>46157</v>
      </c>
      <c r="L239" s="39" t="n"/>
      <c r="M239" s="39" t="n">
        <v>3023393125</v>
      </c>
      <c r="N239" s="39" t="inlineStr">
        <is>
          <t>Andres Giraldo</t>
        </is>
      </c>
      <c r="O239" s="39" t="n"/>
      <c r="P239" s="52" t="inlineStr">
        <is>
          <t>ingemahidraulic@outlook.es</t>
        </is>
      </c>
    </row>
    <row r="240">
      <c r="A240" s="108" t="n"/>
      <c r="B240" s="39" t="n">
        <v>230</v>
      </c>
      <c r="C240" s="278" t="inlineStr">
        <is>
          <t>COTIZACION DEL DISEÑO DE EXTINCIÓN DE INCENDIOS - AUTECO MOROCARROS ROSENDAL</t>
        </is>
      </c>
      <c r="I240" s="39" t="inlineStr">
        <is>
          <t>Prosoma</t>
        </is>
      </c>
      <c r="J240" s="336" t="n">
        <v>18800000</v>
      </c>
      <c r="K240" s="112" t="n">
        <v>46161</v>
      </c>
      <c r="L240" s="39" t="n"/>
      <c r="M240" s="39" t="n">
        <v>3147537411</v>
      </c>
      <c r="N240" s="39" t="inlineStr">
        <is>
          <t>Adolfo Florez Cossio</t>
        </is>
      </c>
      <c r="O240" s="39" t="n"/>
      <c r="P240" s="52" t="inlineStr">
        <is>
          <t>proyectos@prosoma.com.co</t>
        </is>
      </c>
    </row>
    <row r="241">
      <c r="A241" s="108" t="n"/>
      <c r="B241" s="39" t="n">
        <v>231</v>
      </c>
      <c r="C241" s="278" t="inlineStr">
        <is>
          <t>PLANOS ASBUILT ACESCO MALAMBO</t>
        </is>
      </c>
      <c r="I241" s="39" t="inlineStr">
        <is>
          <t>Fire &amp; Equipos</t>
        </is>
      </c>
      <c r="J241" s="336" t="n">
        <v>14950000</v>
      </c>
      <c r="K241" s="112" t="n">
        <v>46162</v>
      </c>
      <c r="L241" s="39" t="n"/>
      <c r="M241" s="39" t="n">
        <v>3134451063</v>
      </c>
      <c r="N241" s="39" t="inlineStr">
        <is>
          <t>Juan José Monsalve</t>
        </is>
      </c>
      <c r="O241" s="39" t="inlineStr">
        <is>
          <t>Director comercial y de proyectos</t>
        </is>
      </c>
      <c r="P241" s="52" t="inlineStr">
        <is>
          <t>Directorcomercial@fireyequipos.com</t>
        </is>
      </c>
    </row>
    <row r="242">
      <c r="A242" s="108" t="n"/>
      <c r="B242" s="39" t="n">
        <v>232</v>
      </c>
      <c r="C242" s="278" t="inlineStr">
        <is>
          <t>COTIZACION DE LOS DISEÑOS DE SEGURIDAD HUMANA Y PROTECCIÓN CONTRA INCENDIOS - WILLOW DISTRICT</t>
        </is>
      </c>
      <c r="I242" s="39" t="inlineStr">
        <is>
          <t>TIP Interventoria</t>
        </is>
      </c>
      <c r="J242" s="336" t="n">
        <v>46650000</v>
      </c>
      <c r="K242" s="112" t="n">
        <v>46163</v>
      </c>
      <c r="L242" s="39" t="n"/>
      <c r="M242" s="39" t="n">
        <v>3207256603</v>
      </c>
      <c r="N242" s="39" t="inlineStr">
        <is>
          <t>Tatiana de la Rosa Santa</t>
        </is>
      </c>
      <c r="O242" s="39" t="n"/>
      <c r="P242" s="52" t="inlineStr">
        <is>
          <t>tatiana@tipinterventoria.com</t>
        </is>
      </c>
    </row>
    <row r="243">
      <c r="A243" s="108" t="n"/>
      <c r="B243" s="39" t="n">
        <v>233</v>
      </c>
      <c r="C243" s="278" t="inlineStr">
        <is>
          <t>COTIZACION DEL DISEÑO DE EXTINCIÓN DE INCENDIOS - HOTEL AIMARAWA</t>
        </is>
      </c>
      <c r="I243" s="39" t="inlineStr">
        <is>
          <t>SPCI</t>
        </is>
      </c>
      <c r="J243" s="336" t="n">
        <v>13850000</v>
      </c>
      <c r="K243" s="112" t="n">
        <v>46163</v>
      </c>
      <c r="L243" s="39" t="n"/>
      <c r="M243" s="39" t="n"/>
      <c r="N243" s="39" t="inlineStr">
        <is>
          <t>Juan Pablo Grajales</t>
        </is>
      </c>
      <c r="O243" s="39" t="inlineStr">
        <is>
          <t xml:space="preserve">Gerente Innovación y Desarrollo </t>
        </is>
      </c>
      <c r="P243" s="52" t="inlineStr">
        <is>
          <t>juan.grajales@spci.com.co</t>
        </is>
      </c>
    </row>
    <row r="244">
      <c r="A244" s="108" t="n"/>
      <c r="B244" s="39" t="n">
        <v>234</v>
      </c>
      <c r="C244" s="278" t="inlineStr">
        <is>
          <t>COTIZACION DEL DISEÑO DE EXTINCIÓN DE INCENDIOS - ZONA E</t>
        </is>
      </c>
      <c r="I244" s="39" t="inlineStr">
        <is>
          <t>SPCI</t>
        </is>
      </c>
      <c r="J244" s="336" t="n">
        <v>14950000</v>
      </c>
      <c r="K244" s="112" t="n">
        <v>46163</v>
      </c>
      <c r="L244" s="39" t="n"/>
      <c r="M244" s="39" t="n">
        <v>3104165783</v>
      </c>
      <c r="N244" s="39" t="inlineStr">
        <is>
          <t>Cristiam Gustavo Mondragon</t>
        </is>
      </c>
      <c r="O244" s="39" t="inlineStr">
        <is>
          <t>Director técnico</t>
        </is>
      </c>
      <c r="P244" s="52" t="inlineStr">
        <is>
          <t>dir.tecnico@spci.com.co</t>
        </is>
      </c>
    </row>
    <row r="245" ht="15" customHeight="1">
      <c r="A245" s="108" t="n"/>
      <c r="B245" s="39" t="n">
        <v>235</v>
      </c>
      <c r="C245" s="278" t="inlineStr">
        <is>
          <t>COTIZACION DE LOS DISEÑOS DE SEGURIDAD HUMANA Y PROTECCIÓN CONTRA INCENDIOS - CLÍNICA LAS VEGAS</t>
        </is>
      </c>
      <c r="I245" s="39" t="inlineStr">
        <is>
          <t>Clínica las Vegas</t>
        </is>
      </c>
      <c r="J245" s="336" t="n">
        <v>65850000</v>
      </c>
      <c r="K245" s="112" t="n">
        <v>46163</v>
      </c>
      <c r="L245" s="39" t="n"/>
      <c r="M245" s="39" t="inlineStr">
        <is>
          <t>604 501 30 00 Ext: 8600</t>
        </is>
      </c>
      <c r="N245" s="39" t="inlineStr">
        <is>
          <t>Rafael Esteban Amaya Arbeláez</t>
        </is>
      </c>
      <c r="O245" s="39" t="inlineStr">
        <is>
          <t>Jefe de Ingeniería Biomédica y Mantenimiento</t>
        </is>
      </c>
      <c r="P245" s="52" t="inlineStr">
        <is>
          <t>Rafael.Amaya@quironsalud.com</t>
        </is>
      </c>
    </row>
    <row r="246">
      <c r="A246" s="108" t="n"/>
      <c r="B246" s="39" t="n">
        <v>236</v>
      </c>
      <c r="C246" s="278" t="inlineStr">
        <is>
          <t>COTIZACION DE LOS DISEÑOS DE SEGURIDAD HUMANA Y PROTECCIÓN CONTRA INCENDIOS - HONTANAR</t>
        </is>
      </c>
      <c r="I246" s="39" t="inlineStr">
        <is>
          <t>Contex</t>
        </is>
      </c>
      <c r="J246" s="336" t="n">
        <v>47250000</v>
      </c>
      <c r="K246" s="112" t="n">
        <v>46163</v>
      </c>
      <c r="L246" s="39" t="n"/>
      <c r="M246" s="39" t="n">
        <v>3183484307</v>
      </c>
      <c r="N246" s="39" t="inlineStr">
        <is>
          <t>Daniel Ceballos</t>
        </is>
      </c>
      <c r="O246" s="39" t="n"/>
      <c r="P246" s="52" t="inlineStr">
        <is>
          <t>eceballos@contex.com.co</t>
        </is>
      </c>
    </row>
    <row r="247">
      <c r="A247" s="108" t="n"/>
      <c r="B247" s="39" t="n">
        <v>237</v>
      </c>
      <c r="C247" s="278" t="inlineStr">
        <is>
          <t>COTIZACION DE LOS DISEÑOS DE PROTECCIÓN CONTRA INCENDIOS PARA EL PROYECTO MEZANINE CONTECAR</t>
        </is>
      </c>
      <c r="I247" s="39" t="inlineStr">
        <is>
          <t>SPCI</t>
        </is>
      </c>
      <c r="J247" s="336" t="n">
        <v>5650000</v>
      </c>
      <c r="K247" s="112" t="n">
        <v>46164</v>
      </c>
      <c r="L247" s="39" t="n"/>
      <c r="M247" s="39" t="n">
        <v>3104165783</v>
      </c>
      <c r="N247" s="39" t="inlineStr">
        <is>
          <t>Cristiam Gustavo Mondragon</t>
        </is>
      </c>
      <c r="O247" s="39" t="inlineStr">
        <is>
          <t>Director técnico</t>
        </is>
      </c>
      <c r="P247" s="52" t="inlineStr">
        <is>
          <t>dir.tecnico@spci.com.co</t>
        </is>
      </c>
    </row>
    <row r="248" ht="15" customHeight="1">
      <c r="A248" s="108" t="n"/>
      <c r="B248" s="39" t="n">
        <v>238</v>
      </c>
      <c r="C248" s="278" t="inlineStr">
        <is>
          <t>COTIZACION DEL PLAN MAESTRO DE PROTECCIÓN CONTRA INCENDIOS PARA LA PLANTA SCANFORM</t>
        </is>
      </c>
      <c r="I248" s="39" t="inlineStr">
        <is>
          <t>Sehiso</t>
        </is>
      </c>
      <c r="J248" s="336" t="n">
        <v>14950000</v>
      </c>
      <c r="K248" s="112" t="n">
        <v>46164</v>
      </c>
      <c r="L248" s="39" t="n"/>
      <c r="M248" s="39" t="n"/>
      <c r="N248" s="39" t="n"/>
      <c r="O248" s="39" t="n"/>
      <c r="P248" s="116" t="n"/>
    </row>
    <row r="249">
      <c r="A249" s="108" t="n"/>
      <c r="B249" s="39" t="n">
        <v>239</v>
      </c>
      <c r="C249" s="278" t="inlineStr">
        <is>
          <t>COTIZACION DE LOS DISEÑOS DE PROTECCIÓN CONTRA INCENDIOS - PORTAL DE SAN NICOLÁS</t>
        </is>
      </c>
      <c r="I249" s="39" t="inlineStr">
        <is>
          <t>Ingema Hidraulica</t>
        </is>
      </c>
      <c r="J249" s="336" t="n">
        <v>13500000</v>
      </c>
      <c r="K249" s="112" t="n">
        <v>46164</v>
      </c>
      <c r="L249" s="39" t="n"/>
      <c r="M249" s="39" t="n">
        <v>3023393125</v>
      </c>
      <c r="N249" s="39" t="inlineStr">
        <is>
          <t>Andres Giraldo</t>
        </is>
      </c>
      <c r="O249" s="39" t="n"/>
      <c r="P249" s="52" t="inlineStr">
        <is>
          <t>ingemahidraulic@outlook.es</t>
        </is>
      </c>
    </row>
    <row r="250">
      <c r="A250" s="108" t="n"/>
      <c r="B250" s="39" t="n">
        <v>240</v>
      </c>
      <c r="C250" s="278" t="inlineStr">
        <is>
          <t>COTIZACION DE LOS DISEÑOS DE SEGURIDAD HUMANA Y PROTECCIÓN CONTRA INCENDIOS - PROMENADE</t>
        </is>
      </c>
      <c r="I250" s="39" t="inlineStr">
        <is>
          <t>FCR</t>
        </is>
      </c>
      <c r="J250" s="336" t="n">
        <v>31760000</v>
      </c>
      <c r="K250" s="112" t="n">
        <v>46164</v>
      </c>
      <c r="L250" s="39" t="n"/>
      <c r="M250" s="39" t="n">
        <v>3014317086</v>
      </c>
      <c r="N250" s="39" t="inlineStr">
        <is>
          <t>Tamara Puerta</t>
        </is>
      </c>
      <c r="O250" s="39" t="n"/>
      <c r="P250" s="116" t="inlineStr">
        <is>
          <t>fcrtamarapuerta@gmail.com</t>
        </is>
      </c>
    </row>
    <row r="251">
      <c r="A251" s="108" t="n"/>
      <c r="B251" s="39" t="n">
        <v>241</v>
      </c>
      <c r="C251" s="278" t="inlineStr">
        <is>
          <t>COTIZACION DE LOS DISEÑOS DE SEGURIDAD HUMANA Y PROTECCIÓN CONTRA INCENDIOS - MOKARA T3</t>
        </is>
      </c>
      <c r="I251" s="39" t="inlineStr">
        <is>
          <t>FCR</t>
        </is>
      </c>
      <c r="J251" s="336" t="n">
        <v>22860000</v>
      </c>
      <c r="K251" s="112" t="n">
        <v>46164</v>
      </c>
      <c r="L251" s="39" t="n"/>
      <c r="M251" s="39" t="inlineStr">
        <is>
          <t>311 3304231</t>
        </is>
      </c>
      <c r="N251" s="39" t="inlineStr">
        <is>
          <t>Daniela Vélez</t>
        </is>
      </c>
      <c r="O251" s="39" t="n"/>
      <c r="P251" s="116" t="inlineStr">
        <is>
          <t>danielavelez.fcr@gmail.com</t>
        </is>
      </c>
    </row>
    <row r="252">
      <c r="A252" s="108" t="n"/>
      <c r="B252" s="39" t="n">
        <v>242</v>
      </c>
      <c r="C252" s="278" t="inlineStr">
        <is>
          <t>COTIZACION DE LOS DISEÑOS DE SEGURIDAD HUMANA Y PROTECCIÓN CONTRA INCENDIOS - COLONIA T2,3,4 Y 5</t>
        </is>
      </c>
      <c r="I252" s="39" t="inlineStr">
        <is>
          <t>FCR</t>
        </is>
      </c>
      <c r="J252" s="336" t="inlineStr">
        <is>
          <t>No se cotizó</t>
        </is>
      </c>
      <c r="K252" s="112" t="n">
        <v>46168</v>
      </c>
      <c r="L252" s="39" t="n"/>
      <c r="M252" s="39" t="inlineStr">
        <is>
          <t>310 5304562</t>
        </is>
      </c>
      <c r="N252" s="39" t="inlineStr">
        <is>
          <t xml:space="preserve">Vanessa Zapata </t>
        </is>
      </c>
      <c r="O252" s="39" t="n"/>
      <c r="P252" s="52" t="inlineStr">
        <is>
          <t>vanessazapata.fcr@gmail.com</t>
        </is>
      </c>
    </row>
    <row r="253">
      <c r="A253" s="108" t="n"/>
      <c r="B253" s="39" t="n">
        <v>243</v>
      </c>
      <c r="C253" s="278" t="inlineStr">
        <is>
          <t>COTIZACION DE LOS DISEÑOS DE SEGURIDAD HUMANA Y PROTECCIÓN CONTRA INCENDIOS - SURA IBAGUE</t>
        </is>
      </c>
      <c r="I253" s="39" t="inlineStr">
        <is>
          <t>JO Arquitectura</t>
        </is>
      </c>
      <c r="J253" s="336" t="n">
        <v>13530000</v>
      </c>
      <c r="K253" s="112" t="n">
        <v>46168</v>
      </c>
      <c r="L253" s="39" t="n"/>
      <c r="M253" s="39" t="n">
        <v>3175594091</v>
      </c>
      <c r="N253" s="39" t="inlineStr">
        <is>
          <t>Nakary García</t>
        </is>
      </c>
      <c r="O253" s="39" t="inlineStr">
        <is>
          <t>Directora de Nuevos Negocios</t>
        </is>
      </c>
      <c r="P253" s="52" t="inlineStr">
        <is>
          <t>joarq.ngarcia@gmail.com</t>
        </is>
      </c>
    </row>
    <row r="254">
      <c r="A254" s="108" t="n"/>
      <c r="B254" s="39" t="n">
        <v>244</v>
      </c>
      <c r="C254" s="278" t="inlineStr">
        <is>
          <t>COTIZACION DE LOS DISEÑOS DE SEGURIDAD HUMANA Y PROTECCIÓN CONTRA INCENDIOS - HOTEL HOLIDAY INN</t>
        </is>
      </c>
      <c r="I254" s="39" t="inlineStr">
        <is>
          <t>Al cielo constructora</t>
        </is>
      </c>
      <c r="J254" s="336" t="n">
        <v>39950000</v>
      </c>
      <c r="K254" s="112" t="n">
        <v>46168</v>
      </c>
      <c r="L254" s="39" t="n"/>
      <c r="M254" s="39" t="n"/>
      <c r="N254" s="39" t="inlineStr">
        <is>
          <t>Nayalibe Eljach Eljach Manjarez</t>
        </is>
      </c>
      <c r="O254" s="39" t="n"/>
      <c r="P254" s="52" t="inlineStr">
        <is>
          <t>n.eljach@alcieloconstructora.com</t>
        </is>
      </c>
    </row>
    <row r="255">
      <c r="A255" s="108" t="n"/>
      <c r="B255" s="39" t="n">
        <v>245</v>
      </c>
      <c r="C255" s="278" t="inlineStr">
        <is>
          <t>COTIZACION DE LOS DISEÑOS DE PROTECCIÓN CONTRA INCENDIOS - BODEGAS PUERTA DEL SUR</t>
        </is>
      </c>
      <c r="I255" s="39" t="inlineStr">
        <is>
          <t>SPCI</t>
        </is>
      </c>
      <c r="J255" s="336" t="n">
        <v>17490000</v>
      </c>
      <c r="K255" s="112" t="n">
        <v>46168</v>
      </c>
      <c r="L255" s="39" t="n"/>
      <c r="M255" s="39" t="n">
        <v>3137546144</v>
      </c>
      <c r="N255" s="39" t="inlineStr">
        <is>
          <t xml:space="preserve">Juan Camilo Quintero Bedoya </t>
        </is>
      </c>
      <c r="O255" s="39" t="inlineStr">
        <is>
          <t>Director de Mantenimiento</t>
        </is>
      </c>
      <c r="P255" s="52" t="inlineStr">
        <is>
          <t>camilo.quintero@spci.com.co</t>
        </is>
      </c>
    </row>
    <row r="256">
      <c r="A256" s="108" t="n"/>
      <c r="B256" s="39" t="n">
        <v>246</v>
      </c>
      <c r="C256" s="278" t="inlineStr">
        <is>
          <t>COTIZACION DE LOS DISEÑOS DE SEGURIDAD HUMANA Y DETECCIÓN DE INCENDIOS - CORALIA ETAPA 2</t>
        </is>
      </c>
      <c r="I256" s="39" t="inlineStr">
        <is>
          <t>Conaltura</t>
        </is>
      </c>
      <c r="J256" s="336" t="n">
        <v>24950000</v>
      </c>
      <c r="K256" s="112" t="n">
        <v>46168</v>
      </c>
      <c r="L256" s="39" t="n"/>
      <c r="M256" s="39" t="n">
        <v>3124690731</v>
      </c>
      <c r="N256" s="39" t="inlineStr">
        <is>
          <t>Jesus David Ramirez Figueroa</t>
        </is>
      </c>
      <c r="O256" s="39" t="inlineStr">
        <is>
          <t>Analista Técnico</t>
        </is>
      </c>
      <c r="P256" s="52" t="inlineStr">
        <is>
          <t>jramirezf@conaltura.com</t>
        </is>
      </c>
    </row>
    <row r="257">
      <c r="A257" s="108" t="n"/>
      <c r="B257" s="39" t="n">
        <v>247</v>
      </c>
      <c r="C257" s="278" t="inlineStr">
        <is>
          <t>COTIZACION DE LOS DISEÑOS DE SEGURIDAD HUMANA Y PROTECCIÓN CONTRA INCENDIOS - RIOMANSO ETAPA 1</t>
        </is>
      </c>
      <c r="I257" s="39" t="inlineStr">
        <is>
          <t>Conintel</t>
        </is>
      </c>
      <c r="J257" s="336" t="n">
        <v>39790000</v>
      </c>
      <c r="K257" s="112" t="n">
        <v>46168</v>
      </c>
      <c r="L257" s="39" t="n"/>
      <c r="M257" s="39" t="n">
        <v>2662377</v>
      </c>
      <c r="N257" s="39" t="inlineStr">
        <is>
          <t>Natalia Patiño Osorno</t>
        </is>
      </c>
      <c r="O257" s="39" t="inlineStr">
        <is>
          <t>Licitaciones</t>
        </is>
      </c>
      <c r="P257" s="52" t="inlineStr">
        <is>
          <t>Licitacion2@conintel.com.co</t>
        </is>
      </c>
    </row>
    <row r="258">
      <c r="A258" s="108" t="n"/>
      <c r="B258" s="39" t="n">
        <v>248</v>
      </c>
      <c r="C258" s="278" t="inlineStr">
        <is>
          <t>COTIZACION DE LOS DISEÑOS DE SEGURIDAD HUMANA Y PROTECCIÓN CONTRA INCENDIOS - BOSQUE DE AIRE</t>
        </is>
      </c>
      <c r="I258" s="39" t="inlineStr">
        <is>
          <t>Soluciones Civiles</t>
        </is>
      </c>
      <c r="J258" s="336" t="n">
        <v>31750000</v>
      </c>
      <c r="K258" s="112" t="n">
        <v>46168</v>
      </c>
      <c r="L258" s="39" t="n"/>
      <c r="M258" s="39" t="inlineStr">
        <is>
          <t>310 4425769</t>
        </is>
      </c>
      <c r="N258" s="39" t="inlineStr">
        <is>
          <t>Juliana Ante</t>
        </is>
      </c>
      <c r="O258" s="39" t="n"/>
      <c r="P258" s="116" t="n"/>
    </row>
    <row r="259">
      <c r="A259" s="108" t="n"/>
      <c r="B259" s="39" t="n">
        <v>249</v>
      </c>
      <c r="C259" s="278" t="inlineStr">
        <is>
          <t>COTIZACION DE LOS DISEÑOS DE SEGURIDAD HUMANA Y PROTECCIÓN CONTRA INCENDIOS - RESERVA DE LOS BOSQUES</t>
        </is>
      </c>
      <c r="I259" s="39" t="inlineStr">
        <is>
          <t>Soluciones Civiles</t>
        </is>
      </c>
      <c r="J259" s="336" t="n">
        <v>29630000</v>
      </c>
      <c r="K259" s="112" t="n">
        <v>46168</v>
      </c>
      <c r="L259" s="39" t="n"/>
      <c r="M259" s="39" t="inlineStr">
        <is>
          <t>310 4425769</t>
        </is>
      </c>
      <c r="N259" s="39" t="inlineStr">
        <is>
          <t>Juliana Ante</t>
        </is>
      </c>
      <c r="O259" s="39" t="n"/>
      <c r="P259" s="116" t="n"/>
    </row>
    <row r="260">
      <c r="A260" s="108" t="n"/>
      <c r="B260" s="39" t="n">
        <v>250</v>
      </c>
      <c r="C260" s="278" t="inlineStr">
        <is>
          <t>COTIZACION DEL DISEÑO DE DETECCIÓN DE INCENDIOS - AMARA ETAPA 2,3 Y 4</t>
        </is>
      </c>
      <c r="I260" s="39" t="inlineStr">
        <is>
          <t>AIA</t>
        </is>
      </c>
      <c r="J260" s="336" t="n">
        <v>16350000</v>
      </c>
      <c r="K260" s="112" t="n">
        <v>46169</v>
      </c>
      <c r="L260" s="39" t="n"/>
      <c r="M260" s="39" t="n"/>
      <c r="N260" s="125" t="inlineStr">
        <is>
          <t>Sebastian Camilo Parra Giraldo</t>
        </is>
      </c>
      <c r="O260" s="39" t="inlineStr">
        <is>
          <t>Profesional diseño construcción virtual</t>
        </is>
      </c>
      <c r="P260" s="52" t="inlineStr">
        <is>
          <t>sebastian.parra@aia.com.co</t>
        </is>
      </c>
    </row>
    <row r="261">
      <c r="A261" s="108" t="n"/>
      <c r="B261" s="39" t="n">
        <v>251</v>
      </c>
      <c r="C261" s="278" t="inlineStr">
        <is>
          <t>COTIZACION DEL ANÁLISIS DE SEGURIDAD HUMANA - PARQUEADERO</t>
        </is>
      </c>
      <c r="I261" s="39" t="inlineStr">
        <is>
          <t>CAG Constructores</t>
        </is>
      </c>
      <c r="J261" s="336" t="n">
        <v>6950000</v>
      </c>
      <c r="K261" s="112" t="n">
        <v>46169</v>
      </c>
      <c r="L261" s="39" t="n"/>
      <c r="M261" s="39" t="n">
        <v>3004717432</v>
      </c>
      <c r="N261" s="39" t="inlineStr">
        <is>
          <t>EDGAR ACUÑA SIMANCA</t>
        </is>
      </c>
      <c r="O261" s="39" t="n"/>
      <c r="P261" s="52" t="inlineStr">
        <is>
          <t>edgar.acuna@cagconstructores.com</t>
        </is>
      </c>
    </row>
    <row r="262">
      <c r="A262" s="108" t="n"/>
      <c r="B262" s="39" t="n">
        <v>252</v>
      </c>
      <c r="C262" s="278" t="inlineStr">
        <is>
          <t>COTIZACION DEL ANÁLISIS DE SEGURIDAD HUMANA - NU BANK</t>
        </is>
      </c>
      <c r="I262" s="39" t="inlineStr">
        <is>
          <t>STUDIOSUR</t>
        </is>
      </c>
      <c r="J262" s="336" t="n">
        <v>6950000</v>
      </c>
      <c r="K262" s="112" t="n">
        <v>46169</v>
      </c>
      <c r="L262" s="39" t="n"/>
      <c r="M262" s="39" t="n">
        <v>6012357612</v>
      </c>
      <c r="N262" s="39" t="inlineStr">
        <is>
          <t>Laura Arias Abad</t>
        </is>
      </c>
      <c r="O262" s="39" t="n"/>
      <c r="P262" s="52" t="inlineStr">
        <is>
          <t>laura.arias@studiosur.net</t>
        </is>
      </c>
    </row>
    <row r="263">
      <c r="A263" s="108" t="n"/>
      <c r="B263" s="39" t="n">
        <v>253</v>
      </c>
      <c r="C263" s="278" t="inlineStr">
        <is>
          <t>COTIZACIÓN CATEDRA DIPLOMA UTPC</t>
        </is>
      </c>
      <c r="I263" s="39" t="inlineStr">
        <is>
          <t>Seriinco</t>
        </is>
      </c>
      <c r="J263" s="336" t="n">
        <v>4590000</v>
      </c>
      <c r="K263" s="112" t="n">
        <v>46174</v>
      </c>
      <c r="L263" s="39" t="n"/>
      <c r="M263" s="39" t="n">
        <v>3116460496</v>
      </c>
      <c r="N263" s="39" t="inlineStr">
        <is>
          <t>Francisco Unda</t>
        </is>
      </c>
      <c r="O263" s="39" t="n"/>
      <c r="P263" s="52" t="inlineStr">
        <is>
          <t>francisco.unda@seriinco.com</t>
        </is>
      </c>
    </row>
    <row r="264">
      <c r="A264" s="108" t="n"/>
      <c r="B264" s="39" t="n">
        <v>254</v>
      </c>
      <c r="C264" s="278" t="inlineStr">
        <is>
          <t>COTIZACION DEL DISEÑO DE DETECCIÓN DE INCENDIOS - COMFAMA CIS FLORIDA</t>
        </is>
      </c>
      <c r="I264" s="39" t="inlineStr">
        <is>
          <t>Seriinco</t>
        </is>
      </c>
      <c r="J264" s="336" t="n">
        <v>4590000</v>
      </c>
      <c r="K264" s="112" t="n">
        <v>46174</v>
      </c>
      <c r="L264" s="39" t="n"/>
      <c r="M264" s="39" t="n">
        <v>3116460496</v>
      </c>
      <c r="N264" s="39" t="inlineStr">
        <is>
          <t>Francisco Unda</t>
        </is>
      </c>
      <c r="O264" s="39" t="n"/>
      <c r="P264" s="52" t="inlineStr">
        <is>
          <t>francisco.unda@seriinco.com</t>
        </is>
      </c>
    </row>
    <row r="265" ht="15" customHeight="1">
      <c r="A265" s="108" t="n"/>
      <c r="B265" s="39" t="n">
        <v>255</v>
      </c>
      <c r="C265" s="278" t="inlineStr">
        <is>
          <t>COTIZACION DEL DISEÑO DE DETECCIÓN DE INCENDIOS - COMFAMA PARQUE RIO GRANDE</t>
        </is>
      </c>
      <c r="I265" s="39" t="inlineStr">
        <is>
          <t>Seriinco</t>
        </is>
      </c>
      <c r="J265" s="336" t="inlineStr">
        <is>
          <t>No se cotizó</t>
        </is>
      </c>
      <c r="K265" s="112" t="n">
        <v>46174</v>
      </c>
      <c r="L265" s="39" t="n"/>
      <c r="M265" s="39" t="n">
        <v>3116460496</v>
      </c>
      <c r="N265" s="39" t="inlineStr">
        <is>
          <t>Francisco Unda</t>
        </is>
      </c>
      <c r="O265" s="39" t="n"/>
      <c r="P265" s="52" t="inlineStr">
        <is>
          <t>francisco.unda@seriinco.com</t>
        </is>
      </c>
      <c r="Q265" s="52" t="n"/>
    </row>
    <row r="266">
      <c r="A266" s="108" t="n"/>
      <c r="B266" s="39" t="n">
        <v>256</v>
      </c>
      <c r="C266" s="278" t="inlineStr">
        <is>
          <t>COTIZACION DE LOS DISEÑOS DE PROTECCIÓN CONTRA INCENDIOS - MONOPLAS</t>
        </is>
      </c>
      <c r="I266" s="39" t="inlineStr">
        <is>
          <t>Ingesed</t>
        </is>
      </c>
      <c r="J266" s="336" t="n">
        <v>23830000</v>
      </c>
      <c r="K266" s="112" t="n">
        <v>46174</v>
      </c>
      <c r="L266" s="39" t="n"/>
      <c r="M266" s="39" t="n">
        <v>3014201614</v>
      </c>
      <c r="N266" s="39" t="inlineStr">
        <is>
          <t>Jhon Anderson Rodriguez Nieto</t>
        </is>
      </c>
      <c r="O266" s="39" t="n"/>
      <c r="P266" s="52" t="inlineStr">
        <is>
          <t>jrodriguez@ingesed.com</t>
        </is>
      </c>
    </row>
    <row r="267" ht="15" customHeight="1">
      <c r="A267" s="108" t="n"/>
      <c r="B267" s="39" t="n">
        <v>257</v>
      </c>
      <c r="C267" s="278" t="inlineStr">
        <is>
          <t>COTIZACION DE LOS DISEÑOS DE PROTECCIÓN CONTRA INCENDIOS - ESPUMAS PLÁSTICAS</t>
        </is>
      </c>
      <c r="I267" s="39" t="inlineStr">
        <is>
          <t>Securetec</t>
        </is>
      </c>
      <c r="J267" s="336" t="n">
        <v>29950000</v>
      </c>
      <c r="K267" s="112" t="n">
        <v>46174</v>
      </c>
      <c r="L267" s="39" t="n"/>
      <c r="M267" s="39" t="n">
        <v>3206678830</v>
      </c>
      <c r="N267" s="39" t="inlineStr">
        <is>
          <t>Jhonny A Castro</t>
        </is>
      </c>
      <c r="O267" s="39" t="n"/>
      <c r="P267" s="52" t="inlineStr">
        <is>
          <t>dirproyectos@securetec.com.co</t>
        </is>
      </c>
    </row>
    <row r="268">
      <c r="A268" s="108" t="n"/>
      <c r="B268" s="39" t="n">
        <v>258</v>
      </c>
      <c r="C268" s="278" t="inlineStr">
        <is>
          <t>COTIZACION DE LOS DISEÑOS DE SEGURIDAD HUMANA Y PROTECCIÓN CONTRA INCENDIOS - FINCA CALABRIA</t>
        </is>
      </c>
      <c r="I268" s="39" t="inlineStr">
        <is>
          <t>Toro Santa Maria Arquitectos</t>
        </is>
      </c>
      <c r="J268" s="336" t="n"/>
      <c r="K268" s="112" t="n">
        <v>46174</v>
      </c>
      <c r="L268" s="39" t="n"/>
      <c r="M268" s="39" t="n">
        <v>3103725039</v>
      </c>
      <c r="N268" s="39" t="inlineStr">
        <is>
          <t>Manuela Gomez</t>
        </is>
      </c>
      <c r="O268" s="39" t="n"/>
      <c r="P268" s="52" t="inlineStr">
        <is>
          <t>Manuelagomez@torosantamariaarquitectos.com.co</t>
        </is>
      </c>
    </row>
    <row r="269">
      <c r="A269" s="108" t="n"/>
      <c r="B269" s="39" t="n">
        <v>259</v>
      </c>
      <c r="C269" s="278" t="inlineStr">
        <is>
          <t>COTIZACION DEL DISEÑO DE EXTINCIÓN DE INCENDIOS - CQ2</t>
        </is>
      </c>
      <c r="I269" s="39" t="inlineStr">
        <is>
          <t>Ingesed</t>
        </is>
      </c>
      <c r="J269" s="336" t="n">
        <v>10500000</v>
      </c>
      <c r="K269" s="112" t="n">
        <v>46174</v>
      </c>
      <c r="L269" s="39" t="n"/>
      <c r="M269" s="39" t="n">
        <v>3135401714</v>
      </c>
      <c r="N269" s="39" t="inlineStr">
        <is>
          <t>Eliana Isabel Cardona Ríos</t>
        </is>
      </c>
      <c r="O269" s="39" t="n"/>
      <c r="P269" s="52" t="inlineStr">
        <is>
          <t>comercial@ingesed.com</t>
        </is>
      </c>
    </row>
    <row r="270">
      <c r="A270" s="108" t="n"/>
      <c r="B270" s="39" t="n">
        <v>260</v>
      </c>
      <c r="C270" s="278" t="inlineStr">
        <is>
          <t>COTIZACION DE LOS DISEÑOS DE PROTECCIÓN CONTRA INCENDIOS - PORTON DEL HUECO</t>
        </is>
      </c>
      <c r="I270" s="128" t="inlineStr">
        <is>
          <t>Liliana Vergara B</t>
        </is>
      </c>
      <c r="J270" s="336" t="n">
        <v>19950000</v>
      </c>
      <c r="K270" s="112" t="n">
        <v>46176</v>
      </c>
      <c r="M270" s="6" t="n"/>
      <c r="N270" s="128" t="inlineStr">
        <is>
          <t>Liliana Vergara B</t>
        </is>
      </c>
      <c r="O270" s="39" t="n"/>
      <c r="P270" s="52" t="inlineStr">
        <is>
          <t>limavebe@hotmail.com</t>
        </is>
      </c>
    </row>
    <row r="271">
      <c r="A271" s="108" t="n"/>
      <c r="B271" s="39" t="n">
        <v>261</v>
      </c>
      <c r="C271" s="278" t="inlineStr">
        <is>
          <t>COTIZACION DE LOS DISEÑOS DE SEGURIDAD HUMANA Y PROTECCIÓN CONTRA INCENDIOS - DUE DILIGENCE CESVI TENJO</t>
        </is>
      </c>
      <c r="I271" s="39" t="inlineStr">
        <is>
          <t>JO Arquitectura</t>
        </is>
      </c>
      <c r="J271" s="336" t="n">
        <v>7950000</v>
      </c>
      <c r="K271" s="112" t="n">
        <v>46176</v>
      </c>
      <c r="L271" s="39" t="n"/>
      <c r="M271" s="39" t="n">
        <v>3175594091</v>
      </c>
      <c r="N271" s="39" t="inlineStr">
        <is>
          <t>Nakary García</t>
        </is>
      </c>
      <c r="O271" s="39" t="n"/>
      <c r="P271" s="52" t="inlineStr">
        <is>
          <t>joarq.ngarcia@gmail.com</t>
        </is>
      </c>
    </row>
    <row r="272">
      <c r="A272" s="108" t="n"/>
      <c r="B272" s="39" t="n">
        <v>262</v>
      </c>
      <c r="C272" s="278" t="inlineStr">
        <is>
          <t>COTIZACION DEL ANÁLISIS DE SEGURIDAD HUMANA - PRIMAVELA</t>
        </is>
      </c>
      <c r="I272" s="39" t="inlineStr">
        <is>
          <t>CASA</t>
        </is>
      </c>
      <c r="J272" s="336" t="n">
        <v>16950000</v>
      </c>
      <c r="K272" s="112" t="n">
        <v>46178</v>
      </c>
      <c r="L272" s="39" t="n"/>
      <c r="M272" s="39" t="n">
        <v>6042665050</v>
      </c>
      <c r="N272" s="39" t="inlineStr">
        <is>
          <t>Claudia María Gomez Davila</t>
        </is>
      </c>
      <c r="O272" s="39" t="inlineStr">
        <is>
          <t>Coordinadora de obra</t>
        </is>
      </c>
      <c r="P272" s="52" t="inlineStr">
        <is>
          <t>claudia.gomez@casa.com.co</t>
        </is>
      </c>
    </row>
    <row r="273">
      <c r="A273" s="108" t="n"/>
      <c r="B273" s="39" t="n">
        <v>263</v>
      </c>
      <c r="C273" s="278" t="inlineStr">
        <is>
          <t>COTIZACION DE LOS DISEÑOS DE SEGURIDAD HUMANA Y PROTECCIÓN CONTRA INCENDIOS - PALMAS</t>
        </is>
      </c>
      <c r="I273" s="39" t="inlineStr">
        <is>
          <t>Caishen</t>
        </is>
      </c>
      <c r="J273" s="336" t="n">
        <v>21450000</v>
      </c>
      <c r="K273" s="112" t="n">
        <v>46178</v>
      </c>
      <c r="L273" s="39" t="n"/>
      <c r="M273" s="39" t="n">
        <v>3137114113</v>
      </c>
      <c r="N273" s="39" t="inlineStr">
        <is>
          <t>Juan David Hidalgo Torres</t>
        </is>
      </c>
      <c r="O273" s="39" t="n"/>
      <c r="P273" s="52" t="n"/>
    </row>
    <row r="274">
      <c r="A274" s="108" t="n"/>
      <c r="B274" s="39" t="n">
        <v>264</v>
      </c>
      <c r="C274" s="278" t="inlineStr">
        <is>
          <t>COTIZACION DE LOS DISEÑOS DE SEGURIDAD HUMANA Y PROTECCIÓN CONTRA INCENDIOS - DISTRITO VIVARI</t>
        </is>
      </c>
      <c r="I274" s="39" t="inlineStr">
        <is>
          <t>Arquitectura y Concreto</t>
        </is>
      </c>
      <c r="J274" s="336" t="n">
        <v>39950000</v>
      </c>
      <c r="K274" s="112" t="n">
        <v>46178</v>
      </c>
      <c r="L274" s="39" t="n"/>
      <c r="M274" s="39" t="n">
        <v>3162439535</v>
      </c>
      <c r="N274" s="39" t="inlineStr">
        <is>
          <t>Sebastián Ochoa Gómez</t>
        </is>
      </c>
      <c r="O274" s="39" t="inlineStr">
        <is>
          <t>Coordinación Técnica</t>
        </is>
      </c>
      <c r="P274" s="52" t="inlineStr">
        <is>
          <t>sebastianochoa@arquitecturayconcreto.com</t>
        </is>
      </c>
    </row>
    <row r="275" ht="15" customHeight="1">
      <c r="A275" s="108" t="n"/>
      <c r="B275" s="39" t="n">
        <v>265</v>
      </c>
      <c r="C275" s="278" t="inlineStr">
        <is>
          <t>COTIZACION DEL DISEÑO DE DETECCIÓN DE INCENDIOS - BODEGA LA 49</t>
        </is>
      </c>
      <c r="I275" s="39" t="inlineStr">
        <is>
          <t>VAIN S.A.S.</t>
        </is>
      </c>
      <c r="J275" s="336" t="n">
        <v>2000000</v>
      </c>
      <c r="K275" s="112" t="n">
        <v>46178</v>
      </c>
      <c r="L275" s="39" t="n"/>
      <c r="M275" s="39" t="n">
        <v>3235293577</v>
      </c>
      <c r="N275" s="39" t="inlineStr">
        <is>
          <t>Juan Guillermo Rave</t>
        </is>
      </c>
      <c r="O275" s="39" t="n"/>
      <c r="P275" s="52" t="inlineStr">
        <is>
          <t>GESTIONHUMANA@VAIN.COM.CO</t>
        </is>
      </c>
    </row>
    <row r="276">
      <c r="A276" s="108" t="n"/>
      <c r="B276" s="39" t="n">
        <v>266</v>
      </c>
      <c r="C276" s="278" t="inlineStr">
        <is>
          <t>COTIZACION DEL DISEÑO DE DETECCIÓN DE INCENDIOS - CASA D</t>
        </is>
      </c>
      <c r="I276" s="39" t="inlineStr">
        <is>
          <t>Ejezeta</t>
        </is>
      </c>
      <c r="J276" s="336" t="n">
        <v>1950000</v>
      </c>
      <c r="K276" s="112" t="n">
        <v>46178</v>
      </c>
      <c r="L276" s="39" t="n"/>
      <c r="M276" s="39" t="n">
        <v>3176461961</v>
      </c>
      <c r="N276" s="39" t="inlineStr">
        <is>
          <t>Jorge Escobar</t>
        </is>
      </c>
      <c r="O276" s="39" t="n"/>
      <c r="P276" s="52" t="n"/>
    </row>
    <row r="277">
      <c r="A277" s="108" t="n"/>
      <c r="B277" s="39" t="n">
        <v>267</v>
      </c>
      <c r="C277" s="278" t="inlineStr">
        <is>
          <t>COTIZACION DEL DISEÑO DE EXTINCIÓN DE INCENDIOS - THE COLUMBUS SCHOOL PLAN MAESTRO</t>
        </is>
      </c>
      <c r="I277" s="39" t="inlineStr">
        <is>
          <t>THE COLUMBUS SCHOOL</t>
        </is>
      </c>
      <c r="J277" s="336" t="n">
        <v>19950000</v>
      </c>
      <c r="K277" s="112" t="n">
        <v>46182</v>
      </c>
      <c r="L277" s="39" t="n"/>
      <c r="M277" s="39" t="n"/>
      <c r="N277" s="39" t="inlineStr">
        <is>
          <t>Paula Duque Botero</t>
        </is>
      </c>
      <c r="O277" s="39" t="n"/>
      <c r="P277" s="52" t="inlineStr">
        <is>
          <t>pduque@columbus.edu.co</t>
        </is>
      </c>
    </row>
    <row r="278">
      <c r="A278" s="108" t="n"/>
      <c r="B278" s="39" t="n">
        <v>268</v>
      </c>
      <c r="C278" s="278" t="inlineStr">
        <is>
          <t>COTIZACION DEL DISEÑO DE EXTINCIÓN DE INCENDIOS - THE COLUMBUS SCHOOL BOMBA Y TANQUE</t>
        </is>
      </c>
      <c r="I278" s="39" t="inlineStr">
        <is>
          <t>THE COLUMBUS SCHOOL</t>
        </is>
      </c>
      <c r="J278" s="336" t="n">
        <v>6950000</v>
      </c>
      <c r="K278" s="112" t="n">
        <v>46182</v>
      </c>
      <c r="L278" s="39" t="n"/>
      <c r="M278" s="39" t="n"/>
      <c r="N278" s="39" t="inlineStr">
        <is>
          <t>Paula Duque Botero</t>
        </is>
      </c>
      <c r="O278" s="39" t="n"/>
      <c r="P278" s="52" t="inlineStr">
        <is>
          <t>pduque@columbus.edu.co</t>
        </is>
      </c>
    </row>
    <row r="279">
      <c r="A279" s="108" t="n"/>
      <c r="B279" s="39" t="n">
        <v>269</v>
      </c>
      <c r="C279" s="278" t="inlineStr">
        <is>
          <t>COTIZACION DE LOS DISEÑOS DE SEGURIDAD HUMANA Y PROTECCIÓN CONTRA INCENDIOS - PARQUE INDUSTRIAL</t>
        </is>
      </c>
      <c r="I279" s="39" t="inlineStr">
        <is>
          <t>C4 Logistica</t>
        </is>
      </c>
      <c r="J279" s="336" t="n">
        <v>39950000</v>
      </c>
      <c r="K279" s="112" t="n">
        <v>46182</v>
      </c>
      <c r="L279" s="39" t="n"/>
      <c r="M279" s="39" t="n">
        <v>3007377368</v>
      </c>
      <c r="N279" s="39" t="inlineStr">
        <is>
          <t>Yuri Cristina Zuluaga</t>
        </is>
      </c>
      <c r="O279" s="39" t="inlineStr">
        <is>
          <t>Gerencia</t>
        </is>
      </c>
      <c r="P279" s="52" t="inlineStr">
        <is>
          <t>gerencia@c4logistica.com</t>
        </is>
      </c>
    </row>
    <row r="280">
      <c r="A280" s="108" t="n"/>
      <c r="B280" s="39" t="n">
        <v>270</v>
      </c>
      <c r="C280" s="278" t="inlineStr">
        <is>
          <t>COTIZACION DE LOS DISEÑOS DE PROTECCIÓN CONTRA INCENDIOS - MEGACENTER</t>
        </is>
      </c>
      <c r="I280" s="39" t="inlineStr">
        <is>
          <t>SPCI</t>
        </is>
      </c>
      <c r="J280" s="336" t="n">
        <v>24850000</v>
      </c>
      <c r="K280" s="112" t="n">
        <v>46182</v>
      </c>
      <c r="L280" s="39" t="n"/>
      <c r="M280" s="39" t="n"/>
      <c r="N280" s="39" t="inlineStr">
        <is>
          <t>Juan Pablo Grajales</t>
        </is>
      </c>
      <c r="O280" s="39" t="inlineStr">
        <is>
          <t xml:space="preserve">Gerente Innovación y Desarrollo </t>
        </is>
      </c>
      <c r="P280" s="52" t="inlineStr">
        <is>
          <t>juan.grajales@spci.com.co</t>
        </is>
      </c>
    </row>
    <row r="281">
      <c r="A281" s="108" t="n"/>
      <c r="B281" s="39" t="n">
        <v>271</v>
      </c>
      <c r="C281" s="278" t="inlineStr">
        <is>
          <t>COTIZACION DEL REDISEÑO ANÁLISIS DE SEGURIDAD HUMANA - MIRADOR DE LA SABANA</t>
        </is>
      </c>
      <c r="I281" s="39" t="inlineStr">
        <is>
          <t>OTACC</t>
        </is>
      </c>
      <c r="J281" s="336" t="n"/>
      <c r="K281" s="112" t="n">
        <v>46182</v>
      </c>
      <c r="L281" s="39" t="n"/>
      <c r="M281" s="39" t="n">
        <v>3202207622</v>
      </c>
      <c r="N281" s="39" t="inlineStr">
        <is>
          <t>Jose Luis Perez</t>
        </is>
      </c>
      <c r="O281" s="39" t="n"/>
      <c r="P281" s="52" t="inlineStr">
        <is>
          <t>jlperez@otacc.com</t>
        </is>
      </c>
    </row>
    <row r="282">
      <c r="A282" s="108" t="n"/>
      <c r="B282" s="39" t="n">
        <v>272</v>
      </c>
      <c r="C282" s="278" t="inlineStr">
        <is>
          <t>COTIZACION DEL DISEÑO DE EXTINCIÓN DE INCENDIOS - CUR PLANTA NIVEL 7</t>
        </is>
      </c>
      <c r="I282" s="39" t="inlineStr">
        <is>
          <t>SPCI</t>
        </is>
      </c>
      <c r="J282" s="336" t="n">
        <v>2950000</v>
      </c>
      <c r="K282" s="112" t="n">
        <v>46182</v>
      </c>
      <c r="L282" s="39" t="n"/>
      <c r="M282" s="39" t="n">
        <v>3137546144</v>
      </c>
      <c r="N282" s="39" t="inlineStr">
        <is>
          <t xml:space="preserve">Juan Camilo Quintero Bedoya </t>
        </is>
      </c>
      <c r="O282" s="39" t="inlineStr">
        <is>
          <t>Director de Mantenimiento</t>
        </is>
      </c>
      <c r="P282" s="52" t="inlineStr">
        <is>
          <t>camilo.quintero@spci.com.co</t>
        </is>
      </c>
    </row>
    <row r="283">
      <c r="A283" s="108" t="n"/>
      <c r="B283" s="39" t="n">
        <v>273</v>
      </c>
      <c r="C283" s="278" t="inlineStr">
        <is>
          <t>COTIZACION DEL ANÁLISIS DE SEGURIDAD HUMANA - STAND HOME</t>
        </is>
      </c>
      <c r="I283" s="39" t="inlineStr">
        <is>
          <t>Fundación ACIC</t>
        </is>
      </c>
      <c r="J283" s="336" t="n">
        <v>3500000</v>
      </c>
      <c r="K283" s="112" t="n">
        <v>46185</v>
      </c>
      <c r="L283" s="39" t="n"/>
      <c r="M283" s="39" t="n">
        <v>3155633340</v>
      </c>
      <c r="N283" s="39" t="inlineStr">
        <is>
          <t>Olga Beatriz Abad</t>
        </is>
      </c>
      <c r="O283" s="39" t="inlineStr">
        <is>
          <t>Directora</t>
        </is>
      </c>
      <c r="P283" s="52" t="inlineStr">
        <is>
          <t>oabad@fundacionacic.org</t>
        </is>
      </c>
    </row>
    <row r="284">
      <c r="A284" s="108" t="n"/>
      <c r="B284" s="39" t="n">
        <v>274</v>
      </c>
      <c r="C284" s="278" t="inlineStr">
        <is>
          <t>COTIZACION DEL ANÁLISIS DE SEGURIDAD HUMANA - SEDES ADMNISTRACIÓN JUDICIAL MEDELLIN</t>
        </is>
      </c>
      <c r="I284" s="39" t="inlineStr">
        <is>
          <t>Rama Judicial</t>
        </is>
      </c>
      <c r="J284" s="336" t="n">
        <v>146400000</v>
      </c>
      <c r="K284" s="112" t="n">
        <v>46185</v>
      </c>
      <c r="L284" s="39" t="n"/>
      <c r="M284" s="39" t="n"/>
      <c r="N284" s="39" t="inlineStr">
        <is>
          <t>Ivonne Molino</t>
        </is>
      </c>
      <c r="O284" s="39" t="n"/>
      <c r="P284" s="52" t="inlineStr">
        <is>
          <t>apoyoinframed@cendoj.ramajudicial.gov.co</t>
        </is>
      </c>
    </row>
    <row r="285">
      <c r="A285" s="108" t="n"/>
      <c r="B285" s="39" t="n">
        <v>275</v>
      </c>
      <c r="C285" s="278" t="inlineStr">
        <is>
          <t>COTIZACION DEL REDISEÑO DE EXTINCIÓN DE INCENDIOS - MAZDA</t>
        </is>
      </c>
      <c r="I285" s="39" t="inlineStr">
        <is>
          <t>Ingesed</t>
        </is>
      </c>
      <c r="J285" s="336" t="n"/>
      <c r="K285" s="112" t="n">
        <v>46190</v>
      </c>
      <c r="L285" s="39" t="n"/>
      <c r="M285" s="39" t="inlineStr">
        <is>
          <t>321 8338189</t>
        </is>
      </c>
      <c r="N285" s="39" t="inlineStr">
        <is>
          <t>Laura Delgado</t>
        </is>
      </c>
      <c r="O285" s="39" t="n"/>
      <c r="P285" s="52" t="inlineStr">
        <is>
          <t>operacionesingesed@gmail.com</t>
        </is>
      </c>
    </row>
    <row r="286" ht="15" customHeight="1">
      <c r="A286" s="108" t="n"/>
      <c r="B286" s="39" t="n">
        <v>276</v>
      </c>
      <c r="C286" s="278" t="inlineStr">
        <is>
          <t>COTIZACION DE LOS DISEÑOS DE SEGURIDAD HUMANA Y PROTECCIÓN CONTRA INCENDIOS - UNIVERSIDAD EAFIT</t>
        </is>
      </c>
      <c r="I286" s="39" t="inlineStr">
        <is>
          <t>Universidad EAFIT</t>
        </is>
      </c>
      <c r="J286" s="336" t="n"/>
      <c r="K286" s="112" t="n">
        <v>46190</v>
      </c>
      <c r="L286" s="39" t="n"/>
      <c r="M286" s="39" t="inlineStr">
        <is>
          <t>604 2619500</t>
        </is>
      </c>
      <c r="N286" s="39" t="inlineStr">
        <is>
          <t>Daniela Luna Durango</t>
        </is>
      </c>
      <c r="O286" s="39" t="n"/>
      <c r="P286" s="52" t="inlineStr">
        <is>
          <t>dlunad@eafit.edu.co</t>
        </is>
      </c>
    </row>
    <row r="287" ht="15" customHeight="1">
      <c r="A287" s="108" t="n"/>
      <c r="B287" s="39" t="n">
        <v>277</v>
      </c>
      <c r="C287" s="278" t="inlineStr">
        <is>
          <t>COTIZACION DE LOS DISEÑOS DE PROTECCIÓN CONTRA INCENDIOS - BODEGA #1</t>
        </is>
      </c>
      <c r="I287" s="39" t="inlineStr">
        <is>
          <t>Seriinco</t>
        </is>
      </c>
      <c r="J287" s="336" t="n">
        <v>19990000</v>
      </c>
      <c r="K287" s="112" t="n">
        <v>46190</v>
      </c>
      <c r="L287" s="39" t="n"/>
      <c r="M287" s="39" t="n">
        <v>3245777917</v>
      </c>
      <c r="N287" s="39" t="inlineStr">
        <is>
          <t>Santiago Tamayo</t>
        </is>
      </c>
      <c r="O287" s="39" t="inlineStr">
        <is>
          <t>KAM Regional</t>
        </is>
      </c>
      <c r="P287" s="52" t="inlineStr">
        <is>
          <t>santiago.tamayo@seriinco.com</t>
        </is>
      </c>
    </row>
    <row r="288" ht="15" customHeight="1">
      <c r="A288" s="108" t="n"/>
      <c r="B288" s="39" t="n">
        <v>278</v>
      </c>
      <c r="C288" s="278" t="inlineStr">
        <is>
          <t>COTIZACION DEL DISEÑO DE EXTINCIÓN DE INCENDIOS - BODEGA #15</t>
        </is>
      </c>
      <c r="I288" s="39" t="inlineStr">
        <is>
          <t>Seriinco</t>
        </is>
      </c>
      <c r="J288" s="336" t="n">
        <v>13800000</v>
      </c>
      <c r="K288" s="112" t="n">
        <v>46190</v>
      </c>
      <c r="L288" s="39" t="n"/>
      <c r="M288" s="39" t="n">
        <v>3245777917</v>
      </c>
      <c r="N288" s="39" t="inlineStr">
        <is>
          <t>Santiago Tamayo</t>
        </is>
      </c>
      <c r="O288" s="39" t="inlineStr">
        <is>
          <t>KAM Regional</t>
        </is>
      </c>
      <c r="P288" s="52" t="inlineStr">
        <is>
          <t>santiago.tamayo@seriinco.com</t>
        </is>
      </c>
    </row>
    <row r="289" ht="15" customHeight="1">
      <c r="A289" s="108" t="n"/>
      <c r="B289" s="39" t="n">
        <v>279</v>
      </c>
      <c r="C289" s="278" t="inlineStr">
        <is>
          <t>COTIZACION DE LOS DISEÑOS DE PROTECCIÓN CONTRA INCENDIOS - EDIFICIO LA CEJA</t>
        </is>
      </c>
      <c r="I289" s="39" t="inlineStr">
        <is>
          <t>AFC Profire</t>
        </is>
      </c>
      <c r="J289" s="336" t="n">
        <v>6300000</v>
      </c>
      <c r="K289" s="112" t="n">
        <v>46190</v>
      </c>
      <c r="L289" s="39" t="n"/>
      <c r="M289" s="39" t="n">
        <v>3116456726</v>
      </c>
      <c r="N289" s="39" t="inlineStr">
        <is>
          <t xml:space="preserve"> Andrés Felipe Cruz Restrepo</t>
        </is>
      </c>
      <c r="O289" s="39" t="inlineStr">
        <is>
          <t>Director comercial</t>
        </is>
      </c>
      <c r="P289" s="52" t="inlineStr">
        <is>
          <t>andres.cruz@afcprofire.com</t>
        </is>
      </c>
    </row>
    <row r="290" ht="15" customHeight="1">
      <c r="A290" s="108" t="n"/>
      <c r="B290" s="39" t="n">
        <v>280</v>
      </c>
      <c r="C290" s="278" t="inlineStr">
        <is>
          <t>COTIZACION DEL DISEÑO DE EXTINCIÓN DE INCENDIOS - SAN JUAN DEL CESAR</t>
        </is>
      </c>
      <c r="I290" s="39" t="inlineStr">
        <is>
          <t>Fire &amp; Equipos</t>
        </is>
      </c>
      <c r="J290" s="336" t="n">
        <v>8750000</v>
      </c>
      <c r="K290" s="112" t="n">
        <v>46190</v>
      </c>
      <c r="L290" s="39" t="n"/>
      <c r="M290" s="39" t="n">
        <v>3134451063</v>
      </c>
      <c r="N290" s="39" t="inlineStr">
        <is>
          <t>Juan José Monsalve</t>
        </is>
      </c>
      <c r="O290" s="39" t="inlineStr">
        <is>
          <t>Director comercial y de proyectos</t>
        </is>
      </c>
      <c r="P290" s="52" t="inlineStr">
        <is>
          <t>Directorcomercial@fireyequipos.com</t>
        </is>
      </c>
    </row>
    <row r="291">
      <c r="A291" s="108" t="n"/>
      <c r="B291" s="39" t="n">
        <v>281</v>
      </c>
      <c r="C291" s="278" t="inlineStr">
        <is>
          <t>COTIZACION DEL DISEÑO DE EXTINCIÓN DE INCENDIOS - BARRANQUILLA</t>
        </is>
      </c>
      <c r="I291" s="39" t="inlineStr">
        <is>
          <t>Fire &amp; Equipos</t>
        </is>
      </c>
      <c r="J291" s="336" t="n">
        <v>24950000</v>
      </c>
      <c r="K291" s="112" t="n">
        <v>46190</v>
      </c>
      <c r="L291" s="39" t="n"/>
      <c r="M291" s="39" t="n">
        <v>3134451063</v>
      </c>
      <c r="N291" s="39" t="inlineStr">
        <is>
          <t>Juan José Monsalve</t>
        </is>
      </c>
      <c r="O291" s="39" t="inlineStr">
        <is>
          <t>Director comercial y de proyectos</t>
        </is>
      </c>
      <c r="P291" s="52" t="inlineStr">
        <is>
          <t>Directorcomercial@fireyequipos.com</t>
        </is>
      </c>
    </row>
    <row r="292">
      <c r="A292" s="108" t="n"/>
      <c r="B292" s="39" t="n">
        <v>282</v>
      </c>
      <c r="C292" s="278" t="inlineStr">
        <is>
          <t>COTIZACION DE LOS DISEÑOS DE PROTECCIÓN CONTRA INCENDIOS - FERRO</t>
        </is>
      </c>
      <c r="I292" s="39" t="inlineStr">
        <is>
          <t>Estructurar</t>
        </is>
      </c>
      <c r="J292" s="336" t="n">
        <v>26300000</v>
      </c>
      <c r="K292" s="112" t="n">
        <v>46190</v>
      </c>
      <c r="L292" s="39" t="n"/>
      <c r="M292" s="39" t="n">
        <v>3007839601</v>
      </c>
      <c r="N292" s="39" t="inlineStr">
        <is>
          <t>José Álvarez Valencia</t>
        </is>
      </c>
      <c r="O292" s="39" t="n"/>
      <c r="P292" s="52" t="inlineStr">
        <is>
          <t>josealvarez@estructurar.co</t>
        </is>
      </c>
    </row>
    <row r="293">
      <c r="A293" s="108" t="n"/>
      <c r="B293" s="39" t="n">
        <v>283</v>
      </c>
      <c r="C293" s="278" t="inlineStr">
        <is>
          <t>COTIZACION DEL ANÁLISIS DE SEGURIDAD HUMANA - CORFERIAS</t>
        </is>
      </c>
      <c r="I293" s="39" t="inlineStr">
        <is>
          <t>Conconcreto</t>
        </is>
      </c>
      <c r="J293" s="336" t="n">
        <v>89000000</v>
      </c>
      <c r="K293" s="112" t="n">
        <v>46190</v>
      </c>
      <c r="L293" s="39" t="n"/>
      <c r="M293" s="39" t="n">
        <v>3206194853</v>
      </c>
      <c r="N293" s="39" t="inlineStr">
        <is>
          <t>Laura Sofia Foronda Vasquez</t>
        </is>
      </c>
      <c r="O293" s="39" t="inlineStr">
        <is>
          <t>Auxiliar administrativa ofertas y presupuestos</t>
        </is>
      </c>
      <c r="P293" s="52" t="inlineStr">
        <is>
          <t>lforondav@conconcreto.com</t>
        </is>
      </c>
    </row>
    <row r="294">
      <c r="A294" s="108" t="n"/>
      <c r="B294" s="39" t="n">
        <v>284</v>
      </c>
      <c r="C294" s="278" t="inlineStr">
        <is>
          <t>COTIZACION DE LOS DISEÑOS DE SEGURIDAD HUMANA Y PROTECCIÓN CONTRA INCENDIOS - EL PEÑOL</t>
        </is>
      </c>
      <c r="I294" s="39" t="inlineStr">
        <is>
          <t>Asociación torres de la transfiguración</t>
        </is>
      </c>
      <c r="J294" s="336" t="n"/>
      <c r="K294" s="112" t="n">
        <v>46190</v>
      </c>
      <c r="L294" s="39" t="n"/>
      <c r="M294" s="39" t="n"/>
      <c r="N294" s="39" t="inlineStr">
        <is>
          <t>Juan Carlos giraldo ramirez</t>
        </is>
      </c>
      <c r="O294" s="39" t="inlineStr">
        <is>
          <t>Representante legal</t>
        </is>
      </c>
      <c r="P294" s="52" t="inlineStr">
        <is>
          <t>Giraldojuancarlos143@gmail.com</t>
        </is>
      </c>
    </row>
    <row r="295">
      <c r="A295" s="108" t="n"/>
      <c r="B295" s="39" t="n">
        <v>285</v>
      </c>
      <c r="C295" s="278" t="inlineStr">
        <is>
          <t>COTIZACION DE LOS DISEÑOS DE SEGURIDAD HUMANA Y PROTECCIÓN CONTRA INCENDIOS - INK</t>
        </is>
      </c>
      <c r="I295" s="39" t="inlineStr">
        <is>
          <t>Estructurar</t>
        </is>
      </c>
      <c r="J295" s="336" t="n">
        <v>29950000</v>
      </c>
      <c r="K295" s="112" t="n">
        <v>46192</v>
      </c>
      <c r="L295" s="39" t="n"/>
      <c r="M295" s="39" t="n">
        <v>3136112279</v>
      </c>
      <c r="N295" s="39" t="inlineStr">
        <is>
          <t>Edison Alejandro Pulgarin</t>
        </is>
      </c>
      <c r="O295" s="39" t="n"/>
      <c r="P295" s="52" t="inlineStr">
        <is>
          <t>coordinadordisenos@estructurar.co</t>
        </is>
      </c>
    </row>
    <row r="296" ht="15" customHeight="1">
      <c r="A296" s="108" t="n"/>
      <c r="B296" s="39" t="n">
        <v>286</v>
      </c>
      <c r="C296" s="278" t="inlineStr">
        <is>
          <t xml:space="preserve">COTIZACION DE LOS DISEÑOS DE SEGURIDAD HUMANA Y PROTECCIÓN CONTRA INCENDIOS - COLONIA T2    </t>
        </is>
      </c>
      <c r="I296" s="39" t="inlineStr">
        <is>
          <t>FCR</t>
        </is>
      </c>
      <c r="J296" s="336" t="n">
        <v>13540000</v>
      </c>
      <c r="K296" s="112" t="n">
        <v>46195</v>
      </c>
      <c r="L296" s="39" t="n"/>
      <c r="M296" s="39" t="inlineStr">
        <is>
          <t>310 5304562</t>
        </is>
      </c>
      <c r="N296" s="39" t="inlineStr">
        <is>
          <t xml:space="preserve">Vanessa Zapata </t>
        </is>
      </c>
      <c r="O296" s="39" t="n"/>
      <c r="P296" s="52" t="inlineStr">
        <is>
          <t>vanessazapata.fcr@gmail.com</t>
        </is>
      </c>
    </row>
    <row r="297">
      <c r="A297" s="108" t="n"/>
      <c r="B297" s="39" t="n">
        <v>287</v>
      </c>
      <c r="C297" s="278" t="inlineStr">
        <is>
          <t xml:space="preserve">COTIZACION DE LOS DISEÑOS DE SEGURIDAD HUMANA Y PROTECCIÓN CONTRA INCENDIOS - GAIA </t>
        </is>
      </c>
      <c r="I297" s="39" t="inlineStr">
        <is>
          <t>FCR</t>
        </is>
      </c>
      <c r="J297" s="336" t="n">
        <v>44450000</v>
      </c>
      <c r="K297" s="112" t="n">
        <v>46195</v>
      </c>
      <c r="L297" s="39" t="n"/>
      <c r="M297" s="39" t="inlineStr">
        <is>
          <t>311 3304231</t>
        </is>
      </c>
      <c r="N297" s="39" t="inlineStr">
        <is>
          <t>Daniela Vélez</t>
        </is>
      </c>
      <c r="O297" s="39" t="n"/>
      <c r="P297" s="116" t="inlineStr">
        <is>
          <t>danielavelez.fcr@gmail.com</t>
        </is>
      </c>
    </row>
    <row r="298">
      <c r="A298" s="108" t="n"/>
      <c r="B298" s="39" t="n">
        <v>288</v>
      </c>
      <c r="C298" s="278" t="inlineStr">
        <is>
          <t>COTIZACION DE LOS DISEÑOS DE SEGURIDAD HUMANA Y PROTECCIÓN CONTRA INCENDIOS - ESENCIA LIVING</t>
        </is>
      </c>
      <c r="I298" s="39" t="inlineStr">
        <is>
          <t>Ingenium</t>
        </is>
      </c>
      <c r="J298" s="336" t="n"/>
      <c r="K298" s="112" t="n">
        <v>46195</v>
      </c>
      <c r="L298" s="39" t="n"/>
      <c r="M298" s="39" t="n">
        <v>3014546806</v>
      </c>
      <c r="N298" s="39" t="inlineStr">
        <is>
          <t>Luisa Restrepo</t>
        </is>
      </c>
      <c r="O298" s="39" t="n"/>
      <c r="P298" s="52" t="inlineStr">
        <is>
          <t>gerencia@grupoingenium.co</t>
        </is>
      </c>
    </row>
    <row r="299">
      <c r="A299" s="108" t="n"/>
      <c r="B299" s="39" t="n">
        <v>289</v>
      </c>
      <c r="C299" s="278" t="inlineStr">
        <is>
          <t>COTIZACION DE LOS DISEÑOS DE SEGURIDAD HUMANA Y PROTECCIÓN CONTRA INCENDIOS - CUBO TELEANTIOQUIA</t>
        </is>
      </c>
      <c r="I299" s="39" t="inlineStr">
        <is>
          <t>Santiago Rojas</t>
        </is>
      </c>
      <c r="J299" s="336" t="n">
        <v>29980000</v>
      </c>
      <c r="K299" s="112" t="n">
        <v>46196</v>
      </c>
      <c r="L299" s="39" t="n"/>
      <c r="M299" s="39" t="n">
        <v>3017782882</v>
      </c>
      <c r="N299" s="39" t="inlineStr">
        <is>
          <t>María Camila Arango</t>
        </is>
      </c>
      <c r="O299" s="39" t="n"/>
      <c r="P299" s="52" t="inlineStr">
        <is>
          <t>sraic.asistente@gmail.com</t>
        </is>
      </c>
    </row>
    <row r="300">
      <c r="A300" s="108" t="n"/>
      <c r="B300" s="39" t="n">
        <v>290</v>
      </c>
      <c r="C300" s="278" t="inlineStr">
        <is>
          <t>COTIZACION DEL ANÁLISIS DE SEGURIDAD HUMANA - PERLA NOVA</t>
        </is>
      </c>
      <c r="I300" s="39" t="inlineStr">
        <is>
          <t>Nucleo constructora</t>
        </is>
      </c>
      <c r="J300" s="336" t="n"/>
      <c r="K300" s="112" t="n">
        <v>46196</v>
      </c>
      <c r="L300" s="39" t="n"/>
      <c r="M300" s="170" t="inlineStr">
        <is>
          <t>3243333 ext 105</t>
        </is>
      </c>
      <c r="N300" s="39" t="inlineStr">
        <is>
          <t>Isabel Cristina Zuluaga</t>
        </is>
      </c>
      <c r="O300" s="39" t="n"/>
      <c r="P300" s="52" t="inlineStr">
        <is>
          <t>i.zuluaga@nucleoconstructora.com</t>
        </is>
      </c>
    </row>
    <row r="301">
      <c r="A301" s="108" t="n"/>
      <c r="B301" s="39" t="n">
        <v>291</v>
      </c>
      <c r="C301" s="278" t="inlineStr">
        <is>
          <t>COTIZACION DE LOS DISEÑOS DE SEGURIDAD HUMANA Y PROTECCIÓN CONTRA INCENDIOS - CUBO TELEANTIOQUIA</t>
        </is>
      </c>
      <c r="I301" s="39" t="inlineStr">
        <is>
          <t>Studio Sur</t>
        </is>
      </c>
      <c r="J301" s="336" t="n">
        <v>29980000</v>
      </c>
      <c r="K301" s="112" t="n">
        <v>46198</v>
      </c>
      <c r="L301" s="39" t="n"/>
      <c r="M301" s="39" t="n">
        <v>6012357612</v>
      </c>
      <c r="N301" s="39" t="inlineStr">
        <is>
          <t>Laura Arias Abad</t>
        </is>
      </c>
      <c r="O301" s="39" t="n"/>
      <c r="P301" s="52" t="inlineStr">
        <is>
          <t>laura.arias@studiosur.net</t>
        </is>
      </c>
    </row>
    <row r="302">
      <c r="A302" s="108" t="n"/>
      <c r="B302" s="39" t="n">
        <v>292</v>
      </c>
      <c r="C302" s="278" t="inlineStr">
        <is>
          <t>COTIZACION DEL DISEÑO DE DETECCIÓN DE INCENDIOS - PISO 3 ALURACK</t>
        </is>
      </c>
      <c r="I302" s="39" t="inlineStr">
        <is>
          <t>Fire &amp; Equipos</t>
        </is>
      </c>
      <c r="J302" s="336" t="n">
        <v>1950000</v>
      </c>
      <c r="K302" s="112" t="n">
        <v>46198</v>
      </c>
      <c r="L302" s="39" t="n"/>
      <c r="M302" s="39" t="n">
        <v>3134451063</v>
      </c>
      <c r="N302" s="39" t="inlineStr">
        <is>
          <t>Juan José Monsalve</t>
        </is>
      </c>
      <c r="O302" s="39" t="inlineStr">
        <is>
          <t>Director comercial y de proyectos</t>
        </is>
      </c>
      <c r="P302" s="52" t="inlineStr">
        <is>
          <t>Directorcomercial@fireyequipos.com</t>
        </is>
      </c>
    </row>
    <row r="303">
      <c r="A303" s="108" t="n"/>
      <c r="B303" s="39" t="n">
        <v>293</v>
      </c>
      <c r="C303" s="278" t="inlineStr">
        <is>
          <t>COTIZACION DE LOS DISEÑOS DE SEGURIDAD HUMANA Y PROTECCIÓN CONTRA INCENDIOS - EDIFICIO 2</t>
        </is>
      </c>
      <c r="I303" s="39" t="inlineStr">
        <is>
          <t>Planta Copacabana GEA</t>
        </is>
      </c>
      <c r="J303" s="336" t="n"/>
      <c r="K303" s="112" t="n">
        <v>46199</v>
      </c>
      <c r="L303" s="39" t="n"/>
      <c r="M303" s="39" t="n"/>
      <c r="N303" s="39" t="inlineStr">
        <is>
          <t>Milton C. Gutierrez Soto</t>
        </is>
      </c>
      <c r="O303" s="39" t="inlineStr">
        <is>
          <t>General Contractor</t>
        </is>
      </c>
      <c r="P303" s="52" t="inlineStr">
        <is>
          <t>plantacopagea@gmail.com</t>
        </is>
      </c>
    </row>
    <row r="304">
      <c r="A304" s="108" t="n"/>
      <c r="B304" s="39" t="n">
        <v>294</v>
      </c>
      <c r="C304" s="278" t="inlineStr">
        <is>
          <t>COTIZACION DEL ANÁLISIS DE SEGURIDAD HUMANA - BODEGA BARRANQUILLA</t>
        </is>
      </c>
      <c r="I304" s="39" t="inlineStr">
        <is>
          <t>Conconcreto</t>
        </is>
      </c>
      <c r="J304" s="336" t="n">
        <v>10990000</v>
      </c>
      <c r="K304" s="112" t="n">
        <v>46199</v>
      </c>
      <c r="L304" s="39" t="n"/>
      <c r="M304" s="39" t="n">
        <v>3003675022</v>
      </c>
      <c r="N304" s="39" t="inlineStr">
        <is>
          <t>Andres Restrepo Escobar</t>
        </is>
      </c>
      <c r="O304" s="39" t="inlineStr">
        <is>
          <t>Coordinador de Diseño de Arquitectura</t>
        </is>
      </c>
      <c r="P304" s="52" t="inlineStr">
        <is>
          <t>arestrepoe@conconcreto.com</t>
        </is>
      </c>
    </row>
    <row r="305">
      <c r="A305" s="108" t="n"/>
      <c r="B305" s="39" t="n">
        <v>295</v>
      </c>
      <c r="C305" s="278" t="inlineStr">
        <is>
          <t>COTIZACION DEL ANÁLISIS DE SEGURIDAD HUMANA - BODEGA BARRANQUILLA ILUNION</t>
        </is>
      </c>
      <c r="I305" s="39" t="inlineStr">
        <is>
          <t>Conconcreto</t>
        </is>
      </c>
      <c r="J305" s="336" t="n">
        <v>11990000</v>
      </c>
      <c r="K305" s="112" t="n">
        <v>46199</v>
      </c>
      <c r="L305" s="39" t="n"/>
      <c r="M305" s="39" t="n">
        <v>3003675022</v>
      </c>
      <c r="N305" s="39" t="inlineStr">
        <is>
          <t>Andres Restrepo Escobar</t>
        </is>
      </c>
      <c r="O305" s="39" t="inlineStr">
        <is>
          <t>Coordinador de Diseño de Arquitectura</t>
        </is>
      </c>
      <c r="P305" s="52" t="inlineStr">
        <is>
          <t>arestrepoe@conconcreto.com</t>
        </is>
      </c>
    </row>
    <row r="306">
      <c r="A306" s="108" t="n"/>
      <c r="B306" s="39" t="n">
        <v>296</v>
      </c>
      <c r="C306" s="278" t="inlineStr">
        <is>
          <t>COTIZACION DE LOS DISEÑOS DE SEGURIDAD HUMANA Y PROTECCIÓN CONTRA INCENDIOS - ESENCIA</t>
        </is>
      </c>
      <c r="I306" s="39" t="inlineStr">
        <is>
          <t xml:space="preserve">Diana Maria Osorio Garzon </t>
        </is>
      </c>
      <c r="J306" s="336" t="n">
        <v>25950000</v>
      </c>
      <c r="K306" s="112" t="n">
        <v>46199</v>
      </c>
      <c r="L306" s="39" t="n"/>
      <c r="M306" s="39" t="n"/>
      <c r="N306" s="39" t="inlineStr">
        <is>
          <t>Diana Maria Osorio Garzon</t>
        </is>
      </c>
      <c r="O306" s="39" t="n"/>
      <c r="P306" s="52" t="inlineStr">
        <is>
          <t>dmosoriog@gmail.com</t>
        </is>
      </c>
    </row>
    <row r="307">
      <c r="A307" s="108" t="n"/>
      <c r="B307" s="39" t="n">
        <v>297</v>
      </c>
      <c r="C307" s="278" t="inlineStr">
        <is>
          <t>COTIZACION DE LOS DISEÑOS DE SEGURIDAD HUMANA Y PROTECCIÓN CONTRA INCENDIOS - EDIFICIO KURT A22</t>
        </is>
      </c>
      <c r="I307" s="39" t="inlineStr">
        <is>
          <t>OA+</t>
        </is>
      </c>
      <c r="J307" s="336" t="n"/>
      <c r="K307" s="112" t="n">
        <v>46199</v>
      </c>
      <c r="L307" s="39" t="n"/>
      <c r="M307" s="39" t="n">
        <v>3218260240</v>
      </c>
      <c r="N307" s="39" t="inlineStr">
        <is>
          <t>Angel Sebastian Hernandez Zapata</t>
        </is>
      </c>
      <c r="O307" s="39" t="inlineStr">
        <is>
          <t>Coordinador de proyectos</t>
        </is>
      </c>
      <c r="P307" s="52" t="inlineStr">
        <is>
          <t>a.hernandez@oamas.co</t>
        </is>
      </c>
    </row>
    <row r="308">
      <c r="A308" s="108" t="n"/>
      <c r="B308" s="39" t="n">
        <v>298</v>
      </c>
      <c r="C308" s="278" t="inlineStr">
        <is>
          <t>COTIZACION DEL ANÁLISIS DE SEGURIDAD HUMANA - HOSPITAL LA PAZ</t>
        </is>
      </c>
      <c r="I308" s="39" t="inlineStr">
        <is>
          <t>Conconcreto</t>
        </is>
      </c>
      <c r="J308" s="336" t="n">
        <v>59950000</v>
      </c>
      <c r="K308" s="112" t="n">
        <v>46199</v>
      </c>
      <c r="L308" s="39" t="n"/>
      <c r="M308" s="39" t="n"/>
      <c r="N308" s="125" t="inlineStr">
        <is>
          <t>Laura Cristina Castaño Guzmán</t>
        </is>
      </c>
      <c r="O308" s="39" t="inlineStr">
        <is>
          <t>Profesional de ofertas y presupuestos</t>
        </is>
      </c>
      <c r="P308" s="52" t="inlineStr">
        <is>
          <t>lcastanog@doublec.com</t>
        </is>
      </c>
    </row>
    <row r="309">
      <c r="A309" s="108" t="n"/>
      <c r="B309" s="39" t="n">
        <v>299</v>
      </c>
      <c r="C309" s="278" t="inlineStr">
        <is>
          <t>COTIZACIÓN DE LOS DISEÑOS DE EXTINCIÓN DE INCENDIOS - ALMACÉN AYURÁ CENTER</t>
        </is>
      </c>
      <c r="I309" s="39" t="inlineStr">
        <is>
          <t>Ingesed</t>
        </is>
      </c>
      <c r="J309" s="336" t="n">
        <v>3800000</v>
      </c>
      <c r="K309" s="112" t="n">
        <v>46200</v>
      </c>
      <c r="L309" s="39" t="n"/>
      <c r="M309" s="39" t="inlineStr">
        <is>
          <t>321 8338189</t>
        </is>
      </c>
      <c r="N309" s="39" t="inlineStr">
        <is>
          <t>Laura Delgado</t>
        </is>
      </c>
      <c r="O309" s="39" t="inlineStr">
        <is>
          <t>Directora de operaciones</t>
        </is>
      </c>
      <c r="P309" s="52" t="inlineStr">
        <is>
          <t>operacionesingesed@gmail.com</t>
        </is>
      </c>
    </row>
    <row r="310">
      <c r="A310" s="108" t="n"/>
      <c r="B310" s="39" t="n">
        <v>300</v>
      </c>
      <c r="C310" s="278" t="inlineStr">
        <is>
          <t>COTIZACIÓN DE LOS DISEÑOS DE EXTINCIÓN DE INCENDIOS - LOCAL PISO 8 AYURÁ CENTER</t>
        </is>
      </c>
      <c r="I310" s="39" t="inlineStr">
        <is>
          <t>Ingesed</t>
        </is>
      </c>
      <c r="J310" s="336" t="n">
        <v>2860000</v>
      </c>
      <c r="K310" s="112" t="n">
        <v>46200</v>
      </c>
      <c r="L310" s="39" t="n"/>
      <c r="M310" s="39" t="inlineStr">
        <is>
          <t>321 8338189</t>
        </is>
      </c>
      <c r="N310" s="39" t="inlineStr">
        <is>
          <t>Laura Delgado</t>
        </is>
      </c>
      <c r="O310" s="39" t="inlineStr">
        <is>
          <t>Directora de operaciones</t>
        </is>
      </c>
      <c r="P310" s="52" t="inlineStr">
        <is>
          <t>operacionesingesed@gmail.com</t>
        </is>
      </c>
    </row>
    <row r="311">
      <c r="A311" s="108" t="n"/>
      <c r="B311" s="39" t="n">
        <v>301</v>
      </c>
      <c r="C311" s="278" t="inlineStr">
        <is>
          <t>Usada en hotel Esencia Living</t>
        </is>
      </c>
      <c r="I311" s="39" t="inlineStr">
        <is>
          <t>Usada en hotel Esencia Living</t>
        </is>
      </c>
      <c r="J311" s="336" t="inlineStr">
        <is>
          <t>Usada en hotel Esencia Living</t>
        </is>
      </c>
      <c r="K311" s="112" t="inlineStr">
        <is>
          <t>Usada en hotel Esencia Living</t>
        </is>
      </c>
      <c r="L311" s="39" t="inlineStr">
        <is>
          <t>Usada en hotel Esencia Living</t>
        </is>
      </c>
      <c r="M311" s="39" t="inlineStr">
        <is>
          <t>Usada en hotel Esencia Living</t>
        </is>
      </c>
      <c r="N311" s="39" t="inlineStr">
        <is>
          <t>Usada en hotel Esencia Living</t>
        </is>
      </c>
      <c r="O311" s="39" t="inlineStr">
        <is>
          <t>Usada en hotel Esencia Living</t>
        </is>
      </c>
      <c r="P311" s="39" t="inlineStr">
        <is>
          <t>Usada en hotel Esencia Living</t>
        </is>
      </c>
    </row>
    <row r="312">
      <c r="A312" s="108" t="n"/>
      <c r="B312" s="39" t="n">
        <v>302</v>
      </c>
      <c r="C312" s="278" t="inlineStr">
        <is>
          <t>COTIZACIÓN DE LOS DISEÑOS DE EXTINCIÓN DE INCENDIOS - D1 COLINA</t>
        </is>
      </c>
      <c r="I312" s="39" t="inlineStr">
        <is>
          <t>Ingesed</t>
        </is>
      </c>
      <c r="J312" s="336" t="n">
        <v>5500000</v>
      </c>
      <c r="K312" s="112" t="n">
        <v>46205</v>
      </c>
      <c r="L312" s="39" t="n"/>
      <c r="M312" s="39" t="inlineStr">
        <is>
          <t>321 8338189</t>
        </is>
      </c>
      <c r="N312" s="39" t="inlineStr">
        <is>
          <t>Laura Delgado</t>
        </is>
      </c>
      <c r="O312" s="39" t="inlineStr">
        <is>
          <t>Directora de operaciones</t>
        </is>
      </c>
      <c r="P312" s="52" t="inlineStr">
        <is>
          <t>operacionesingesed@gmail.com</t>
        </is>
      </c>
    </row>
    <row r="313" ht="15" customHeight="1">
      <c r="A313" s="108" t="n"/>
      <c r="B313" s="39" t="n">
        <v>303</v>
      </c>
      <c r="C313" s="278" t="inlineStr">
        <is>
          <t>COTIZACION DE LOS DISEÑOS DE SEGURIDAD HUMANA Y PROTECCIÓN CONTRA INCENDIOS - CALLE PRIMAVERA</t>
        </is>
      </c>
      <c r="I313" s="39" t="inlineStr">
        <is>
          <t>Socomes</t>
        </is>
      </c>
      <c r="J313" s="336" t="n"/>
      <c r="K313" s="112" t="n">
        <v>46205</v>
      </c>
      <c r="L313" s="39" t="n"/>
      <c r="M313" s="39" t="n">
        <v>3137851941</v>
      </c>
      <c r="N313" s="39" t="inlineStr">
        <is>
          <t>David Lopera</t>
        </is>
      </c>
      <c r="O313" s="39" t="inlineStr">
        <is>
          <t>Director Comercial</t>
        </is>
      </c>
      <c r="P313" s="52" t="inlineStr">
        <is>
          <t>david.lopera@socomes.com</t>
        </is>
      </c>
    </row>
    <row r="314">
      <c r="A314" s="108" t="n"/>
      <c r="B314" s="39" t="n">
        <v>304</v>
      </c>
      <c r="C314" s="278" t="inlineStr">
        <is>
          <t>COTIZACION DE LOS DISEÑOS DE SEGURIDAD HUMANA Y PROTECCIÓN CONTRA INCENDIOS - PROYECTO CLÍNICA PASTO</t>
        </is>
      </c>
      <c r="I314" s="39" t="inlineStr">
        <is>
          <t>JO Arquitectura</t>
        </is>
      </c>
      <c r="J314" s="336" t="n">
        <v>13560000</v>
      </c>
      <c r="K314" s="112" t="n">
        <v>46205</v>
      </c>
      <c r="L314" s="39" t="n"/>
      <c r="M314" s="39" t="n">
        <v>3175594091</v>
      </c>
      <c r="N314" s="39" t="inlineStr">
        <is>
          <t>Nakary García</t>
        </is>
      </c>
      <c r="O314" s="39" t="inlineStr">
        <is>
          <t>Directora de Nuevos Negocios</t>
        </is>
      </c>
      <c r="P314" s="52" t="inlineStr">
        <is>
          <t>joarq.ngarcia@gmail.com</t>
        </is>
      </c>
    </row>
    <row r="315">
      <c r="A315" s="108" t="n"/>
      <c r="B315" s="39" t="n">
        <v>305</v>
      </c>
      <c r="C315" s="278" t="inlineStr">
        <is>
          <t>COTIZACION DE LOS DISEÑOS DE SEGURIDAD HUMANA Y PROTECCIÓN CONTRA INCENDIOS - LA AMÉRICA</t>
        </is>
      </c>
      <c r="I315" s="39" t="inlineStr">
        <is>
          <t>Comfama</t>
        </is>
      </c>
      <c r="J315" s="336" t="n">
        <v>47500000</v>
      </c>
      <c r="K315" s="112" t="n">
        <v>46205</v>
      </c>
      <c r="L315" s="39" t="n"/>
      <c r="M315" s="39" t="inlineStr">
        <is>
          <t>310 4057513</t>
        </is>
      </c>
      <c r="N315" s="39" t="inlineStr">
        <is>
          <t>Claudia Marcela Ramírez Gómez</t>
        </is>
      </c>
      <c r="O315" s="39" t="inlineStr">
        <is>
          <t>Coordinadora de Proyectos</t>
        </is>
      </c>
      <c r="P315" s="52" t="inlineStr">
        <is>
          <t>ClaudiaRamirez@comfama.com.co</t>
        </is>
      </c>
    </row>
    <row r="316">
      <c r="A316" s="108" t="n"/>
      <c r="B316" s="39" t="n">
        <v>306</v>
      </c>
      <c r="C316" s="278" t="inlineStr">
        <is>
          <t>COTIZACION DE LOS DISEÑOS DE SEGURIDAD HUMANA Y PROTECCIÓN CONTRA INCENDIOS - ENTREVILLAS TORRE 6</t>
        </is>
      </c>
      <c r="I316" s="39" t="inlineStr">
        <is>
          <t>Construcciones e Inversiones Asociativas</t>
        </is>
      </c>
      <c r="J316" s="336" t="n"/>
      <c r="K316" s="112" t="n">
        <v>46205</v>
      </c>
      <c r="L316" s="39" t="n"/>
      <c r="M316" s="39" t="inlineStr">
        <is>
          <t>314 6262793</t>
        </is>
      </c>
      <c r="N316" s="39" t="inlineStr">
        <is>
          <t>Andrea Alzate Rendón</t>
        </is>
      </c>
      <c r="O316" s="39" t="inlineStr">
        <is>
          <t>Coordinadora de Interventoría</t>
        </is>
      </c>
      <c r="P316" s="52" t="inlineStr">
        <is>
          <t>andrea.alzate.rendon@gmail.com</t>
        </is>
      </c>
    </row>
    <row r="317">
      <c r="A317" s="108" t="n"/>
      <c r="B317" s="39" t="n">
        <v>307</v>
      </c>
      <c r="C317" s="278" t="inlineStr">
        <is>
          <t>COTIZACION DEL DISEÑO DE DETECCIÓN DE INCENDIOS - BODEGA BUGA</t>
        </is>
      </c>
      <c r="I317" s="39" t="inlineStr">
        <is>
          <t>SERIINCO</t>
        </is>
      </c>
      <c r="J317" s="336" t="n"/>
      <c r="K317" s="112" t="n">
        <v>46206</v>
      </c>
      <c r="L317" s="39" t="n"/>
      <c r="M317" s="39" t="n">
        <v>3245777917</v>
      </c>
      <c r="N317" s="39" t="inlineStr">
        <is>
          <t>Santiago Tamayo</t>
        </is>
      </c>
      <c r="O317" s="39" t="inlineStr">
        <is>
          <t>KAM Regional</t>
        </is>
      </c>
      <c r="P317" s="52" t="inlineStr">
        <is>
          <t>santiago.tamayo@seriinco.com</t>
        </is>
      </c>
    </row>
    <row r="318" ht="15" customHeight="1">
      <c r="A318" s="108" t="n"/>
      <c r="B318" s="39" t="n">
        <v>308</v>
      </c>
      <c r="C318" s="278" t="inlineStr">
        <is>
          <t>COTIZACION DE LOS DISEÑOS DE SEGURIDAD HUMANA Y PROTECCIÓN CONTRA INCENDIOS - PROYECTO HOSPITAL FUNDACION SAN PEDRO</t>
        </is>
      </c>
      <c r="I318" s="39" t="inlineStr">
        <is>
          <t>Condiseño</t>
        </is>
      </c>
      <c r="J318" s="336" t="n">
        <v>13560000</v>
      </c>
      <c r="K318" s="112" t="n">
        <v>46206</v>
      </c>
      <c r="L318" s="39" t="n"/>
      <c r="M318" s="39" t="inlineStr">
        <is>
          <t>316 6301193</t>
        </is>
      </c>
      <c r="N318" s="39" t="inlineStr">
        <is>
          <t>Vanessa Nicholls</t>
        </is>
      </c>
      <c r="O318" s="39" t="inlineStr">
        <is>
          <t>Gerente</t>
        </is>
      </c>
      <c r="P318" s="52" t="inlineStr">
        <is>
          <t>v.nicholls@condiseno.co</t>
        </is>
      </c>
    </row>
    <row r="319">
      <c r="A319" s="108" t="n"/>
      <c r="B319" s="39" t="n">
        <v>309</v>
      </c>
      <c r="C319" s="278" t="inlineStr">
        <is>
          <t>COTIZACION DE LOS DISEÑOS DE SEGURIDAD HUMANA Y PROTECCIÓN CONTRA INCENDIOS - EPICUREAN</t>
        </is>
      </c>
      <c r="I319" s="39" t="inlineStr">
        <is>
          <t>Redigroup</t>
        </is>
      </c>
      <c r="J319" s="336" t="n">
        <v>26950000</v>
      </c>
      <c r="K319" s="112" t="n">
        <v>46206</v>
      </c>
      <c r="L319" s="39" t="n"/>
      <c r="M319" s="39" t="n">
        <v>3053533308</v>
      </c>
      <c r="N319" s="39" t="inlineStr">
        <is>
          <t>Santiago Franco</t>
        </is>
      </c>
      <c r="P319" s="52" t="inlineStr">
        <is>
          <t>santiago.franco@redigroup.co</t>
        </is>
      </c>
    </row>
    <row r="320">
      <c r="A320" s="108" t="n"/>
      <c r="B320" s="39" t="n">
        <v>310</v>
      </c>
      <c r="C320" s="278" t="inlineStr">
        <is>
          <t>COTIZACION DEL DISEÑO DE EXTINCIÓN DE INCENDIOS - 2 SKIDS</t>
        </is>
      </c>
      <c r="I320" s="39" t="inlineStr">
        <is>
          <t>Good group</t>
        </is>
      </c>
      <c r="J320" s="336" t="n"/>
      <c r="K320" s="112" t="n">
        <v>46206</v>
      </c>
      <c r="L320" s="39" t="n"/>
      <c r="M320" s="39" t="n"/>
      <c r="N320" s="39" t="inlineStr">
        <is>
          <t>Luis C. Bueno P.</t>
        </is>
      </c>
      <c r="O320" s="39" t="inlineStr">
        <is>
          <t>Gerencia</t>
        </is>
      </c>
      <c r="P320" s="52" t="inlineStr">
        <is>
          <t>gerencia@goodgroup.com.co</t>
        </is>
      </c>
    </row>
    <row r="321">
      <c r="A321" s="108" t="n"/>
      <c r="B321" s="39" t="n">
        <v>311</v>
      </c>
      <c r="C321" s="278" t="inlineStr">
        <is>
          <t>COTIZACION DE LOS DISEÑOS DE SEGURIDAD HUMANA Y PROTECCIÓN CONTRA INCENDIOS - NAVITRANS BUCARAMANGA</t>
        </is>
      </c>
      <c r="I321" s="39" t="inlineStr">
        <is>
          <t>Convel</t>
        </is>
      </c>
      <c r="J321" s="336" t="n"/>
      <c r="K321" s="112" t="n">
        <v>46206</v>
      </c>
      <c r="L321" s="39" t="n"/>
      <c r="M321" s="39" t="n"/>
      <c r="N321" s="39" t="inlineStr">
        <is>
          <t>Steven Ríos Marín</t>
        </is>
      </c>
      <c r="O321" s="39" t="inlineStr">
        <is>
          <t>Arquitecto diseñador</t>
        </is>
      </c>
      <c r="P321" s="52" t="inlineStr">
        <is>
          <t>stevenrios@convel.co</t>
        </is>
      </c>
    </row>
    <row r="322">
      <c r="A322" s="108" t="n"/>
      <c r="B322" s="39" t="n">
        <v>312</v>
      </c>
      <c r="C322" s="278" t="inlineStr">
        <is>
          <t>COTIZACION DE LOS DISEÑOS DE SEGURIDAD HUMANA Y PROTECCIÓN CONTRA INCENDIOS - PEDRO VELEZ</t>
        </is>
      </c>
      <c r="I322" s="39" t="inlineStr">
        <is>
          <t>Conexo Inmobiliario</t>
        </is>
      </c>
      <c r="J322" s="336" t="n"/>
      <c r="K322" s="112" t="n">
        <v>46206</v>
      </c>
      <c r="L322" s="39" t="n"/>
      <c r="M322" s="39" t="n">
        <v>3147607314</v>
      </c>
      <c r="N322" s="39" t="inlineStr">
        <is>
          <t>Andrés Escobar Betancur</t>
        </is>
      </c>
      <c r="O322" s="39" t="inlineStr">
        <is>
          <t>Coordinador de costos y presupuestos</t>
        </is>
      </c>
      <c r="P322" s="52" t="inlineStr">
        <is>
          <t>aescobar@conexoinmobiliario.com</t>
        </is>
      </c>
    </row>
    <row r="323">
      <c r="A323" s="108" t="n"/>
      <c r="B323" s="39" t="n">
        <v>313</v>
      </c>
      <c r="C323" s="278" t="inlineStr">
        <is>
          <t>COTIZACION DE LOS DISEÑOS DE SEGURIDAD HUMANA Y PROTECCIÓN CONTRA INCENDIOS - ANDRES VELEZ</t>
        </is>
      </c>
      <c r="I323" s="39" t="inlineStr">
        <is>
          <t>Conexo Inmobiliario</t>
        </is>
      </c>
      <c r="J323" s="336" t="n"/>
      <c r="K323" s="112" t="n">
        <v>46206</v>
      </c>
      <c r="L323" s="39" t="n"/>
      <c r="M323" s="39" t="n">
        <v>3147607314</v>
      </c>
      <c r="N323" s="39" t="inlineStr">
        <is>
          <t>Andrés Escobar Betancur</t>
        </is>
      </c>
      <c r="O323" s="39" t="inlineStr">
        <is>
          <t>Coordinador de costos y presupuestos</t>
        </is>
      </c>
      <c r="P323" s="52" t="inlineStr">
        <is>
          <t>aescobar@conexoinmobiliario.com</t>
        </is>
      </c>
    </row>
    <row r="324">
      <c r="A324" s="108" t="n"/>
      <c r="B324" s="39" t="n">
        <v>314</v>
      </c>
      <c r="C324" s="278" t="inlineStr">
        <is>
          <t>COTIZACION DEL DISEÑO DE EXTINCIÓN DE INCENDIOS - SAN DIEGO ETAPA 1</t>
        </is>
      </c>
      <c r="I324" s="39" t="inlineStr">
        <is>
          <t>Securetec</t>
        </is>
      </c>
      <c r="J324" s="336" t="n"/>
      <c r="K324" s="112" t="n">
        <v>46206</v>
      </c>
      <c r="L324" s="39" t="n"/>
      <c r="M324" s="39" t="n">
        <v>3008242202</v>
      </c>
      <c r="N324" s="39" t="inlineStr">
        <is>
          <t>Diana Yamile Betancur Colorado</t>
        </is>
      </c>
      <c r="O324" s="39" t="inlineStr">
        <is>
          <t>Coordinadora comercial</t>
        </is>
      </c>
      <c r="P324" s="52" t="inlineStr">
        <is>
          <t>coordinadoracomercial@securetec.com.co</t>
        </is>
      </c>
    </row>
    <row r="325">
      <c r="A325" s="108" t="n"/>
      <c r="B325" s="39" t="n">
        <v>315</v>
      </c>
      <c r="C325" s="278" t="inlineStr">
        <is>
          <t>COTIZACION DE LOS DISEÑOS DE PROTECCIÓN CONTRA INCENDIOS - PISO 3 ALURACK</t>
        </is>
      </c>
      <c r="I325" s="39" t="inlineStr">
        <is>
          <t>Fire &amp; Equipos</t>
        </is>
      </c>
      <c r="J325" s="336" t="n"/>
      <c r="K325" s="112" t="n">
        <v>46206</v>
      </c>
      <c r="L325" s="39" t="n"/>
      <c r="M325" s="39" t="n">
        <v>3134451063</v>
      </c>
      <c r="N325" s="39" t="inlineStr">
        <is>
          <t>Juan José Monsalve</t>
        </is>
      </c>
      <c r="O325" s="39" t="inlineStr">
        <is>
          <t>Director comercial y de proyectos</t>
        </is>
      </c>
      <c r="P325" s="52" t="inlineStr">
        <is>
          <t>Directorcomercial@fireyequipos.com</t>
        </is>
      </c>
    </row>
    <row r="326">
      <c r="A326" s="108" t="n"/>
      <c r="B326" s="39" t="n"/>
      <c r="C326" s="278" t="n"/>
      <c r="I326" s="39" t="n"/>
      <c r="J326" s="336" t="n"/>
      <c r="K326" s="112" t="n"/>
      <c r="L326" s="39" t="n"/>
      <c r="M326" s="39" t="n"/>
      <c r="N326" s="39" t="n"/>
      <c r="O326" s="39" t="n"/>
      <c r="P326" s="116" t="n"/>
    </row>
    <row r="327">
      <c r="A327" s="108" t="n"/>
      <c r="B327" s="39" t="n"/>
      <c r="C327" s="278" t="n"/>
      <c r="I327" s="39" t="n"/>
      <c r="J327" s="336" t="n"/>
      <c r="K327" s="112" t="n"/>
      <c r="L327" s="39" t="n"/>
      <c r="M327" s="39" t="n"/>
      <c r="N327" s="39" t="n"/>
      <c r="O327" s="39" t="n"/>
      <c r="P327" s="52" t="n"/>
    </row>
    <row r="328">
      <c r="A328" s="108" t="n"/>
      <c r="B328" s="39" t="n"/>
      <c r="C328" s="278" t="n"/>
      <c r="I328" s="39" t="n"/>
      <c r="J328" s="336" t="n"/>
      <c r="K328" s="112" t="n"/>
      <c r="L328" s="39" t="n"/>
      <c r="M328" s="39" t="n"/>
      <c r="N328" s="39" t="n"/>
      <c r="O328" s="39" t="n"/>
      <c r="P328" s="116" t="n"/>
    </row>
    <row r="329">
      <c r="A329" s="108" t="n"/>
      <c r="B329" s="39" t="n"/>
      <c r="C329" s="278" t="n"/>
      <c r="I329" s="39" t="n"/>
      <c r="J329" s="336" t="n"/>
      <c r="K329" s="112" t="n"/>
      <c r="L329" s="39" t="n"/>
      <c r="M329" s="39" t="n"/>
      <c r="N329" s="39" t="n"/>
      <c r="O329" s="39" t="n"/>
      <c r="P329" s="116" t="n"/>
    </row>
    <row r="330">
      <c r="A330" s="108" t="n"/>
      <c r="B330" s="39" t="n"/>
      <c r="C330" s="278" t="n"/>
      <c r="I330" s="39" t="n"/>
      <c r="J330" s="336" t="n"/>
      <c r="K330" s="112" t="n"/>
      <c r="L330" s="39" t="n"/>
      <c r="M330" s="39" t="n"/>
      <c r="N330" s="39" t="n"/>
      <c r="O330" s="39" t="n"/>
      <c r="P330" s="116" t="n"/>
    </row>
    <row r="331">
      <c r="A331" s="108" t="n"/>
      <c r="B331" s="39" t="n"/>
      <c r="C331" s="278" t="n"/>
      <c r="I331" s="39" t="n"/>
      <c r="J331" s="336" t="n"/>
      <c r="K331" s="112" t="n"/>
      <c r="L331" s="39" t="n"/>
      <c r="M331" s="39" t="n"/>
      <c r="N331" s="39" t="n"/>
      <c r="O331" s="39" t="n"/>
      <c r="P331" s="116" t="n"/>
    </row>
    <row r="332">
      <c r="A332" s="108" t="n"/>
      <c r="B332" s="39" t="n"/>
      <c r="C332" s="278" t="n"/>
      <c r="I332" s="39" t="n"/>
      <c r="J332" s="336" t="n"/>
      <c r="K332" s="112" t="n"/>
      <c r="L332" s="39" t="n"/>
      <c r="M332" s="39" t="n"/>
      <c r="N332" s="39" t="n"/>
      <c r="O332" s="39" t="n"/>
      <c r="P332" s="116" t="n"/>
    </row>
    <row r="333">
      <c r="A333" s="108" t="n"/>
      <c r="B333" s="39" t="n"/>
      <c r="C333" s="278" t="n"/>
      <c r="I333" s="39" t="n"/>
      <c r="J333" s="336" t="n"/>
      <c r="K333" s="112" t="n"/>
      <c r="L333" s="39" t="n"/>
      <c r="M333" s="39" t="n"/>
      <c r="N333" s="39" t="n"/>
      <c r="O333" s="39" t="n"/>
      <c r="P333" s="52" t="n"/>
    </row>
    <row r="334">
      <c r="A334" s="108" t="n"/>
      <c r="B334" s="39" t="n"/>
      <c r="C334" s="278" t="n"/>
      <c r="I334" s="39" t="n"/>
      <c r="J334" s="336" t="n"/>
      <c r="K334" s="112" t="n"/>
      <c r="L334" s="39" t="n"/>
      <c r="M334" s="39" t="n"/>
      <c r="N334" s="39" t="n"/>
      <c r="O334" s="39" t="n"/>
      <c r="P334" s="52" t="n"/>
    </row>
    <row r="335">
      <c r="A335" s="108" t="n"/>
      <c r="B335" s="39" t="n"/>
      <c r="C335" s="278" t="n"/>
      <c r="I335" s="39" t="n"/>
      <c r="J335" s="336" t="n"/>
      <c r="K335" s="112" t="n"/>
      <c r="L335" s="39" t="n"/>
      <c r="M335" s="39" t="n"/>
      <c r="N335" s="39" t="n"/>
      <c r="O335" s="39" t="n"/>
      <c r="P335" s="116" t="n"/>
    </row>
    <row r="336">
      <c r="A336" s="108" t="n"/>
      <c r="B336" s="39" t="n"/>
      <c r="C336" s="278" t="n"/>
      <c r="I336" s="39" t="n"/>
      <c r="J336" s="336" t="n"/>
      <c r="K336" s="112" t="n"/>
      <c r="L336" s="39" t="n"/>
      <c r="M336" s="39" t="n"/>
      <c r="N336" s="39" t="n"/>
      <c r="O336" s="39" t="n"/>
      <c r="P336" s="52" t="n"/>
    </row>
    <row r="337">
      <c r="A337" s="108" t="n"/>
      <c r="B337" s="39" t="n"/>
      <c r="C337" s="278" t="n"/>
      <c r="I337" s="39" t="n"/>
      <c r="J337" s="336" t="n"/>
      <c r="K337" s="112" t="n"/>
      <c r="L337" s="39" t="n"/>
      <c r="M337" s="39" t="n"/>
      <c r="N337" s="39" t="n"/>
      <c r="O337" s="39" t="n"/>
      <c r="P337" s="116" t="n"/>
    </row>
    <row r="338">
      <c r="A338" s="108" t="n"/>
      <c r="B338" s="39" t="n"/>
      <c r="C338" s="278" t="n"/>
      <c r="I338" s="39" t="n"/>
      <c r="J338" s="336" t="n"/>
      <c r="K338" s="112" t="n"/>
      <c r="L338" s="39" t="n"/>
      <c r="M338" s="39" t="n"/>
      <c r="N338" s="39" t="n"/>
      <c r="O338" s="39" t="n"/>
      <c r="P338" s="116" t="n"/>
    </row>
    <row r="339">
      <c r="A339" s="108" t="n"/>
      <c r="B339" s="39" t="n"/>
      <c r="C339" s="278" t="n"/>
      <c r="I339" s="39" t="n"/>
      <c r="J339" s="336" t="n"/>
      <c r="K339" s="112" t="n"/>
      <c r="L339" s="39" t="n"/>
      <c r="M339" s="39" t="n"/>
      <c r="N339" s="39" t="n"/>
      <c r="O339" s="39" t="n"/>
      <c r="P339" s="116" t="n"/>
    </row>
    <row r="340">
      <c r="A340" s="108" t="n"/>
      <c r="B340" s="39" t="n"/>
      <c r="C340" s="278" t="n"/>
      <c r="I340" s="39" t="n"/>
      <c r="J340" s="336" t="n"/>
      <c r="K340" s="112" t="n"/>
      <c r="L340" s="39" t="n"/>
      <c r="M340" s="39" t="n"/>
      <c r="N340" s="39" t="n"/>
      <c r="O340" s="39" t="n"/>
      <c r="P340" s="52" t="n"/>
    </row>
    <row r="341">
      <c r="A341" s="108" t="n"/>
      <c r="B341" s="39" t="n"/>
      <c r="C341" s="278" t="n"/>
      <c r="I341" s="39" t="n"/>
      <c r="J341" s="336" t="n"/>
      <c r="K341" s="112" t="n"/>
      <c r="L341" s="39" t="n"/>
      <c r="M341" s="39" t="n"/>
      <c r="N341" s="39" t="n"/>
      <c r="O341" s="39" t="n"/>
      <c r="P341" s="52" t="n"/>
    </row>
    <row r="342">
      <c r="A342" s="108" t="n"/>
      <c r="B342" s="39" t="n"/>
      <c r="C342" s="278" t="n"/>
      <c r="I342" s="39" t="n"/>
      <c r="J342" s="336" t="n"/>
      <c r="K342" s="112" t="n"/>
      <c r="L342" s="39" t="n"/>
      <c r="M342" s="39" t="n"/>
      <c r="N342" s="39" t="n"/>
      <c r="O342" s="39" t="n"/>
      <c r="P342" s="52" t="n"/>
    </row>
    <row r="343" ht="15" customHeight="1">
      <c r="A343" s="108" t="n"/>
      <c r="B343" s="39" t="n"/>
      <c r="C343" s="278" t="n"/>
      <c r="I343" s="39" t="n"/>
      <c r="J343" s="336" t="n"/>
      <c r="K343" s="112" t="n"/>
      <c r="L343" s="39" t="n"/>
      <c r="M343" s="39" t="n"/>
      <c r="N343" s="39" t="n"/>
      <c r="O343" s="39" t="n"/>
      <c r="P343" s="116" t="n"/>
    </row>
    <row r="344">
      <c r="A344" s="108" t="n"/>
      <c r="B344" s="39" t="n"/>
      <c r="C344" s="278" t="n"/>
      <c r="I344" s="39" t="n"/>
      <c r="J344" s="336" t="n"/>
      <c r="K344" s="112" t="n"/>
      <c r="L344" s="39" t="n"/>
      <c r="M344" s="39" t="n"/>
      <c r="N344" s="39" t="n"/>
      <c r="O344" s="39" t="n"/>
      <c r="P344" s="52" t="n"/>
    </row>
    <row r="345">
      <c r="A345" s="108" t="n"/>
      <c r="B345" s="39" t="n"/>
      <c r="C345" s="278" t="n"/>
      <c r="I345" s="39" t="n"/>
      <c r="J345" s="336" t="n"/>
      <c r="K345" s="112" t="n"/>
      <c r="L345" s="39" t="n"/>
      <c r="M345" s="39" t="n"/>
      <c r="N345" s="39" t="n"/>
      <c r="O345" s="39" t="n"/>
      <c r="P345" s="116" t="n"/>
    </row>
    <row r="346">
      <c r="A346" s="108" t="n"/>
      <c r="B346" s="39" t="n"/>
      <c r="C346" s="278" t="n"/>
      <c r="I346" s="39" t="n"/>
      <c r="J346" s="336" t="n"/>
      <c r="K346" s="112" t="n"/>
      <c r="L346" s="39" t="n"/>
      <c r="M346" s="39" t="n"/>
      <c r="N346" s="39" t="n"/>
      <c r="O346" s="39" t="n"/>
      <c r="P346" s="52" t="n"/>
    </row>
    <row r="347">
      <c r="A347" s="108" t="n"/>
      <c r="B347" s="39" t="n"/>
      <c r="C347" s="278" t="n"/>
      <c r="I347" s="39" t="n"/>
      <c r="J347" s="336" t="n"/>
      <c r="K347" s="112" t="n"/>
      <c r="L347" s="39" t="n"/>
      <c r="M347" s="39" t="n"/>
      <c r="N347" s="39" t="n"/>
      <c r="O347" s="39" t="n"/>
      <c r="P347" s="52" t="n"/>
    </row>
    <row r="348">
      <c r="A348" s="108" t="n"/>
      <c r="B348" s="39" t="n"/>
      <c r="C348" s="278" t="n"/>
      <c r="I348" s="39" t="n"/>
      <c r="J348" s="336" t="n"/>
      <c r="K348" s="112" t="n"/>
      <c r="L348" s="39" t="n"/>
      <c r="M348" s="170" t="n"/>
      <c r="N348" s="170" t="n"/>
      <c r="O348" s="170" t="n"/>
      <c r="P348" s="52" t="n"/>
    </row>
    <row r="349">
      <c r="A349" s="108" t="n"/>
      <c r="B349" s="39" t="n"/>
      <c r="C349" s="278" t="n"/>
      <c r="I349" s="39" t="n"/>
      <c r="J349" s="336" t="n"/>
      <c r="K349" s="112" t="n"/>
      <c r="L349" s="39" t="n"/>
      <c r="M349" s="39" t="n"/>
      <c r="N349" s="39" t="n"/>
      <c r="O349" s="39" t="n"/>
      <c r="P349" s="52" t="n"/>
    </row>
    <row r="350" ht="15" customHeight="1">
      <c r="A350" s="108" t="n"/>
      <c r="B350" s="39" t="n"/>
      <c r="C350" s="278" t="n"/>
      <c r="I350" s="39" t="n"/>
      <c r="J350" s="336" t="n"/>
      <c r="K350" s="112" t="n"/>
      <c r="L350" s="39" t="n"/>
      <c r="M350" s="39" t="n"/>
      <c r="N350" s="39" t="n"/>
      <c r="O350" s="39" t="n"/>
      <c r="P350" s="52" t="n"/>
    </row>
    <row r="351" ht="15" customHeight="1">
      <c r="A351" s="108" t="n"/>
      <c r="B351" s="39" t="n"/>
      <c r="C351" s="278" t="n"/>
      <c r="I351" s="39" t="n"/>
      <c r="J351" s="336" t="n"/>
      <c r="K351" s="112" t="n"/>
      <c r="L351" s="39" t="n"/>
      <c r="M351" s="39" t="n"/>
      <c r="N351" s="39" t="n"/>
      <c r="O351" s="39" t="n"/>
      <c r="P351" s="116" t="n"/>
    </row>
    <row r="352">
      <c r="A352" s="108" t="n"/>
      <c r="B352" s="39" t="n"/>
      <c r="C352" s="278" t="n"/>
      <c r="I352" s="39" t="n"/>
      <c r="J352" s="336" t="n"/>
      <c r="K352" s="112" t="n"/>
      <c r="L352" s="39" t="n"/>
      <c r="M352" s="39" t="n"/>
      <c r="N352" s="39" t="n"/>
      <c r="O352" s="39" t="n"/>
      <c r="P352" s="52" t="n"/>
    </row>
    <row r="353">
      <c r="A353" s="108" t="n"/>
      <c r="B353" s="39" t="n"/>
      <c r="C353" s="278" t="n"/>
      <c r="I353" s="39" t="n"/>
      <c r="J353" s="336" t="n"/>
      <c r="K353" s="112" t="n"/>
      <c r="L353" s="39" t="n"/>
      <c r="M353" s="39" t="n"/>
      <c r="N353" s="39" t="n"/>
      <c r="O353" s="39" t="n"/>
      <c r="P353" s="52" t="n"/>
    </row>
    <row r="354">
      <c r="A354" s="108" t="n"/>
      <c r="B354" s="39" t="n"/>
      <c r="C354" s="278" t="n"/>
      <c r="I354" s="39" t="n"/>
      <c r="J354" s="336" t="n"/>
      <c r="K354" s="112" t="n"/>
      <c r="L354" s="39" t="n"/>
      <c r="M354" s="39" t="n"/>
      <c r="N354" s="39" t="n"/>
      <c r="O354" s="39" t="n"/>
      <c r="P354" s="52" t="n"/>
    </row>
    <row r="355">
      <c r="A355" s="108" t="n"/>
      <c r="B355" s="39" t="n"/>
      <c r="C355" s="278" t="n"/>
      <c r="I355" s="39" t="n"/>
      <c r="J355" s="336" t="n"/>
      <c r="K355" s="112" t="n"/>
      <c r="L355" s="39" t="n"/>
      <c r="M355" s="39" t="n"/>
      <c r="N355" s="39" t="n"/>
      <c r="O355" s="39" t="n"/>
      <c r="P355" s="52" t="n"/>
    </row>
    <row r="356">
      <c r="A356" s="108" t="n"/>
      <c r="B356" s="39" t="n"/>
      <c r="C356" s="278" t="n"/>
      <c r="I356" s="39" t="n"/>
      <c r="J356" s="336" t="n"/>
      <c r="K356" s="112" t="n"/>
      <c r="L356" s="39" t="n"/>
      <c r="M356" s="39" t="n"/>
      <c r="N356" s="39" t="n"/>
      <c r="O356" s="39" t="n"/>
      <c r="P356" s="52" t="n"/>
    </row>
    <row r="357">
      <c r="A357" s="108" t="n"/>
      <c r="B357" s="39" t="n"/>
      <c r="C357" s="278" t="n"/>
      <c r="I357" s="39" t="n"/>
      <c r="J357" s="336" t="n"/>
      <c r="K357" s="112" t="n"/>
      <c r="L357" s="39" t="n"/>
      <c r="M357" s="39" t="n"/>
      <c r="N357" s="39" t="n"/>
      <c r="O357" s="39" t="n"/>
      <c r="P357" s="52" t="n"/>
    </row>
    <row r="358" ht="15" customHeight="1">
      <c r="A358" s="108" t="n"/>
      <c r="B358" s="39" t="n"/>
      <c r="C358" s="278" t="n"/>
      <c r="I358" s="39" t="n"/>
      <c r="J358" s="336" t="n"/>
      <c r="K358" s="112" t="n"/>
      <c r="L358" s="39" t="n"/>
      <c r="M358" s="39" t="n"/>
      <c r="N358" s="39" t="n"/>
      <c r="O358" s="39" t="n"/>
      <c r="P358" s="116" t="n"/>
    </row>
    <row r="359" ht="15" customHeight="1">
      <c r="A359" s="108" t="n"/>
      <c r="B359" s="39" t="n"/>
      <c r="C359" s="278" t="n"/>
      <c r="I359" s="39" t="n"/>
      <c r="J359" s="336" t="n"/>
      <c r="K359" s="112" t="n"/>
      <c r="L359" s="39" t="n"/>
      <c r="M359" s="39" t="n"/>
      <c r="N359" s="39" t="n"/>
      <c r="O359" s="39" t="n"/>
      <c r="P359" s="116" t="n"/>
    </row>
    <row r="360">
      <c r="A360" s="108" t="n"/>
      <c r="B360" s="39" t="n"/>
      <c r="C360" s="278" t="n"/>
      <c r="I360" s="39" t="n"/>
      <c r="J360" s="336" t="n"/>
      <c r="K360" s="112" t="n"/>
      <c r="L360" s="39" t="n"/>
      <c r="M360" s="39" t="n"/>
      <c r="N360" s="39" t="n"/>
      <c r="O360" s="39" t="n"/>
      <c r="P360" s="116" t="n"/>
    </row>
    <row r="361" ht="15" customHeight="1">
      <c r="A361" s="108" t="n"/>
      <c r="B361" s="39" t="n"/>
      <c r="C361" s="278" t="n"/>
      <c r="I361" s="39" t="n"/>
      <c r="J361" s="336" t="n"/>
      <c r="K361" s="112" t="n"/>
      <c r="L361" s="39" t="n"/>
      <c r="M361" s="39" t="n"/>
      <c r="N361" s="39" t="n"/>
      <c r="O361" s="39" t="n"/>
      <c r="P361" s="52" t="n"/>
    </row>
    <row r="362">
      <c r="A362" s="108" t="n"/>
      <c r="B362" s="39" t="n"/>
      <c r="C362" s="278" t="n"/>
      <c r="I362" s="39" t="n"/>
      <c r="J362" s="336" t="n"/>
      <c r="K362" s="112" t="n"/>
      <c r="L362" s="39" t="n"/>
      <c r="M362" s="39" t="n"/>
      <c r="N362" s="39" t="n"/>
      <c r="O362" s="39" t="n"/>
      <c r="P362" s="52" t="n"/>
    </row>
    <row r="363">
      <c r="A363" s="108" t="n"/>
      <c r="B363" s="39" t="n"/>
      <c r="C363" s="278" t="n"/>
      <c r="I363" s="39" t="n"/>
      <c r="J363" s="336" t="n"/>
      <c r="K363" s="112" t="n"/>
      <c r="L363" s="39" t="n"/>
      <c r="M363" s="39" t="n"/>
      <c r="N363" s="39" t="n"/>
      <c r="O363" s="39" t="n"/>
      <c r="P363" s="116" t="n"/>
    </row>
    <row r="364">
      <c r="A364" s="108" t="n"/>
      <c r="B364" s="39" t="n"/>
      <c r="C364" s="278" t="n"/>
      <c r="I364" s="39" t="n"/>
      <c r="J364" s="336" t="n"/>
      <c r="K364" s="112" t="n"/>
      <c r="L364" s="39" t="n"/>
      <c r="M364" s="39" t="n"/>
      <c r="N364" s="39" t="n"/>
      <c r="O364" s="39" t="n"/>
      <c r="P364" s="116" t="n"/>
    </row>
    <row r="365">
      <c r="A365" s="108" t="n"/>
      <c r="B365" s="39" t="n"/>
      <c r="C365" s="278" t="n"/>
      <c r="I365" s="39" t="n"/>
      <c r="J365" s="336" t="n"/>
      <c r="K365" s="112" t="n"/>
      <c r="L365" s="39" t="n"/>
      <c r="M365" s="39" t="n"/>
      <c r="N365" s="39" t="n"/>
      <c r="O365" s="39" t="n"/>
      <c r="P365" s="116" t="n"/>
    </row>
    <row r="366">
      <c r="A366" s="108" t="n"/>
      <c r="B366" s="39" t="n"/>
      <c r="C366" s="278" t="n"/>
      <c r="I366" s="39" t="n"/>
      <c r="J366" s="336" t="n"/>
      <c r="K366" s="112" t="n"/>
      <c r="L366" s="39" t="n"/>
      <c r="M366" s="39" t="n"/>
      <c r="N366" s="39" t="n"/>
      <c r="O366" s="39" t="n"/>
      <c r="P366" s="116" t="n"/>
    </row>
    <row r="367">
      <c r="A367" s="108" t="n"/>
      <c r="B367" s="39" t="n"/>
      <c r="C367" s="278" t="n"/>
      <c r="I367" s="39" t="n"/>
      <c r="J367" s="336" t="n"/>
      <c r="K367" s="112" t="n"/>
      <c r="L367" s="39" t="n"/>
      <c r="M367" s="39" t="n"/>
      <c r="N367" s="39" t="n"/>
      <c r="O367" s="39" t="n"/>
      <c r="P367" s="116" t="n"/>
    </row>
    <row r="368">
      <c r="A368" s="108" t="n"/>
      <c r="B368" s="39" t="n"/>
      <c r="C368" s="278" t="n"/>
      <c r="I368" s="39" t="n"/>
      <c r="J368" s="336" t="n"/>
      <c r="K368" s="112" t="n"/>
      <c r="L368" s="39" t="n"/>
      <c r="M368" s="39" t="n"/>
      <c r="N368" s="39" t="n"/>
      <c r="O368" s="39" t="n"/>
      <c r="P368" s="116" t="n"/>
    </row>
    <row r="369">
      <c r="A369" s="108" t="n"/>
      <c r="B369" s="39" t="n"/>
      <c r="C369" s="278" t="n"/>
      <c r="I369" s="39" t="n"/>
      <c r="J369" s="336" t="n"/>
      <c r="K369" s="112" t="n"/>
      <c r="L369" s="39" t="n"/>
      <c r="M369" s="39" t="n"/>
      <c r="N369" s="39" t="n"/>
      <c r="O369" s="39" t="n"/>
      <c r="P369" s="116" t="n"/>
    </row>
    <row r="370">
      <c r="A370" s="108" t="n"/>
      <c r="B370" s="39" t="n"/>
      <c r="C370" s="278" t="n"/>
      <c r="I370" s="39" t="n"/>
      <c r="J370" s="336" t="n"/>
      <c r="K370" s="112" t="n"/>
      <c r="L370" s="39" t="n"/>
      <c r="M370" s="39" t="n"/>
      <c r="N370" s="39" t="n"/>
      <c r="O370" s="39" t="n"/>
      <c r="P370" s="116" t="n"/>
    </row>
    <row r="371">
      <c r="A371" s="108" t="n"/>
      <c r="B371" s="39" t="n"/>
      <c r="C371" s="278" t="n"/>
      <c r="I371" s="39" t="n"/>
      <c r="J371" s="336" t="n"/>
      <c r="K371" s="112" t="n"/>
      <c r="L371" s="39" t="n"/>
      <c r="M371" s="39" t="n"/>
      <c r="N371" s="39" t="n"/>
      <c r="O371" s="39" t="n"/>
      <c r="P371" s="116" t="n"/>
    </row>
    <row r="372">
      <c r="A372" s="108" t="n"/>
      <c r="B372" s="39" t="n"/>
      <c r="C372" s="278" t="n"/>
      <c r="I372" s="39" t="n"/>
      <c r="J372" s="336" t="n"/>
      <c r="K372" s="112" t="n"/>
      <c r="L372" s="39" t="n"/>
      <c r="M372" s="39" t="n"/>
      <c r="N372" s="39" t="n"/>
      <c r="O372" s="39" t="n"/>
      <c r="P372" s="116" t="n"/>
    </row>
    <row r="373">
      <c r="A373" s="108" t="n"/>
      <c r="B373" s="39" t="n"/>
      <c r="C373" s="278" t="n"/>
      <c r="I373" s="39" t="n"/>
      <c r="J373" s="336" t="n"/>
      <c r="K373" s="112" t="n"/>
      <c r="L373" s="39" t="n"/>
      <c r="M373" s="39" t="n"/>
      <c r="N373" s="39" t="n"/>
      <c r="O373" s="39" t="n"/>
      <c r="P373" s="116" t="n"/>
    </row>
    <row r="374">
      <c r="A374" s="108" t="n"/>
      <c r="B374" s="39" t="n"/>
      <c r="C374" s="278" t="n"/>
      <c r="I374" s="39" t="n"/>
      <c r="J374" s="336" t="n"/>
      <c r="K374" s="112" t="n"/>
      <c r="L374" s="39" t="n"/>
      <c r="M374" s="39" t="n"/>
      <c r="N374" s="39" t="n"/>
      <c r="O374" s="39" t="n"/>
      <c r="P374" s="116" t="n"/>
    </row>
    <row r="375">
      <c r="A375" s="108" t="n"/>
      <c r="B375" s="39" t="n"/>
      <c r="C375" s="278" t="n"/>
      <c r="I375" s="39" t="n"/>
      <c r="J375" s="336" t="n"/>
      <c r="K375" s="112" t="n"/>
      <c r="L375" s="39" t="n"/>
      <c r="M375" s="39" t="n"/>
      <c r="N375" s="39" t="n"/>
      <c r="O375" s="39" t="n"/>
      <c r="P375" s="116" t="n"/>
    </row>
    <row r="376">
      <c r="A376" s="108" t="n"/>
      <c r="B376" s="39" t="n"/>
      <c r="C376" s="278" t="n"/>
      <c r="I376" s="39" t="n"/>
      <c r="J376" s="336" t="n"/>
      <c r="K376" s="112" t="n"/>
      <c r="L376" s="39" t="n"/>
      <c r="M376" s="39" t="n"/>
      <c r="N376" s="39" t="n"/>
      <c r="O376" s="39" t="n"/>
      <c r="P376" s="116" t="n"/>
    </row>
    <row r="377">
      <c r="A377" s="108" t="n"/>
      <c r="B377" s="39" t="n"/>
      <c r="C377" s="278" t="n"/>
      <c r="I377" s="39" t="n"/>
      <c r="J377" s="336" t="n"/>
      <c r="K377" s="112" t="n"/>
      <c r="L377" s="39" t="n"/>
      <c r="M377" s="39" t="n"/>
      <c r="N377" s="39" t="n"/>
      <c r="O377" s="39" t="n"/>
      <c r="P377" s="116" t="n"/>
    </row>
    <row r="378">
      <c r="A378" s="108" t="n"/>
      <c r="B378" s="39" t="n"/>
      <c r="C378" s="278" t="n"/>
      <c r="I378" s="39" t="n"/>
      <c r="J378" s="336" t="n"/>
      <c r="K378" s="112" t="n"/>
      <c r="L378" s="39" t="n"/>
      <c r="M378" s="39" t="n"/>
      <c r="N378" s="39" t="n"/>
      <c r="O378" s="39" t="n"/>
      <c r="P378" s="116" t="n"/>
    </row>
    <row r="379">
      <c r="A379" s="108" t="n"/>
      <c r="B379" s="39" t="n"/>
      <c r="C379" s="278" t="n"/>
      <c r="I379" s="39" t="n"/>
      <c r="J379" s="336" t="n"/>
      <c r="K379" s="112" t="n"/>
      <c r="L379" s="39" t="n"/>
      <c r="M379" s="39" t="n"/>
      <c r="N379" s="39" t="n"/>
      <c r="O379" s="39" t="n"/>
      <c r="P379" s="116" t="n"/>
    </row>
    <row r="380">
      <c r="A380" s="108" t="n"/>
      <c r="B380" s="39" t="n"/>
      <c r="C380" s="278" t="n"/>
      <c r="I380" s="39" t="n"/>
      <c r="J380" s="336" t="n"/>
      <c r="K380" s="112" t="n"/>
      <c r="L380" s="39" t="n"/>
      <c r="M380" s="39" t="n"/>
      <c r="N380" s="39" t="n"/>
      <c r="O380" s="39" t="n"/>
      <c r="P380" s="116" t="n"/>
    </row>
    <row r="381">
      <c r="A381" s="108" t="n"/>
      <c r="B381" s="39" t="n"/>
      <c r="C381" s="278" t="n"/>
      <c r="I381" s="39" t="n"/>
      <c r="J381" s="336" t="n"/>
      <c r="K381" s="112" t="n"/>
      <c r="L381" s="39" t="n"/>
      <c r="M381" s="39" t="n"/>
      <c r="N381" s="39" t="n"/>
      <c r="O381" s="39" t="n"/>
      <c r="P381" s="116" t="n"/>
    </row>
    <row r="382">
      <c r="A382" s="108" t="n"/>
      <c r="B382" s="39" t="n"/>
      <c r="C382" s="278" t="n"/>
      <c r="I382" s="39" t="n"/>
      <c r="J382" s="336" t="n"/>
      <c r="K382" s="112" t="n"/>
      <c r="L382" s="39" t="n"/>
      <c r="M382" s="39" t="n"/>
      <c r="N382" s="39" t="n"/>
      <c r="O382" s="39" t="n"/>
      <c r="P382" s="116" t="n"/>
    </row>
    <row r="383">
      <c r="A383" s="108" t="n"/>
      <c r="B383" s="39" t="n"/>
      <c r="C383" s="278" t="n"/>
      <c r="I383" s="39" t="n"/>
      <c r="J383" s="336" t="n"/>
      <c r="K383" s="112" t="n"/>
      <c r="L383" s="39" t="n"/>
      <c r="M383" s="39" t="n"/>
      <c r="N383" s="39" t="n"/>
      <c r="O383" s="39" t="n"/>
      <c r="P383" s="116" t="n"/>
    </row>
    <row r="384">
      <c r="A384" s="108" t="n"/>
      <c r="B384" s="39" t="n"/>
      <c r="C384" s="278" t="n"/>
      <c r="I384" s="39" t="n"/>
      <c r="J384" s="336" t="n"/>
      <c r="K384" s="112" t="n"/>
      <c r="L384" s="39" t="n"/>
      <c r="M384" s="39" t="n"/>
      <c r="N384" s="39" t="n"/>
      <c r="O384" s="39" t="n"/>
      <c r="P384" s="116" t="n"/>
    </row>
    <row r="385">
      <c r="A385" s="108" t="n"/>
      <c r="B385" s="39" t="n"/>
      <c r="C385" s="278" t="n"/>
      <c r="I385" s="39" t="n"/>
      <c r="J385" s="336" t="n"/>
      <c r="K385" s="112" t="n"/>
      <c r="L385" s="39" t="n"/>
      <c r="M385" s="39" t="n"/>
      <c r="N385" s="39" t="n"/>
      <c r="O385" s="39" t="n"/>
      <c r="P385" s="116" t="n"/>
    </row>
    <row r="386">
      <c r="A386" s="108" t="n"/>
      <c r="B386" s="39" t="n"/>
      <c r="C386" s="278" t="n"/>
      <c r="I386" s="39" t="n"/>
      <c r="J386" s="336" t="n"/>
      <c r="K386" s="112" t="n"/>
      <c r="L386" s="39" t="n"/>
      <c r="M386" s="39" t="n"/>
      <c r="N386" s="39" t="n"/>
      <c r="O386" s="39" t="n"/>
      <c r="P386" s="116" t="n"/>
    </row>
    <row r="387">
      <c r="A387" s="108" t="n"/>
      <c r="B387" s="39" t="n"/>
      <c r="C387" s="278" t="n"/>
      <c r="I387" s="39" t="n"/>
      <c r="J387" s="336" t="n"/>
      <c r="K387" s="112" t="n"/>
      <c r="L387" s="39" t="n"/>
      <c r="M387" s="39" t="n"/>
      <c r="N387" s="39" t="n"/>
      <c r="O387" s="39" t="n"/>
      <c r="P387" s="52" t="n"/>
    </row>
    <row r="388">
      <c r="A388" s="108" t="n"/>
      <c r="B388" s="39" t="n"/>
      <c r="C388" s="278" t="n"/>
      <c r="I388" s="39" t="n"/>
      <c r="J388" s="336" t="n"/>
      <c r="K388" s="112" t="n"/>
      <c r="L388" s="39" t="n"/>
      <c r="M388" s="39" t="n"/>
      <c r="N388" s="39" t="n"/>
      <c r="O388" s="39" t="n"/>
      <c r="P388" s="52" t="n"/>
    </row>
    <row r="389">
      <c r="A389" s="108" t="n"/>
      <c r="B389" s="39" t="n"/>
      <c r="C389" s="278" t="n"/>
      <c r="I389" s="39" t="n"/>
      <c r="J389" s="336" t="n"/>
      <c r="K389" s="112" t="n"/>
      <c r="L389" s="39" t="n"/>
      <c r="M389" s="39" t="n"/>
      <c r="N389" s="39" t="n"/>
      <c r="O389" s="39" t="n"/>
      <c r="P389" s="52" t="n"/>
    </row>
    <row r="390">
      <c r="A390" s="108" t="n"/>
      <c r="B390" s="39" t="n"/>
      <c r="C390" s="278" t="n"/>
      <c r="I390" s="39" t="n"/>
      <c r="J390" s="336" t="n"/>
      <c r="K390" s="112" t="n"/>
      <c r="L390" s="39" t="n"/>
      <c r="M390" s="39" t="n"/>
      <c r="N390" s="39" t="n"/>
      <c r="O390" s="39" t="n"/>
      <c r="P390" s="116" t="n"/>
    </row>
    <row r="391">
      <c r="A391" s="108" t="n"/>
      <c r="B391" s="39" t="n"/>
      <c r="C391" s="278" t="n"/>
      <c r="I391" s="39" t="n"/>
      <c r="J391" s="336" t="n"/>
      <c r="K391" s="112" t="n"/>
      <c r="L391" s="39" t="n"/>
      <c r="M391" s="39" t="n"/>
      <c r="N391" s="39" t="n"/>
      <c r="O391" s="39" t="n"/>
      <c r="P391" s="52" t="n"/>
    </row>
    <row r="392">
      <c r="A392" s="108" t="n"/>
      <c r="B392" s="39" t="n"/>
      <c r="C392" s="278" t="n"/>
      <c r="I392" s="39" t="n"/>
      <c r="J392" s="336" t="n"/>
      <c r="K392" s="112" t="n"/>
      <c r="L392" s="39" t="n"/>
      <c r="M392" s="39" t="n"/>
      <c r="N392" s="39" t="n"/>
      <c r="O392" s="39" t="n"/>
      <c r="P392" s="52" t="n"/>
    </row>
    <row r="393">
      <c r="A393" s="108" t="n"/>
      <c r="B393" s="39" t="n"/>
      <c r="C393" s="278" t="n"/>
      <c r="I393" s="39" t="n"/>
      <c r="J393" s="336" t="n"/>
      <c r="K393" s="112" t="n"/>
      <c r="L393" s="39" t="n"/>
      <c r="M393" s="39" t="n"/>
      <c r="N393" s="39" t="n"/>
      <c r="O393" s="39" t="n"/>
      <c r="P393" s="52" t="n"/>
    </row>
    <row r="394">
      <c r="A394" s="108" t="n"/>
      <c r="B394" s="39" t="n"/>
      <c r="C394" s="278" t="n"/>
      <c r="I394" s="39" t="n"/>
      <c r="J394" s="336" t="n"/>
      <c r="K394" s="112" t="n"/>
      <c r="L394" s="39" t="n"/>
      <c r="M394" s="39" t="n"/>
      <c r="N394" s="39" t="n"/>
      <c r="O394" s="39" t="n"/>
      <c r="P394" s="52" t="n"/>
    </row>
    <row r="395">
      <c r="A395" s="108" t="n"/>
      <c r="B395" s="39" t="n"/>
      <c r="C395" s="278" t="n"/>
      <c r="I395" s="128" t="n"/>
      <c r="J395" s="176" t="n"/>
      <c r="K395" s="112" t="n"/>
      <c r="L395" s="6" t="n"/>
      <c r="M395" s="39" t="n"/>
      <c r="N395" s="39" t="n"/>
      <c r="O395" s="39" t="n"/>
      <c r="P395" s="116" t="n"/>
    </row>
    <row r="396">
      <c r="A396" s="108" t="n"/>
      <c r="B396" s="39" t="n"/>
      <c r="C396" s="278" t="n"/>
      <c r="I396" s="39" t="n"/>
      <c r="J396" s="336" t="n"/>
      <c r="K396" s="112" t="n"/>
      <c r="L396" s="39" t="n"/>
      <c r="M396" s="39" t="n"/>
      <c r="N396" s="39" t="n"/>
      <c r="O396" s="39" t="n"/>
      <c r="P396" s="116" t="n"/>
    </row>
    <row r="397" ht="15" customHeight="1">
      <c r="A397" s="108" t="n"/>
      <c r="B397" s="39" t="n"/>
      <c r="C397" s="278" t="n"/>
      <c r="I397" s="39" t="n"/>
      <c r="J397" s="336" t="n"/>
      <c r="K397" s="112" t="n"/>
      <c r="L397" s="39" t="n"/>
      <c r="M397" s="39" t="n"/>
      <c r="N397" s="39" t="n"/>
      <c r="O397" s="39" t="n"/>
      <c r="P397" s="116" t="n"/>
    </row>
    <row r="398">
      <c r="A398" s="108" t="n"/>
      <c r="B398" s="39" t="n"/>
      <c r="C398" s="278" t="n"/>
      <c r="I398" s="39" t="n"/>
      <c r="J398" s="336" t="n"/>
      <c r="K398" s="112" t="n"/>
      <c r="L398" s="39" t="n"/>
      <c r="M398" s="39" t="n"/>
      <c r="N398" s="112" t="n"/>
      <c r="O398" s="112" t="n"/>
      <c r="P398" s="116" t="n"/>
    </row>
    <row r="399">
      <c r="A399" s="108" t="n"/>
      <c r="B399" s="39" t="n"/>
      <c r="C399" s="278" t="n"/>
      <c r="I399" s="39" t="n"/>
      <c r="J399" s="336" t="n"/>
      <c r="K399" s="112" t="n"/>
      <c r="L399" s="39" t="n"/>
      <c r="M399" s="39" t="n"/>
      <c r="N399" s="39" t="n"/>
      <c r="O399" s="39" t="n"/>
      <c r="P399" s="116" t="n"/>
    </row>
    <row r="400">
      <c r="A400" s="108" t="n"/>
      <c r="B400" s="39" t="n"/>
      <c r="C400" s="278" t="n"/>
      <c r="I400" s="39" t="n"/>
      <c r="J400" s="336" t="n"/>
      <c r="K400" s="112" t="n"/>
      <c r="L400" s="39" t="n"/>
      <c r="M400" s="39" t="n"/>
      <c r="N400" s="39" t="n"/>
      <c r="O400" s="39" t="n"/>
      <c r="P400" s="116" t="n"/>
    </row>
    <row r="401">
      <c r="A401" s="108" t="n"/>
      <c r="B401" s="39" t="n"/>
      <c r="C401" s="278" t="n"/>
      <c r="I401" s="39" t="n"/>
      <c r="J401" s="336" t="n"/>
      <c r="K401" s="112" t="n"/>
      <c r="L401" s="39" t="n"/>
      <c r="M401" s="39" t="n"/>
      <c r="N401" s="39" t="n"/>
      <c r="O401" s="39" t="n"/>
      <c r="P401" s="116" t="n"/>
    </row>
    <row r="402">
      <c r="A402" s="108" t="n"/>
      <c r="B402" s="39" t="n"/>
      <c r="C402" s="278" t="n"/>
      <c r="I402" s="39" t="n"/>
      <c r="J402" s="336" t="n"/>
      <c r="K402" s="112" t="n"/>
      <c r="L402" s="39" t="n"/>
      <c r="M402" s="39" t="n"/>
      <c r="N402" s="39" t="n"/>
      <c r="O402" s="39" t="n"/>
      <c r="P402" s="116" t="n"/>
    </row>
    <row r="403">
      <c r="A403" s="108" t="n"/>
      <c r="B403" s="39" t="n"/>
      <c r="C403" s="278" t="n"/>
      <c r="I403" s="39" t="n"/>
      <c r="J403" s="336" t="n"/>
      <c r="K403" s="112" t="n"/>
      <c r="L403" s="39" t="n"/>
      <c r="M403" s="39" t="n"/>
      <c r="N403" s="39" t="n"/>
      <c r="O403" s="39" t="n"/>
      <c r="P403" s="116" t="n"/>
    </row>
    <row r="404">
      <c r="A404" s="108" t="n"/>
      <c r="B404" s="39" t="n"/>
      <c r="C404" s="278" t="n"/>
      <c r="I404" s="39" t="n"/>
      <c r="J404" s="336" t="n"/>
      <c r="K404" s="112" t="n"/>
      <c r="L404" s="39" t="n"/>
      <c r="M404" s="39" t="n"/>
      <c r="N404" s="39" t="n"/>
      <c r="O404" s="39" t="n"/>
      <c r="P404" s="116" t="n"/>
    </row>
    <row r="405">
      <c r="A405" s="108" t="n"/>
      <c r="B405" s="39" t="n"/>
      <c r="C405" s="278" t="n"/>
      <c r="I405" s="39" t="n"/>
      <c r="J405" s="336" t="n"/>
      <c r="K405" s="112" t="n"/>
      <c r="L405" s="39" t="n"/>
      <c r="M405" s="39" t="n"/>
      <c r="N405" s="39" t="n"/>
      <c r="O405" s="39" t="n"/>
      <c r="P405" s="116" t="n"/>
    </row>
    <row r="406" ht="15" customHeight="1">
      <c r="A406" s="108" t="n"/>
      <c r="B406" s="39" t="n"/>
      <c r="C406" s="278" t="n"/>
      <c r="I406" s="39" t="n"/>
      <c r="J406" s="336" t="n"/>
      <c r="K406" s="112" t="n"/>
      <c r="L406" s="39" t="n"/>
      <c r="M406" s="39" t="n"/>
      <c r="N406" s="39" t="n"/>
      <c r="O406" s="39" t="n"/>
      <c r="P406" s="52" t="n"/>
    </row>
    <row r="407">
      <c r="A407" s="108" t="n"/>
      <c r="B407" s="39" t="n"/>
      <c r="C407" s="278" t="n"/>
      <c r="I407" s="39" t="n"/>
      <c r="J407" s="336" t="n"/>
      <c r="K407" s="112" t="n"/>
      <c r="L407" s="39" t="n"/>
      <c r="M407" s="39" t="n"/>
      <c r="N407" s="39" t="n"/>
      <c r="O407" s="39" t="n"/>
      <c r="P407" s="116" t="n"/>
    </row>
    <row r="408" ht="15" customHeight="1">
      <c r="A408" s="108" t="n"/>
      <c r="B408" s="39" t="n"/>
      <c r="C408" s="278" t="n"/>
      <c r="I408" s="39" t="n"/>
      <c r="J408" s="336" t="n"/>
      <c r="K408" s="112" t="n"/>
      <c r="L408" s="39" t="n"/>
      <c r="M408" s="39" t="n"/>
      <c r="N408" s="39" t="n"/>
      <c r="O408" s="39" t="n"/>
      <c r="P408" s="52" t="n"/>
    </row>
    <row r="409">
      <c r="A409" s="108" t="n"/>
      <c r="B409" s="39" t="n"/>
      <c r="C409" s="278" t="n"/>
      <c r="I409" s="39" t="n"/>
      <c r="J409" s="336" t="n"/>
      <c r="K409" s="112" t="n"/>
      <c r="L409" s="39" t="n"/>
      <c r="M409" s="39" t="n"/>
      <c r="N409" s="39" t="n"/>
      <c r="O409" s="39" t="n"/>
      <c r="P409" s="52" t="n"/>
    </row>
    <row r="410">
      <c r="A410" s="108" t="n"/>
      <c r="B410" s="39" t="n"/>
      <c r="C410" s="278" t="n"/>
      <c r="I410" s="39" t="n"/>
      <c r="J410" s="336" t="n"/>
      <c r="K410" s="112" t="n"/>
      <c r="L410" s="39" t="n"/>
      <c r="M410" s="39" t="n"/>
      <c r="N410" s="39" t="n"/>
      <c r="O410" s="39" t="n"/>
      <c r="P410" s="52" t="n"/>
    </row>
    <row r="411">
      <c r="A411" s="108" t="n"/>
      <c r="B411" s="39" t="n"/>
      <c r="C411" s="278" t="n"/>
      <c r="I411" s="39" t="n"/>
      <c r="J411" s="336" t="n"/>
      <c r="K411" s="112" t="n"/>
      <c r="L411" s="39" t="n"/>
      <c r="M411" s="39" t="n"/>
      <c r="N411" s="39" t="n"/>
      <c r="O411" s="39" t="n"/>
      <c r="P411" s="52" t="n"/>
    </row>
    <row r="412" ht="15" customHeight="1">
      <c r="A412" s="108" t="n"/>
      <c r="B412" s="39" t="n"/>
      <c r="C412" s="278" t="n"/>
      <c r="I412" s="39" t="n"/>
      <c r="J412" s="336" t="n"/>
      <c r="K412" s="112" t="n"/>
      <c r="L412" s="39" t="n"/>
      <c r="M412" s="39" t="n"/>
      <c r="N412" s="39" t="n"/>
      <c r="O412" s="39" t="n"/>
      <c r="P412" s="52" t="n"/>
    </row>
    <row r="413">
      <c r="A413" s="108" t="n"/>
      <c r="B413" s="39" t="n"/>
      <c r="C413" s="278" t="n"/>
      <c r="I413" s="39" t="n"/>
      <c r="J413" s="336" t="n"/>
      <c r="K413" s="112" t="n"/>
      <c r="L413" s="39" t="n"/>
      <c r="M413" s="39" t="n"/>
      <c r="N413" s="39" t="n"/>
      <c r="O413" s="39" t="n"/>
      <c r="P413" s="52" t="n"/>
    </row>
    <row r="414">
      <c r="A414" s="108" t="n"/>
      <c r="B414" s="39" t="n"/>
      <c r="C414" s="278" t="n"/>
      <c r="I414" s="39" t="n"/>
      <c r="J414" s="336" t="n"/>
      <c r="K414" s="112" t="n"/>
      <c r="L414" s="39" t="n"/>
      <c r="M414" s="39" t="n"/>
      <c r="N414" s="39" t="n"/>
      <c r="O414" s="39" t="n"/>
      <c r="P414" s="116" t="n"/>
    </row>
    <row r="415">
      <c r="A415" s="108" t="n"/>
      <c r="B415" s="39" t="n"/>
      <c r="C415" s="278" t="n"/>
      <c r="I415" s="39" t="n"/>
      <c r="J415" s="336" t="n"/>
      <c r="K415" s="112" t="n"/>
      <c r="L415" s="39" t="n"/>
      <c r="M415" s="39" t="n"/>
      <c r="N415" s="39" t="n"/>
      <c r="O415" s="39" t="n"/>
      <c r="P415" s="52" t="n"/>
    </row>
    <row r="416">
      <c r="A416" s="108" t="n"/>
      <c r="B416" s="39" t="n"/>
      <c r="C416" s="278" t="n"/>
      <c r="I416" s="39" t="n"/>
      <c r="J416" s="336" t="n"/>
      <c r="K416" s="112" t="n"/>
      <c r="L416" s="39" t="n"/>
      <c r="M416" s="39" t="n"/>
      <c r="N416" s="39" t="n"/>
      <c r="O416" s="39" t="n"/>
      <c r="P416" s="52" t="n"/>
    </row>
    <row r="417">
      <c r="A417" s="108" t="n"/>
      <c r="B417" s="39" t="n"/>
      <c r="C417" s="278" t="n"/>
      <c r="I417" s="39" t="n"/>
      <c r="J417" s="336" t="n"/>
      <c r="K417" s="112" t="n"/>
      <c r="L417" s="39" t="n"/>
      <c r="M417" s="39" t="n"/>
      <c r="N417" s="39" t="n"/>
      <c r="O417" s="39" t="n"/>
      <c r="P417" s="116" t="n"/>
    </row>
    <row r="418">
      <c r="A418" s="108" t="n"/>
      <c r="B418" s="39" t="n"/>
      <c r="C418" s="278" t="n"/>
      <c r="I418" s="39" t="n"/>
      <c r="J418" s="336" t="n"/>
      <c r="K418" s="112" t="n"/>
      <c r="L418" s="39" t="n"/>
      <c r="M418" s="39" t="n"/>
      <c r="N418" s="39" t="n"/>
      <c r="O418" s="39" t="n"/>
      <c r="P418" s="116" t="n"/>
    </row>
    <row r="419">
      <c r="A419" s="108" t="n"/>
      <c r="B419" s="39" t="n"/>
      <c r="C419" s="278" t="n"/>
      <c r="I419" s="39" t="n"/>
      <c r="J419" s="336" t="n"/>
      <c r="K419" s="112" t="n"/>
      <c r="L419" s="39" t="n"/>
      <c r="M419" s="39" t="n"/>
      <c r="N419" s="39" t="n"/>
      <c r="O419" s="39" t="n"/>
      <c r="P419" s="52" t="n"/>
    </row>
    <row r="420">
      <c r="A420" s="108" t="n"/>
      <c r="B420" s="39" t="n"/>
      <c r="C420" s="278" t="n"/>
      <c r="I420" s="39" t="n"/>
      <c r="J420" s="336" t="n"/>
      <c r="K420" s="112" t="n"/>
      <c r="L420" s="39" t="n"/>
      <c r="M420" s="39" t="n"/>
      <c r="N420" s="39" t="n"/>
      <c r="O420" s="39" t="n"/>
      <c r="P420" s="52" t="n"/>
    </row>
    <row r="421">
      <c r="A421" s="108" t="n"/>
      <c r="B421" s="39" t="n"/>
      <c r="C421" s="278" t="n"/>
      <c r="I421" s="39" t="n"/>
      <c r="J421" s="336" t="n"/>
      <c r="K421" s="112" t="n"/>
      <c r="L421" s="39" t="n"/>
      <c r="M421" s="39" t="n"/>
      <c r="N421" s="39" t="n"/>
      <c r="O421" s="39" t="n"/>
      <c r="P421" s="52" t="n"/>
    </row>
    <row r="422">
      <c r="A422" s="108" t="n"/>
      <c r="B422" s="39" t="n"/>
      <c r="C422" s="278" t="n"/>
      <c r="I422" s="39" t="n"/>
      <c r="J422" s="336" t="n"/>
      <c r="K422" s="112" t="n"/>
      <c r="L422" s="39" t="n"/>
      <c r="M422" s="39" t="n"/>
      <c r="N422" s="39" t="n"/>
      <c r="O422" s="39" t="n"/>
      <c r="P422" s="116" t="n"/>
    </row>
    <row r="423">
      <c r="A423" s="108" t="n"/>
      <c r="B423" s="39" t="n"/>
      <c r="C423" s="278" t="n"/>
      <c r="I423" s="39" t="n"/>
      <c r="J423" s="336" t="n"/>
      <c r="K423" s="112" t="n"/>
      <c r="L423" s="39" t="n"/>
      <c r="M423" s="39" t="n"/>
      <c r="N423" s="39" t="n"/>
      <c r="O423" s="39" t="n"/>
      <c r="P423" s="52" t="n"/>
    </row>
    <row r="424">
      <c r="A424" s="108" t="n"/>
      <c r="B424" s="39" t="n"/>
      <c r="C424" s="278" t="n"/>
      <c r="I424" s="39" t="n"/>
      <c r="J424" s="336" t="n"/>
      <c r="K424" s="112" t="n"/>
      <c r="L424" s="39" t="n"/>
      <c r="M424" s="39" t="n"/>
      <c r="N424" s="39" t="n"/>
      <c r="O424" s="39" t="n"/>
      <c r="P424" s="52" t="n"/>
    </row>
    <row r="425">
      <c r="A425" s="108" t="n"/>
      <c r="B425" s="39" t="n"/>
      <c r="C425" s="278" t="n"/>
      <c r="I425" s="39" t="n"/>
      <c r="J425" s="336" t="n"/>
      <c r="K425" s="112" t="n"/>
      <c r="L425" s="39" t="n"/>
      <c r="M425" s="39" t="n"/>
      <c r="N425" s="39" t="n"/>
      <c r="O425" s="39" t="n"/>
      <c r="P425" s="52" t="n"/>
    </row>
    <row r="426">
      <c r="A426" s="108" t="n"/>
      <c r="B426" s="39" t="n"/>
      <c r="C426" s="278" t="n"/>
      <c r="I426" s="39" t="n"/>
      <c r="J426" s="336" t="n"/>
      <c r="K426" s="112" t="n"/>
      <c r="L426" s="39" t="n"/>
      <c r="M426" s="39" t="n"/>
      <c r="N426" s="39" t="n"/>
      <c r="O426" s="39" t="n"/>
      <c r="P426" s="52" t="n"/>
    </row>
    <row r="427">
      <c r="A427" s="108" t="n"/>
      <c r="B427" s="39" t="n"/>
      <c r="C427" s="278" t="n"/>
      <c r="I427" s="39" t="n"/>
      <c r="J427" s="336" t="n"/>
      <c r="K427" s="112" t="n"/>
      <c r="L427" s="39" t="n"/>
      <c r="M427" s="39" t="n"/>
      <c r="N427" s="39" t="n"/>
      <c r="O427" s="39" t="n"/>
      <c r="P427" s="52" t="n"/>
    </row>
    <row r="428">
      <c r="A428" s="108" t="n"/>
      <c r="B428" s="39" t="n"/>
      <c r="C428" s="278" t="n"/>
      <c r="I428" s="39" t="n"/>
      <c r="J428" s="336" t="n"/>
      <c r="K428" s="112" t="n"/>
      <c r="L428" s="39" t="n"/>
      <c r="M428" s="39" t="n"/>
      <c r="N428" s="39" t="n"/>
      <c r="O428" s="39" t="n"/>
      <c r="P428" s="116" t="n"/>
    </row>
    <row r="429">
      <c r="A429" s="108" t="n"/>
      <c r="B429" s="39" t="n"/>
      <c r="C429" s="278" t="n"/>
      <c r="I429" s="39" t="n"/>
      <c r="J429" s="336" t="n"/>
      <c r="K429" s="112" t="n"/>
      <c r="L429" s="39" t="n"/>
      <c r="M429" s="39" t="n"/>
      <c r="N429" s="39" t="n"/>
      <c r="O429" s="39" t="n"/>
      <c r="P429" s="116" t="n"/>
    </row>
    <row r="430">
      <c r="A430" s="108" t="n"/>
      <c r="B430" s="39" t="n"/>
      <c r="C430" s="278" t="n"/>
      <c r="I430" s="39" t="n"/>
      <c r="J430" s="336" t="n"/>
      <c r="K430" s="112" t="n"/>
      <c r="L430" s="39" t="n"/>
      <c r="M430" s="39" t="n"/>
      <c r="N430" s="39" t="n"/>
      <c r="O430" s="39" t="n"/>
      <c r="P430" s="116" t="n"/>
    </row>
    <row r="431">
      <c r="A431" s="108" t="n"/>
      <c r="B431" s="39" t="n"/>
      <c r="C431" s="278" t="n"/>
      <c r="I431" s="39" t="n"/>
      <c r="J431" s="336" t="n"/>
      <c r="K431" s="112" t="n"/>
      <c r="L431" s="39" t="n"/>
      <c r="M431" s="39" t="n"/>
      <c r="N431" s="39" t="n"/>
      <c r="O431" s="39" t="n"/>
      <c r="P431" s="116" t="n"/>
    </row>
    <row r="432">
      <c r="A432" s="108" t="n"/>
      <c r="B432" s="39" t="n"/>
      <c r="C432" s="278" t="n"/>
      <c r="I432" s="39" t="n"/>
      <c r="J432" s="336" t="n"/>
      <c r="K432" s="112" t="n"/>
      <c r="L432" s="39" t="n"/>
      <c r="M432" s="39" t="n"/>
      <c r="N432" s="39" t="n"/>
      <c r="O432" s="39" t="n"/>
      <c r="P432" s="52" t="n"/>
    </row>
    <row r="433" ht="15" customHeight="1">
      <c r="A433" s="108" t="n"/>
      <c r="B433" s="39" t="n"/>
      <c r="C433" s="278" t="n"/>
      <c r="I433" s="39" t="n"/>
      <c r="J433" s="336" t="n"/>
      <c r="K433" s="112" t="n"/>
      <c r="L433" s="39" t="n"/>
      <c r="M433" s="39" t="n"/>
      <c r="N433" s="39" t="n"/>
      <c r="O433" s="39" t="n"/>
      <c r="P433" s="52" t="n"/>
    </row>
    <row r="434" ht="15" customHeight="1">
      <c r="A434" s="108" t="n"/>
      <c r="B434" s="39" t="n"/>
      <c r="C434" s="278" t="n"/>
      <c r="I434" s="39" t="n"/>
      <c r="J434" s="336" t="n"/>
      <c r="K434" s="112" t="n"/>
      <c r="L434" s="39" t="n"/>
      <c r="M434" s="39" t="n"/>
      <c r="N434" s="39" t="n"/>
      <c r="O434" s="39" t="n"/>
      <c r="P434" s="116" t="n"/>
    </row>
    <row r="435">
      <c r="A435" s="108" t="n"/>
      <c r="B435" s="39" t="n"/>
      <c r="C435" s="278" t="n"/>
      <c r="I435" s="39" t="n"/>
      <c r="J435" s="336" t="n"/>
      <c r="K435" s="112" t="n"/>
      <c r="L435" s="39" t="n"/>
      <c r="M435" s="39" t="n"/>
      <c r="N435" s="39" t="n"/>
      <c r="O435" s="39" t="n"/>
      <c r="P435" s="52" t="n"/>
    </row>
    <row r="436">
      <c r="A436" s="108" t="n"/>
      <c r="B436" s="39" t="n"/>
      <c r="C436" s="278" t="n"/>
      <c r="I436" s="39" t="n"/>
      <c r="J436" s="336" t="n"/>
      <c r="K436" s="112" t="n"/>
      <c r="L436" s="39" t="n"/>
      <c r="M436" s="39" t="n"/>
      <c r="N436" s="39" t="n"/>
      <c r="O436" s="39" t="n"/>
      <c r="P436" s="52" t="n"/>
    </row>
    <row r="437">
      <c r="A437" s="108" t="n"/>
      <c r="B437" s="39" t="n"/>
      <c r="C437" s="278" t="n"/>
      <c r="I437" s="39" t="n"/>
      <c r="J437" s="336" t="n"/>
      <c r="K437" s="112" t="n"/>
      <c r="L437" s="39" t="n"/>
      <c r="M437" s="39" t="n"/>
      <c r="N437" s="39" t="n"/>
      <c r="O437" s="39" t="n"/>
      <c r="P437" s="52" t="n"/>
    </row>
    <row r="438">
      <c r="A438" s="108" t="n"/>
      <c r="B438" s="39" t="n"/>
      <c r="C438" s="278" t="n"/>
      <c r="I438" s="39" t="n"/>
      <c r="J438" s="336" t="n"/>
      <c r="K438" s="112" t="n"/>
      <c r="L438" s="39" t="n"/>
      <c r="M438" s="39" t="n"/>
      <c r="N438" s="39" t="n"/>
      <c r="O438" s="39" t="n"/>
      <c r="P438" s="116" t="n"/>
    </row>
    <row r="439">
      <c r="A439" s="108" t="n"/>
      <c r="B439" s="39" t="n"/>
      <c r="C439" s="278" t="n"/>
      <c r="I439" s="39" t="n"/>
      <c r="J439" s="336" t="n"/>
      <c r="K439" s="112" t="n"/>
      <c r="L439" s="39" t="n"/>
      <c r="M439" s="39" t="n"/>
      <c r="N439" s="39" t="n"/>
      <c r="O439" s="39" t="n"/>
      <c r="P439" s="52" t="n"/>
    </row>
    <row r="440">
      <c r="A440" s="108" t="n"/>
      <c r="B440" s="39" t="n"/>
      <c r="C440" s="278" t="n"/>
      <c r="I440" s="39" t="n"/>
      <c r="J440" s="336" t="n"/>
      <c r="K440" s="112" t="n"/>
      <c r="L440" s="39" t="n"/>
      <c r="M440" s="39" t="n"/>
      <c r="N440" s="39" t="n"/>
      <c r="O440" s="39" t="n"/>
      <c r="P440" s="52" t="n"/>
    </row>
    <row r="441">
      <c r="A441" s="108" t="n"/>
      <c r="B441" s="39" t="n"/>
      <c r="C441" s="278" t="n"/>
      <c r="I441" s="39" t="n"/>
      <c r="J441" s="336" t="n"/>
      <c r="K441" s="112" t="n"/>
      <c r="L441" s="39" t="n"/>
      <c r="M441" s="39" t="n"/>
      <c r="N441" s="39" t="n"/>
      <c r="O441" s="39" t="n"/>
      <c r="P441" s="116" t="n"/>
    </row>
    <row r="442">
      <c r="A442" s="108" t="n"/>
      <c r="B442" s="39" t="n"/>
      <c r="C442" s="278" t="n"/>
      <c r="I442" s="39" t="n"/>
      <c r="J442" s="336" t="n"/>
      <c r="K442" s="112" t="n"/>
      <c r="L442" s="39" t="n"/>
      <c r="M442" s="39" t="n"/>
      <c r="N442" s="39" t="n"/>
      <c r="O442" s="39" t="n"/>
      <c r="P442" s="52" t="n"/>
    </row>
    <row r="443">
      <c r="A443" s="108" t="n"/>
      <c r="B443" s="39" t="n"/>
      <c r="C443" s="278" t="n"/>
      <c r="I443" s="39" t="n"/>
      <c r="J443" s="336" t="n"/>
      <c r="K443" s="112" t="n"/>
      <c r="L443" s="39" t="n"/>
      <c r="M443" s="39" t="n"/>
      <c r="N443" s="39" t="n"/>
      <c r="O443" s="39" t="n"/>
      <c r="P443" s="116" t="n"/>
    </row>
    <row r="444">
      <c r="A444" s="108" t="n"/>
      <c r="B444" s="39" t="n"/>
      <c r="C444" s="278" t="n"/>
      <c r="I444" s="39" t="n"/>
      <c r="J444" s="336" t="n"/>
      <c r="K444" s="112" t="n"/>
      <c r="L444" s="39" t="n"/>
      <c r="M444" s="39" t="n"/>
      <c r="N444" s="39" t="n"/>
      <c r="O444" s="39" t="n"/>
      <c r="P444" s="116" t="n"/>
    </row>
    <row r="445">
      <c r="A445" s="108" t="n"/>
      <c r="B445" s="39" t="n"/>
      <c r="C445" s="278" t="n"/>
      <c r="I445" s="39" t="n"/>
      <c r="J445" s="336" t="n"/>
      <c r="K445" s="112" t="n"/>
      <c r="L445" s="39" t="n"/>
      <c r="M445" s="39" t="n"/>
      <c r="N445" s="39" t="n"/>
      <c r="O445" s="39" t="n"/>
      <c r="P445" s="52" t="n"/>
    </row>
    <row r="446">
      <c r="A446" s="108" t="n"/>
      <c r="B446" s="39" t="n"/>
      <c r="C446" s="278" t="n"/>
      <c r="I446" s="39" t="n"/>
      <c r="J446" s="336" t="n"/>
      <c r="K446" s="112" t="n"/>
      <c r="L446" s="39" t="n"/>
      <c r="M446" s="39" t="n"/>
      <c r="N446" s="39" t="n"/>
      <c r="O446" s="39" t="n"/>
      <c r="P446" s="52" t="n"/>
    </row>
    <row r="447">
      <c r="A447" s="108" t="n"/>
      <c r="B447" s="39" t="n"/>
      <c r="C447" s="278" t="n"/>
      <c r="I447" s="39" t="n"/>
      <c r="J447" s="336" t="n"/>
      <c r="K447" s="112" t="n"/>
      <c r="L447" s="39" t="n"/>
      <c r="M447" s="39" t="n"/>
      <c r="N447" s="39" t="n"/>
      <c r="O447" s="39" t="n"/>
      <c r="P447" s="52" t="n"/>
    </row>
    <row r="448">
      <c r="A448" s="108" t="n"/>
      <c r="B448" s="39" t="n"/>
      <c r="C448" s="278" t="n"/>
      <c r="I448" s="39" t="n"/>
      <c r="J448" s="336" t="n"/>
      <c r="K448" s="112" t="n"/>
      <c r="L448" s="39" t="n"/>
      <c r="M448" s="39" t="n"/>
      <c r="N448" s="39" t="n"/>
      <c r="O448" s="39" t="n"/>
      <c r="P448" s="52" t="n"/>
    </row>
    <row r="449">
      <c r="A449" s="108" t="n"/>
      <c r="B449" s="39" t="n"/>
      <c r="C449" s="278" t="n"/>
      <c r="I449" s="39" t="n"/>
      <c r="J449" s="336" t="n"/>
      <c r="K449" s="112" t="n"/>
      <c r="L449" s="39" t="n"/>
      <c r="M449" s="39" t="n"/>
      <c r="N449" s="39" t="n"/>
      <c r="O449" s="39" t="n"/>
      <c r="P449" s="52" t="n"/>
    </row>
    <row r="450">
      <c r="A450" s="108" t="n"/>
      <c r="B450" s="39" t="n"/>
      <c r="C450" s="278" t="n"/>
      <c r="I450" s="39" t="n"/>
      <c r="J450" s="336" t="n"/>
      <c r="K450" s="112" t="n"/>
      <c r="L450" s="39" t="n"/>
      <c r="M450" s="39" t="n"/>
      <c r="N450" s="39" t="n"/>
      <c r="O450" s="39" t="n"/>
      <c r="P450" s="52" t="n"/>
    </row>
    <row r="451">
      <c r="A451" s="108" t="n"/>
      <c r="B451" s="39" t="n"/>
      <c r="C451" s="278" t="n"/>
      <c r="I451" s="39" t="n"/>
      <c r="J451" s="336" t="n"/>
      <c r="K451" s="112" t="n"/>
      <c r="L451" s="39" t="n"/>
      <c r="M451" s="39" t="n"/>
      <c r="N451" s="39" t="n"/>
      <c r="O451" s="39" t="n"/>
      <c r="P451" s="116" t="n"/>
    </row>
    <row r="452">
      <c r="A452" s="108" t="n"/>
      <c r="B452" s="39" t="n"/>
      <c r="C452" s="278" t="n"/>
      <c r="I452" s="39" t="n"/>
      <c r="J452" s="336" t="n"/>
      <c r="K452" s="112" t="n"/>
      <c r="L452" s="39" t="n"/>
      <c r="M452" s="39" t="n"/>
      <c r="N452" s="39" t="n"/>
      <c r="O452" s="39" t="n"/>
      <c r="P452" s="52" t="n"/>
    </row>
    <row r="453">
      <c r="A453" s="108" t="n"/>
      <c r="B453" s="39" t="n"/>
      <c r="C453" s="278" t="n"/>
      <c r="I453" s="39" t="n"/>
      <c r="J453" s="336" t="n"/>
      <c r="K453" s="112" t="n"/>
      <c r="L453" s="39" t="n"/>
      <c r="M453" s="39" t="n"/>
      <c r="N453" s="39" t="n"/>
      <c r="O453" s="39" t="n"/>
      <c r="P453" s="52" t="n"/>
    </row>
    <row r="454">
      <c r="A454" s="108" t="n"/>
      <c r="B454" s="39" t="n"/>
      <c r="C454" s="278" t="n"/>
      <c r="I454" s="39" t="n"/>
      <c r="J454" s="336" t="n"/>
      <c r="K454" s="112" t="n"/>
      <c r="L454" s="39" t="n"/>
      <c r="M454" s="39" t="n"/>
      <c r="N454" s="39" t="n"/>
      <c r="O454" s="39" t="n"/>
      <c r="P454" s="116" t="n"/>
    </row>
    <row r="455">
      <c r="A455" s="108" t="n"/>
      <c r="B455" s="39" t="n"/>
      <c r="C455" s="278" t="n"/>
      <c r="I455" s="39" t="n"/>
      <c r="J455" s="336" t="n"/>
      <c r="K455" s="112" t="n"/>
      <c r="L455" s="39" t="n"/>
      <c r="M455" s="39" t="n"/>
      <c r="N455" s="39" t="n"/>
      <c r="O455" s="39" t="n"/>
      <c r="P455" s="52" t="n"/>
    </row>
    <row r="456">
      <c r="A456" s="108" t="n"/>
      <c r="B456" s="39" t="n"/>
      <c r="C456" s="278" t="n"/>
      <c r="I456" s="39" t="n"/>
      <c r="J456" s="336" t="n"/>
      <c r="K456" s="112" t="n"/>
      <c r="L456" s="39" t="n"/>
      <c r="M456" s="39" t="n"/>
      <c r="N456" s="39" t="n"/>
      <c r="O456" s="39" t="n"/>
      <c r="P456" s="52" t="n"/>
    </row>
    <row r="457">
      <c r="A457" s="108" t="n"/>
      <c r="B457" s="39" t="n"/>
      <c r="C457" s="278" t="n"/>
      <c r="I457" s="39" t="n"/>
      <c r="J457" s="336" t="n"/>
      <c r="K457" s="112" t="n"/>
      <c r="L457" s="39" t="n"/>
      <c r="M457" s="39" t="n"/>
      <c r="N457" s="39" t="n"/>
      <c r="O457" s="39" t="n"/>
      <c r="P457" s="52" t="n"/>
    </row>
    <row r="458">
      <c r="A458" s="108" t="n"/>
      <c r="B458" s="39" t="n"/>
      <c r="C458" s="278" t="n"/>
      <c r="I458" s="39" t="n"/>
      <c r="J458" s="336" t="n"/>
      <c r="K458" s="112" t="n"/>
      <c r="L458" s="39" t="n"/>
      <c r="M458" s="39" t="n"/>
      <c r="N458" s="39" t="n"/>
      <c r="O458" s="39" t="n"/>
      <c r="P458" s="116" t="n"/>
    </row>
    <row r="459">
      <c r="A459" s="108" t="n"/>
      <c r="B459" s="39" t="n"/>
      <c r="C459" s="278" t="n"/>
      <c r="I459" s="39" t="n"/>
      <c r="J459" s="336" t="n"/>
      <c r="K459" s="112" t="n"/>
      <c r="L459" s="39" t="n"/>
      <c r="M459" s="39" t="n"/>
      <c r="N459" s="39" t="n"/>
      <c r="O459" s="39" t="n"/>
      <c r="P459" s="116" t="n"/>
    </row>
    <row r="460">
      <c r="A460" s="108" t="n"/>
      <c r="B460" s="39" t="n"/>
      <c r="C460" s="278" t="n"/>
      <c r="I460" s="39" t="n"/>
      <c r="J460" s="336" t="n"/>
      <c r="K460" s="112" t="n"/>
      <c r="L460" s="39" t="n"/>
      <c r="M460" s="39" t="n"/>
      <c r="N460" s="39" t="n"/>
      <c r="O460" s="39" t="n"/>
      <c r="P460" s="116" t="n"/>
    </row>
    <row r="461">
      <c r="A461" s="108" t="n"/>
      <c r="B461" s="39" t="n"/>
      <c r="C461" s="278" t="n"/>
      <c r="I461" s="39" t="n"/>
      <c r="J461" s="336" t="n"/>
      <c r="K461" s="112" t="n"/>
      <c r="L461" s="39" t="n"/>
      <c r="M461" s="39" t="n"/>
      <c r="N461" s="39" t="n"/>
      <c r="O461" s="39" t="n"/>
      <c r="P461" s="52" t="n"/>
    </row>
    <row r="462">
      <c r="A462" s="108" t="n"/>
      <c r="B462" s="39" t="n"/>
      <c r="C462" s="278" t="n"/>
      <c r="I462" s="39" t="n"/>
      <c r="J462" s="336" t="n"/>
      <c r="K462" s="112" t="n"/>
      <c r="L462" s="39" t="n"/>
      <c r="M462" s="39" t="n"/>
      <c r="N462" s="39" t="n"/>
      <c r="O462" s="39" t="n"/>
      <c r="P462" s="52" t="n"/>
    </row>
    <row r="463">
      <c r="A463" s="108" t="n"/>
      <c r="B463" s="39" t="n"/>
      <c r="C463" s="278" t="n"/>
      <c r="I463" s="39" t="n"/>
      <c r="J463" s="336" t="n"/>
      <c r="K463" s="112" t="n"/>
      <c r="L463" s="39" t="n"/>
      <c r="M463" s="39" t="n"/>
      <c r="N463" s="39" t="n"/>
      <c r="O463" s="39" t="n"/>
      <c r="P463" s="52" t="n"/>
    </row>
    <row r="464">
      <c r="A464" s="108" t="n"/>
      <c r="B464" s="39" t="n"/>
      <c r="C464" s="278" t="n"/>
      <c r="I464" s="39" t="n"/>
      <c r="J464" s="336" t="n"/>
      <c r="K464" s="112" t="n"/>
      <c r="L464" s="39" t="n"/>
      <c r="M464" s="39" t="n"/>
      <c r="N464" s="39" t="n"/>
      <c r="O464" s="39" t="n"/>
      <c r="P464" s="52" t="n"/>
    </row>
    <row r="465">
      <c r="A465" s="108" t="n"/>
      <c r="B465" s="39" t="n"/>
      <c r="C465" s="278" t="n"/>
      <c r="I465" s="39" t="n"/>
      <c r="J465" s="336" t="n"/>
      <c r="K465" s="112" t="n"/>
      <c r="L465" s="39" t="n"/>
      <c r="M465" s="39" t="n"/>
      <c r="N465" s="39" t="n"/>
      <c r="O465" s="39" t="n"/>
      <c r="P465" s="52" t="n"/>
    </row>
    <row r="466">
      <c r="A466" s="108" t="n"/>
      <c r="B466" s="39" t="n"/>
      <c r="C466" s="278" t="n"/>
      <c r="I466" s="39" t="n"/>
      <c r="J466" s="336" t="n"/>
      <c r="K466" s="112" t="n"/>
      <c r="L466" s="39" t="n"/>
      <c r="M466" s="39" t="n"/>
      <c r="N466" s="39" t="n"/>
      <c r="O466" s="39" t="n"/>
      <c r="P466" s="52" t="n"/>
    </row>
    <row r="467">
      <c r="A467" s="108" t="n"/>
      <c r="B467" s="39" t="n"/>
      <c r="C467" s="278" t="n"/>
      <c r="I467" s="39" t="n"/>
      <c r="J467" s="336" t="n"/>
      <c r="K467" s="112" t="n"/>
      <c r="L467" s="39" t="n"/>
      <c r="M467" s="39" t="n"/>
      <c r="N467" s="39" t="n"/>
      <c r="O467" s="39" t="n"/>
      <c r="P467" s="52" t="n"/>
    </row>
    <row r="468">
      <c r="A468" s="108" t="n"/>
      <c r="B468" s="39" t="n"/>
      <c r="C468" s="278" t="n"/>
      <c r="I468" s="39" t="n"/>
      <c r="J468" s="336" t="n"/>
      <c r="K468" s="112" t="n"/>
      <c r="L468" s="39" t="n"/>
      <c r="M468" s="39" t="n"/>
      <c r="N468" s="39" t="n"/>
      <c r="O468" s="39" t="n"/>
      <c r="P468" s="52" t="n"/>
    </row>
    <row r="469">
      <c r="A469" s="108" t="n"/>
      <c r="B469" s="39" t="n"/>
      <c r="C469" s="278" t="n"/>
      <c r="I469" s="39" t="n"/>
      <c r="J469" s="336" t="n"/>
      <c r="K469" s="112" t="n"/>
      <c r="L469" s="39" t="n"/>
      <c r="M469" s="39" t="n"/>
      <c r="N469" s="39" t="n"/>
      <c r="O469" s="39" t="n"/>
      <c r="P469" s="52" t="n"/>
    </row>
    <row r="470">
      <c r="A470" s="108" t="n"/>
      <c r="B470" s="39" t="n"/>
      <c r="C470" s="278" t="n"/>
      <c r="I470" s="39" t="n"/>
      <c r="J470" s="336" t="n"/>
      <c r="K470" s="112" t="n"/>
      <c r="L470" s="39" t="n"/>
      <c r="M470" s="39" t="n"/>
      <c r="N470" s="39" t="n"/>
      <c r="O470" s="39" t="n"/>
      <c r="P470" s="116" t="n"/>
    </row>
    <row r="471">
      <c r="A471" s="108" t="n"/>
      <c r="B471" s="39" t="n"/>
      <c r="C471" s="278" t="n"/>
      <c r="I471" s="39" t="n"/>
      <c r="J471" s="336" t="n"/>
      <c r="K471" s="112" t="n"/>
      <c r="L471" s="39" t="n"/>
      <c r="M471" s="39" t="n"/>
      <c r="N471" s="39" t="n"/>
      <c r="O471" s="39" t="n"/>
      <c r="P471" s="116" t="n"/>
    </row>
    <row r="472">
      <c r="A472" s="108" t="n"/>
      <c r="B472" s="39" t="n"/>
      <c r="C472" s="278" t="n"/>
      <c r="I472" s="39" t="n"/>
      <c r="J472" s="336" t="n"/>
      <c r="K472" s="112" t="n"/>
      <c r="L472" s="39" t="n"/>
      <c r="M472" s="39" t="n"/>
      <c r="N472" s="39" t="n"/>
      <c r="O472" s="39" t="n"/>
      <c r="P472" s="52" t="n"/>
    </row>
    <row r="473">
      <c r="A473" s="108" t="n"/>
      <c r="B473" s="39" t="n"/>
      <c r="C473" s="278" t="n"/>
      <c r="I473" s="39" t="n"/>
      <c r="J473" s="336" t="n"/>
      <c r="K473" s="112" t="n"/>
      <c r="L473" s="39" t="n"/>
      <c r="M473" s="39" t="n"/>
      <c r="N473" s="39" t="n"/>
      <c r="O473" s="39" t="n"/>
      <c r="P473" s="52" t="n"/>
    </row>
    <row r="474">
      <c r="A474" s="108" t="n"/>
      <c r="B474" s="39" t="n"/>
      <c r="C474" s="278" t="n"/>
      <c r="I474" s="39" t="n"/>
      <c r="J474" s="336" t="n"/>
      <c r="K474" s="112" t="n"/>
      <c r="L474" s="39" t="n"/>
      <c r="M474" s="39" t="n"/>
      <c r="N474" s="39" t="n"/>
      <c r="O474" s="39" t="n"/>
      <c r="P474" s="52" t="n"/>
    </row>
    <row r="475">
      <c r="A475" s="108" t="n"/>
      <c r="B475" s="39" t="n"/>
      <c r="C475" s="278" t="n"/>
      <c r="I475" s="39" t="n"/>
      <c r="J475" s="336" t="n"/>
      <c r="K475" s="112" t="n"/>
      <c r="L475" s="39" t="n"/>
      <c r="M475" s="39" t="n"/>
      <c r="N475" s="39" t="n"/>
      <c r="O475" s="39" t="n"/>
      <c r="P475" s="52" t="n"/>
    </row>
    <row r="476">
      <c r="A476" s="108" t="n"/>
      <c r="B476" s="39" t="n"/>
      <c r="C476" s="278" t="n"/>
      <c r="I476" s="39" t="n"/>
      <c r="J476" s="336" t="n"/>
      <c r="K476" s="112" t="n"/>
      <c r="L476" s="39" t="n"/>
      <c r="M476" s="170" t="n"/>
      <c r="N476" s="103" t="n"/>
      <c r="O476" s="103" t="n"/>
      <c r="P476" s="116" t="n"/>
    </row>
    <row r="477">
      <c r="A477" s="108" t="n"/>
      <c r="B477" s="39" t="n"/>
      <c r="C477" s="278" t="n"/>
      <c r="I477" s="39" t="n"/>
      <c r="J477" s="336" t="n"/>
      <c r="K477" s="112" t="n"/>
      <c r="L477" s="39" t="n"/>
      <c r="M477" s="39" t="n"/>
      <c r="N477" s="39" t="n"/>
      <c r="O477" s="39" t="n"/>
      <c r="P477" s="52" t="n"/>
    </row>
    <row r="478">
      <c r="A478" s="108" t="n"/>
      <c r="B478" s="39" t="n"/>
      <c r="C478" s="278" t="n"/>
      <c r="I478" s="39" t="n"/>
      <c r="J478" s="336" t="n"/>
      <c r="K478" s="112" t="n"/>
      <c r="L478" s="39" t="n"/>
      <c r="M478" s="39" t="n"/>
      <c r="N478" s="39" t="n"/>
      <c r="O478" s="39" t="n"/>
      <c r="P478" s="52" t="n"/>
    </row>
    <row r="479">
      <c r="A479" s="108" t="n"/>
      <c r="B479" s="39" t="n"/>
      <c r="C479" s="278" t="n"/>
      <c r="I479" s="39" t="n"/>
      <c r="J479" s="336" t="n"/>
      <c r="K479" s="112" t="n"/>
      <c r="L479" s="39" t="n"/>
      <c r="M479" s="39" t="n"/>
      <c r="N479" s="39" t="n"/>
      <c r="O479" s="39" t="n"/>
      <c r="P479" s="52" t="n"/>
    </row>
    <row r="480">
      <c r="A480" s="108" t="n"/>
      <c r="B480" s="39" t="n"/>
      <c r="C480" s="278" t="n"/>
      <c r="I480" s="39" t="n"/>
      <c r="J480" s="336" t="n"/>
      <c r="K480" s="112" t="n"/>
      <c r="L480" s="39" t="n"/>
      <c r="M480" s="39" t="n"/>
      <c r="N480" s="39" t="n"/>
      <c r="O480" s="39" t="n"/>
      <c r="P480" s="52" t="n"/>
    </row>
    <row r="481">
      <c r="A481" s="108" t="n"/>
      <c r="B481" s="39" t="n"/>
      <c r="C481" s="278" t="n"/>
      <c r="I481" s="39" t="n"/>
      <c r="J481" s="336" t="n"/>
      <c r="K481" s="112" t="n"/>
      <c r="L481" s="39" t="n"/>
      <c r="M481" s="39" t="n"/>
      <c r="N481" s="39" t="n"/>
      <c r="O481" s="39" t="n"/>
      <c r="P481" s="52" t="n"/>
    </row>
    <row r="482">
      <c r="A482" s="108" t="n"/>
      <c r="B482" s="39" t="n"/>
      <c r="C482" s="278" t="n"/>
      <c r="I482" s="39" t="n"/>
      <c r="J482" s="336" t="n"/>
      <c r="K482" s="112" t="n"/>
      <c r="L482" s="39" t="n"/>
      <c r="M482" s="39" t="n"/>
      <c r="N482" s="39" t="n"/>
      <c r="O482" s="39" t="n"/>
      <c r="P482" s="52" t="n"/>
    </row>
    <row r="483">
      <c r="A483" s="108" t="n"/>
      <c r="B483" s="39" t="n"/>
      <c r="C483" s="278" t="n"/>
      <c r="I483" s="39" t="n"/>
      <c r="J483" s="336" t="n"/>
      <c r="K483" s="112" t="n"/>
      <c r="L483" s="39" t="n"/>
      <c r="M483" s="39" t="n"/>
      <c r="N483" s="39" t="n"/>
      <c r="O483" s="39" t="n"/>
      <c r="P483" s="116" t="n"/>
    </row>
    <row r="484">
      <c r="A484" s="108" t="n"/>
      <c r="B484" s="39" t="n"/>
      <c r="C484" s="278" t="n"/>
      <c r="I484" s="39" t="n"/>
      <c r="J484" s="336" t="n"/>
      <c r="K484" s="112" t="n"/>
      <c r="L484" s="39" t="n"/>
      <c r="M484" s="39" t="n"/>
      <c r="N484" s="39" t="n"/>
      <c r="O484" s="39" t="n"/>
      <c r="P484" s="52" t="n"/>
    </row>
    <row r="485">
      <c r="A485" s="108" t="n"/>
      <c r="B485" s="39" t="n"/>
      <c r="C485" s="278" t="n"/>
      <c r="I485" s="39" t="n"/>
      <c r="J485" s="336" t="n"/>
      <c r="K485" s="112" t="n"/>
      <c r="L485" s="39" t="n"/>
      <c r="M485" s="39" t="n"/>
      <c r="N485" s="39" t="n"/>
      <c r="O485" s="39" t="n"/>
      <c r="P485" s="52" t="n"/>
    </row>
    <row r="486">
      <c r="A486" s="108" t="n"/>
      <c r="B486" s="39" t="n"/>
      <c r="C486" s="278" t="n"/>
      <c r="I486" s="39" t="n"/>
      <c r="J486" s="336" t="n"/>
      <c r="K486" s="112" t="n"/>
      <c r="L486" s="39" t="n"/>
      <c r="M486" s="39" t="n"/>
      <c r="N486" s="39" t="n"/>
      <c r="O486" s="39" t="n"/>
      <c r="P486" s="52" t="n"/>
    </row>
    <row r="487">
      <c r="A487" s="108" t="n"/>
      <c r="B487" s="39" t="n"/>
      <c r="C487" s="278" t="n"/>
      <c r="I487" s="39" t="n"/>
      <c r="J487" s="336" t="n"/>
      <c r="K487" s="112" t="n"/>
      <c r="L487" s="39" t="n"/>
      <c r="M487" s="39" t="n"/>
      <c r="N487" s="39" t="n"/>
      <c r="O487" s="39" t="n"/>
      <c r="P487" s="52" t="n"/>
    </row>
    <row r="488">
      <c r="A488" s="108" t="n"/>
      <c r="B488" s="39" t="n"/>
      <c r="C488" s="278" t="n"/>
      <c r="I488" s="39" t="n"/>
      <c r="J488" s="336" t="n"/>
      <c r="K488" s="112" t="n"/>
      <c r="L488" s="39" t="n"/>
      <c r="M488" s="39" t="n"/>
      <c r="N488" s="39" t="n"/>
      <c r="O488" s="39" t="n"/>
      <c r="P488" s="116" t="n"/>
    </row>
    <row r="489">
      <c r="A489" s="108" t="n"/>
      <c r="B489" s="39" t="n"/>
      <c r="C489" s="278" t="n"/>
      <c r="I489" s="39" t="n"/>
      <c r="J489" s="336" t="n"/>
      <c r="K489" s="112" t="n"/>
      <c r="L489" s="39" t="n"/>
      <c r="M489" s="39" t="n"/>
      <c r="N489" s="39" t="n"/>
      <c r="O489" s="39" t="n"/>
      <c r="P489" s="52" t="n"/>
    </row>
    <row r="490">
      <c r="A490" s="108" t="n"/>
      <c r="B490" s="39" t="n"/>
      <c r="C490" s="278" t="n"/>
      <c r="I490" s="39" t="n"/>
      <c r="J490" s="336" t="n"/>
      <c r="K490" s="112" t="n"/>
      <c r="L490" s="39" t="n"/>
      <c r="M490" s="39" t="n"/>
      <c r="N490" s="39" t="n"/>
      <c r="O490" s="39" t="n"/>
      <c r="P490" s="52" t="n"/>
    </row>
    <row r="491">
      <c r="A491" s="108" t="n"/>
      <c r="B491" s="39" t="n"/>
      <c r="C491" s="278" t="n"/>
      <c r="I491" s="39" t="n"/>
      <c r="J491" s="336" t="n"/>
      <c r="K491" s="112" t="n"/>
      <c r="L491" s="39" t="n"/>
      <c r="M491" s="39" t="n"/>
      <c r="N491" s="39" t="n"/>
      <c r="O491" s="39" t="n"/>
      <c r="P491" s="52" t="n"/>
    </row>
    <row r="492">
      <c r="A492" s="108" t="n"/>
      <c r="B492" s="39" t="n"/>
      <c r="C492" s="278" t="n"/>
      <c r="I492" s="39" t="n"/>
      <c r="J492" s="336" t="n"/>
      <c r="K492" s="112" t="n"/>
      <c r="L492" s="39" t="n"/>
      <c r="M492" s="39" t="n"/>
      <c r="N492" s="39" t="n"/>
      <c r="O492" s="39" t="n"/>
      <c r="P492" s="52" t="n"/>
    </row>
    <row r="493">
      <c r="A493" s="108" t="n"/>
      <c r="B493" s="39" t="n"/>
      <c r="C493" s="278" t="n"/>
      <c r="I493" s="39" t="n"/>
      <c r="J493" s="336" t="n"/>
      <c r="K493" s="112" t="n"/>
      <c r="L493" s="39" t="n"/>
      <c r="M493" s="39" t="n"/>
      <c r="N493" s="39" t="n"/>
      <c r="O493" s="39" t="n"/>
      <c r="P493" s="52" t="n"/>
    </row>
    <row r="494">
      <c r="A494" s="108" t="n"/>
      <c r="B494" s="39" t="n"/>
      <c r="C494" s="278" t="n"/>
      <c r="I494" s="39" t="n"/>
      <c r="J494" s="336" t="n"/>
      <c r="K494" s="112" t="n"/>
      <c r="L494" s="39" t="n"/>
      <c r="M494" s="39" t="n"/>
      <c r="N494" s="39" t="n"/>
      <c r="O494" s="39" t="n"/>
      <c r="P494" s="52" t="n"/>
    </row>
    <row r="495">
      <c r="A495" s="108" t="n"/>
      <c r="B495" s="39" t="n"/>
      <c r="C495" s="278" t="n"/>
      <c r="I495" s="39" t="n"/>
      <c r="J495" s="336" t="n"/>
      <c r="K495" s="112" t="n"/>
      <c r="L495" s="39" t="n"/>
      <c r="M495" s="39" t="n"/>
      <c r="N495" s="39" t="n"/>
      <c r="O495" s="39" t="n"/>
      <c r="P495" s="52" t="n"/>
    </row>
    <row r="496">
      <c r="A496" s="108" t="n"/>
      <c r="B496" s="39" t="n"/>
      <c r="C496" s="278" t="n"/>
      <c r="I496" s="39" t="n"/>
      <c r="J496" s="336" t="n"/>
      <c r="K496" s="112" t="n"/>
      <c r="L496" s="39" t="n"/>
      <c r="M496" s="39" t="n"/>
      <c r="N496" s="39" t="n"/>
      <c r="O496" s="39" t="n"/>
      <c r="P496" s="52" t="n"/>
    </row>
    <row r="497">
      <c r="A497" s="108" t="n"/>
      <c r="B497" s="39" t="n"/>
      <c r="C497" s="278" t="n"/>
      <c r="I497" s="39" t="n"/>
      <c r="J497" s="336" t="n"/>
      <c r="K497" s="112" t="n"/>
      <c r="L497" s="39" t="n"/>
      <c r="M497" s="39" t="n"/>
      <c r="N497" s="39" t="n"/>
      <c r="O497" s="39" t="n"/>
      <c r="P497" s="52" t="n"/>
    </row>
    <row r="498">
      <c r="A498" s="108" t="n"/>
      <c r="B498" s="39" t="n"/>
      <c r="C498" s="278" t="n"/>
      <c r="I498" s="39" t="n"/>
      <c r="J498" s="336" t="n"/>
      <c r="K498" s="112" t="n"/>
      <c r="L498" s="39" t="n"/>
      <c r="M498" s="39" t="n"/>
      <c r="N498" s="39" t="n"/>
      <c r="O498" s="39" t="n"/>
      <c r="P498" s="52" t="n"/>
    </row>
    <row r="499">
      <c r="A499" s="108" t="n"/>
      <c r="B499" s="39" t="n"/>
      <c r="C499" s="278" t="n"/>
      <c r="I499" s="39" t="n"/>
      <c r="J499" s="336" t="n"/>
      <c r="K499" s="112" t="n"/>
      <c r="L499" s="39" t="n"/>
      <c r="M499" s="39" t="n"/>
      <c r="N499" s="39" t="n"/>
      <c r="O499" s="39" t="n"/>
      <c r="P499" s="52" t="n"/>
    </row>
    <row r="500">
      <c r="A500" s="108" t="n"/>
      <c r="B500" s="39" t="n"/>
      <c r="C500" s="278" t="n"/>
      <c r="I500" s="39" t="n"/>
      <c r="J500" s="336" t="n"/>
      <c r="K500" s="112" t="n"/>
      <c r="L500" s="39" t="n"/>
      <c r="M500" s="39" t="n"/>
      <c r="N500" s="39" t="n"/>
      <c r="O500" s="39" t="n"/>
      <c r="P500" s="52" t="n"/>
    </row>
    <row r="501">
      <c r="A501" s="108" t="n"/>
      <c r="B501" s="39" t="n"/>
      <c r="C501" s="278" t="n"/>
      <c r="I501" s="39" t="n"/>
      <c r="J501" s="336" t="n"/>
      <c r="K501" s="112" t="n"/>
      <c r="L501" s="39" t="n"/>
      <c r="M501" s="39" t="n"/>
      <c r="N501" s="39" t="n"/>
      <c r="O501" s="39" t="n"/>
      <c r="P501" s="52" t="n"/>
    </row>
    <row r="502">
      <c r="A502" s="108" t="n"/>
      <c r="B502" s="39" t="n"/>
      <c r="C502" s="278" t="n"/>
      <c r="I502" s="39" t="n"/>
      <c r="J502" s="336" t="n"/>
      <c r="K502" s="112" t="n"/>
      <c r="L502" s="39" t="n"/>
      <c r="M502" s="39" t="n"/>
      <c r="N502" s="39" t="n"/>
      <c r="O502" s="39" t="n"/>
      <c r="P502" s="52" t="n"/>
    </row>
    <row r="503">
      <c r="A503" s="108" t="n"/>
      <c r="B503" s="39" t="n"/>
      <c r="C503" s="278" t="n"/>
      <c r="I503" s="39" t="n"/>
      <c r="J503" s="336" t="n"/>
      <c r="K503" s="112" t="n"/>
      <c r="L503" s="39" t="n"/>
      <c r="M503" s="39" t="n"/>
      <c r="N503" s="39" t="n"/>
      <c r="O503" s="39" t="n"/>
      <c r="P503" s="116" t="n"/>
    </row>
    <row r="504">
      <c r="A504" s="108" t="n"/>
      <c r="B504" s="39" t="n"/>
      <c r="C504" s="278" t="n"/>
      <c r="I504" s="39" t="n"/>
      <c r="J504" s="336" t="n"/>
      <c r="K504" s="112" t="n"/>
      <c r="L504" s="39" t="n"/>
      <c r="M504" s="39" t="n"/>
      <c r="N504" s="39" t="n"/>
      <c r="O504" s="39" t="n"/>
      <c r="P504" s="116" t="n"/>
    </row>
    <row r="505">
      <c r="A505" s="108" t="n"/>
      <c r="B505" s="39" t="n"/>
      <c r="C505" s="278" t="n"/>
      <c r="I505" s="39" t="n"/>
      <c r="J505" s="336" t="n"/>
      <c r="K505" s="112" t="n"/>
      <c r="L505" s="39" t="n"/>
      <c r="M505" s="39" t="n"/>
      <c r="N505" s="39" t="n"/>
      <c r="O505" s="39" t="n"/>
      <c r="P505" s="116" t="n"/>
    </row>
    <row r="506" ht="15" customHeight="1">
      <c r="A506" s="108" t="n"/>
      <c r="B506" s="39" t="n"/>
      <c r="C506" s="278" t="n"/>
      <c r="I506" s="39" t="n"/>
      <c r="J506" s="336" t="n"/>
      <c r="K506" s="112" t="n"/>
      <c r="L506" s="39" t="n"/>
      <c r="M506" s="39" t="n"/>
      <c r="N506" s="39" t="n"/>
      <c r="O506" s="39" t="n"/>
      <c r="P506" s="116" t="n"/>
    </row>
    <row r="507" ht="15" customHeight="1">
      <c r="A507" s="108" t="n"/>
      <c r="B507" s="39" t="n"/>
      <c r="C507" s="278" t="n"/>
      <c r="I507" s="39" t="n"/>
      <c r="J507" s="336" t="n"/>
      <c r="K507" s="112" t="n"/>
      <c r="L507" s="39" t="n"/>
      <c r="M507" s="39" t="n"/>
      <c r="N507" s="39" t="n"/>
      <c r="O507" s="39" t="n"/>
      <c r="P507" s="116" t="n"/>
    </row>
    <row r="508">
      <c r="A508" s="108" t="n"/>
      <c r="B508" s="39" t="n"/>
      <c r="C508" s="278" t="n"/>
      <c r="I508" s="39" t="n"/>
      <c r="J508" s="336" t="n"/>
      <c r="K508" s="112" t="n"/>
      <c r="L508" s="39" t="n"/>
      <c r="M508" s="39" t="n"/>
      <c r="N508" s="39" t="n"/>
      <c r="O508" s="39" t="n"/>
      <c r="P508" s="52" t="n"/>
    </row>
    <row r="509" ht="15" customHeight="1">
      <c r="A509" s="108" t="n"/>
      <c r="B509" s="39" t="n"/>
      <c r="C509" s="278" t="n"/>
      <c r="I509" s="39" t="n"/>
      <c r="J509" s="336" t="n"/>
      <c r="K509" s="112" t="n"/>
      <c r="L509" s="39" t="n"/>
      <c r="M509" s="39" t="n"/>
      <c r="N509" s="39" t="n"/>
      <c r="O509" s="39" t="n"/>
      <c r="P509" s="52" t="n"/>
    </row>
    <row r="510">
      <c r="A510" s="108" t="n"/>
      <c r="B510" s="39" t="n"/>
      <c r="C510" s="278" t="n"/>
      <c r="I510" s="39" t="n"/>
      <c r="J510" s="336" t="n"/>
      <c r="K510" s="112" t="n"/>
      <c r="L510" s="39" t="n"/>
      <c r="M510" s="39" t="n"/>
      <c r="N510" s="39" t="n"/>
      <c r="O510" s="39" t="n"/>
      <c r="P510" s="52" t="n"/>
    </row>
    <row r="511" ht="15" customHeight="1">
      <c r="A511" s="108" t="n"/>
      <c r="B511" s="39" t="n"/>
      <c r="C511" s="278" t="n"/>
      <c r="I511" s="39" t="n"/>
      <c r="J511" s="336" t="n"/>
      <c r="K511" s="112" t="n"/>
      <c r="L511" s="39" t="n"/>
      <c r="M511" s="39" t="n"/>
      <c r="N511" s="39" t="n"/>
      <c r="O511" s="39" t="n"/>
      <c r="P511" s="52" t="n"/>
    </row>
    <row r="512">
      <c r="A512" s="108" t="n"/>
      <c r="B512" s="39" t="n"/>
      <c r="C512" s="278" t="n"/>
      <c r="I512" s="39" t="n"/>
      <c r="J512" s="336" t="n"/>
      <c r="K512" s="112" t="n"/>
      <c r="L512" s="39" t="n"/>
      <c r="M512" s="39" t="n"/>
      <c r="N512" s="39" t="n"/>
      <c r="O512" s="39" t="n"/>
      <c r="P512" s="116" t="n"/>
    </row>
    <row r="513">
      <c r="A513" s="108" t="n"/>
      <c r="B513" s="39" t="n"/>
      <c r="C513" s="278" t="n"/>
      <c r="I513" s="39" t="n"/>
      <c r="J513" s="336" t="n"/>
      <c r="K513" s="112" t="n"/>
      <c r="L513" s="39" t="n"/>
      <c r="M513" s="39" t="n"/>
      <c r="N513" s="39" t="n"/>
      <c r="O513" s="39" t="n"/>
      <c r="P513" s="52" t="n"/>
    </row>
    <row r="514">
      <c r="A514" s="108" t="n"/>
      <c r="B514" s="39" t="n"/>
      <c r="C514" s="278" t="n"/>
      <c r="I514" s="39" t="n"/>
      <c r="J514" s="336" t="n"/>
      <c r="K514" s="112" t="n"/>
      <c r="L514" s="39" t="n"/>
      <c r="M514" s="39" t="n"/>
      <c r="N514" s="39" t="n"/>
      <c r="O514" s="39" t="n"/>
      <c r="P514" s="52" t="n"/>
    </row>
    <row r="515">
      <c r="A515" s="108" t="n"/>
      <c r="B515" s="39" t="n"/>
      <c r="C515" s="278" t="n"/>
      <c r="I515" s="39" t="n"/>
      <c r="J515" s="336" t="n"/>
      <c r="K515" s="112" t="n"/>
      <c r="L515" s="39" t="n"/>
      <c r="M515" s="39" t="n"/>
      <c r="N515" s="39" t="n"/>
      <c r="O515" s="39" t="n"/>
      <c r="P515" s="52" t="n"/>
    </row>
    <row r="516">
      <c r="A516" s="108" t="n"/>
      <c r="B516" s="39" t="n"/>
      <c r="C516" s="278" t="n"/>
      <c r="I516" s="39" t="n"/>
      <c r="J516" s="336" t="n"/>
      <c r="K516" s="112" t="n"/>
      <c r="L516" s="39" t="n"/>
      <c r="M516" s="39" t="n"/>
      <c r="N516" s="39" t="n"/>
      <c r="O516" s="39" t="n"/>
      <c r="P516" s="52" t="n"/>
    </row>
    <row r="517">
      <c r="A517" s="108" t="n"/>
      <c r="B517" s="39" t="n"/>
      <c r="C517" s="278" t="n"/>
      <c r="I517" s="39" t="n"/>
      <c r="J517" s="336" t="n"/>
      <c r="K517" s="112" t="n"/>
      <c r="L517" s="39" t="n"/>
      <c r="M517" s="39" t="n"/>
      <c r="N517" s="39" t="n"/>
      <c r="O517" s="39" t="n"/>
      <c r="P517" s="52" t="n"/>
    </row>
    <row r="518">
      <c r="A518" s="108" t="n"/>
      <c r="B518" s="39" t="n"/>
      <c r="C518" s="278" t="n"/>
      <c r="I518" s="39" t="n"/>
      <c r="J518" s="336" t="n"/>
      <c r="K518" s="112" t="n"/>
      <c r="L518" s="39" t="n"/>
      <c r="M518" s="39" t="n"/>
      <c r="N518" s="39" t="n"/>
      <c r="O518" s="39" t="n"/>
      <c r="P518" s="52" t="n"/>
    </row>
    <row r="519">
      <c r="A519" s="108" t="n"/>
      <c r="B519" s="39" t="n"/>
      <c r="C519" s="278" t="n"/>
      <c r="I519" s="39" t="n"/>
      <c r="J519" s="336" t="n"/>
      <c r="K519" s="112" t="n"/>
      <c r="L519" s="39" t="n"/>
      <c r="M519" s="39" t="n"/>
      <c r="N519" s="39" t="n"/>
      <c r="O519" s="39" t="n"/>
      <c r="P519" s="52" t="n"/>
    </row>
    <row r="520" ht="15" customFormat="1" customHeight="1" s="153">
      <c r="A520" s="149" t="n"/>
      <c r="B520" s="39" t="n"/>
      <c r="C520" s="286" t="n"/>
      <c r="I520" s="150" t="n"/>
      <c r="J520" s="341" t="n"/>
      <c r="K520" s="112" t="n"/>
      <c r="L520" s="150" t="n"/>
      <c r="M520" s="150" t="n"/>
      <c r="N520" s="150" t="n"/>
      <c r="O520" s="150" t="n"/>
      <c r="P520" s="52" t="n"/>
    </row>
    <row r="521" customFormat="1" s="153">
      <c r="A521" s="149" t="n"/>
      <c r="B521" s="39" t="n"/>
      <c r="C521" s="287" t="n"/>
      <c r="I521" s="150" t="n"/>
      <c r="J521" s="341" t="n"/>
      <c r="K521" s="152" t="n"/>
      <c r="L521" s="150" t="n"/>
      <c r="M521" s="39" t="n"/>
      <c r="N521" s="39" t="n"/>
      <c r="O521" s="39" t="n"/>
      <c r="P521" s="52" t="n"/>
    </row>
    <row r="522" ht="15" customHeight="1">
      <c r="A522" s="108" t="n"/>
      <c r="B522" s="39" t="n"/>
      <c r="C522" s="278" t="n"/>
      <c r="I522" s="39" t="n"/>
      <c r="J522" s="336" t="n"/>
      <c r="K522" s="112" t="n"/>
      <c r="L522" s="39" t="n"/>
      <c r="M522" s="39" t="n"/>
      <c r="N522" s="39" t="n"/>
      <c r="O522" s="39" t="n"/>
      <c r="P522" s="52" t="n"/>
    </row>
    <row r="523">
      <c r="A523" s="108" t="n"/>
      <c r="B523" s="39" t="n"/>
      <c r="C523" s="278" t="n"/>
      <c r="I523" s="39" t="n"/>
      <c r="J523" s="336" t="n"/>
      <c r="K523" s="112" t="n"/>
      <c r="L523" s="39" t="n"/>
      <c r="M523" s="39" t="n"/>
      <c r="N523" s="39" t="n"/>
      <c r="O523" s="39" t="n"/>
      <c r="P523" s="116" t="n"/>
    </row>
    <row r="524">
      <c r="A524" s="108" t="n"/>
      <c r="B524" s="39" t="n"/>
      <c r="C524" s="278" t="n"/>
      <c r="I524" s="39" t="n"/>
      <c r="J524" s="336" t="n"/>
      <c r="K524" s="112" t="n"/>
      <c r="L524" s="39" t="n"/>
      <c r="M524" s="39" t="n"/>
      <c r="N524" s="39" t="n"/>
      <c r="O524" s="39" t="n"/>
      <c r="P524" s="52" t="n"/>
    </row>
    <row r="525" ht="15" customHeight="1">
      <c r="A525" s="108" t="n"/>
      <c r="B525" s="39" t="n"/>
      <c r="C525" s="278" t="n"/>
      <c r="I525" s="39" t="n"/>
      <c r="J525" s="336" t="n"/>
      <c r="K525" s="112" t="n"/>
      <c r="L525" s="39" t="n"/>
      <c r="M525" s="39" t="n"/>
      <c r="N525" s="39" t="n"/>
      <c r="O525" s="39" t="n"/>
      <c r="P525" s="52" t="n"/>
    </row>
    <row r="526">
      <c r="A526" s="108" t="n"/>
      <c r="B526" s="39" t="n"/>
      <c r="C526" s="278" t="n"/>
      <c r="I526" s="39" t="n"/>
      <c r="J526" s="336" t="n"/>
      <c r="K526" s="112" t="n"/>
      <c r="L526" s="39" t="n"/>
      <c r="M526" s="39" t="n"/>
      <c r="N526" s="39" t="n"/>
      <c r="O526" s="39" t="n"/>
      <c r="P526" s="52" t="n"/>
    </row>
    <row r="527">
      <c r="A527" s="108" t="n"/>
      <c r="B527" s="39" t="n"/>
      <c r="C527" s="278" t="n"/>
      <c r="I527" s="39" t="n"/>
      <c r="J527" s="336" t="n"/>
      <c r="K527" s="112" t="n"/>
      <c r="L527" s="39" t="n"/>
      <c r="M527" s="39" t="n"/>
      <c r="N527" s="39" t="n"/>
      <c r="O527" s="39" t="n"/>
      <c r="P527" s="52" t="n"/>
    </row>
    <row r="528">
      <c r="A528" s="108" t="n"/>
      <c r="B528" s="39" t="n"/>
      <c r="C528" s="278" t="n"/>
      <c r="I528" s="39" t="n"/>
      <c r="J528" s="336" t="n"/>
      <c r="K528" s="112" t="n"/>
      <c r="L528" s="39" t="n"/>
      <c r="M528" s="39" t="n"/>
      <c r="N528" s="39" t="n"/>
      <c r="O528" s="39" t="n"/>
      <c r="P528" s="52" t="n"/>
    </row>
    <row r="529">
      <c r="A529" s="108" t="n"/>
      <c r="B529" s="39" t="n"/>
      <c r="C529" s="278" t="n"/>
      <c r="I529" s="39" t="n"/>
      <c r="J529" s="336" t="n"/>
      <c r="K529" s="112" t="n"/>
      <c r="L529" s="39" t="n"/>
      <c r="M529" s="39" t="n"/>
      <c r="N529" s="39" t="n"/>
      <c r="O529" s="39" t="n"/>
      <c r="P529" s="52" t="n"/>
    </row>
    <row r="530">
      <c r="A530" s="108" t="n"/>
      <c r="B530" s="39" t="n"/>
      <c r="C530" s="278" t="n"/>
      <c r="I530" s="39" t="n"/>
      <c r="J530" s="336" t="n"/>
      <c r="K530" s="112" t="n"/>
      <c r="L530" s="39" t="n"/>
      <c r="M530" s="39" t="n"/>
      <c r="N530" s="39" t="n"/>
      <c r="O530" s="39" t="n"/>
      <c r="P530" s="52" t="n"/>
    </row>
    <row r="531">
      <c r="A531" s="108" t="n"/>
      <c r="B531" s="39" t="n"/>
      <c r="C531" s="278" t="n"/>
      <c r="I531" s="39" t="n"/>
      <c r="J531" s="336" t="n"/>
      <c r="K531" s="112" t="n"/>
      <c r="L531" s="39" t="n"/>
      <c r="M531" s="39" t="n"/>
      <c r="N531" s="39" t="n"/>
      <c r="O531" s="39" t="n"/>
      <c r="P531" s="52" t="n"/>
    </row>
    <row r="532">
      <c r="A532" s="108" t="n"/>
      <c r="B532" s="39" t="n"/>
      <c r="C532" s="278" t="n"/>
      <c r="I532" s="39" t="n"/>
      <c r="J532" s="336" t="n"/>
      <c r="K532" s="112" t="n"/>
      <c r="L532" s="39" t="n"/>
      <c r="M532" s="39" t="n"/>
      <c r="N532" s="39" t="n"/>
      <c r="O532" s="39" t="n"/>
      <c r="P532" s="116" t="n"/>
    </row>
    <row r="533">
      <c r="A533" s="108" t="n"/>
      <c r="B533" s="39" t="n"/>
      <c r="C533" s="278" t="n"/>
      <c r="I533" s="39" t="n"/>
      <c r="J533" s="336" t="n"/>
      <c r="K533" s="112" t="n"/>
      <c r="L533" s="39" t="n"/>
      <c r="M533" s="39" t="n"/>
      <c r="N533" s="39" t="n"/>
      <c r="O533" s="39" t="n"/>
      <c r="P533" s="116" t="n"/>
    </row>
    <row r="534">
      <c r="A534" s="108" t="n"/>
      <c r="B534" s="39" t="n"/>
      <c r="C534" s="278" t="n"/>
      <c r="I534" s="39" t="n"/>
      <c r="J534" s="336" t="n"/>
      <c r="K534" s="112" t="n"/>
      <c r="L534" s="39" t="n"/>
      <c r="M534" s="39" t="n"/>
      <c r="N534" s="39" t="n"/>
      <c r="O534" s="39" t="n"/>
      <c r="P534" s="52" t="n"/>
    </row>
    <row r="535">
      <c r="A535" s="108" t="n"/>
      <c r="B535" s="39" t="n"/>
      <c r="C535" s="278" t="n"/>
      <c r="I535" s="39" t="n"/>
      <c r="J535" s="336" t="n"/>
      <c r="K535" s="112" t="n"/>
      <c r="L535" s="39" t="n"/>
      <c r="M535" s="39" t="n"/>
      <c r="N535" s="39" t="n"/>
      <c r="O535" s="39" t="n"/>
      <c r="P535" s="52" t="n"/>
    </row>
    <row r="536">
      <c r="A536" s="108" t="n"/>
      <c r="B536" s="39" t="n"/>
      <c r="C536" s="278" t="n"/>
      <c r="I536" s="39" t="n"/>
      <c r="J536" s="336" t="n"/>
      <c r="K536" s="112" t="n"/>
      <c r="L536" s="39" t="n"/>
      <c r="M536" s="39" t="n"/>
      <c r="N536" s="39" t="n"/>
      <c r="O536" s="39" t="n"/>
      <c r="P536" s="52" t="n"/>
    </row>
    <row r="537">
      <c r="A537" s="108" t="n"/>
      <c r="B537" s="39" t="n"/>
      <c r="C537" s="278" t="n"/>
      <c r="I537" s="39" t="n"/>
      <c r="J537" s="336" t="n"/>
      <c r="K537" s="112" t="n"/>
      <c r="L537" s="39" t="n"/>
      <c r="M537" s="39" t="n"/>
      <c r="N537" s="39" t="n"/>
      <c r="O537" s="39" t="n"/>
      <c r="P537" s="52" t="n"/>
    </row>
    <row r="538">
      <c r="A538" s="108" t="n"/>
      <c r="B538" s="39" t="n"/>
      <c r="C538" s="278" t="n"/>
      <c r="I538" s="39" t="n"/>
      <c r="J538" s="336" t="n"/>
      <c r="K538" s="112" t="n"/>
      <c r="L538" s="39" t="n"/>
      <c r="M538" s="39" t="n"/>
      <c r="N538" s="39" t="n"/>
      <c r="O538" s="39" t="n"/>
      <c r="P538" s="52" t="n"/>
    </row>
    <row r="539">
      <c r="A539" s="108" t="n"/>
      <c r="B539" s="39" t="n"/>
      <c r="C539" s="278" t="n"/>
      <c r="I539" s="39" t="n"/>
      <c r="J539" s="336" t="n"/>
      <c r="K539" s="112" t="n"/>
      <c r="L539" s="39" t="n"/>
      <c r="M539" s="39" t="n"/>
      <c r="N539" s="39" t="n"/>
      <c r="O539" s="39" t="n"/>
      <c r="P539" s="52" t="n"/>
    </row>
    <row r="540" ht="15" customHeight="1">
      <c r="A540" s="108" t="n"/>
      <c r="B540" s="39" t="n"/>
      <c r="C540" s="278" t="n"/>
      <c r="I540" s="39" t="n"/>
      <c r="J540" s="336" t="n"/>
      <c r="K540" s="112" t="n"/>
      <c r="L540" s="39" t="n"/>
      <c r="M540" s="39" t="n"/>
      <c r="N540" s="39" t="n"/>
      <c r="O540" s="39" t="n"/>
      <c r="P540" s="52" t="n"/>
    </row>
    <row r="541">
      <c r="A541" s="108" t="n"/>
      <c r="B541" s="39" t="n"/>
      <c r="C541" s="278" t="n"/>
      <c r="I541" s="39" t="n"/>
      <c r="J541" s="336" t="n"/>
      <c r="K541" s="112" t="n"/>
      <c r="L541" s="39" t="n"/>
      <c r="M541" s="39" t="n"/>
      <c r="N541" s="39" t="n"/>
      <c r="O541" s="39" t="n"/>
      <c r="P541" s="52" t="n"/>
    </row>
    <row r="542">
      <c r="A542" s="108" t="n"/>
      <c r="B542" s="39" t="n"/>
      <c r="C542" s="278" t="n"/>
      <c r="I542" s="39" t="n"/>
      <c r="J542" s="336" t="n"/>
      <c r="K542" s="112" t="n"/>
      <c r="L542" s="39" t="n"/>
      <c r="M542" s="39" t="n"/>
      <c r="N542" s="39" t="n"/>
      <c r="O542" s="39" t="n"/>
      <c r="P542" s="116" t="n"/>
    </row>
    <row r="543">
      <c r="A543" s="108" t="n"/>
      <c r="B543" s="39" t="n"/>
      <c r="C543" s="278" t="n"/>
      <c r="I543" s="39" t="n"/>
      <c r="J543" s="336" t="n"/>
      <c r="K543" s="112" t="n"/>
      <c r="L543" s="39" t="n"/>
      <c r="M543" s="39" t="n"/>
      <c r="N543" s="39" t="n"/>
      <c r="O543" s="39" t="n"/>
      <c r="P543" s="52" t="n"/>
    </row>
    <row r="544">
      <c r="A544" s="108" t="n"/>
      <c r="B544" s="39" t="n"/>
      <c r="C544" s="278" t="n"/>
      <c r="I544" s="39" t="n"/>
      <c r="J544" s="336" t="n"/>
      <c r="K544" s="112" t="n"/>
      <c r="L544" s="39" t="n"/>
      <c r="M544" s="39" t="n"/>
      <c r="N544" s="39" t="n"/>
      <c r="O544" s="39" t="n"/>
      <c r="P544" s="116" t="n"/>
    </row>
    <row r="545">
      <c r="A545" s="108" t="n"/>
      <c r="B545" s="39" t="n"/>
      <c r="C545" s="278" t="n"/>
      <c r="I545" s="39" t="n"/>
      <c r="J545" s="336" t="n"/>
      <c r="K545" s="112" t="n"/>
      <c r="L545" s="39" t="n"/>
      <c r="M545" s="39" t="n"/>
      <c r="N545" s="39" t="n"/>
      <c r="O545" s="39" t="n"/>
      <c r="P545" s="116" t="n"/>
    </row>
    <row r="546">
      <c r="A546" s="108" t="n"/>
      <c r="B546" s="39" t="n"/>
      <c r="C546" s="278" t="n"/>
      <c r="I546" s="39" t="n"/>
      <c r="J546" s="336" t="n"/>
      <c r="K546" s="112" t="n"/>
      <c r="L546" s="39" t="n"/>
      <c r="M546" s="39" t="n"/>
      <c r="N546" s="39" t="n"/>
      <c r="O546" s="39" t="n"/>
      <c r="P546" s="155" t="n"/>
    </row>
    <row r="547">
      <c r="A547" s="108" t="n"/>
      <c r="B547" s="39" t="n"/>
      <c r="C547" s="278" t="n"/>
      <c r="I547" s="39" t="n"/>
      <c r="J547" s="336" t="n"/>
      <c r="K547" s="112" t="n"/>
      <c r="L547" s="39" t="n"/>
      <c r="M547" s="39" t="n"/>
      <c r="N547" s="39" t="n"/>
      <c r="O547" s="39" t="n"/>
      <c r="P547" s="52" t="n"/>
    </row>
    <row r="548">
      <c r="A548" s="108" t="n"/>
      <c r="B548" s="39" t="n"/>
      <c r="C548" s="278" t="n"/>
      <c r="I548" s="39" t="n"/>
      <c r="J548" s="336" t="n"/>
      <c r="K548" s="112" t="n"/>
      <c r="L548" s="39" t="n"/>
      <c r="M548" s="39" t="n"/>
      <c r="N548" s="39" t="n"/>
      <c r="O548" s="39" t="n"/>
      <c r="P548" s="116" t="n"/>
    </row>
    <row r="549" ht="15" customHeight="1">
      <c r="A549" s="108" t="n"/>
      <c r="B549" s="39" t="n"/>
      <c r="C549" s="278" t="n"/>
      <c r="I549" s="39" t="n"/>
      <c r="J549" s="336" t="n"/>
      <c r="K549" s="112" t="n"/>
      <c r="L549" s="39" t="n"/>
      <c r="M549" s="39" t="n"/>
      <c r="N549" s="39" t="n"/>
      <c r="O549" s="39" t="n"/>
      <c r="P549" s="116" t="n"/>
    </row>
    <row r="550">
      <c r="A550" s="108" t="n"/>
      <c r="B550" s="39" t="n"/>
      <c r="C550" s="278" t="n"/>
      <c r="I550" s="39" t="n"/>
      <c r="J550" s="336" t="n"/>
      <c r="K550" s="112" t="n"/>
      <c r="L550" s="39" t="n"/>
      <c r="M550" s="39" t="n"/>
      <c r="N550" s="39" t="n"/>
      <c r="O550" s="39" t="n"/>
      <c r="P550" s="116" t="n"/>
    </row>
    <row r="551">
      <c r="A551" s="108" t="n"/>
      <c r="B551" s="39" t="n"/>
      <c r="C551" s="278" t="n"/>
      <c r="I551" s="39" t="n"/>
      <c r="J551" s="336" t="n"/>
      <c r="K551" s="112" t="n"/>
      <c r="L551" s="39" t="n"/>
      <c r="M551" s="39" t="n"/>
      <c r="N551" s="39" t="n"/>
      <c r="O551" s="39" t="n"/>
      <c r="P551" s="116" t="n"/>
    </row>
    <row r="552">
      <c r="A552" s="108" t="n"/>
      <c r="B552" s="39" t="n"/>
      <c r="C552" s="278" t="n"/>
      <c r="I552" s="39" t="n"/>
      <c r="J552" s="336" t="n"/>
      <c r="K552" s="112" t="n"/>
      <c r="L552" s="39" t="n"/>
      <c r="M552" s="39" t="n"/>
      <c r="N552" s="39" t="n"/>
      <c r="O552" s="39" t="n"/>
      <c r="P552" s="52" t="n"/>
    </row>
    <row r="553">
      <c r="A553" s="108" t="n"/>
      <c r="B553" s="39" t="n"/>
      <c r="C553" s="278" t="n"/>
      <c r="I553" s="39" t="n"/>
      <c r="J553" s="336" t="n"/>
      <c r="K553" s="112" t="n"/>
      <c r="L553" s="39" t="n"/>
      <c r="M553" s="39" t="n"/>
      <c r="N553" s="39" t="n"/>
      <c r="O553" s="39" t="n"/>
      <c r="P553" s="52" t="n"/>
    </row>
    <row r="554">
      <c r="A554" s="108" t="n"/>
      <c r="B554" s="39" t="n"/>
      <c r="C554" s="278" t="n"/>
      <c r="I554" s="39" t="n"/>
      <c r="J554" s="336" t="n"/>
      <c r="K554" s="112" t="n"/>
      <c r="L554" s="39" t="n"/>
      <c r="M554" s="39" t="n"/>
      <c r="N554" s="39" t="n"/>
      <c r="O554" s="39" t="n"/>
      <c r="P554" s="116" t="n"/>
    </row>
    <row r="555">
      <c r="A555" s="108" t="n"/>
      <c r="B555" s="39" t="n"/>
      <c r="C555" s="278" t="n"/>
      <c r="I555" s="39" t="n"/>
      <c r="J555" s="336" t="n"/>
      <c r="K555" s="112" t="n"/>
      <c r="L555" s="39" t="n"/>
      <c r="M555" s="39" t="n"/>
      <c r="N555" s="39" t="n"/>
      <c r="O555" s="39" t="n"/>
      <c r="P555" s="116" t="n"/>
    </row>
    <row r="556">
      <c r="A556" s="108" t="n"/>
      <c r="B556" s="39" t="n"/>
      <c r="C556" s="278" t="n"/>
      <c r="I556" s="39" t="n"/>
      <c r="J556" s="336" t="n"/>
      <c r="K556" s="112" t="n"/>
      <c r="L556" s="39" t="n"/>
      <c r="M556" s="39" t="n"/>
      <c r="N556" s="39" t="n"/>
      <c r="O556" s="39" t="n"/>
      <c r="P556" s="155" t="n"/>
    </row>
    <row r="557">
      <c r="A557" s="108" t="n"/>
      <c r="B557" s="39" t="n"/>
      <c r="C557" s="278" t="n"/>
      <c r="I557" s="39" t="n"/>
      <c r="J557" s="336" t="n"/>
      <c r="K557" s="112" t="n"/>
      <c r="L557" s="39" t="n"/>
      <c r="M557" s="39" t="n"/>
      <c r="N557" s="39" t="n"/>
      <c r="O557" s="39" t="n"/>
      <c r="P557" s="116" t="n"/>
    </row>
    <row r="558">
      <c r="A558" s="108" t="n"/>
      <c r="B558" s="39" t="n"/>
      <c r="C558" s="278" t="n"/>
      <c r="I558" s="39" t="n"/>
      <c r="J558" s="336" t="n"/>
      <c r="K558" s="112" t="n"/>
      <c r="L558" s="39" t="n"/>
      <c r="M558" s="39" t="n"/>
      <c r="N558" s="39" t="n"/>
      <c r="O558" s="39" t="n"/>
      <c r="P558" s="52" t="n"/>
    </row>
    <row r="559">
      <c r="A559" s="108" t="n"/>
      <c r="B559" s="39" t="n"/>
      <c r="C559" s="278" t="n"/>
      <c r="I559" s="39" t="n"/>
      <c r="J559" s="336" t="n"/>
      <c r="K559" s="112" t="n"/>
      <c r="L559" s="39" t="n"/>
      <c r="M559" s="39" t="n"/>
      <c r="N559" s="39" t="n"/>
      <c r="O559" s="39" t="n"/>
      <c r="P559" s="52" t="n"/>
    </row>
    <row r="560">
      <c r="A560" s="108" t="n"/>
      <c r="B560" s="39" t="n"/>
      <c r="C560" s="278" t="n"/>
      <c r="I560" s="39" t="n"/>
      <c r="J560" s="336" t="n"/>
      <c r="K560" s="112" t="n"/>
      <c r="L560" s="39" t="n"/>
      <c r="M560" s="39" t="n"/>
      <c r="N560" s="39" t="n"/>
      <c r="O560" s="39" t="n"/>
      <c r="P560" s="52" t="n"/>
    </row>
    <row r="561">
      <c r="A561" s="108" t="n"/>
      <c r="B561" s="39" t="n"/>
      <c r="C561" s="278" t="n"/>
      <c r="I561" s="39" t="n"/>
      <c r="J561" s="336" t="n"/>
      <c r="K561" s="112" t="n"/>
      <c r="L561" s="39" t="n"/>
      <c r="M561" s="39" t="n"/>
      <c r="N561" s="39" t="n"/>
      <c r="O561" s="39" t="n"/>
      <c r="P561" s="52" t="n"/>
    </row>
    <row r="562">
      <c r="A562" s="108" t="n"/>
      <c r="B562" s="39" t="n"/>
      <c r="C562" s="278" t="n"/>
      <c r="I562" s="39" t="n"/>
      <c r="J562" s="336" t="n"/>
      <c r="K562" s="112" t="n"/>
      <c r="L562" s="39" t="n"/>
      <c r="M562" s="39" t="n"/>
      <c r="N562" s="39" t="n"/>
      <c r="O562" s="39" t="n"/>
      <c r="P562" s="116" t="n"/>
    </row>
    <row r="563">
      <c r="A563" s="108" t="n"/>
      <c r="B563" s="39" t="n"/>
      <c r="C563" s="278" t="n"/>
      <c r="I563" s="39" t="n"/>
      <c r="J563" s="336" t="n"/>
      <c r="K563" s="112" t="n"/>
      <c r="L563" s="39" t="n"/>
      <c r="M563" s="39" t="n"/>
      <c r="N563" s="39" t="n"/>
      <c r="O563" s="39" t="n"/>
      <c r="P563" s="52" t="n"/>
    </row>
    <row r="564">
      <c r="A564" s="108" t="n"/>
      <c r="B564" s="39" t="n"/>
      <c r="C564" s="278" t="n"/>
      <c r="I564" s="39" t="n"/>
      <c r="J564" s="336" t="n"/>
      <c r="K564" s="112" t="n"/>
      <c r="L564" s="39" t="n"/>
      <c r="M564" s="39" t="n"/>
      <c r="N564" s="39" t="n"/>
      <c r="O564" s="39" t="n"/>
      <c r="P564" s="52" t="n"/>
    </row>
    <row r="565">
      <c r="A565" s="108" t="n"/>
      <c r="B565" s="39" t="n"/>
      <c r="C565" s="278" t="n"/>
      <c r="I565" s="39" t="n"/>
      <c r="J565" s="336" t="n"/>
      <c r="K565" s="112" t="n"/>
      <c r="L565" s="39" t="n"/>
      <c r="M565" s="39" t="n"/>
      <c r="N565" s="39" t="n"/>
      <c r="O565" s="39" t="n"/>
      <c r="P565" s="52" t="n"/>
    </row>
    <row r="566">
      <c r="A566" s="108" t="n"/>
      <c r="B566" s="39" t="n"/>
      <c r="C566" s="278" t="n"/>
      <c r="I566" s="39" t="n"/>
      <c r="J566" s="336" t="n"/>
      <c r="K566" s="112" t="n"/>
      <c r="L566" s="39" t="n"/>
      <c r="M566" s="39" t="n"/>
      <c r="N566" s="39" t="n"/>
      <c r="O566" s="39" t="n"/>
      <c r="P566" s="52" t="n"/>
    </row>
    <row r="567">
      <c r="A567" s="108" t="n"/>
      <c r="B567" s="39" t="n"/>
      <c r="C567" s="278" t="n"/>
      <c r="I567" s="39" t="n"/>
      <c r="J567" s="336" t="n"/>
      <c r="K567" s="112" t="n"/>
      <c r="L567" s="39" t="n"/>
      <c r="M567" s="39" t="n"/>
      <c r="N567" s="39" t="n"/>
      <c r="O567" s="39" t="n"/>
      <c r="P567" s="116" t="n"/>
    </row>
    <row r="568">
      <c r="A568" s="108" t="n"/>
      <c r="B568" s="39" t="n"/>
      <c r="C568" s="278" t="n"/>
      <c r="I568" s="39" t="n"/>
      <c r="J568" s="336" t="n"/>
      <c r="K568" s="112" t="n"/>
      <c r="L568" s="39" t="n"/>
      <c r="M568" s="39" t="n"/>
      <c r="N568" s="39" t="n"/>
      <c r="O568" s="39" t="n"/>
      <c r="P568" s="52" t="n"/>
    </row>
    <row r="569">
      <c r="A569" s="108" t="n"/>
      <c r="B569" s="39" t="n"/>
      <c r="C569" s="278" t="n"/>
      <c r="I569" s="39" t="n"/>
      <c r="J569" s="336" t="n"/>
      <c r="K569" s="112" t="n"/>
      <c r="L569" s="39" t="n"/>
      <c r="M569" s="39" t="n"/>
      <c r="N569" s="39" t="n"/>
      <c r="O569" s="39" t="n"/>
      <c r="P569" s="116" t="n"/>
    </row>
    <row r="570">
      <c r="A570" s="108" t="n"/>
      <c r="B570" s="39" t="n"/>
      <c r="C570" s="278" t="n"/>
      <c r="I570" s="39" t="n"/>
      <c r="J570" s="336" t="n"/>
      <c r="K570" s="112" t="n"/>
      <c r="L570" s="39" t="n"/>
      <c r="M570" s="39" t="n"/>
      <c r="N570" s="39" t="n"/>
      <c r="O570" s="39" t="n"/>
      <c r="P570" s="116" t="n"/>
    </row>
    <row r="571">
      <c r="A571" s="108" t="n"/>
      <c r="B571" s="39" t="n"/>
      <c r="C571" s="278" t="n"/>
      <c r="I571" s="39" t="n"/>
      <c r="J571" s="336" t="n"/>
      <c r="K571" s="112" t="n"/>
      <c r="L571" s="39" t="n"/>
      <c r="M571" s="39" t="n"/>
      <c r="N571" s="39" t="n"/>
      <c r="O571" s="39" t="n"/>
      <c r="P571" s="116" t="n"/>
    </row>
    <row r="572">
      <c r="A572" s="108" t="n"/>
      <c r="B572" s="39" t="n"/>
      <c r="C572" s="278" t="n"/>
      <c r="I572" s="39" t="n"/>
      <c r="J572" s="336" t="n"/>
      <c r="K572" s="112" t="n"/>
      <c r="L572" s="39" t="n"/>
      <c r="M572" s="39" t="n"/>
      <c r="N572" s="39" t="n"/>
      <c r="O572" s="39" t="n"/>
      <c r="P572" s="52" t="n"/>
    </row>
    <row r="573">
      <c r="A573" s="108" t="n"/>
      <c r="B573" s="39" t="n"/>
      <c r="C573" s="278" t="n"/>
      <c r="I573" s="39" t="n"/>
      <c r="J573" s="336" t="n"/>
      <c r="K573" s="112" t="n"/>
      <c r="L573" s="39" t="n"/>
      <c r="M573" s="39" t="n"/>
      <c r="N573" s="39" t="n"/>
      <c r="O573" s="39" t="n"/>
      <c r="P573" s="52" t="n"/>
    </row>
    <row r="574">
      <c r="A574" s="108" t="n"/>
      <c r="B574" s="39" t="n"/>
      <c r="C574" s="278" t="n"/>
      <c r="I574" s="39" t="n"/>
      <c r="J574" s="336" t="n"/>
      <c r="K574" s="112" t="n"/>
      <c r="L574" s="39" t="n"/>
      <c r="M574" s="39" t="n"/>
      <c r="N574" s="39" t="n"/>
      <c r="O574" s="39" t="n"/>
      <c r="P574" s="116" t="n"/>
    </row>
    <row r="575">
      <c r="A575" s="108" t="n"/>
      <c r="B575" s="39" t="n"/>
      <c r="C575" s="278" t="n"/>
      <c r="I575" s="39" t="n"/>
      <c r="J575" s="336" t="n"/>
      <c r="K575" s="112" t="n"/>
      <c r="L575" s="39" t="n"/>
      <c r="M575" s="39" t="n"/>
      <c r="N575" s="39" t="n"/>
      <c r="O575" s="39" t="n"/>
      <c r="P575" s="52" t="n"/>
    </row>
    <row r="576">
      <c r="A576" s="108" t="n"/>
      <c r="B576" s="39" t="n"/>
      <c r="C576" s="278" t="n"/>
      <c r="I576" s="39" t="n"/>
      <c r="J576" s="336" t="n"/>
      <c r="K576" s="112" t="n"/>
      <c r="L576" s="39" t="n"/>
      <c r="M576" s="39" t="n"/>
      <c r="N576" s="39" t="n"/>
      <c r="O576" s="39" t="n"/>
      <c r="P576" s="52" t="n"/>
    </row>
    <row r="577">
      <c r="A577" s="108" t="n"/>
      <c r="B577" s="39" t="n"/>
      <c r="C577" s="278" t="n"/>
      <c r="I577" s="39" t="n"/>
      <c r="J577" s="336" t="n"/>
      <c r="K577" s="112" t="n"/>
      <c r="L577" s="39" t="n"/>
      <c r="M577" s="39" t="n"/>
      <c r="N577" s="39" t="n"/>
      <c r="O577" s="39" t="n"/>
      <c r="P577" s="52" t="n"/>
    </row>
    <row r="578">
      <c r="A578" s="108" t="n"/>
      <c r="B578" s="39" t="n"/>
      <c r="C578" s="278" t="n"/>
      <c r="I578" s="39" t="n"/>
      <c r="J578" s="336" t="n"/>
      <c r="K578" s="112" t="n"/>
      <c r="L578" s="39" t="n"/>
      <c r="M578" s="39" t="n"/>
      <c r="N578" s="39" t="n"/>
      <c r="O578" s="39" t="n"/>
      <c r="P578" s="52" t="n"/>
    </row>
    <row r="579">
      <c r="A579" s="108" t="n"/>
      <c r="B579" s="39" t="n"/>
      <c r="C579" s="278" t="n"/>
      <c r="I579" s="39" t="n"/>
      <c r="J579" s="336" t="n"/>
      <c r="K579" s="112" t="n"/>
      <c r="L579" s="39" t="n"/>
      <c r="M579" s="39" t="n"/>
      <c r="N579" s="39" t="n"/>
      <c r="O579" s="39" t="n"/>
      <c r="P579" s="116" t="n"/>
    </row>
    <row r="580" ht="15" customHeight="1">
      <c r="A580" s="108" t="n"/>
      <c r="B580" s="39" t="n"/>
      <c r="C580" s="278" t="n"/>
      <c r="I580" s="39" t="n"/>
      <c r="J580" s="336" t="n"/>
      <c r="K580" s="112" t="n"/>
      <c r="L580" s="39" t="n"/>
      <c r="M580" s="39" t="n"/>
      <c r="N580" s="154" t="n"/>
      <c r="O580" s="154" t="n"/>
      <c r="P580" s="52" t="n"/>
    </row>
    <row r="581" ht="15" customHeight="1">
      <c r="A581" s="108" t="n"/>
      <c r="B581" s="39" t="n"/>
      <c r="C581" s="278" t="n"/>
      <c r="I581" s="39" t="n"/>
      <c r="J581" s="336" t="n"/>
      <c r="K581" s="112" t="n"/>
      <c r="L581" s="39" t="n"/>
      <c r="M581" s="39" t="n"/>
      <c r="N581" s="39" t="n"/>
      <c r="O581" s="39" t="n"/>
      <c r="P581" s="52" t="n"/>
    </row>
    <row r="582">
      <c r="A582" s="108" t="n"/>
      <c r="B582" s="39" t="n"/>
      <c r="C582" s="278" t="n"/>
      <c r="I582" s="39" t="n"/>
      <c r="J582" s="336" t="n"/>
      <c r="K582" s="112" t="n"/>
      <c r="L582" s="39" t="n"/>
      <c r="M582" s="39" t="n"/>
      <c r="N582" s="39" t="n"/>
      <c r="O582" s="39" t="n"/>
      <c r="P582" s="52" t="n"/>
    </row>
    <row r="583">
      <c r="A583" s="108" t="n"/>
      <c r="B583" s="39" t="n"/>
      <c r="C583" s="278" t="n"/>
      <c r="I583" s="39" t="n"/>
      <c r="J583" s="336" t="n"/>
      <c r="K583" s="112" t="n"/>
      <c r="L583" s="39" t="n"/>
      <c r="M583" s="39" t="n"/>
      <c r="N583" s="39" t="n"/>
      <c r="O583" s="39" t="n"/>
      <c r="P583" s="116" t="n"/>
    </row>
    <row r="584">
      <c r="A584" s="108" t="n"/>
      <c r="B584" s="39" t="n"/>
      <c r="C584" s="278" t="n"/>
      <c r="I584" s="39" t="n"/>
      <c r="J584" s="336" t="n"/>
      <c r="K584" s="112" t="n"/>
      <c r="L584" s="39" t="n"/>
      <c r="M584" s="39" t="n"/>
      <c r="N584" s="39" t="n"/>
      <c r="O584" s="39" t="n"/>
      <c r="P584" s="52" t="n"/>
    </row>
    <row r="585">
      <c r="A585" s="108" t="n"/>
      <c r="B585" s="39" t="n"/>
      <c r="C585" s="278" t="n"/>
      <c r="I585" s="39" t="n"/>
      <c r="J585" s="336" t="n"/>
      <c r="K585" s="112" t="n"/>
      <c r="L585" s="39" t="n"/>
      <c r="M585" s="113" t="n"/>
      <c r="N585" s="39" t="n"/>
      <c r="O585" s="39" t="n"/>
      <c r="P585" s="116" t="n"/>
    </row>
    <row r="586">
      <c r="A586" s="108" t="n"/>
      <c r="B586" s="39" t="n"/>
      <c r="C586" s="278" t="n"/>
      <c r="I586" s="39" t="n"/>
      <c r="J586" s="336" t="n"/>
      <c r="K586" s="112" t="n"/>
      <c r="L586" s="39" t="n"/>
      <c r="M586" s="39" t="n"/>
      <c r="N586" s="39" t="n"/>
      <c r="O586" s="39" t="n"/>
      <c r="P586" s="52" t="n"/>
    </row>
    <row r="587">
      <c r="A587" s="108" t="n"/>
      <c r="B587" s="39" t="n"/>
      <c r="C587" s="278" t="n"/>
      <c r="I587" s="39" t="n"/>
      <c r="J587" s="336" t="n"/>
      <c r="K587" s="112" t="n"/>
      <c r="L587" s="39" t="n"/>
      <c r="M587" s="39" t="n"/>
      <c r="N587" s="39" t="n"/>
      <c r="O587" s="39" t="n"/>
      <c r="P587" s="52" t="n"/>
    </row>
    <row r="588">
      <c r="A588" s="108" t="n"/>
      <c r="B588" s="39" t="n"/>
      <c r="C588" s="278" t="n"/>
      <c r="I588" s="39" t="n"/>
      <c r="J588" s="336" t="n"/>
      <c r="K588" s="112" t="n"/>
      <c r="L588" s="39" t="n"/>
      <c r="M588" s="39" t="n"/>
      <c r="N588" s="39" t="n"/>
      <c r="O588" s="39" t="n"/>
      <c r="P588" s="52" t="n"/>
    </row>
    <row r="589">
      <c r="A589" s="108" t="n"/>
      <c r="B589" s="39" t="n"/>
      <c r="C589" s="278" t="n"/>
      <c r="I589" s="39" t="n"/>
      <c r="J589" s="336" t="n"/>
      <c r="K589" s="112" t="n"/>
      <c r="L589" s="39" t="n"/>
      <c r="M589" s="39" t="n"/>
      <c r="N589" s="39" t="n"/>
      <c r="O589" s="39" t="n"/>
      <c r="P589" s="116" t="n"/>
    </row>
    <row r="590">
      <c r="A590" s="108" t="n"/>
      <c r="B590" s="39" t="n"/>
      <c r="C590" s="278" t="n"/>
      <c r="I590" s="39" t="n"/>
      <c r="J590" s="336" t="n"/>
      <c r="K590" s="112" t="n"/>
      <c r="L590" s="39" t="n"/>
      <c r="M590" s="39" t="n"/>
      <c r="N590" s="39" t="n"/>
      <c r="O590" s="39" t="n"/>
      <c r="P590" s="116" t="n"/>
    </row>
    <row r="591">
      <c r="A591" s="108" t="n"/>
      <c r="B591" s="39" t="n"/>
      <c r="C591" s="278" t="n"/>
      <c r="I591" s="39" t="n"/>
      <c r="J591" s="336" t="n"/>
      <c r="K591" s="112" t="n"/>
      <c r="L591" s="39" t="n"/>
      <c r="M591" s="39" t="n"/>
      <c r="N591" s="39" t="n"/>
      <c r="O591" s="39" t="n"/>
      <c r="P591" s="52" t="n"/>
    </row>
    <row r="592">
      <c r="A592" s="108" t="n"/>
      <c r="B592" s="39" t="n"/>
      <c r="C592" s="278" t="n"/>
      <c r="I592" s="39" t="n"/>
      <c r="J592" s="336" t="n"/>
      <c r="K592" s="112" t="n"/>
      <c r="L592" s="39" t="n"/>
      <c r="M592" s="39" t="n"/>
      <c r="N592" s="39" t="n"/>
      <c r="O592" s="39" t="n"/>
      <c r="P592" s="52" t="n"/>
    </row>
    <row r="593">
      <c r="A593" s="108" t="n"/>
      <c r="B593" s="39" t="n"/>
      <c r="C593" s="278" t="n"/>
      <c r="I593" s="39" t="n"/>
      <c r="J593" s="336" t="n"/>
      <c r="K593" s="112" t="n"/>
      <c r="L593" s="39" t="n"/>
      <c r="M593" s="39" t="n"/>
      <c r="N593" s="39" t="n"/>
      <c r="O593" s="39" t="n"/>
      <c r="P593" s="52" t="n"/>
    </row>
    <row r="594">
      <c r="A594" s="108" t="n"/>
      <c r="B594" s="39" t="n"/>
      <c r="C594" s="278" t="n"/>
      <c r="I594" s="39" t="n"/>
      <c r="J594" s="336" t="n"/>
      <c r="K594" s="112" t="n"/>
      <c r="L594" s="39" t="n"/>
      <c r="M594" s="39" t="n"/>
      <c r="N594" s="39" t="n"/>
      <c r="O594" s="39" t="n"/>
      <c r="P594" s="52" t="n"/>
    </row>
    <row r="595">
      <c r="A595" s="108" t="n"/>
      <c r="B595" s="39" t="n"/>
      <c r="C595" s="278" t="n"/>
      <c r="I595" s="39" t="n"/>
      <c r="J595" s="336" t="n"/>
      <c r="K595" s="112" t="n"/>
      <c r="L595" s="39" t="n"/>
      <c r="M595" s="39" t="n"/>
      <c r="N595" s="39" t="n"/>
      <c r="O595" s="39" t="n"/>
      <c r="P595" s="52" t="n"/>
    </row>
    <row r="596">
      <c r="A596" s="108" t="n"/>
      <c r="B596" s="39" t="n"/>
      <c r="C596" s="278" t="n"/>
      <c r="I596" s="39" t="n"/>
      <c r="J596" s="336" t="n"/>
      <c r="K596" s="112" t="n"/>
      <c r="L596" s="39" t="n"/>
      <c r="M596" s="39" t="n"/>
      <c r="N596" s="39" t="n"/>
      <c r="O596" s="39" t="n"/>
      <c r="P596" s="52" t="n"/>
    </row>
    <row r="597">
      <c r="A597" s="108" t="n"/>
      <c r="B597" s="39" t="n"/>
      <c r="C597" s="278" t="n"/>
      <c r="I597" s="39" t="n"/>
      <c r="J597" s="336" t="n"/>
      <c r="K597" s="112" t="n"/>
      <c r="L597" s="39" t="n"/>
      <c r="M597" s="39" t="n"/>
      <c r="N597" s="39" t="n"/>
      <c r="O597" s="39" t="n"/>
      <c r="P597" s="52" t="n"/>
    </row>
    <row r="598">
      <c r="A598" s="108" t="n"/>
      <c r="B598" s="39" t="n"/>
      <c r="C598" s="278" t="n"/>
      <c r="I598" s="39" t="n"/>
      <c r="J598" s="339" t="n"/>
      <c r="K598" s="112" t="n"/>
      <c r="L598" s="39" t="n"/>
      <c r="M598" s="39" t="n"/>
      <c r="N598" s="39" t="n"/>
      <c r="O598" s="39" t="n"/>
      <c r="P598" s="52" t="n"/>
    </row>
    <row r="599">
      <c r="A599" s="108" t="n"/>
      <c r="B599" s="39" t="n"/>
      <c r="C599" s="278" t="n"/>
      <c r="I599" s="39" t="n"/>
      <c r="J599" s="336" t="n"/>
      <c r="K599" s="112" t="n"/>
      <c r="L599" s="39" t="n"/>
      <c r="M599" s="39" t="n"/>
      <c r="N599" s="39" t="n"/>
      <c r="O599" s="39" t="n"/>
      <c r="P599" s="52" t="n"/>
    </row>
    <row r="600">
      <c r="A600" s="108" t="n"/>
      <c r="B600" s="39" t="n"/>
      <c r="C600" s="278" t="n"/>
      <c r="I600" s="39" t="n"/>
      <c r="J600" s="336" t="n"/>
      <c r="K600" s="112" t="n"/>
      <c r="L600" s="39" t="n"/>
      <c r="M600" s="39" t="n"/>
      <c r="N600" s="39" t="n"/>
      <c r="O600" s="39" t="n"/>
      <c r="P600" s="116" t="n"/>
    </row>
    <row r="601">
      <c r="A601" s="108" t="n"/>
      <c r="B601" s="39" t="n"/>
      <c r="C601" s="278" t="n"/>
      <c r="I601" s="39" t="n"/>
      <c r="J601" s="336" t="n"/>
      <c r="K601" s="112" t="n"/>
      <c r="L601" s="39" t="n"/>
      <c r="M601" s="39" t="n"/>
      <c r="N601" s="39" t="n"/>
      <c r="O601" s="39" t="n"/>
      <c r="P601" s="116" t="n"/>
    </row>
    <row r="602">
      <c r="A602" s="108" t="n"/>
      <c r="B602" s="39" t="n"/>
      <c r="C602" s="278" t="n"/>
      <c r="I602" s="39" t="n"/>
      <c r="J602" s="336" t="n"/>
      <c r="K602" s="112" t="n"/>
      <c r="L602" s="39" t="n"/>
      <c r="M602" s="39" t="n"/>
      <c r="N602" s="39" t="n"/>
      <c r="O602" s="39" t="n"/>
      <c r="P602" s="116" t="n"/>
    </row>
    <row r="603">
      <c r="A603" s="108" t="n"/>
      <c r="B603" s="39" t="n"/>
      <c r="C603" s="278" t="n"/>
      <c r="I603" s="39" t="n"/>
      <c r="J603" s="336" t="n"/>
      <c r="K603" s="112" t="n"/>
      <c r="L603" s="39" t="n"/>
      <c r="M603" s="39" t="n"/>
      <c r="N603" s="39" t="n"/>
      <c r="O603" s="39" t="n"/>
      <c r="P603" s="52" t="n"/>
    </row>
    <row r="604" ht="14.25" customHeight="1">
      <c r="A604" s="108" t="n"/>
      <c r="B604" s="39" t="n"/>
      <c r="C604" s="278" t="n"/>
      <c r="I604" s="39" t="n"/>
      <c r="J604" s="336" t="n"/>
      <c r="K604" s="112" t="n"/>
      <c r="L604" s="39" t="n"/>
      <c r="M604" s="39" t="n"/>
      <c r="N604" s="39" t="n"/>
      <c r="O604" s="39" t="n"/>
      <c r="P604" s="52" t="n"/>
    </row>
    <row r="605" ht="14.25" customHeight="1">
      <c r="A605" s="108" t="n"/>
      <c r="B605" s="39" t="n"/>
      <c r="C605" s="278" t="n"/>
      <c r="I605" s="39" t="n"/>
      <c r="J605" s="336" t="n"/>
      <c r="K605" s="112" t="n"/>
      <c r="L605" s="39" t="n"/>
      <c r="M605" s="39" t="n"/>
      <c r="N605" s="39" t="n"/>
      <c r="O605" s="39" t="n"/>
      <c r="P605" s="52" t="n"/>
    </row>
    <row r="606" ht="14.25" customHeight="1">
      <c r="A606" s="108" t="n"/>
      <c r="B606" s="39" t="n"/>
      <c r="C606" s="278" t="n"/>
      <c r="I606" s="39" t="n"/>
      <c r="J606" s="336" t="n"/>
      <c r="K606" s="112" t="n"/>
      <c r="L606" s="39" t="n"/>
      <c r="M606" s="39" t="n"/>
      <c r="N606" s="39" t="n"/>
      <c r="O606" s="39" t="n"/>
      <c r="P606" s="52" t="n"/>
    </row>
    <row r="607" ht="14.25" customHeight="1">
      <c r="A607" s="108" t="n"/>
      <c r="B607" s="39" t="n"/>
      <c r="C607" s="278" t="n"/>
      <c r="I607" s="39" t="n"/>
      <c r="J607" s="336" t="n"/>
      <c r="K607" s="112" t="n"/>
      <c r="L607" s="39" t="n"/>
      <c r="M607" s="39" t="n"/>
      <c r="N607" s="39" t="n"/>
      <c r="O607" s="39" t="n"/>
      <c r="P607" s="116" t="n"/>
    </row>
    <row r="608" ht="14.25" customHeight="1">
      <c r="A608" s="108" t="n"/>
      <c r="B608" s="39" t="n"/>
      <c r="C608" s="278" t="n"/>
      <c r="I608" s="39" t="n"/>
      <c r="J608" s="336" t="n"/>
      <c r="K608" s="112" t="n"/>
      <c r="L608" s="39" t="n"/>
      <c r="M608" s="39" t="n"/>
      <c r="N608" s="39" t="n"/>
      <c r="O608" s="39" t="n"/>
      <c r="P608" s="52" t="n"/>
    </row>
    <row r="609" ht="14.25" customHeight="1">
      <c r="A609" s="108" t="n"/>
      <c r="B609" s="39" t="n"/>
      <c r="C609" s="278" t="n"/>
      <c r="I609" s="39" t="n"/>
      <c r="J609" s="336" t="n"/>
      <c r="K609" s="112" t="n"/>
      <c r="L609" s="39" t="n"/>
      <c r="M609" s="39" t="n"/>
      <c r="N609" s="39" t="n"/>
      <c r="O609" s="39" t="n"/>
      <c r="P609" s="52" t="n"/>
    </row>
    <row r="610" ht="14.25" customHeight="1">
      <c r="A610" s="108" t="n"/>
      <c r="B610" s="39" t="n"/>
      <c r="C610" s="278" t="n"/>
      <c r="I610" s="39" t="n"/>
      <c r="J610" s="336" t="n"/>
      <c r="K610" s="112" t="n"/>
      <c r="L610" s="39" t="n"/>
      <c r="M610" s="39" t="n"/>
      <c r="N610" s="39" t="n"/>
      <c r="O610" s="39" t="n"/>
      <c r="P610" s="52" t="n"/>
    </row>
    <row r="611" ht="14.25" customHeight="1">
      <c r="A611" s="108" t="n"/>
      <c r="B611" s="39" t="n"/>
      <c r="C611" s="278" t="n"/>
      <c r="I611" s="39" t="n"/>
      <c r="J611" s="336" t="n"/>
      <c r="K611" s="112" t="n"/>
      <c r="L611" s="39" t="n"/>
      <c r="M611" s="39" t="n"/>
      <c r="N611" s="39" t="n"/>
      <c r="O611" s="39" t="n"/>
      <c r="P611" s="116" t="n"/>
    </row>
    <row r="612" ht="14.25" customHeight="1">
      <c r="A612" s="108" t="n"/>
      <c r="B612" s="39" t="n"/>
      <c r="C612" s="278" t="n"/>
      <c r="I612" s="39" t="n"/>
      <c r="J612" s="336" t="n"/>
      <c r="K612" s="112" t="n"/>
      <c r="L612" s="39" t="n"/>
      <c r="M612" s="39" t="n"/>
      <c r="N612" s="39" t="n"/>
      <c r="O612" s="39" t="n"/>
      <c r="P612" s="52" t="n"/>
    </row>
    <row r="613" ht="14.25" customHeight="1">
      <c r="A613" s="108" t="n"/>
      <c r="B613" s="39" t="n"/>
      <c r="C613" s="278" t="n"/>
      <c r="I613" s="39" t="n"/>
      <c r="J613" s="336" t="n"/>
      <c r="K613" s="112" t="n"/>
      <c r="L613" s="39" t="n"/>
      <c r="M613" s="39" t="n"/>
      <c r="N613" s="39" t="n"/>
      <c r="O613" s="39" t="n"/>
      <c r="P613" s="116" t="n"/>
    </row>
    <row r="614" ht="14.25" customHeight="1">
      <c r="A614" s="108" t="n"/>
      <c r="B614" s="39" t="n"/>
      <c r="C614" s="278" t="n"/>
      <c r="I614" s="39" t="n"/>
      <c r="J614" s="336" t="n"/>
      <c r="K614" s="112" t="n"/>
      <c r="L614" s="39" t="n"/>
      <c r="M614" s="39" t="n"/>
      <c r="N614" s="39" t="n"/>
      <c r="O614" s="39" t="n"/>
      <c r="P614" s="52" t="n"/>
    </row>
    <row r="615" ht="14.25" customHeight="1">
      <c r="A615" s="108" t="n"/>
      <c r="B615" s="39" t="n"/>
      <c r="C615" s="278" t="n"/>
      <c r="I615" s="39" t="n"/>
      <c r="J615" s="336" t="n"/>
      <c r="K615" s="112" t="n"/>
      <c r="L615" s="39" t="n"/>
      <c r="M615" s="39" t="n"/>
      <c r="N615" s="39" t="n"/>
      <c r="O615" s="39" t="n"/>
      <c r="P615" s="52" t="n"/>
    </row>
    <row r="616" ht="14.25" customHeight="1">
      <c r="A616" s="108" t="n"/>
      <c r="B616" s="39" t="n"/>
      <c r="C616" s="278" t="n"/>
      <c r="I616" s="39" t="n"/>
      <c r="J616" s="336" t="n"/>
      <c r="K616" s="112" t="n"/>
      <c r="L616" s="39" t="n"/>
      <c r="M616" s="39" t="n"/>
      <c r="N616" s="39" t="n"/>
      <c r="O616" s="39" t="n"/>
      <c r="P616" s="52" t="n"/>
    </row>
    <row r="617" ht="14.25" customHeight="1">
      <c r="A617" s="108" t="n"/>
      <c r="B617" s="39" t="n"/>
      <c r="C617" s="278" t="n"/>
      <c r="I617" s="39" t="n"/>
      <c r="J617" s="336" t="n"/>
      <c r="K617" s="112" t="n"/>
      <c r="L617" s="39" t="n"/>
      <c r="M617" s="39" t="n"/>
      <c r="N617" s="39" t="n"/>
      <c r="O617" s="39" t="n"/>
      <c r="P617" s="52" t="n"/>
    </row>
    <row r="618">
      <c r="A618" s="108" t="n"/>
      <c r="B618" s="39" t="n"/>
      <c r="C618" s="278" t="n"/>
      <c r="I618" s="39" t="n"/>
      <c r="J618" s="336" t="n"/>
      <c r="K618" s="112" t="n"/>
      <c r="L618" s="39" t="n"/>
      <c r="M618" s="39" t="n"/>
      <c r="N618" s="39" t="n"/>
      <c r="O618" s="39" t="n"/>
      <c r="P618" s="52" t="n"/>
    </row>
    <row r="619">
      <c r="A619" s="108" t="n"/>
      <c r="B619" s="39" t="n"/>
      <c r="C619" s="278" t="n"/>
      <c r="I619" s="39" t="n"/>
      <c r="J619" s="336" t="n"/>
      <c r="K619" s="112" t="n"/>
      <c r="L619" s="39" t="n"/>
      <c r="M619" s="39" t="n"/>
      <c r="N619" s="39" t="n"/>
      <c r="O619" s="39" t="n"/>
      <c r="P619" s="52" t="n"/>
    </row>
    <row r="620">
      <c r="A620" s="108" t="n"/>
      <c r="B620" s="39" t="n"/>
      <c r="C620" s="278" t="n"/>
      <c r="I620" s="39" t="n"/>
      <c r="J620" s="336" t="n"/>
      <c r="K620" s="112" t="n"/>
      <c r="L620" s="39" t="n"/>
      <c r="M620" s="39" t="n"/>
      <c r="N620" s="39" t="n"/>
      <c r="O620" s="39" t="n"/>
      <c r="P620" s="52" t="n"/>
    </row>
    <row r="621">
      <c r="A621" s="108" t="n"/>
      <c r="B621" s="39" t="n"/>
      <c r="C621" s="278" t="n"/>
      <c r="I621" s="39" t="n"/>
      <c r="J621" s="336" t="n"/>
      <c r="K621" s="112" t="n"/>
      <c r="L621" s="39" t="n"/>
      <c r="M621" s="39" t="n"/>
      <c r="N621" s="39" t="n"/>
      <c r="O621" s="39" t="n"/>
      <c r="P621" s="52" t="n"/>
    </row>
    <row r="622">
      <c r="A622" s="108" t="n"/>
      <c r="B622" s="39" t="n"/>
      <c r="C622" s="278" t="n"/>
      <c r="I622" s="39" t="n"/>
      <c r="J622" s="336" t="n"/>
      <c r="K622" s="112" t="n"/>
      <c r="L622" s="39" t="n"/>
      <c r="M622" s="39" t="n"/>
      <c r="N622" s="39" t="n"/>
      <c r="O622" s="39" t="n"/>
      <c r="P622" s="52" t="n"/>
    </row>
    <row r="623">
      <c r="A623" s="108" t="n"/>
      <c r="B623" s="39" t="n"/>
      <c r="C623" s="278" t="n"/>
      <c r="I623" s="39" t="n"/>
      <c r="J623" s="336" t="n"/>
      <c r="K623" s="112" t="n"/>
      <c r="L623" s="39" t="n"/>
      <c r="M623" s="39" t="n"/>
      <c r="N623" s="39" t="n"/>
      <c r="O623" s="39" t="n"/>
      <c r="P623" s="52" t="n"/>
    </row>
    <row r="624">
      <c r="A624" s="108" t="n"/>
      <c r="B624" s="39" t="n"/>
      <c r="C624" s="278" t="n"/>
      <c r="I624" s="39" t="n"/>
      <c r="J624" s="336" t="n"/>
      <c r="K624" s="112" t="n"/>
      <c r="L624" s="39" t="n"/>
      <c r="M624" s="39" t="n"/>
      <c r="N624" s="39" t="n"/>
      <c r="O624" s="39" t="n"/>
      <c r="P624" s="116" t="n"/>
    </row>
    <row r="625">
      <c r="A625" s="108" t="n"/>
      <c r="B625" s="39" t="n"/>
      <c r="C625" s="278" t="n"/>
      <c r="I625" s="39" t="n"/>
      <c r="J625" s="336" t="n"/>
      <c r="K625" s="112" t="n"/>
      <c r="L625" s="39" t="n"/>
      <c r="M625" s="39" t="n"/>
      <c r="N625" s="39" t="n"/>
      <c r="O625" s="39" t="n"/>
      <c r="P625" s="116" t="n"/>
    </row>
    <row r="626">
      <c r="A626" s="108" t="n"/>
      <c r="B626" s="39" t="n"/>
      <c r="C626" s="278" t="n"/>
      <c r="I626" s="39" t="n"/>
      <c r="J626" s="336" t="n"/>
      <c r="K626" s="112" t="n"/>
      <c r="L626" s="170" t="n"/>
      <c r="M626" s="39" t="n"/>
      <c r="N626" s="39" t="n"/>
      <c r="O626" s="39" t="n"/>
      <c r="P626" s="116" t="n"/>
    </row>
    <row r="627">
      <c r="A627" s="108" t="n"/>
      <c r="B627" s="39" t="n"/>
      <c r="C627" s="278" t="n"/>
      <c r="I627" s="39" t="n"/>
      <c r="J627" s="336" t="n"/>
      <c r="K627" s="112" t="n"/>
      <c r="L627" s="39" t="n"/>
      <c r="M627" s="39" t="n"/>
      <c r="N627" s="39" t="n"/>
      <c r="O627" s="39" t="n"/>
      <c r="P627" s="52" t="n"/>
    </row>
    <row r="628">
      <c r="A628" s="108" t="n"/>
      <c r="B628" s="39" t="n"/>
      <c r="C628" s="278" t="n"/>
      <c r="I628" s="39" t="n"/>
      <c r="J628" s="336" t="n"/>
      <c r="K628" s="112" t="n"/>
      <c r="L628" s="39" t="n"/>
      <c r="M628" s="39" t="n"/>
      <c r="N628" s="39" t="n"/>
      <c r="O628" s="39" t="n"/>
      <c r="P628" s="52" t="n"/>
    </row>
    <row r="629">
      <c r="A629" s="108" t="n"/>
      <c r="B629" s="39" t="n"/>
      <c r="C629" s="278" t="n"/>
      <c r="I629" s="39" t="n"/>
      <c r="J629" s="336" t="n"/>
      <c r="K629" s="112" t="n"/>
      <c r="L629" s="39" t="n"/>
      <c r="M629" s="39" t="n"/>
      <c r="N629" s="39" t="n"/>
      <c r="O629" s="39" t="n"/>
      <c r="P629" s="52" t="n"/>
    </row>
    <row r="630">
      <c r="A630" s="108" t="n"/>
      <c r="B630" s="39" t="n"/>
      <c r="C630" s="278" t="n"/>
      <c r="I630" s="39" t="n"/>
      <c r="J630" s="336" t="n"/>
      <c r="K630" s="112" t="n"/>
      <c r="L630" s="39" t="n"/>
      <c r="M630" s="39" t="n"/>
      <c r="N630" s="39" t="n"/>
      <c r="O630" s="39" t="n"/>
      <c r="P630" s="52" t="n"/>
    </row>
    <row r="631">
      <c r="A631" s="108" t="n"/>
      <c r="B631" s="39" t="n"/>
      <c r="C631" s="278" t="n"/>
      <c r="I631" s="39" t="n"/>
      <c r="J631" s="336" t="n"/>
      <c r="K631" s="112" t="n"/>
      <c r="L631" s="39" t="n"/>
      <c r="M631" s="39" t="n"/>
      <c r="N631" s="39" t="n"/>
      <c r="O631" s="39" t="n"/>
      <c r="P631" s="52" t="n"/>
    </row>
    <row r="632">
      <c r="A632" s="108" t="n"/>
      <c r="B632" s="39" t="n"/>
      <c r="C632" s="278" t="n"/>
      <c r="I632" s="39" t="n"/>
      <c r="J632" s="336" t="n"/>
      <c r="K632" s="112" t="n"/>
      <c r="L632" s="39" t="n"/>
      <c r="M632" s="39" t="n"/>
      <c r="N632" s="39" t="n"/>
      <c r="O632" s="39" t="n"/>
      <c r="P632" s="52" t="n"/>
    </row>
    <row r="633">
      <c r="A633" s="108" t="n"/>
      <c r="B633" s="39" t="n"/>
      <c r="C633" s="278" t="n"/>
      <c r="I633" s="39" t="n"/>
      <c r="J633" s="336" t="n"/>
      <c r="K633" s="112" t="n"/>
      <c r="L633" s="39" t="n"/>
      <c r="M633" s="39" t="n"/>
      <c r="N633" s="39" t="n"/>
      <c r="O633" s="39" t="n"/>
      <c r="P633" s="52" t="n"/>
    </row>
    <row r="634">
      <c r="A634" s="108" t="n"/>
      <c r="B634" s="39" t="n"/>
      <c r="C634" s="278" t="n"/>
      <c r="I634" s="39" t="n"/>
      <c r="J634" s="336" t="n"/>
      <c r="K634" s="112" t="n"/>
      <c r="L634" s="39" t="n"/>
      <c r="M634" s="39" t="n"/>
      <c r="N634" s="39" t="n"/>
      <c r="O634" s="39" t="n"/>
      <c r="P634" s="116" t="n"/>
    </row>
    <row r="635">
      <c r="A635" s="108" t="n"/>
      <c r="B635" s="39" t="n"/>
      <c r="C635" s="278" t="n"/>
      <c r="I635" s="39" t="n"/>
      <c r="J635" s="336" t="n"/>
      <c r="K635" s="112" t="n"/>
      <c r="L635" s="39" t="n"/>
      <c r="M635" s="39" t="n"/>
      <c r="N635" s="39" t="n"/>
      <c r="O635" s="39" t="n"/>
      <c r="P635" s="116" t="n"/>
    </row>
    <row r="636">
      <c r="A636" s="108" t="n"/>
      <c r="B636" s="39" t="n"/>
      <c r="C636" s="278" t="n"/>
      <c r="I636" s="39" t="n"/>
      <c r="J636" s="336" t="n"/>
      <c r="K636" s="112" t="n"/>
      <c r="L636" s="39" t="n"/>
      <c r="M636" s="39" t="n"/>
      <c r="N636" s="39" t="n"/>
      <c r="O636" s="39" t="n"/>
      <c r="P636" s="116" t="n"/>
    </row>
    <row r="637">
      <c r="A637" s="108" t="n"/>
      <c r="B637" s="39" t="n"/>
      <c r="C637" s="278" t="n"/>
      <c r="I637" s="39" t="n"/>
      <c r="J637" s="336" t="n"/>
      <c r="K637" s="112" t="n"/>
      <c r="L637" s="39" t="n"/>
      <c r="M637" s="39" t="n"/>
      <c r="N637" s="39" t="n"/>
      <c r="O637" s="39" t="n"/>
      <c r="P637" s="116" t="n"/>
    </row>
    <row r="638">
      <c r="A638" s="108" t="n"/>
      <c r="B638" s="39" t="n"/>
      <c r="C638" s="278" t="n"/>
      <c r="I638" s="39" t="n"/>
      <c r="J638" s="336" t="n"/>
      <c r="K638" s="112" t="n"/>
      <c r="L638" s="39" t="n"/>
      <c r="M638" s="39" t="n"/>
      <c r="N638" s="39" t="n"/>
      <c r="O638" s="39" t="n"/>
      <c r="P638" s="116" t="n"/>
    </row>
    <row r="639">
      <c r="A639" s="108" t="n"/>
      <c r="B639" s="39" t="n"/>
      <c r="C639" s="278" t="n"/>
      <c r="I639" s="39" t="n"/>
      <c r="J639" s="336" t="n"/>
      <c r="K639" s="112" t="n"/>
      <c r="L639" s="39" t="n"/>
      <c r="M639" s="39" t="n"/>
      <c r="N639" s="39" t="n"/>
      <c r="O639" s="39" t="n"/>
      <c r="P639" s="52" t="n"/>
    </row>
    <row r="640">
      <c r="A640" s="108" t="n"/>
      <c r="B640" s="39" t="n"/>
      <c r="C640" s="278" t="n"/>
      <c r="I640" s="39" t="n"/>
      <c r="J640" s="336" t="n"/>
      <c r="K640" s="112" t="n"/>
      <c r="L640" s="39" t="n"/>
      <c r="M640" s="39" t="n"/>
      <c r="N640" s="39" t="n"/>
      <c r="O640" s="39" t="n"/>
      <c r="P640" s="116" t="n"/>
    </row>
    <row r="641">
      <c r="A641" s="108" t="n"/>
      <c r="B641" s="39" t="n"/>
      <c r="C641" s="278" t="n"/>
      <c r="I641" s="39" t="n"/>
      <c r="J641" s="336" t="n"/>
      <c r="K641" s="112" t="n"/>
      <c r="L641" s="39" t="n"/>
      <c r="M641" s="39" t="n"/>
      <c r="N641" s="39" t="n"/>
      <c r="O641" s="39" t="n"/>
      <c r="P641" s="52" t="n"/>
    </row>
    <row r="642">
      <c r="A642" s="108" t="n"/>
      <c r="B642" s="39" t="n"/>
      <c r="C642" s="278" t="n"/>
      <c r="I642" s="39" t="n"/>
      <c r="J642" s="336" t="n"/>
      <c r="K642" s="112" t="n"/>
      <c r="L642" s="39" t="n"/>
      <c r="M642" s="39" t="n"/>
      <c r="N642" s="39" t="n"/>
      <c r="O642" s="39" t="n"/>
      <c r="P642" s="116" t="n"/>
    </row>
    <row r="643">
      <c r="A643" s="108" t="n"/>
      <c r="B643" s="39" t="n"/>
      <c r="C643" s="278" t="n"/>
      <c r="I643" s="39" t="n"/>
      <c r="J643" s="336" t="n"/>
      <c r="K643" s="112" t="n"/>
      <c r="L643" s="39" t="n"/>
      <c r="M643" s="39" t="n"/>
      <c r="N643" s="39" t="n"/>
      <c r="O643" s="39" t="n"/>
      <c r="P643" s="52" t="n"/>
    </row>
    <row r="644">
      <c r="A644" s="108" t="n"/>
      <c r="B644" s="39" t="n"/>
      <c r="C644" s="278" t="n"/>
      <c r="I644" s="39" t="n"/>
      <c r="J644" s="336" t="n"/>
      <c r="K644" s="112" t="n"/>
      <c r="L644" s="39" t="n"/>
      <c r="M644" s="39" t="n"/>
      <c r="N644" s="39" t="n"/>
      <c r="O644" s="39" t="n"/>
      <c r="P644" s="116" t="n"/>
    </row>
    <row r="645">
      <c r="A645" s="108" t="n"/>
      <c r="B645" s="39" t="n"/>
      <c r="C645" s="278" t="n"/>
      <c r="I645" s="39" t="n"/>
      <c r="J645" s="336" t="n"/>
      <c r="K645" s="112" t="n"/>
      <c r="L645" s="39" t="n"/>
      <c r="M645" s="39" t="n"/>
      <c r="N645" s="39" t="n"/>
      <c r="O645" s="39" t="n"/>
      <c r="P645" s="52" t="n"/>
    </row>
    <row r="646">
      <c r="A646" s="108" t="n"/>
      <c r="B646" s="39" t="n"/>
      <c r="C646" s="278" t="n"/>
      <c r="I646" s="39" t="n"/>
      <c r="J646" s="336" t="n"/>
      <c r="K646" s="112" t="n"/>
      <c r="L646" s="39" t="n"/>
      <c r="M646" s="39" t="n"/>
      <c r="N646" s="39" t="n"/>
      <c r="O646" s="39" t="n"/>
      <c r="P646" s="52" t="n"/>
    </row>
    <row r="647">
      <c r="A647" s="108" t="n"/>
      <c r="B647" s="39" t="n"/>
      <c r="C647" s="278" t="n"/>
      <c r="I647" s="39" t="n"/>
      <c r="J647" s="336" t="n"/>
      <c r="K647" s="112" t="n"/>
      <c r="L647" s="39" t="n"/>
      <c r="M647" s="39" t="n"/>
      <c r="N647" s="39" t="n"/>
      <c r="O647" s="39" t="n"/>
      <c r="P647" s="52" t="n"/>
    </row>
    <row r="648">
      <c r="A648" s="108" t="n"/>
      <c r="B648" s="39" t="n"/>
      <c r="C648" s="278" t="n"/>
      <c r="I648" s="39" t="n"/>
      <c r="J648" s="336" t="n"/>
      <c r="K648" s="112" t="n"/>
      <c r="L648" s="39" t="n"/>
      <c r="M648" s="39" t="n"/>
      <c r="N648" s="39" t="n"/>
      <c r="O648" s="39" t="n"/>
      <c r="P648" s="116" t="n"/>
    </row>
    <row r="649">
      <c r="A649" s="108" t="n"/>
      <c r="B649" s="39" t="n"/>
      <c r="C649" s="278" t="n"/>
      <c r="I649" s="39" t="n"/>
      <c r="J649" s="336" t="n"/>
      <c r="K649" s="112" t="n"/>
      <c r="L649" s="39" t="n"/>
      <c r="M649" s="39" t="n"/>
      <c r="N649" s="39" t="n"/>
      <c r="O649" s="39" t="n"/>
      <c r="P649" s="116" t="n"/>
    </row>
    <row r="650">
      <c r="A650" s="108" t="n"/>
      <c r="B650" s="39" t="n"/>
      <c r="C650" s="278" t="n"/>
      <c r="I650" s="39" t="n"/>
      <c r="J650" s="336" t="n"/>
      <c r="K650" s="112" t="n"/>
      <c r="L650" s="39" t="n"/>
      <c r="M650" s="39" t="n"/>
      <c r="N650" s="39" t="n"/>
      <c r="O650" s="39" t="n"/>
      <c r="P650" s="52" t="n"/>
    </row>
    <row r="651">
      <c r="A651" s="108" t="n"/>
      <c r="B651" s="39" t="n"/>
      <c r="C651" s="278" t="n"/>
      <c r="I651" s="39" t="n"/>
      <c r="J651" s="336" t="n"/>
      <c r="K651" s="112" t="n"/>
      <c r="L651" s="39" t="n"/>
      <c r="M651" s="39" t="n"/>
      <c r="N651" s="39" t="n"/>
      <c r="O651" s="39" t="n"/>
      <c r="P651" s="52" t="n"/>
    </row>
    <row r="652">
      <c r="A652" s="108" t="n"/>
      <c r="B652" s="39" t="n"/>
      <c r="C652" s="278" t="n"/>
      <c r="I652" s="39" t="n"/>
      <c r="J652" s="336" t="n"/>
      <c r="K652" s="112" t="n"/>
      <c r="L652" s="39" t="n"/>
      <c r="M652" s="39" t="n"/>
      <c r="N652" s="39" t="n"/>
      <c r="O652" s="39" t="n"/>
      <c r="P652" s="52" t="n"/>
    </row>
    <row r="653">
      <c r="A653" s="108" t="n"/>
      <c r="B653" s="39" t="n"/>
      <c r="C653" s="278" t="n"/>
      <c r="I653" s="39" t="n"/>
      <c r="J653" s="336" t="n"/>
      <c r="K653" s="112" t="n"/>
      <c r="L653" s="39" t="n"/>
      <c r="M653" s="39" t="n"/>
      <c r="N653" s="39" t="n"/>
      <c r="O653" s="39" t="n"/>
      <c r="P653" s="116" t="n"/>
    </row>
    <row r="654">
      <c r="A654" s="108" t="n"/>
      <c r="B654" s="39" t="n"/>
      <c r="C654" s="278" t="n"/>
      <c r="I654" s="39" t="n"/>
      <c r="J654" s="336" t="n"/>
      <c r="K654" s="112" t="n"/>
      <c r="L654" s="39" t="n"/>
      <c r="M654" s="39" t="n"/>
      <c r="N654" s="39" t="n"/>
      <c r="O654" s="39" t="n"/>
      <c r="P654" s="52" t="n"/>
    </row>
    <row r="655">
      <c r="A655" s="108" t="n"/>
      <c r="B655" s="39" t="n"/>
      <c r="C655" s="278" t="n"/>
      <c r="I655" s="39" t="n"/>
      <c r="J655" s="336" t="n"/>
      <c r="K655" s="112" t="n"/>
      <c r="L655" s="39" t="n"/>
      <c r="M655" s="39" t="n"/>
      <c r="N655" s="39" t="n"/>
      <c r="O655" s="39" t="n"/>
      <c r="P655" s="52" t="n"/>
    </row>
    <row r="656">
      <c r="A656" s="108" t="n"/>
      <c r="B656" s="39" t="n"/>
      <c r="C656" s="278" t="n"/>
      <c r="I656" s="39" t="n"/>
      <c r="J656" s="336" t="n"/>
      <c r="K656" s="112" t="n"/>
      <c r="L656" s="39" t="n"/>
      <c r="M656" s="39" t="n"/>
      <c r="N656" s="39" t="n"/>
      <c r="O656" s="39" t="n"/>
      <c r="P656" s="52" t="n"/>
    </row>
    <row r="657">
      <c r="A657" s="108" t="n"/>
      <c r="B657" s="39" t="n"/>
      <c r="C657" s="278" t="n"/>
      <c r="I657" s="39" t="n"/>
      <c r="J657" s="336" t="n"/>
      <c r="K657" s="112" t="n"/>
      <c r="L657" s="39" t="n"/>
      <c r="M657" s="39" t="n"/>
      <c r="N657" s="172" t="n"/>
      <c r="O657" s="172" t="n"/>
      <c r="P657" s="52" t="n"/>
    </row>
    <row r="658">
      <c r="A658" s="108" t="n"/>
      <c r="B658" s="39" t="n"/>
      <c r="C658" s="278" t="n"/>
      <c r="I658" s="39" t="n"/>
      <c r="J658" s="336" t="n"/>
      <c r="K658" s="112" t="n"/>
      <c r="L658" s="39" t="n"/>
      <c r="M658" s="39" t="n"/>
      <c r="N658" s="39" t="n"/>
      <c r="O658" s="39" t="n"/>
      <c r="P658" s="52" t="n"/>
    </row>
    <row r="659">
      <c r="A659" s="108" t="n"/>
      <c r="B659" s="39" t="n"/>
      <c r="C659" s="278" t="n"/>
      <c r="I659" s="39" t="n"/>
      <c r="J659" s="336" t="n"/>
      <c r="K659" s="112" t="n"/>
      <c r="L659" s="39" t="n"/>
      <c r="M659" s="39" t="n"/>
      <c r="N659" s="39" t="n"/>
      <c r="O659" s="39" t="n"/>
      <c r="P659" s="116" t="n"/>
    </row>
    <row r="660">
      <c r="A660" s="108" t="n"/>
      <c r="B660" s="39" t="n"/>
      <c r="C660" s="278" t="n"/>
      <c r="I660" s="39" t="n"/>
      <c r="J660" s="336" t="n"/>
      <c r="K660" s="112" t="n"/>
      <c r="L660" s="39" t="n"/>
      <c r="M660" s="39" t="n"/>
      <c r="N660" s="39" t="n"/>
      <c r="O660" s="39" t="n"/>
      <c r="P660" s="52" t="n"/>
    </row>
    <row r="661">
      <c r="A661" s="108" t="n"/>
      <c r="B661" s="39" t="n"/>
      <c r="C661" s="278" t="n"/>
      <c r="I661" s="39" t="n"/>
      <c r="J661" s="336" t="n"/>
      <c r="K661" s="112" t="n"/>
      <c r="L661" s="39" t="n"/>
      <c r="M661" s="39" t="n"/>
      <c r="N661" s="39" t="n"/>
      <c r="O661" s="39" t="n"/>
      <c r="P661" s="52" t="n"/>
    </row>
    <row r="662">
      <c r="A662" s="108" t="n"/>
      <c r="B662" s="39" t="n"/>
      <c r="C662" s="278" t="n"/>
      <c r="I662" s="39" t="n"/>
      <c r="J662" s="336" t="n"/>
      <c r="K662" s="112" t="n"/>
      <c r="L662" s="39" t="n"/>
      <c r="M662" s="39" t="n"/>
      <c r="N662" s="39" t="n"/>
      <c r="O662" s="39" t="n"/>
      <c r="P662" s="52" t="n"/>
    </row>
    <row r="663">
      <c r="A663" s="108" t="n"/>
      <c r="B663" s="39" t="n"/>
      <c r="C663" s="278" t="n"/>
      <c r="I663" s="39" t="n"/>
      <c r="J663" s="336" t="n"/>
      <c r="K663" s="112" t="n"/>
      <c r="L663" s="39" t="n"/>
      <c r="M663" s="39" t="n"/>
      <c r="N663" s="39" t="n"/>
      <c r="O663" s="39" t="n"/>
      <c r="P663" s="52" t="n"/>
    </row>
    <row r="664">
      <c r="A664" s="108" t="n"/>
      <c r="B664" s="39" t="n"/>
      <c r="C664" s="278" t="n"/>
      <c r="I664" s="39" t="n"/>
      <c r="J664" s="336" t="n"/>
      <c r="K664" s="112" t="n"/>
      <c r="L664" s="39" t="n"/>
      <c r="M664" s="39" t="n"/>
      <c r="N664" s="39" t="n"/>
      <c r="O664" s="39" t="n"/>
      <c r="P664" s="116" t="n"/>
    </row>
    <row r="665">
      <c r="A665" s="108" t="n"/>
      <c r="B665" s="39" t="n"/>
      <c r="C665" s="278" t="n"/>
      <c r="I665" s="39" t="n"/>
      <c r="J665" s="336" t="n"/>
      <c r="K665" s="112" t="n"/>
      <c r="L665" s="39" t="n"/>
      <c r="M665" s="39" t="n"/>
      <c r="N665" s="39" t="n"/>
      <c r="O665" s="39" t="n"/>
      <c r="P665" s="52" t="n"/>
    </row>
    <row r="666">
      <c r="A666" s="108" t="n"/>
      <c r="B666" s="39" t="n"/>
      <c r="C666" s="278" t="n"/>
      <c r="I666" s="39" t="n"/>
      <c r="J666" s="336" t="n"/>
      <c r="K666" s="112" t="n"/>
      <c r="L666" s="39" t="n"/>
      <c r="M666" s="39" t="n"/>
      <c r="N666" s="39" t="n"/>
      <c r="O666" s="39" t="n"/>
      <c r="P666" s="116" t="n"/>
    </row>
    <row r="667">
      <c r="A667" s="108" t="n"/>
      <c r="B667" s="39" t="n"/>
      <c r="C667" s="278" t="n"/>
      <c r="I667" s="39" t="n"/>
      <c r="J667" s="336" t="n"/>
      <c r="K667" s="112" t="n"/>
      <c r="L667" s="39" t="n"/>
      <c r="M667" s="39" t="n"/>
      <c r="N667" s="39" t="n"/>
      <c r="O667" s="39" t="n"/>
      <c r="P667" s="116" t="n"/>
    </row>
    <row r="668">
      <c r="A668" s="108" t="n"/>
      <c r="B668" s="39" t="n"/>
      <c r="C668" s="278" t="n"/>
      <c r="I668" s="39" t="n"/>
      <c r="J668" s="336" t="n"/>
      <c r="K668" s="112" t="n"/>
      <c r="L668" s="39" t="n"/>
    </row>
    <row r="669">
      <c r="A669" s="108" t="n"/>
      <c r="B669" s="39" t="n"/>
      <c r="C669" s="278" t="n"/>
      <c r="I669" s="39" t="n"/>
      <c r="J669" s="336" t="n"/>
      <c r="K669" s="112" t="n"/>
      <c r="L669" s="39" t="n"/>
      <c r="M669" s="39" t="n"/>
      <c r="N669" s="39" t="n"/>
      <c r="O669" s="39" t="n"/>
      <c r="P669" s="116" t="n"/>
    </row>
    <row r="670">
      <c r="A670" s="108" t="n"/>
      <c r="B670" s="39" t="n"/>
      <c r="C670" s="278" t="n"/>
      <c r="I670" s="39" t="n"/>
      <c r="J670" s="336" t="n"/>
      <c r="K670" s="112" t="n"/>
      <c r="L670" s="39" t="n"/>
    </row>
    <row r="671">
      <c r="A671" s="108" t="n"/>
      <c r="B671" s="39" t="n"/>
      <c r="C671" s="278" t="n"/>
      <c r="I671" s="39" t="n"/>
      <c r="J671" s="336" t="n"/>
      <c r="K671" s="112" t="n"/>
      <c r="L671" s="39" t="n"/>
      <c r="M671" s="39" t="n"/>
      <c r="N671" s="39" t="n"/>
      <c r="O671" s="39" t="n"/>
      <c r="P671" s="116" t="n"/>
    </row>
    <row r="672">
      <c r="A672" s="108" t="n"/>
      <c r="B672" s="39" t="n"/>
      <c r="C672" s="278" t="n"/>
      <c r="I672" s="39" t="n"/>
      <c r="J672" s="336" t="n"/>
      <c r="K672" s="112" t="n"/>
      <c r="L672" s="39" t="n"/>
      <c r="M672" s="39" t="n"/>
      <c r="N672" s="39" t="n"/>
      <c r="O672" s="39" t="n"/>
      <c r="P672" s="116" t="n"/>
    </row>
    <row r="673">
      <c r="A673" s="108" t="n"/>
      <c r="B673" s="39" t="n"/>
      <c r="C673" s="278" t="n"/>
      <c r="I673" s="39" t="n"/>
      <c r="J673" s="336" t="n"/>
      <c r="K673" s="112" t="n"/>
      <c r="L673" s="39" t="n"/>
      <c r="M673" s="39" t="n"/>
      <c r="N673" s="39" t="n"/>
      <c r="O673" s="39" t="n"/>
      <c r="P673" s="116" t="n"/>
    </row>
    <row r="674">
      <c r="A674" s="108" t="n"/>
      <c r="B674" s="39" t="n"/>
      <c r="C674" s="278" t="n"/>
      <c r="I674" s="39" t="n"/>
      <c r="J674" s="336" t="n"/>
      <c r="K674" s="112" t="n"/>
      <c r="L674" s="39" t="n"/>
      <c r="M674" s="39" t="n"/>
      <c r="N674" s="39" t="n"/>
      <c r="O674" s="39" t="n"/>
      <c r="P674" s="116" t="n"/>
    </row>
    <row r="675">
      <c r="A675" s="108" t="n"/>
      <c r="B675" s="39" t="n"/>
      <c r="C675" s="278" t="n"/>
      <c r="I675" s="39" t="n"/>
      <c r="J675" s="336" t="n"/>
      <c r="K675" s="112" t="n"/>
      <c r="L675" s="39" t="n"/>
      <c r="M675" s="39" t="n"/>
      <c r="N675" s="39" t="n"/>
      <c r="O675" s="39" t="n"/>
      <c r="P675" s="116" t="n"/>
    </row>
    <row r="676">
      <c r="A676" s="108" t="n"/>
      <c r="B676" s="39" t="n"/>
      <c r="C676" s="278" t="n"/>
      <c r="I676" s="39" t="n"/>
      <c r="J676" s="336" t="n"/>
      <c r="K676" s="112" t="n"/>
      <c r="L676" s="39" t="n"/>
      <c r="M676" s="39" t="n"/>
      <c r="N676" s="39" t="n"/>
      <c r="O676" s="39" t="n"/>
      <c r="P676" s="116" t="n"/>
    </row>
    <row r="677">
      <c r="A677" s="108" t="n"/>
      <c r="B677" s="39" t="n"/>
      <c r="C677" s="278" t="n"/>
      <c r="I677" s="39" t="n"/>
      <c r="J677" s="336" t="n"/>
      <c r="K677" s="112" t="n"/>
      <c r="L677" s="39" t="n"/>
      <c r="M677" s="39" t="n"/>
      <c r="N677" s="39" t="n"/>
      <c r="O677" s="39" t="n"/>
      <c r="P677" s="116" t="n"/>
    </row>
    <row r="678">
      <c r="A678" s="108" t="n"/>
      <c r="B678" s="39" t="n"/>
      <c r="C678" s="278" t="n"/>
      <c r="I678" s="39" t="n"/>
      <c r="J678" s="336" t="n"/>
      <c r="K678" s="112" t="n"/>
      <c r="L678" s="39" t="n"/>
      <c r="M678" s="39" t="n"/>
      <c r="N678" s="39" t="n"/>
      <c r="O678" s="39" t="n"/>
      <c r="P678" s="116" t="n"/>
    </row>
    <row r="679">
      <c r="A679" s="108" t="n"/>
      <c r="B679" s="39" t="n"/>
      <c r="C679" s="278" t="n"/>
      <c r="I679" s="39" t="n"/>
      <c r="J679" s="336" t="n"/>
      <c r="K679" s="112" t="n"/>
      <c r="L679" s="39" t="n"/>
      <c r="M679" s="39" t="n"/>
      <c r="N679" s="39" t="n"/>
      <c r="O679" s="39" t="n"/>
      <c r="P679" s="116" t="n"/>
    </row>
    <row r="680">
      <c r="A680" s="108" t="n"/>
      <c r="B680" s="39" t="n"/>
      <c r="C680" s="278" t="n"/>
      <c r="I680" s="39" t="n"/>
      <c r="J680" s="336" t="n"/>
      <c r="K680" s="112" t="n"/>
      <c r="L680" s="39" t="n"/>
      <c r="M680" s="39" t="n"/>
      <c r="N680" s="39" t="n"/>
      <c r="O680" s="39" t="n"/>
      <c r="P680" s="116" t="n"/>
    </row>
    <row r="681">
      <c r="A681" s="108" t="n"/>
      <c r="B681" s="39" t="n"/>
      <c r="C681" s="278" t="n"/>
      <c r="I681" s="39" t="n"/>
      <c r="J681" s="336" t="n"/>
      <c r="K681" s="112" t="n"/>
      <c r="L681" s="39" t="n"/>
      <c r="M681" s="39" t="n"/>
      <c r="N681" s="39" t="n"/>
      <c r="O681" s="39" t="n"/>
      <c r="P681" s="116" t="n"/>
    </row>
    <row r="682">
      <c r="A682" s="108" t="n"/>
      <c r="B682" s="39" t="n"/>
      <c r="C682" s="278" t="n"/>
      <c r="I682" s="39" t="n"/>
      <c r="J682" s="336" t="n"/>
      <c r="K682" s="112" t="n"/>
      <c r="L682" s="39" t="n"/>
      <c r="M682" s="39" t="n"/>
      <c r="N682" s="39" t="n"/>
      <c r="O682" s="39" t="n"/>
      <c r="P682" s="116" t="n"/>
    </row>
    <row r="683">
      <c r="A683" s="108" t="n"/>
      <c r="B683" s="39" t="n"/>
      <c r="C683" s="278" t="n"/>
      <c r="I683" s="39" t="n"/>
      <c r="J683" s="336" t="n"/>
      <c r="K683" s="112" t="n"/>
      <c r="L683" s="39" t="n"/>
      <c r="M683" s="39" t="n"/>
      <c r="N683" s="39" t="n"/>
      <c r="O683" s="39" t="n"/>
      <c r="P683" s="116" t="n"/>
    </row>
    <row r="684">
      <c r="A684" s="108" t="n"/>
      <c r="B684" s="39" t="n"/>
      <c r="C684" s="278" t="n"/>
      <c r="I684" s="39" t="n"/>
      <c r="J684" s="336" t="n"/>
      <c r="K684" s="112" t="n"/>
      <c r="L684" s="39" t="n"/>
      <c r="M684" s="39" t="n"/>
      <c r="N684" s="39" t="n"/>
      <c r="O684" s="39" t="n"/>
      <c r="P684" s="116" t="n"/>
    </row>
    <row r="685">
      <c r="A685" s="108" t="n"/>
      <c r="B685" s="39" t="n"/>
      <c r="C685" s="278" t="n"/>
      <c r="I685" s="39" t="n"/>
      <c r="J685" s="336" t="n"/>
      <c r="K685" s="112" t="n"/>
      <c r="L685" s="39" t="n"/>
      <c r="M685" s="39" t="n"/>
      <c r="N685" s="39" t="n"/>
      <c r="O685" s="39" t="n"/>
      <c r="P685" s="116" t="n"/>
    </row>
    <row r="686">
      <c r="A686" s="108" t="n"/>
      <c r="B686" s="39" t="n"/>
      <c r="C686" s="278" t="n"/>
      <c r="I686" s="39" t="n"/>
      <c r="J686" s="336" t="n"/>
      <c r="K686" s="112" t="n"/>
      <c r="L686" s="39" t="n"/>
      <c r="M686" s="39" t="n"/>
      <c r="N686" s="39" t="n"/>
      <c r="O686" s="39" t="n"/>
      <c r="P686" s="116" t="n"/>
    </row>
    <row r="687">
      <c r="A687" s="108" t="n"/>
      <c r="B687" s="39" t="n"/>
      <c r="C687" s="278" t="n"/>
      <c r="I687" s="39" t="n"/>
      <c r="J687" s="336" t="n"/>
      <c r="K687" s="112" t="n"/>
      <c r="L687" s="39" t="n"/>
      <c r="M687" s="39" t="n"/>
      <c r="N687" s="39" t="n"/>
      <c r="O687" s="39" t="n"/>
      <c r="P687" s="116" t="n"/>
    </row>
    <row r="688">
      <c r="A688" s="108" t="n"/>
      <c r="B688" s="39" t="n"/>
      <c r="C688" s="278" t="n"/>
      <c r="I688" s="39" t="n"/>
      <c r="J688" s="336" t="n"/>
      <c r="K688" s="112" t="n"/>
      <c r="L688" s="39" t="n"/>
      <c r="M688" s="39" t="n"/>
      <c r="N688" s="39" t="n"/>
      <c r="O688" s="39" t="n"/>
      <c r="P688" s="116" t="n"/>
    </row>
    <row r="689">
      <c r="A689" s="108" t="n"/>
      <c r="B689" s="39" t="n"/>
      <c r="C689" s="278" t="n"/>
      <c r="I689" s="39" t="n"/>
      <c r="J689" s="336" t="n"/>
      <c r="K689" s="112" t="n"/>
      <c r="L689" s="39" t="n"/>
      <c r="M689" s="39" t="n"/>
      <c r="N689" s="39" t="n"/>
      <c r="O689" s="39" t="n"/>
      <c r="P689" s="116" t="n"/>
    </row>
    <row r="690">
      <c r="A690" s="108" t="n"/>
      <c r="B690" s="39" t="n"/>
      <c r="C690" s="278" t="n"/>
      <c r="I690" s="39" t="n"/>
      <c r="J690" s="336" t="n"/>
      <c r="K690" s="112" t="n"/>
      <c r="L690" s="39" t="n"/>
      <c r="M690" s="39" t="n"/>
      <c r="N690" s="39" t="n"/>
      <c r="O690" s="39" t="n"/>
      <c r="P690" s="116" t="n"/>
    </row>
    <row r="691">
      <c r="A691" s="108" t="n"/>
      <c r="B691" s="39" t="n"/>
      <c r="C691" s="278" t="n"/>
      <c r="I691" s="39" t="n"/>
      <c r="J691" s="336" t="n"/>
      <c r="K691" s="112" t="n"/>
      <c r="L691" s="39" t="n"/>
      <c r="M691" s="39" t="n"/>
      <c r="N691" s="39" t="n"/>
      <c r="O691" s="39" t="n"/>
      <c r="P691" s="116" t="n"/>
    </row>
    <row r="692">
      <c r="A692" s="108" t="n"/>
      <c r="B692" s="39" t="n"/>
      <c r="C692" s="278" t="n"/>
      <c r="I692" s="39" t="n"/>
      <c r="J692" s="336" t="n"/>
      <c r="K692" s="112" t="n"/>
      <c r="L692" s="39" t="n"/>
      <c r="M692" s="39" t="n"/>
      <c r="N692" s="39" t="n"/>
      <c r="O692" s="39" t="n"/>
      <c r="P692" s="116" t="n"/>
    </row>
    <row r="693">
      <c r="A693" s="108" t="n"/>
      <c r="B693" s="39" t="n"/>
      <c r="C693" s="278" t="n"/>
      <c r="I693" s="39" t="n"/>
      <c r="J693" s="336" t="n"/>
      <c r="K693" s="112" t="n"/>
      <c r="L693" s="39" t="n"/>
      <c r="M693" s="39" t="n"/>
      <c r="N693" s="39" t="n"/>
      <c r="O693" s="39" t="n"/>
      <c r="P693" s="116" t="n"/>
    </row>
    <row r="694">
      <c r="A694" s="108" t="n"/>
      <c r="B694" s="39" t="n"/>
      <c r="C694" s="278" t="n"/>
      <c r="I694" s="39" t="n"/>
      <c r="J694" s="336" t="n"/>
      <c r="K694" s="112" t="n"/>
      <c r="L694" s="39" t="n"/>
      <c r="M694" s="39" t="n"/>
      <c r="N694" s="39" t="n"/>
      <c r="O694" s="39" t="n"/>
      <c r="P694" s="116" t="n"/>
    </row>
    <row r="695">
      <c r="A695" s="108" t="n"/>
      <c r="B695" s="39" t="n"/>
      <c r="C695" s="278" t="n"/>
      <c r="I695" s="39" t="n"/>
      <c r="J695" s="336" t="n"/>
      <c r="K695" s="112" t="n"/>
      <c r="L695" s="39" t="n"/>
      <c r="M695" s="39" t="n"/>
      <c r="N695" s="39" t="n"/>
      <c r="O695" s="39" t="n"/>
      <c r="P695" s="116" t="n"/>
    </row>
    <row r="696">
      <c r="A696" s="108" t="n"/>
      <c r="B696" s="39" t="n"/>
      <c r="C696" s="278" t="n"/>
      <c r="I696" s="39" t="n"/>
      <c r="J696" s="336" t="n"/>
      <c r="K696" s="112" t="n"/>
      <c r="L696" s="39" t="n"/>
      <c r="M696" s="39" t="n"/>
      <c r="N696" s="39" t="n"/>
      <c r="O696" s="39" t="n"/>
      <c r="P696" s="116" t="n"/>
    </row>
    <row r="697">
      <c r="A697" s="108" t="n"/>
      <c r="B697" s="39" t="n"/>
      <c r="C697" s="278" t="n"/>
      <c r="I697" s="39" t="n"/>
      <c r="J697" s="336" t="n"/>
      <c r="K697" s="112" t="n"/>
      <c r="L697" s="39" t="n"/>
      <c r="M697" s="39" t="n"/>
      <c r="N697" s="39" t="n"/>
      <c r="O697" s="39" t="n"/>
      <c r="P697" s="116" t="n"/>
    </row>
    <row r="698">
      <c r="A698" s="108" t="n"/>
      <c r="B698" s="39" t="n"/>
      <c r="C698" s="278" t="n"/>
      <c r="I698" s="39" t="n"/>
      <c r="J698" s="336" t="n"/>
      <c r="K698" s="112" t="n"/>
      <c r="L698" s="39" t="n"/>
      <c r="M698" s="39" t="n"/>
      <c r="N698" s="39" t="n"/>
      <c r="O698" s="39" t="n"/>
      <c r="P698" s="116" t="n"/>
    </row>
    <row r="699">
      <c r="A699" s="108" t="n"/>
      <c r="B699" s="39" t="n"/>
      <c r="C699" s="278" t="n"/>
      <c r="I699" s="39" t="n"/>
      <c r="J699" s="336" t="n"/>
      <c r="K699" s="112" t="n"/>
      <c r="L699" s="39" t="n"/>
      <c r="M699" s="39" t="n"/>
      <c r="N699" s="39" t="n"/>
      <c r="O699" s="39" t="n"/>
      <c r="P699" s="116" t="n"/>
    </row>
    <row r="700">
      <c r="A700" s="108" t="n"/>
      <c r="B700" s="39" t="n"/>
      <c r="C700" s="278" t="n"/>
      <c r="I700" s="39" t="n"/>
      <c r="J700" s="336" t="n"/>
      <c r="K700" s="112" t="n"/>
      <c r="L700" s="39" t="n"/>
      <c r="M700" s="39" t="n"/>
      <c r="N700" s="39" t="n"/>
      <c r="O700" s="39" t="n"/>
      <c r="P700" s="116" t="n"/>
    </row>
    <row r="701">
      <c r="A701" s="108" t="n"/>
      <c r="B701" s="39" t="n"/>
      <c r="C701" s="278" t="n"/>
      <c r="I701" s="39" t="n"/>
      <c r="J701" s="336" t="n"/>
      <c r="K701" s="112" t="n"/>
      <c r="L701" s="39" t="n"/>
      <c r="M701" s="39" t="n"/>
      <c r="N701" s="39" t="n"/>
      <c r="O701" s="39" t="n"/>
      <c r="P701" s="116" t="n"/>
    </row>
    <row r="702">
      <c r="A702" s="108" t="n"/>
      <c r="B702" s="39" t="n"/>
      <c r="C702" s="278" t="n"/>
      <c r="I702" s="39" t="n"/>
      <c r="J702" s="336" t="n"/>
      <c r="K702" s="112" t="n"/>
      <c r="L702" s="39" t="n"/>
      <c r="M702" s="39" t="n"/>
      <c r="N702" s="39" t="n"/>
      <c r="O702" s="39" t="n"/>
      <c r="P702" s="116" t="n"/>
    </row>
    <row r="703">
      <c r="A703" s="108" t="n"/>
      <c r="B703" s="39" t="n"/>
      <c r="C703" s="278" t="n"/>
      <c r="I703" s="39" t="n"/>
      <c r="J703" s="336" t="n"/>
      <c r="K703" s="112" t="n"/>
      <c r="L703" s="39" t="n"/>
      <c r="M703" s="39" t="n"/>
      <c r="N703" s="39" t="n"/>
      <c r="O703" s="39" t="n"/>
      <c r="P703" s="116" t="n"/>
    </row>
    <row r="704">
      <c r="A704" s="108" t="n"/>
      <c r="B704" s="39" t="n"/>
      <c r="C704" s="278" t="n"/>
      <c r="I704" s="39" t="n"/>
      <c r="J704" s="336" t="n"/>
      <c r="K704" s="112" t="n"/>
      <c r="L704" s="39" t="n"/>
      <c r="M704" s="39" t="n"/>
      <c r="N704" s="39" t="n"/>
      <c r="O704" s="39" t="n"/>
      <c r="P704" s="116" t="n"/>
    </row>
    <row r="705">
      <c r="A705" s="108" t="n"/>
      <c r="B705" s="39" t="n"/>
      <c r="C705" s="278" t="n"/>
      <c r="I705" s="39" t="n"/>
      <c r="J705" s="336" t="n"/>
      <c r="K705" s="112" t="n"/>
      <c r="L705" s="39" t="n"/>
      <c r="M705" s="39" t="n"/>
      <c r="N705" s="39" t="n"/>
      <c r="O705" s="39" t="n"/>
      <c r="P705" s="116" t="n"/>
    </row>
    <row r="706">
      <c r="A706" s="108" t="n"/>
      <c r="B706" s="39" t="n"/>
      <c r="C706" s="278" t="n"/>
      <c r="I706" s="39" t="n"/>
      <c r="J706" s="336" t="n"/>
      <c r="K706" s="112" t="n"/>
      <c r="L706" s="39" t="n"/>
      <c r="M706" s="39" t="n"/>
      <c r="N706" s="39" t="n"/>
      <c r="O706" s="39" t="n"/>
      <c r="P706" s="116" t="n"/>
    </row>
    <row r="707">
      <c r="A707" s="108" t="n"/>
      <c r="B707" s="39" t="n"/>
      <c r="C707" s="278" t="n"/>
      <c r="I707" s="39" t="n"/>
      <c r="J707" s="336" t="n"/>
      <c r="K707" s="112" t="n"/>
      <c r="L707" s="39" t="n"/>
      <c r="M707" s="39" t="n"/>
      <c r="N707" s="39" t="n"/>
      <c r="O707" s="39" t="n"/>
      <c r="P707" s="116" t="n"/>
    </row>
    <row r="708">
      <c r="A708" s="108" t="n"/>
      <c r="B708" s="39" t="n"/>
      <c r="C708" s="278" t="n"/>
      <c r="I708" s="39" t="n"/>
      <c r="J708" s="336" t="n"/>
      <c r="K708" s="112" t="n"/>
      <c r="L708" s="39" t="n"/>
      <c r="M708" s="39" t="n"/>
      <c r="N708" s="39" t="n"/>
      <c r="O708" s="39" t="n"/>
      <c r="P708" s="116" t="n"/>
    </row>
    <row r="709">
      <c r="A709" s="108" t="n"/>
      <c r="B709" s="39" t="n"/>
      <c r="C709" s="278" t="n"/>
      <c r="I709" s="39" t="n"/>
      <c r="J709" s="336" t="n"/>
      <c r="K709" s="112" t="n"/>
      <c r="L709" s="39" t="n"/>
      <c r="M709" s="39" t="n"/>
      <c r="N709" s="39" t="n"/>
      <c r="O709" s="39" t="n"/>
      <c r="P709" s="116" t="n"/>
    </row>
    <row r="710">
      <c r="A710" s="108" t="n"/>
      <c r="B710" s="39" t="n"/>
      <c r="C710" s="278" t="n"/>
      <c r="I710" s="39" t="n"/>
      <c r="J710" s="336" t="n"/>
      <c r="K710" s="112" t="n"/>
      <c r="L710" s="39" t="n"/>
      <c r="M710" s="39" t="n"/>
      <c r="N710" s="39" t="n"/>
      <c r="O710" s="39" t="n"/>
      <c r="P710" s="116" t="n"/>
    </row>
    <row r="711">
      <c r="A711" s="108" t="n"/>
      <c r="B711" s="39" t="n"/>
      <c r="C711" s="278" t="n"/>
      <c r="I711" s="39" t="n"/>
      <c r="J711" s="336" t="n"/>
      <c r="K711" s="112" t="n"/>
      <c r="L711" s="39" t="n"/>
      <c r="M711" s="39" t="n"/>
      <c r="N711" s="39" t="n"/>
      <c r="O711" s="39" t="n"/>
      <c r="P711" s="116" t="n"/>
    </row>
    <row r="712">
      <c r="A712" s="108" t="n"/>
      <c r="B712" s="39" t="n"/>
      <c r="C712" s="278" t="n"/>
      <c r="I712" s="39" t="n"/>
      <c r="J712" s="336" t="n"/>
      <c r="K712" s="112" t="n"/>
      <c r="L712" s="39" t="n"/>
      <c r="M712" s="39" t="n"/>
      <c r="N712" s="39" t="n"/>
      <c r="O712" s="39" t="n"/>
      <c r="P712" s="116" t="n"/>
    </row>
    <row r="713">
      <c r="A713" s="108" t="n"/>
      <c r="B713" s="39" t="n"/>
      <c r="C713" s="278" t="n"/>
      <c r="I713" s="39" t="n"/>
      <c r="J713" s="336" t="n"/>
      <c r="K713" s="112" t="n"/>
      <c r="L713" s="39" t="n"/>
      <c r="M713" s="39" t="n"/>
      <c r="N713" s="39" t="n"/>
      <c r="O713" s="39" t="n"/>
      <c r="P713" s="116" t="n"/>
    </row>
    <row r="714">
      <c r="A714" s="108" t="n"/>
      <c r="B714" s="39" t="n"/>
      <c r="C714" s="278" t="n"/>
      <c r="I714" s="39" t="n"/>
      <c r="J714" s="336" t="n"/>
      <c r="K714" s="112" t="n"/>
      <c r="L714" s="39" t="n"/>
      <c r="M714" s="39" t="n"/>
      <c r="N714" s="39" t="n"/>
      <c r="O714" s="39" t="n"/>
      <c r="P714" s="116" t="n"/>
    </row>
    <row r="715">
      <c r="A715" s="108" t="n"/>
      <c r="B715" s="39" t="n"/>
      <c r="C715" s="278" t="n"/>
      <c r="I715" s="39" t="n"/>
      <c r="J715" s="336" t="n"/>
      <c r="K715" s="112" t="n"/>
      <c r="L715" s="39" t="n"/>
      <c r="M715" s="39" t="n"/>
      <c r="N715" s="39" t="n"/>
      <c r="O715" s="39" t="n"/>
      <c r="P715" s="116" t="n"/>
    </row>
    <row r="716">
      <c r="A716" s="108" t="n"/>
      <c r="B716" s="39" t="n"/>
      <c r="C716" s="278" t="n"/>
      <c r="I716" s="39" t="n"/>
      <c r="J716" s="336" t="n"/>
      <c r="K716" s="112" t="n"/>
      <c r="L716" s="39" t="n"/>
      <c r="M716" s="39" t="n"/>
      <c r="N716" s="39" t="n"/>
      <c r="O716" s="39" t="n"/>
      <c r="P716" s="116" t="n"/>
    </row>
    <row r="717">
      <c r="A717" s="108" t="n"/>
      <c r="B717" s="39" t="n"/>
      <c r="C717" s="278" t="n"/>
      <c r="I717" s="39" t="n"/>
      <c r="J717" s="336" t="n"/>
      <c r="K717" s="112" t="n"/>
      <c r="L717" s="39" t="n"/>
      <c r="M717" s="39" t="n"/>
      <c r="N717" s="39" t="n"/>
      <c r="O717" s="39" t="n"/>
      <c r="P717" s="116" t="n"/>
    </row>
    <row r="718">
      <c r="A718" s="108" t="n"/>
      <c r="B718" s="39" t="n"/>
      <c r="C718" s="278" t="n"/>
      <c r="I718" s="39" t="n"/>
      <c r="J718" s="336" t="n"/>
      <c r="K718" s="112" t="n"/>
      <c r="L718" s="39" t="n"/>
      <c r="M718" s="39" t="n"/>
      <c r="N718" s="39" t="n"/>
      <c r="O718" s="39" t="n"/>
      <c r="P718" s="116" t="n"/>
    </row>
    <row r="719">
      <c r="A719" s="108" t="n"/>
      <c r="B719" s="39" t="n"/>
      <c r="C719" s="278" t="n"/>
      <c r="I719" s="39" t="n"/>
      <c r="J719" s="336" t="n"/>
      <c r="K719" s="112" t="n"/>
      <c r="L719" s="39" t="n"/>
      <c r="M719" s="39" t="n"/>
      <c r="N719" s="39" t="n"/>
      <c r="O719" s="39" t="n"/>
      <c r="P719" s="116" t="n"/>
    </row>
    <row r="720">
      <c r="A720" s="108" t="n"/>
      <c r="B720" s="39" t="n"/>
      <c r="C720" s="278" t="n"/>
      <c r="I720" s="39" t="n"/>
      <c r="J720" s="336" t="n"/>
      <c r="K720" s="112" t="n"/>
      <c r="L720" s="39" t="n"/>
      <c r="M720" s="39" t="n"/>
      <c r="N720" s="39" t="n"/>
      <c r="O720" s="39" t="n"/>
      <c r="P720" s="116" t="n"/>
    </row>
    <row r="721">
      <c r="A721" s="108" t="n"/>
      <c r="B721" s="39" t="n"/>
      <c r="C721" s="278" t="n"/>
      <c r="I721" s="39" t="n"/>
      <c r="J721" s="336" t="n"/>
      <c r="K721" s="112" t="n"/>
      <c r="L721" s="39" t="n"/>
      <c r="M721" s="39" t="n"/>
      <c r="N721" s="39" t="n"/>
      <c r="O721" s="39" t="n"/>
      <c r="P721" s="116" t="n"/>
    </row>
    <row r="722">
      <c r="A722" s="108" t="n"/>
      <c r="B722" s="39" t="n"/>
      <c r="C722" s="278" t="n"/>
      <c r="I722" s="39" t="n"/>
      <c r="J722" s="336" t="n"/>
      <c r="K722" s="112" t="n"/>
      <c r="L722" s="39" t="n"/>
      <c r="M722" s="39" t="n"/>
      <c r="N722" s="39" t="n"/>
      <c r="O722" s="39" t="n"/>
      <c r="P722" s="116" t="n"/>
    </row>
    <row r="723">
      <c r="A723" s="108" t="n"/>
      <c r="B723" s="39" t="n"/>
      <c r="C723" s="278" t="n"/>
      <c r="I723" s="39" t="n"/>
      <c r="J723" s="336" t="n"/>
      <c r="K723" s="112" t="n"/>
      <c r="L723" s="39" t="n"/>
      <c r="M723" s="39" t="n"/>
      <c r="N723" s="39" t="n"/>
      <c r="O723" s="39" t="n"/>
      <c r="P723" s="116" t="n"/>
    </row>
    <row r="724">
      <c r="A724" s="108" t="n"/>
      <c r="B724" s="39" t="n"/>
      <c r="C724" s="278" t="n"/>
      <c r="I724" s="39" t="n"/>
      <c r="J724" s="336" t="n"/>
      <c r="K724" s="112" t="n"/>
      <c r="L724" s="39" t="n"/>
      <c r="M724" s="39" t="n"/>
      <c r="N724" s="39" t="n"/>
      <c r="O724" s="39" t="n"/>
      <c r="P724" s="116" t="n"/>
    </row>
    <row r="725">
      <c r="A725" s="108" t="n"/>
      <c r="B725" s="39" t="n"/>
      <c r="C725" s="278" t="n"/>
      <c r="I725" s="39" t="n"/>
      <c r="J725" s="336" t="n"/>
      <c r="K725" s="112" t="n"/>
      <c r="L725" s="39" t="n"/>
      <c r="M725" s="39" t="n"/>
      <c r="N725" s="39" t="n"/>
      <c r="O725" s="39" t="n"/>
      <c r="P725" s="116" t="n"/>
    </row>
    <row r="726">
      <c r="A726" s="108" t="n"/>
      <c r="B726" s="39" t="n"/>
      <c r="C726" s="278" t="n"/>
      <c r="I726" s="39" t="n"/>
      <c r="J726" s="336" t="n"/>
      <c r="K726" s="112" t="n"/>
      <c r="L726" s="39" t="n"/>
      <c r="M726" s="39" t="n"/>
      <c r="N726" s="39" t="n"/>
      <c r="O726" s="39" t="n"/>
      <c r="P726" s="116" t="n"/>
    </row>
    <row r="727">
      <c r="A727" s="108" t="n"/>
      <c r="B727" s="39" t="n"/>
      <c r="C727" s="278" t="n"/>
      <c r="I727" s="39" t="n"/>
      <c r="J727" s="336" t="n"/>
      <c r="K727" s="112" t="n"/>
      <c r="L727" s="39" t="n"/>
      <c r="M727" s="39" t="n"/>
      <c r="N727" s="39" t="n"/>
      <c r="O727" s="39" t="n"/>
      <c r="P727" s="116" t="n"/>
    </row>
    <row r="728">
      <c r="A728" s="108" t="n"/>
      <c r="B728" s="39" t="n"/>
      <c r="C728" s="278" t="n"/>
      <c r="I728" s="39" t="n"/>
      <c r="J728" s="336" t="n"/>
      <c r="K728" s="112" t="n"/>
      <c r="L728" s="39" t="n"/>
      <c r="M728" s="39" t="n"/>
      <c r="N728" s="39" t="n"/>
      <c r="O728" s="39" t="n"/>
      <c r="P728" s="116" t="n"/>
    </row>
    <row r="729">
      <c r="A729" s="108" t="n"/>
      <c r="B729" s="39" t="n"/>
      <c r="C729" s="278" t="n"/>
      <c r="I729" s="39" t="n"/>
      <c r="J729" s="336" t="n"/>
      <c r="K729" s="112" t="n"/>
      <c r="L729" s="39" t="n"/>
      <c r="M729" s="39" t="n"/>
      <c r="N729" s="39" t="n"/>
      <c r="O729" s="39" t="n"/>
      <c r="P729" s="116" t="n"/>
    </row>
    <row r="730">
      <c r="A730" s="108" t="n"/>
      <c r="B730" s="39" t="n"/>
      <c r="C730" s="278" t="n"/>
      <c r="I730" s="39" t="n"/>
      <c r="J730" s="336" t="n"/>
      <c r="K730" s="112" t="n"/>
      <c r="L730" s="39" t="n"/>
      <c r="M730" s="39" t="n"/>
      <c r="N730" s="39" t="n"/>
      <c r="O730" s="39" t="n"/>
      <c r="P730" s="116" t="n"/>
    </row>
    <row r="731">
      <c r="A731" s="108" t="n"/>
      <c r="B731" s="39" t="n"/>
      <c r="C731" s="278" t="n"/>
      <c r="I731" s="39" t="n"/>
      <c r="J731" s="336" t="n"/>
      <c r="K731" s="112" t="n"/>
      <c r="L731" s="39" t="n"/>
      <c r="M731" s="39" t="n"/>
      <c r="N731" s="39" t="n"/>
      <c r="O731" s="39" t="n"/>
      <c r="P731" s="116" t="n"/>
    </row>
    <row r="732">
      <c r="A732" s="108" t="n"/>
      <c r="B732" s="39" t="n"/>
      <c r="C732" s="278" t="n"/>
      <c r="I732" s="39" t="n"/>
      <c r="J732" s="336" t="n"/>
      <c r="K732" s="112" t="n"/>
      <c r="L732" s="39" t="n"/>
      <c r="M732" s="39" t="n"/>
      <c r="N732" s="39" t="n"/>
      <c r="O732" s="39" t="n"/>
      <c r="P732" s="116" t="n"/>
    </row>
    <row r="733">
      <c r="A733" s="108" t="n"/>
      <c r="B733" s="39" t="n"/>
      <c r="C733" s="278" t="n"/>
      <c r="I733" s="39" t="n"/>
      <c r="J733" s="336" t="n"/>
      <c r="K733" s="112" t="n"/>
      <c r="L733" s="39" t="n"/>
      <c r="M733" s="39" t="n"/>
      <c r="N733" s="39" t="n"/>
      <c r="O733" s="39" t="n"/>
      <c r="P733" s="116" t="n"/>
    </row>
    <row r="734">
      <c r="A734" s="108" t="n"/>
      <c r="B734" s="39" t="n"/>
      <c r="C734" s="278" t="n"/>
      <c r="I734" s="39" t="n"/>
      <c r="J734" s="336" t="n"/>
      <c r="K734" s="112" t="n"/>
      <c r="L734" s="39" t="n"/>
      <c r="M734" s="39" t="n"/>
      <c r="N734" s="39" t="n"/>
      <c r="O734" s="39" t="n"/>
      <c r="P734" s="116" t="n"/>
    </row>
    <row r="735">
      <c r="A735" s="108" t="n"/>
      <c r="B735" s="39" t="n"/>
      <c r="C735" s="278" t="n"/>
      <c r="I735" s="39" t="n"/>
      <c r="J735" s="336" t="n"/>
      <c r="K735" s="112" t="n"/>
      <c r="L735" s="39" t="n"/>
      <c r="M735" s="39" t="n"/>
      <c r="N735" s="39" t="n"/>
      <c r="O735" s="39" t="n"/>
      <c r="P735" s="116" t="n"/>
    </row>
    <row r="736">
      <c r="A736" s="108" t="n"/>
      <c r="B736" s="39" t="n"/>
      <c r="C736" s="278" t="n"/>
      <c r="I736" s="39" t="n"/>
      <c r="J736" s="336" t="n"/>
      <c r="K736" s="112" t="n"/>
      <c r="L736" s="39" t="n"/>
      <c r="M736" s="39" t="n"/>
      <c r="N736" s="39" t="n"/>
      <c r="O736" s="39" t="n"/>
      <c r="P736" s="116" t="n"/>
    </row>
    <row r="737">
      <c r="A737" s="108" t="n"/>
      <c r="B737" s="39" t="n"/>
      <c r="C737" s="278" t="n"/>
      <c r="I737" s="39" t="n"/>
      <c r="J737" s="336" t="n"/>
      <c r="K737" s="112" t="n"/>
      <c r="L737" s="39" t="n"/>
      <c r="M737" s="39" t="n"/>
      <c r="N737" s="39" t="n"/>
      <c r="O737" s="39" t="n"/>
      <c r="P737" s="116" t="n"/>
    </row>
    <row r="738">
      <c r="A738" s="108" t="n"/>
      <c r="B738" s="39" t="n"/>
      <c r="C738" s="278" t="n"/>
      <c r="I738" s="39" t="n"/>
      <c r="J738" s="336" t="n"/>
      <c r="K738" s="112" t="n"/>
      <c r="L738" s="39" t="n"/>
      <c r="M738" s="39" t="n"/>
      <c r="N738" s="39" t="n"/>
      <c r="O738" s="39" t="n"/>
      <c r="P738" s="116" t="n"/>
    </row>
    <row r="739">
      <c r="A739" s="108" t="n"/>
      <c r="B739" s="39" t="n"/>
      <c r="C739" s="278" t="n"/>
      <c r="I739" s="39" t="n"/>
      <c r="J739" s="336" t="n"/>
      <c r="K739" s="112" t="n"/>
      <c r="L739" s="39" t="n"/>
      <c r="M739" s="39" t="n"/>
      <c r="N739" s="39" t="n"/>
      <c r="O739" s="39" t="n"/>
      <c r="P739" s="116" t="n"/>
    </row>
    <row r="740">
      <c r="A740" s="108" t="n"/>
      <c r="B740" s="39" t="n"/>
      <c r="C740" s="278" t="n"/>
      <c r="I740" s="39" t="n"/>
      <c r="J740" s="336" t="n"/>
      <c r="K740" s="112" t="n"/>
      <c r="L740" s="39" t="n"/>
      <c r="M740" s="39" t="n"/>
      <c r="N740" s="39" t="n"/>
      <c r="O740" s="39" t="n"/>
      <c r="P740" s="116" t="n"/>
    </row>
    <row r="741">
      <c r="A741" s="108" t="n"/>
      <c r="B741" s="39" t="n"/>
      <c r="C741" s="278" t="n"/>
      <c r="I741" s="39" t="n"/>
      <c r="J741" s="336" t="n"/>
      <c r="K741" s="112" t="n"/>
      <c r="L741" s="39" t="n"/>
      <c r="M741" s="39" t="n"/>
      <c r="N741" s="39" t="n"/>
      <c r="O741" s="39" t="n"/>
      <c r="P741" s="116" t="n"/>
    </row>
    <row r="742">
      <c r="A742" s="108" t="n"/>
      <c r="B742" s="39" t="n"/>
      <c r="C742" s="278" t="n"/>
      <c r="I742" s="39" t="n"/>
      <c r="J742" s="336" t="n"/>
      <c r="K742" s="112" t="n"/>
      <c r="L742" s="39" t="n"/>
      <c r="M742" s="39" t="n"/>
      <c r="N742" s="39" t="n"/>
      <c r="O742" s="39" t="n"/>
      <c r="P742" s="116" t="n"/>
    </row>
    <row r="743">
      <c r="A743" s="108" t="n"/>
      <c r="B743" s="39" t="n"/>
      <c r="C743" s="278" t="n"/>
      <c r="I743" s="39" t="n"/>
      <c r="J743" s="336" t="n"/>
      <c r="K743" s="112" t="n"/>
      <c r="L743" s="39" t="n"/>
      <c r="M743" s="39" t="n"/>
      <c r="N743" s="39" t="n"/>
      <c r="O743" s="39" t="n"/>
      <c r="P743" s="116" t="n"/>
    </row>
    <row r="744">
      <c r="A744" s="108" t="n"/>
      <c r="B744" s="39" t="n"/>
      <c r="C744" s="278" t="n"/>
      <c r="I744" s="39" t="n"/>
      <c r="J744" s="336" t="n"/>
      <c r="K744" s="112" t="n"/>
      <c r="L744" s="39" t="n"/>
      <c r="M744" s="39" t="n"/>
      <c r="N744" s="39" t="n"/>
      <c r="O744" s="39" t="n"/>
      <c r="P744" s="116" t="n"/>
    </row>
    <row r="745">
      <c r="A745" s="108" t="n"/>
      <c r="B745" s="39" t="n"/>
      <c r="C745" s="278" t="n"/>
      <c r="I745" s="39" t="n"/>
      <c r="J745" s="336" t="n"/>
      <c r="K745" s="112" t="n"/>
      <c r="L745" s="39" t="n"/>
      <c r="M745" s="39" t="n"/>
      <c r="N745" s="39" t="n"/>
      <c r="O745" s="39" t="n"/>
      <c r="P745" s="116" t="n"/>
    </row>
    <row r="746">
      <c r="A746" s="108" t="n"/>
      <c r="B746" s="39" t="n"/>
      <c r="C746" s="278" t="n"/>
      <c r="I746" s="39" t="n"/>
      <c r="J746" s="336" t="n"/>
      <c r="K746" s="112" t="n"/>
      <c r="L746" s="39" t="n"/>
      <c r="M746" s="39" t="n"/>
      <c r="N746" s="39" t="n"/>
      <c r="O746" s="39" t="n"/>
      <c r="P746" s="116" t="n"/>
    </row>
    <row r="747">
      <c r="A747" s="108" t="n"/>
      <c r="B747" s="39" t="n"/>
      <c r="C747" s="278" t="n"/>
      <c r="I747" s="39" t="n"/>
      <c r="J747" s="336" t="n"/>
      <c r="K747" s="112" t="n"/>
      <c r="L747" s="39" t="n"/>
      <c r="M747" s="39" t="n"/>
      <c r="N747" s="39" t="n"/>
      <c r="O747" s="39" t="n"/>
      <c r="P747" s="116" t="n"/>
    </row>
    <row r="748">
      <c r="A748" s="108" t="n"/>
      <c r="B748" s="39" t="n"/>
      <c r="C748" s="278" t="n"/>
      <c r="I748" s="39" t="n"/>
      <c r="J748" s="336" t="n"/>
      <c r="K748" s="112" t="n"/>
      <c r="L748" s="39" t="n"/>
      <c r="M748" s="39" t="n"/>
      <c r="N748" s="39" t="n"/>
      <c r="O748" s="39" t="n"/>
      <c r="P748" s="116" t="n"/>
    </row>
    <row r="749">
      <c r="A749" s="108" t="n"/>
      <c r="B749" s="39" t="n"/>
      <c r="C749" s="278" t="n"/>
      <c r="I749" s="39" t="n"/>
      <c r="J749" s="336" t="n"/>
      <c r="K749" s="112" t="n"/>
      <c r="L749" s="39" t="n"/>
      <c r="M749" s="39" t="n"/>
      <c r="N749" s="39" t="n"/>
      <c r="O749" s="39" t="n"/>
      <c r="P749" s="116" t="n"/>
    </row>
    <row r="750">
      <c r="A750" s="108" t="n"/>
      <c r="B750" s="39" t="n"/>
      <c r="C750" s="278" t="n"/>
      <c r="I750" s="39" t="n"/>
      <c r="J750" s="336" t="n"/>
      <c r="K750" s="112" t="n"/>
      <c r="L750" s="39" t="n"/>
      <c r="M750" s="39" t="n"/>
      <c r="N750" s="39" t="n"/>
      <c r="O750" s="39" t="n"/>
      <c r="P750" s="116" t="n"/>
    </row>
    <row r="751">
      <c r="A751" s="108" t="n"/>
      <c r="B751" s="39" t="n"/>
      <c r="C751" s="278" t="n"/>
      <c r="I751" s="39" t="n"/>
      <c r="J751" s="336" t="n"/>
      <c r="K751" s="112" t="n"/>
      <c r="L751" s="39" t="n"/>
      <c r="M751" s="39" t="n"/>
      <c r="N751" s="39" t="n"/>
      <c r="O751" s="39" t="n"/>
      <c r="P751" s="116" t="n"/>
    </row>
    <row r="752">
      <c r="A752" s="108" t="n"/>
      <c r="B752" s="39" t="n"/>
      <c r="C752" s="278" t="n"/>
      <c r="I752" s="39" t="n"/>
      <c r="J752" s="336" t="n"/>
      <c r="K752" s="112" t="n"/>
      <c r="L752" s="39" t="n"/>
      <c r="M752" s="39" t="n"/>
      <c r="N752" s="39" t="n"/>
      <c r="O752" s="39" t="n"/>
      <c r="P752" s="116" t="n"/>
    </row>
    <row r="753">
      <c r="A753" s="108" t="n"/>
      <c r="B753" s="39" t="n"/>
      <c r="C753" s="278" t="n"/>
      <c r="I753" s="39" t="n"/>
      <c r="J753" s="336" t="n"/>
      <c r="K753" s="112" t="n"/>
      <c r="L753" s="39" t="n"/>
      <c r="M753" s="39" t="n"/>
      <c r="N753" s="39" t="n"/>
      <c r="O753" s="39" t="n"/>
      <c r="P753" s="116" t="n"/>
    </row>
    <row r="754">
      <c r="A754" s="108" t="n"/>
      <c r="B754" s="39" t="n"/>
      <c r="C754" s="278" t="n"/>
      <c r="I754" s="39" t="n"/>
      <c r="J754" s="336" t="n"/>
      <c r="K754" s="112" t="n"/>
      <c r="L754" s="39" t="n"/>
      <c r="M754" s="39" t="n"/>
      <c r="N754" s="39" t="n"/>
      <c r="O754" s="39" t="n"/>
      <c r="P754" s="116" t="n"/>
    </row>
    <row r="755">
      <c r="A755" s="108" t="n"/>
      <c r="B755" s="39" t="n"/>
      <c r="C755" s="278" t="n"/>
      <c r="I755" s="39" t="n"/>
      <c r="J755" s="336" t="n"/>
      <c r="K755" s="112" t="n"/>
      <c r="L755" s="39" t="n"/>
      <c r="M755" s="39" t="n"/>
      <c r="N755" s="39" t="n"/>
      <c r="O755" s="39" t="n"/>
      <c r="P755" s="116" t="n"/>
    </row>
    <row r="756">
      <c r="A756" s="108" t="n"/>
      <c r="B756" s="39" t="n"/>
      <c r="C756" s="278" t="n"/>
      <c r="I756" s="39" t="n"/>
      <c r="J756" s="336" t="n"/>
      <c r="K756" s="112" t="n"/>
      <c r="L756" s="39" t="n"/>
      <c r="M756" s="39" t="n"/>
      <c r="N756" s="39" t="n"/>
      <c r="O756" s="39" t="n"/>
      <c r="P756" s="116" t="n"/>
    </row>
    <row r="757">
      <c r="A757" s="108" t="n"/>
      <c r="B757" s="39" t="n"/>
      <c r="C757" s="278" t="n"/>
      <c r="I757" s="39" t="n"/>
      <c r="J757" s="336" t="n"/>
      <c r="K757" s="112" t="n"/>
      <c r="L757" s="39" t="n"/>
      <c r="M757" s="39" t="n"/>
      <c r="N757" s="39" t="n"/>
      <c r="O757" s="39" t="n"/>
      <c r="P757" s="116" t="n"/>
    </row>
    <row r="758">
      <c r="A758" s="108" t="n"/>
      <c r="B758" s="39" t="n"/>
      <c r="C758" s="278" t="n"/>
      <c r="I758" s="39" t="n"/>
      <c r="J758" s="336" t="n"/>
      <c r="K758" s="112" t="n"/>
      <c r="L758" s="39" t="n"/>
      <c r="M758" s="39" t="n"/>
      <c r="N758" s="39" t="n"/>
      <c r="O758" s="39" t="n"/>
      <c r="P758" s="116" t="n"/>
    </row>
    <row r="759">
      <c r="A759" s="108" t="n"/>
      <c r="B759" s="39" t="n"/>
      <c r="C759" s="278" t="n"/>
      <c r="I759" s="39" t="n"/>
      <c r="J759" s="336" t="n"/>
      <c r="K759" s="112" t="n"/>
      <c r="L759" s="39" t="n"/>
      <c r="M759" s="39" t="n"/>
      <c r="N759" s="39" t="n"/>
      <c r="O759" s="39" t="n"/>
      <c r="P759" s="116" t="n"/>
    </row>
    <row r="760">
      <c r="A760" s="108" t="n"/>
      <c r="B760" s="39" t="n"/>
      <c r="C760" s="278" t="n"/>
      <c r="I760" s="39" t="n"/>
      <c r="J760" s="336" t="n"/>
      <c r="K760" s="112" t="n"/>
      <c r="L760" s="39" t="n"/>
      <c r="M760" s="39" t="n"/>
      <c r="N760" s="39" t="n"/>
      <c r="O760" s="39" t="n"/>
      <c r="P760" s="116" t="n"/>
    </row>
    <row r="761">
      <c r="A761" s="108" t="n"/>
      <c r="B761" s="39" t="n"/>
      <c r="C761" s="278" t="n"/>
      <c r="I761" s="39" t="n"/>
      <c r="J761" s="336" t="n"/>
      <c r="K761" s="112" t="n"/>
      <c r="L761" s="39" t="n"/>
      <c r="M761" s="39" t="n"/>
      <c r="N761" s="39" t="n"/>
      <c r="O761" s="39" t="n"/>
      <c r="P761" s="116" t="n"/>
    </row>
    <row r="762">
      <c r="A762" s="108" t="n"/>
      <c r="B762" s="39" t="n"/>
      <c r="C762" s="278" t="n"/>
      <c r="I762" s="39" t="n"/>
      <c r="J762" s="336" t="n"/>
      <c r="K762" s="112" t="n"/>
      <c r="L762" s="39" t="n"/>
      <c r="M762" s="39" t="n"/>
      <c r="N762" s="39" t="n"/>
      <c r="O762" s="39" t="n"/>
      <c r="P762" s="116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23" t="n"/>
      <c r="J763" s="108" t="n"/>
      <c r="K763" s="108" t="n"/>
      <c r="L763" s="108" t="n"/>
      <c r="M763" s="78" t="n"/>
      <c r="N763" s="109" t="n"/>
      <c r="O763" s="109" t="n"/>
      <c r="P763" s="109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23" t="n"/>
      <c r="J764" s="108" t="n"/>
      <c r="K764" s="108" t="n"/>
      <c r="L764" s="108" t="n"/>
      <c r="M764" s="108" t="n"/>
      <c r="N764" s="108" t="n"/>
      <c r="O764" s="108" t="n"/>
      <c r="P764" s="108" t="n"/>
    </row>
    <row r="765">
      <c r="I765" s="232" t="n"/>
    </row>
  </sheetData>
  <autoFilter ref="A10:P670"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</autoFilter>
  <mergeCells count="3">
    <mergeCell ref="C10:H10"/>
    <mergeCell ref="D2:P9"/>
    <mergeCell ref="B2:C9"/>
  </mergeCells>
  <hyperlinks>
    <hyperlink xmlns:r="http://schemas.openxmlformats.org/officeDocument/2006/relationships" ref="P11" r:id="rId1"/>
    <hyperlink xmlns:r="http://schemas.openxmlformats.org/officeDocument/2006/relationships" ref="P12" r:id="rId2"/>
    <hyperlink xmlns:r="http://schemas.openxmlformats.org/officeDocument/2006/relationships" ref="P13" r:id="rId3"/>
    <hyperlink xmlns:r="http://schemas.openxmlformats.org/officeDocument/2006/relationships" ref="P14" r:id="rId4"/>
    <hyperlink xmlns:r="http://schemas.openxmlformats.org/officeDocument/2006/relationships" ref="P15" r:id="rId5"/>
    <hyperlink xmlns:r="http://schemas.openxmlformats.org/officeDocument/2006/relationships" ref="P16" r:id="rId6"/>
    <hyperlink xmlns:r="http://schemas.openxmlformats.org/officeDocument/2006/relationships" ref="P18" r:id="rId7"/>
    <hyperlink xmlns:r="http://schemas.openxmlformats.org/officeDocument/2006/relationships" ref="P19" r:id="rId8"/>
    <hyperlink xmlns:r="http://schemas.openxmlformats.org/officeDocument/2006/relationships" ref="P20" r:id="rId9"/>
    <hyperlink xmlns:r="http://schemas.openxmlformats.org/officeDocument/2006/relationships" ref="P21" r:id="rId10"/>
    <hyperlink xmlns:r="http://schemas.openxmlformats.org/officeDocument/2006/relationships" ref="P22" r:id="rId11"/>
    <hyperlink xmlns:r="http://schemas.openxmlformats.org/officeDocument/2006/relationships" ref="P23" r:id="rId12"/>
    <hyperlink xmlns:r="http://schemas.openxmlformats.org/officeDocument/2006/relationships" ref="P24" r:id="rId13"/>
    <hyperlink xmlns:r="http://schemas.openxmlformats.org/officeDocument/2006/relationships" ref="P25" r:id="rId14"/>
    <hyperlink xmlns:r="http://schemas.openxmlformats.org/officeDocument/2006/relationships" ref="P26" r:id="rId15"/>
    <hyperlink xmlns:r="http://schemas.openxmlformats.org/officeDocument/2006/relationships" ref="P27" r:id="rId16"/>
    <hyperlink xmlns:r="http://schemas.openxmlformats.org/officeDocument/2006/relationships" ref="P28" r:id="rId17"/>
    <hyperlink xmlns:r="http://schemas.openxmlformats.org/officeDocument/2006/relationships" ref="P29" r:id="rId18"/>
    <hyperlink xmlns:r="http://schemas.openxmlformats.org/officeDocument/2006/relationships" ref="P30" r:id="rId19"/>
    <hyperlink xmlns:r="http://schemas.openxmlformats.org/officeDocument/2006/relationships" ref="P31" r:id="rId20"/>
    <hyperlink xmlns:r="http://schemas.openxmlformats.org/officeDocument/2006/relationships" ref="P32" r:id="rId21"/>
    <hyperlink xmlns:r="http://schemas.openxmlformats.org/officeDocument/2006/relationships" ref="P33" r:id="rId22"/>
    <hyperlink xmlns:r="http://schemas.openxmlformats.org/officeDocument/2006/relationships" ref="P34" r:id="rId23"/>
    <hyperlink xmlns:r="http://schemas.openxmlformats.org/officeDocument/2006/relationships" ref="P35" r:id="rId24"/>
    <hyperlink xmlns:r="http://schemas.openxmlformats.org/officeDocument/2006/relationships" ref="P36" r:id="rId25"/>
    <hyperlink xmlns:r="http://schemas.openxmlformats.org/officeDocument/2006/relationships" ref="P37" r:id="rId26"/>
    <hyperlink xmlns:r="http://schemas.openxmlformats.org/officeDocument/2006/relationships" ref="P38" r:id="rId27"/>
    <hyperlink xmlns:r="http://schemas.openxmlformats.org/officeDocument/2006/relationships" ref="P39" r:id="rId28"/>
    <hyperlink xmlns:r="http://schemas.openxmlformats.org/officeDocument/2006/relationships" ref="P40" r:id="rId29"/>
    <hyperlink xmlns:r="http://schemas.openxmlformats.org/officeDocument/2006/relationships" ref="P41" r:id="rId30"/>
    <hyperlink xmlns:r="http://schemas.openxmlformats.org/officeDocument/2006/relationships" ref="P42" r:id="rId31"/>
    <hyperlink xmlns:r="http://schemas.openxmlformats.org/officeDocument/2006/relationships" ref="P44" r:id="rId32"/>
    <hyperlink xmlns:r="http://schemas.openxmlformats.org/officeDocument/2006/relationships" ref="P46" r:id="rId33"/>
    <hyperlink xmlns:r="http://schemas.openxmlformats.org/officeDocument/2006/relationships" ref="P48" r:id="rId34"/>
    <hyperlink xmlns:r="http://schemas.openxmlformats.org/officeDocument/2006/relationships" ref="P49" r:id="rId35"/>
    <hyperlink xmlns:r="http://schemas.openxmlformats.org/officeDocument/2006/relationships" ref="P50" r:id="rId36"/>
    <hyperlink xmlns:r="http://schemas.openxmlformats.org/officeDocument/2006/relationships" ref="P51" r:id="rId37"/>
    <hyperlink xmlns:r="http://schemas.openxmlformats.org/officeDocument/2006/relationships" ref="P52" r:id="rId38"/>
    <hyperlink xmlns:r="http://schemas.openxmlformats.org/officeDocument/2006/relationships" ref="P53" r:id="rId39"/>
    <hyperlink xmlns:r="http://schemas.openxmlformats.org/officeDocument/2006/relationships" ref="P54" r:id="rId40"/>
    <hyperlink xmlns:r="http://schemas.openxmlformats.org/officeDocument/2006/relationships" ref="P55" r:id="rId41"/>
    <hyperlink xmlns:r="http://schemas.openxmlformats.org/officeDocument/2006/relationships" ref="P57" r:id="rId42"/>
    <hyperlink xmlns:r="http://schemas.openxmlformats.org/officeDocument/2006/relationships" ref="P58" r:id="rId43"/>
    <hyperlink xmlns:r="http://schemas.openxmlformats.org/officeDocument/2006/relationships" ref="P59" r:id="rId44"/>
    <hyperlink xmlns:r="http://schemas.openxmlformats.org/officeDocument/2006/relationships" ref="P61" r:id="rId45"/>
    <hyperlink xmlns:r="http://schemas.openxmlformats.org/officeDocument/2006/relationships" ref="P63" r:id="rId46"/>
    <hyperlink xmlns:r="http://schemas.openxmlformats.org/officeDocument/2006/relationships" ref="P65" r:id="rId47"/>
    <hyperlink xmlns:r="http://schemas.openxmlformats.org/officeDocument/2006/relationships" ref="P66" r:id="rId48"/>
    <hyperlink xmlns:r="http://schemas.openxmlformats.org/officeDocument/2006/relationships" ref="P69" r:id="rId49"/>
    <hyperlink xmlns:r="http://schemas.openxmlformats.org/officeDocument/2006/relationships" ref="P70" r:id="rId50"/>
    <hyperlink xmlns:r="http://schemas.openxmlformats.org/officeDocument/2006/relationships" ref="P71" r:id="rId51"/>
    <hyperlink xmlns:r="http://schemas.openxmlformats.org/officeDocument/2006/relationships" ref="P72" r:id="rId52"/>
    <hyperlink xmlns:r="http://schemas.openxmlformats.org/officeDocument/2006/relationships" ref="P73" r:id="rId53"/>
    <hyperlink xmlns:r="http://schemas.openxmlformats.org/officeDocument/2006/relationships" ref="P74" r:id="rId54"/>
    <hyperlink xmlns:r="http://schemas.openxmlformats.org/officeDocument/2006/relationships" ref="P75" r:id="rId55"/>
    <hyperlink xmlns:r="http://schemas.openxmlformats.org/officeDocument/2006/relationships" ref="P76" r:id="rId56"/>
    <hyperlink xmlns:r="http://schemas.openxmlformats.org/officeDocument/2006/relationships" ref="P77" r:id="rId57"/>
    <hyperlink xmlns:r="http://schemas.openxmlformats.org/officeDocument/2006/relationships" ref="P78" r:id="rId58"/>
    <hyperlink xmlns:r="http://schemas.openxmlformats.org/officeDocument/2006/relationships" ref="P79" r:id="rId59"/>
    <hyperlink xmlns:r="http://schemas.openxmlformats.org/officeDocument/2006/relationships" ref="P80" r:id="rId60"/>
    <hyperlink xmlns:r="http://schemas.openxmlformats.org/officeDocument/2006/relationships" ref="P81" r:id="rId61"/>
    <hyperlink xmlns:r="http://schemas.openxmlformats.org/officeDocument/2006/relationships" ref="P84" r:id="rId62"/>
    <hyperlink xmlns:r="http://schemas.openxmlformats.org/officeDocument/2006/relationships" ref="P85" r:id="rId63"/>
    <hyperlink xmlns:r="http://schemas.openxmlformats.org/officeDocument/2006/relationships" ref="P86" r:id="rId64"/>
    <hyperlink xmlns:r="http://schemas.openxmlformats.org/officeDocument/2006/relationships" ref="P87" r:id="rId65"/>
    <hyperlink xmlns:r="http://schemas.openxmlformats.org/officeDocument/2006/relationships" ref="P88" r:id="rId66"/>
    <hyperlink xmlns:r="http://schemas.openxmlformats.org/officeDocument/2006/relationships" ref="P89" r:id="rId67"/>
    <hyperlink xmlns:r="http://schemas.openxmlformats.org/officeDocument/2006/relationships" ref="P90" r:id="rId68"/>
    <hyperlink xmlns:r="http://schemas.openxmlformats.org/officeDocument/2006/relationships" ref="P91" r:id="rId69"/>
    <hyperlink xmlns:r="http://schemas.openxmlformats.org/officeDocument/2006/relationships" ref="P92" r:id="rId70"/>
    <hyperlink xmlns:r="http://schemas.openxmlformats.org/officeDocument/2006/relationships" ref="P95" r:id="rId71"/>
    <hyperlink xmlns:r="http://schemas.openxmlformats.org/officeDocument/2006/relationships" ref="P96" r:id="rId72"/>
    <hyperlink xmlns:r="http://schemas.openxmlformats.org/officeDocument/2006/relationships" ref="P97" r:id="rId73"/>
    <hyperlink xmlns:r="http://schemas.openxmlformats.org/officeDocument/2006/relationships" ref="P98" r:id="rId74"/>
    <hyperlink xmlns:r="http://schemas.openxmlformats.org/officeDocument/2006/relationships" ref="P99" r:id="rId75"/>
    <hyperlink xmlns:r="http://schemas.openxmlformats.org/officeDocument/2006/relationships" ref="P100" r:id="rId76"/>
    <hyperlink xmlns:r="http://schemas.openxmlformats.org/officeDocument/2006/relationships" ref="P101" r:id="rId77"/>
    <hyperlink xmlns:r="http://schemas.openxmlformats.org/officeDocument/2006/relationships" ref="P103" r:id="rId78"/>
    <hyperlink xmlns:r="http://schemas.openxmlformats.org/officeDocument/2006/relationships" ref="P104" r:id="rId79"/>
    <hyperlink xmlns:r="http://schemas.openxmlformats.org/officeDocument/2006/relationships" ref="P105" r:id="rId80"/>
    <hyperlink xmlns:r="http://schemas.openxmlformats.org/officeDocument/2006/relationships" ref="P106" r:id="rId81"/>
    <hyperlink xmlns:r="http://schemas.openxmlformats.org/officeDocument/2006/relationships" ref="P107" r:id="rId82"/>
    <hyperlink xmlns:r="http://schemas.openxmlformats.org/officeDocument/2006/relationships" ref="P108" r:id="rId83"/>
    <hyperlink xmlns:r="http://schemas.openxmlformats.org/officeDocument/2006/relationships" ref="P109" r:id="rId84"/>
    <hyperlink xmlns:r="http://schemas.openxmlformats.org/officeDocument/2006/relationships" ref="P110" r:id="rId85"/>
    <hyperlink xmlns:r="http://schemas.openxmlformats.org/officeDocument/2006/relationships" ref="P111" r:id="rId86"/>
    <hyperlink xmlns:r="http://schemas.openxmlformats.org/officeDocument/2006/relationships" ref="P112" r:id="rId87"/>
    <hyperlink xmlns:r="http://schemas.openxmlformats.org/officeDocument/2006/relationships" ref="P113" r:id="rId88"/>
    <hyperlink xmlns:r="http://schemas.openxmlformats.org/officeDocument/2006/relationships" ref="P114" r:id="rId89"/>
    <hyperlink xmlns:r="http://schemas.openxmlformats.org/officeDocument/2006/relationships" ref="P115" r:id="rId90"/>
    <hyperlink xmlns:r="http://schemas.openxmlformats.org/officeDocument/2006/relationships" ref="P116" r:id="rId91"/>
    <hyperlink xmlns:r="http://schemas.openxmlformats.org/officeDocument/2006/relationships" ref="P117" r:id="rId92"/>
    <hyperlink xmlns:r="http://schemas.openxmlformats.org/officeDocument/2006/relationships" ref="P118" r:id="rId93"/>
    <hyperlink xmlns:r="http://schemas.openxmlformats.org/officeDocument/2006/relationships" ref="P119" r:id="rId94"/>
    <hyperlink xmlns:r="http://schemas.openxmlformats.org/officeDocument/2006/relationships" ref="P122" r:id="rId95"/>
    <hyperlink xmlns:r="http://schemas.openxmlformats.org/officeDocument/2006/relationships" ref="P123" r:id="rId96"/>
    <hyperlink xmlns:r="http://schemas.openxmlformats.org/officeDocument/2006/relationships" ref="P124" r:id="rId97"/>
    <hyperlink xmlns:r="http://schemas.openxmlformats.org/officeDocument/2006/relationships" ref="P125" r:id="rId98"/>
    <hyperlink xmlns:r="http://schemas.openxmlformats.org/officeDocument/2006/relationships" ref="P126" r:id="rId99"/>
    <hyperlink xmlns:r="http://schemas.openxmlformats.org/officeDocument/2006/relationships" ref="P128" r:id="rId100"/>
    <hyperlink xmlns:r="http://schemas.openxmlformats.org/officeDocument/2006/relationships" ref="P129" r:id="rId101"/>
    <hyperlink xmlns:r="http://schemas.openxmlformats.org/officeDocument/2006/relationships" ref="P130" r:id="rId102"/>
    <hyperlink xmlns:r="http://schemas.openxmlformats.org/officeDocument/2006/relationships" ref="P131" r:id="rId103"/>
    <hyperlink xmlns:r="http://schemas.openxmlformats.org/officeDocument/2006/relationships" ref="P132" r:id="rId104"/>
    <hyperlink xmlns:r="http://schemas.openxmlformats.org/officeDocument/2006/relationships" ref="P133" r:id="rId105"/>
    <hyperlink xmlns:r="http://schemas.openxmlformats.org/officeDocument/2006/relationships" ref="P134" r:id="rId106"/>
    <hyperlink xmlns:r="http://schemas.openxmlformats.org/officeDocument/2006/relationships" ref="P135" r:id="rId107"/>
    <hyperlink xmlns:r="http://schemas.openxmlformats.org/officeDocument/2006/relationships" ref="P136" r:id="rId108"/>
    <hyperlink xmlns:r="http://schemas.openxmlformats.org/officeDocument/2006/relationships" ref="P138" r:id="rId109"/>
    <hyperlink xmlns:r="http://schemas.openxmlformats.org/officeDocument/2006/relationships" ref="P139" r:id="rId110"/>
    <hyperlink xmlns:r="http://schemas.openxmlformats.org/officeDocument/2006/relationships" ref="P140" r:id="rId111"/>
    <hyperlink xmlns:r="http://schemas.openxmlformats.org/officeDocument/2006/relationships" ref="P141" r:id="rId112"/>
    <hyperlink xmlns:r="http://schemas.openxmlformats.org/officeDocument/2006/relationships" ref="P142" r:id="rId113"/>
    <hyperlink xmlns:r="http://schemas.openxmlformats.org/officeDocument/2006/relationships" ref="P143" r:id="rId114"/>
    <hyperlink xmlns:r="http://schemas.openxmlformats.org/officeDocument/2006/relationships" ref="P144" r:id="rId115"/>
    <hyperlink xmlns:r="http://schemas.openxmlformats.org/officeDocument/2006/relationships" ref="P146" r:id="rId116"/>
    <hyperlink xmlns:r="http://schemas.openxmlformats.org/officeDocument/2006/relationships" ref="P147" r:id="rId117"/>
    <hyperlink xmlns:r="http://schemas.openxmlformats.org/officeDocument/2006/relationships" ref="P148" r:id="rId118"/>
    <hyperlink xmlns:r="http://schemas.openxmlformats.org/officeDocument/2006/relationships" ref="P149" r:id="rId119"/>
    <hyperlink xmlns:r="http://schemas.openxmlformats.org/officeDocument/2006/relationships" ref="P150" r:id="rId120"/>
    <hyperlink xmlns:r="http://schemas.openxmlformats.org/officeDocument/2006/relationships" ref="P151" r:id="rId121"/>
    <hyperlink xmlns:r="http://schemas.openxmlformats.org/officeDocument/2006/relationships" ref="P152" r:id="rId122"/>
    <hyperlink xmlns:r="http://schemas.openxmlformats.org/officeDocument/2006/relationships" ref="P154" r:id="rId123"/>
    <hyperlink xmlns:r="http://schemas.openxmlformats.org/officeDocument/2006/relationships" ref="P155" r:id="rId124"/>
    <hyperlink xmlns:r="http://schemas.openxmlformats.org/officeDocument/2006/relationships" ref="P156" r:id="rId125"/>
    <hyperlink xmlns:r="http://schemas.openxmlformats.org/officeDocument/2006/relationships" ref="P157" r:id="rId126"/>
    <hyperlink xmlns:r="http://schemas.openxmlformats.org/officeDocument/2006/relationships" ref="P158" r:id="rId127"/>
    <hyperlink xmlns:r="http://schemas.openxmlformats.org/officeDocument/2006/relationships" ref="P159" r:id="rId128"/>
    <hyperlink xmlns:r="http://schemas.openxmlformats.org/officeDocument/2006/relationships" ref="P160" r:id="rId129"/>
    <hyperlink xmlns:r="http://schemas.openxmlformats.org/officeDocument/2006/relationships" ref="P161" r:id="rId130"/>
    <hyperlink xmlns:r="http://schemas.openxmlformats.org/officeDocument/2006/relationships" ref="P162" r:id="rId131"/>
    <hyperlink xmlns:r="http://schemas.openxmlformats.org/officeDocument/2006/relationships" ref="P163" r:id="rId132"/>
    <hyperlink xmlns:r="http://schemas.openxmlformats.org/officeDocument/2006/relationships" ref="P165" r:id="rId133"/>
    <hyperlink xmlns:r="http://schemas.openxmlformats.org/officeDocument/2006/relationships" ref="P166" r:id="rId134"/>
    <hyperlink xmlns:r="http://schemas.openxmlformats.org/officeDocument/2006/relationships" ref="P167" r:id="rId135"/>
    <hyperlink xmlns:r="http://schemas.openxmlformats.org/officeDocument/2006/relationships" ref="P168" r:id="rId136"/>
    <hyperlink xmlns:r="http://schemas.openxmlformats.org/officeDocument/2006/relationships" ref="P169" r:id="rId137"/>
    <hyperlink xmlns:r="http://schemas.openxmlformats.org/officeDocument/2006/relationships" ref="P170" r:id="rId138"/>
    <hyperlink xmlns:r="http://schemas.openxmlformats.org/officeDocument/2006/relationships" ref="P171" r:id="rId139"/>
    <hyperlink xmlns:r="http://schemas.openxmlformats.org/officeDocument/2006/relationships" ref="P172" r:id="rId140"/>
    <hyperlink xmlns:r="http://schemas.openxmlformats.org/officeDocument/2006/relationships" ref="P173" r:id="rId141"/>
    <hyperlink xmlns:r="http://schemas.openxmlformats.org/officeDocument/2006/relationships" ref="P174" r:id="rId142"/>
    <hyperlink xmlns:r="http://schemas.openxmlformats.org/officeDocument/2006/relationships" ref="P176" r:id="rId143"/>
    <hyperlink xmlns:r="http://schemas.openxmlformats.org/officeDocument/2006/relationships" ref="P177" r:id="rId144"/>
    <hyperlink xmlns:r="http://schemas.openxmlformats.org/officeDocument/2006/relationships" ref="P178" r:id="rId145"/>
    <hyperlink xmlns:r="http://schemas.openxmlformats.org/officeDocument/2006/relationships" ref="P179" r:id="rId146"/>
    <hyperlink xmlns:r="http://schemas.openxmlformats.org/officeDocument/2006/relationships" ref="P180" r:id="rId147"/>
    <hyperlink xmlns:r="http://schemas.openxmlformats.org/officeDocument/2006/relationships" ref="P181" r:id="rId148"/>
    <hyperlink xmlns:r="http://schemas.openxmlformats.org/officeDocument/2006/relationships" ref="P182" r:id="rId149"/>
    <hyperlink xmlns:r="http://schemas.openxmlformats.org/officeDocument/2006/relationships" ref="P183" r:id="rId150"/>
    <hyperlink xmlns:r="http://schemas.openxmlformats.org/officeDocument/2006/relationships" ref="P184" r:id="rId151"/>
    <hyperlink xmlns:r="http://schemas.openxmlformats.org/officeDocument/2006/relationships" ref="P186" r:id="rId152"/>
    <hyperlink xmlns:r="http://schemas.openxmlformats.org/officeDocument/2006/relationships" ref="P187" r:id="rId153"/>
    <hyperlink xmlns:r="http://schemas.openxmlformats.org/officeDocument/2006/relationships" ref="P188" r:id="rId154"/>
    <hyperlink xmlns:r="http://schemas.openxmlformats.org/officeDocument/2006/relationships" ref="P189" r:id="rId155"/>
    <hyperlink xmlns:r="http://schemas.openxmlformats.org/officeDocument/2006/relationships" ref="P190" r:id="rId156"/>
    <hyperlink xmlns:r="http://schemas.openxmlformats.org/officeDocument/2006/relationships" ref="P191" r:id="rId157"/>
    <hyperlink xmlns:r="http://schemas.openxmlformats.org/officeDocument/2006/relationships" ref="P192" r:id="rId158"/>
    <hyperlink xmlns:r="http://schemas.openxmlformats.org/officeDocument/2006/relationships" ref="P193" r:id="rId159"/>
    <hyperlink xmlns:r="http://schemas.openxmlformats.org/officeDocument/2006/relationships" ref="P194" r:id="rId160"/>
    <hyperlink xmlns:r="http://schemas.openxmlformats.org/officeDocument/2006/relationships" ref="P195" r:id="rId161"/>
    <hyperlink xmlns:r="http://schemas.openxmlformats.org/officeDocument/2006/relationships" ref="P196" r:id="rId162"/>
    <hyperlink xmlns:r="http://schemas.openxmlformats.org/officeDocument/2006/relationships" ref="P197" r:id="rId163"/>
    <hyperlink xmlns:r="http://schemas.openxmlformats.org/officeDocument/2006/relationships" ref="P200" r:id="rId164"/>
    <hyperlink xmlns:r="http://schemas.openxmlformats.org/officeDocument/2006/relationships" ref="P201" r:id="rId165"/>
    <hyperlink xmlns:r="http://schemas.openxmlformats.org/officeDocument/2006/relationships" ref="P202" r:id="rId166"/>
    <hyperlink xmlns:r="http://schemas.openxmlformats.org/officeDocument/2006/relationships" ref="P203" r:id="rId167"/>
    <hyperlink xmlns:r="http://schemas.openxmlformats.org/officeDocument/2006/relationships" ref="P206" r:id="rId168"/>
    <hyperlink xmlns:r="http://schemas.openxmlformats.org/officeDocument/2006/relationships" ref="P207" r:id="rId169"/>
    <hyperlink xmlns:r="http://schemas.openxmlformats.org/officeDocument/2006/relationships" ref="P208" r:id="rId170"/>
    <hyperlink xmlns:r="http://schemas.openxmlformats.org/officeDocument/2006/relationships" ref="P209" r:id="rId171"/>
    <hyperlink xmlns:r="http://schemas.openxmlformats.org/officeDocument/2006/relationships" ref="P211" r:id="rId172"/>
    <hyperlink xmlns:r="http://schemas.openxmlformats.org/officeDocument/2006/relationships" ref="P212" r:id="rId173"/>
    <hyperlink xmlns:r="http://schemas.openxmlformats.org/officeDocument/2006/relationships" ref="P213" r:id="rId174"/>
    <hyperlink xmlns:r="http://schemas.openxmlformats.org/officeDocument/2006/relationships" ref="P214" r:id="rId175"/>
    <hyperlink xmlns:r="http://schemas.openxmlformats.org/officeDocument/2006/relationships" ref="P215" r:id="rId176"/>
    <hyperlink xmlns:r="http://schemas.openxmlformats.org/officeDocument/2006/relationships" ref="P216" r:id="rId177"/>
    <hyperlink xmlns:r="http://schemas.openxmlformats.org/officeDocument/2006/relationships" ref="P217" r:id="rId178"/>
    <hyperlink xmlns:r="http://schemas.openxmlformats.org/officeDocument/2006/relationships" ref="P219" r:id="rId179"/>
    <hyperlink xmlns:r="http://schemas.openxmlformats.org/officeDocument/2006/relationships" ref="P220" r:id="rId180"/>
    <hyperlink xmlns:r="http://schemas.openxmlformats.org/officeDocument/2006/relationships" ref="P221" r:id="rId181"/>
    <hyperlink xmlns:r="http://schemas.openxmlformats.org/officeDocument/2006/relationships" ref="P222" r:id="rId182"/>
    <hyperlink xmlns:r="http://schemas.openxmlformats.org/officeDocument/2006/relationships" ref="P223" r:id="rId183"/>
    <hyperlink xmlns:r="http://schemas.openxmlformats.org/officeDocument/2006/relationships" ref="P224" r:id="rId184"/>
    <hyperlink xmlns:r="http://schemas.openxmlformats.org/officeDocument/2006/relationships" ref="P227" r:id="rId185"/>
    <hyperlink xmlns:r="http://schemas.openxmlformats.org/officeDocument/2006/relationships" ref="P228" r:id="rId186"/>
    <hyperlink xmlns:r="http://schemas.openxmlformats.org/officeDocument/2006/relationships" ref="P229" r:id="rId187"/>
    <hyperlink xmlns:r="http://schemas.openxmlformats.org/officeDocument/2006/relationships" ref="P232" r:id="rId188"/>
    <hyperlink xmlns:r="http://schemas.openxmlformats.org/officeDocument/2006/relationships" ref="P233" r:id="rId189"/>
    <hyperlink xmlns:r="http://schemas.openxmlformats.org/officeDocument/2006/relationships" ref="P234" r:id="rId190"/>
    <hyperlink xmlns:r="http://schemas.openxmlformats.org/officeDocument/2006/relationships" ref="P236" r:id="rId191"/>
    <hyperlink xmlns:r="http://schemas.openxmlformats.org/officeDocument/2006/relationships" ref="P237" r:id="rId192"/>
    <hyperlink xmlns:r="http://schemas.openxmlformats.org/officeDocument/2006/relationships" ref="P238" r:id="rId193"/>
    <hyperlink xmlns:r="http://schemas.openxmlformats.org/officeDocument/2006/relationships" ref="P239" r:id="rId194"/>
    <hyperlink xmlns:r="http://schemas.openxmlformats.org/officeDocument/2006/relationships" ref="P240" r:id="rId195"/>
    <hyperlink xmlns:r="http://schemas.openxmlformats.org/officeDocument/2006/relationships" ref="P241" r:id="rId196"/>
    <hyperlink xmlns:r="http://schemas.openxmlformats.org/officeDocument/2006/relationships" ref="P242" r:id="rId197"/>
    <hyperlink xmlns:r="http://schemas.openxmlformats.org/officeDocument/2006/relationships" ref="P243" r:id="rId198"/>
    <hyperlink xmlns:r="http://schemas.openxmlformats.org/officeDocument/2006/relationships" ref="P244" r:id="rId199"/>
    <hyperlink xmlns:r="http://schemas.openxmlformats.org/officeDocument/2006/relationships" ref="P245" r:id="rId200"/>
    <hyperlink xmlns:r="http://schemas.openxmlformats.org/officeDocument/2006/relationships" ref="P246" r:id="rId201"/>
    <hyperlink xmlns:r="http://schemas.openxmlformats.org/officeDocument/2006/relationships" ref="P247" r:id="rId202"/>
    <hyperlink xmlns:r="http://schemas.openxmlformats.org/officeDocument/2006/relationships" ref="P249" r:id="rId203"/>
    <hyperlink xmlns:r="http://schemas.openxmlformats.org/officeDocument/2006/relationships" ref="P251" r:id="rId204"/>
    <hyperlink xmlns:r="http://schemas.openxmlformats.org/officeDocument/2006/relationships" ref="P252" r:id="rId205"/>
    <hyperlink xmlns:r="http://schemas.openxmlformats.org/officeDocument/2006/relationships" ref="P253" r:id="rId206"/>
    <hyperlink xmlns:r="http://schemas.openxmlformats.org/officeDocument/2006/relationships" ref="P254" r:id="rId207"/>
    <hyperlink xmlns:r="http://schemas.openxmlformats.org/officeDocument/2006/relationships" ref="P255" r:id="rId208"/>
    <hyperlink xmlns:r="http://schemas.openxmlformats.org/officeDocument/2006/relationships" ref="P256" r:id="rId209"/>
    <hyperlink xmlns:r="http://schemas.openxmlformats.org/officeDocument/2006/relationships" ref="P257" r:id="rId210"/>
    <hyperlink xmlns:r="http://schemas.openxmlformats.org/officeDocument/2006/relationships" ref="P260" r:id="rId211"/>
    <hyperlink xmlns:r="http://schemas.openxmlformats.org/officeDocument/2006/relationships" ref="P261" r:id="rId212"/>
    <hyperlink xmlns:r="http://schemas.openxmlformats.org/officeDocument/2006/relationships" ref="P262" r:id="rId213"/>
    <hyperlink xmlns:r="http://schemas.openxmlformats.org/officeDocument/2006/relationships" ref="P263" r:id="rId214"/>
    <hyperlink xmlns:r="http://schemas.openxmlformats.org/officeDocument/2006/relationships" ref="P264" r:id="rId215"/>
    <hyperlink xmlns:r="http://schemas.openxmlformats.org/officeDocument/2006/relationships" ref="P265" r:id="rId216"/>
    <hyperlink xmlns:r="http://schemas.openxmlformats.org/officeDocument/2006/relationships" ref="P266" r:id="rId217"/>
    <hyperlink xmlns:r="http://schemas.openxmlformats.org/officeDocument/2006/relationships" ref="P267" r:id="rId218"/>
    <hyperlink xmlns:r="http://schemas.openxmlformats.org/officeDocument/2006/relationships" ref="P268" r:id="rId219"/>
    <hyperlink xmlns:r="http://schemas.openxmlformats.org/officeDocument/2006/relationships" ref="P269" r:id="rId220"/>
    <hyperlink xmlns:r="http://schemas.openxmlformats.org/officeDocument/2006/relationships" ref="P270" r:id="rId221"/>
    <hyperlink xmlns:r="http://schemas.openxmlformats.org/officeDocument/2006/relationships" ref="P271" r:id="rId222"/>
    <hyperlink xmlns:r="http://schemas.openxmlformats.org/officeDocument/2006/relationships" ref="P272" r:id="rId223"/>
    <hyperlink xmlns:r="http://schemas.openxmlformats.org/officeDocument/2006/relationships" ref="P274" r:id="rId224"/>
    <hyperlink xmlns:r="http://schemas.openxmlformats.org/officeDocument/2006/relationships" ref="P275" r:id="rId225"/>
    <hyperlink xmlns:r="http://schemas.openxmlformats.org/officeDocument/2006/relationships" ref="P277" r:id="rId226"/>
    <hyperlink xmlns:r="http://schemas.openxmlformats.org/officeDocument/2006/relationships" ref="P278" r:id="rId227"/>
    <hyperlink xmlns:r="http://schemas.openxmlformats.org/officeDocument/2006/relationships" ref="P279" r:id="rId228"/>
    <hyperlink xmlns:r="http://schemas.openxmlformats.org/officeDocument/2006/relationships" ref="P280" r:id="rId229"/>
    <hyperlink xmlns:r="http://schemas.openxmlformats.org/officeDocument/2006/relationships" ref="P281" r:id="rId230"/>
    <hyperlink xmlns:r="http://schemas.openxmlformats.org/officeDocument/2006/relationships" ref="P282" r:id="rId231"/>
    <hyperlink xmlns:r="http://schemas.openxmlformats.org/officeDocument/2006/relationships" ref="P283" r:id="rId232"/>
    <hyperlink xmlns:r="http://schemas.openxmlformats.org/officeDocument/2006/relationships" ref="P284" r:id="rId233"/>
    <hyperlink xmlns:r="http://schemas.openxmlformats.org/officeDocument/2006/relationships" ref="P285" r:id="rId234"/>
    <hyperlink xmlns:r="http://schemas.openxmlformats.org/officeDocument/2006/relationships" ref="P286" r:id="rId235"/>
    <hyperlink xmlns:r="http://schemas.openxmlformats.org/officeDocument/2006/relationships" ref="P287" r:id="rId236"/>
    <hyperlink xmlns:r="http://schemas.openxmlformats.org/officeDocument/2006/relationships" ref="P288" r:id="rId237"/>
    <hyperlink xmlns:r="http://schemas.openxmlformats.org/officeDocument/2006/relationships" ref="P289" r:id="rId238"/>
    <hyperlink xmlns:r="http://schemas.openxmlformats.org/officeDocument/2006/relationships" ref="P290" r:id="rId239"/>
    <hyperlink xmlns:r="http://schemas.openxmlformats.org/officeDocument/2006/relationships" ref="P291" r:id="rId240"/>
    <hyperlink xmlns:r="http://schemas.openxmlformats.org/officeDocument/2006/relationships" ref="P292" r:id="rId241"/>
    <hyperlink xmlns:r="http://schemas.openxmlformats.org/officeDocument/2006/relationships" ref="P293" r:id="rId242"/>
    <hyperlink xmlns:r="http://schemas.openxmlformats.org/officeDocument/2006/relationships" ref="P294" r:id="rId243"/>
    <hyperlink xmlns:r="http://schemas.openxmlformats.org/officeDocument/2006/relationships" ref="P295" r:id="rId244"/>
    <hyperlink xmlns:r="http://schemas.openxmlformats.org/officeDocument/2006/relationships" ref="P296" r:id="rId245"/>
    <hyperlink xmlns:r="http://schemas.openxmlformats.org/officeDocument/2006/relationships" ref="P297" r:id="rId246"/>
    <hyperlink xmlns:r="http://schemas.openxmlformats.org/officeDocument/2006/relationships" ref="P298" r:id="rId247"/>
    <hyperlink xmlns:r="http://schemas.openxmlformats.org/officeDocument/2006/relationships" ref="P299" r:id="rId248"/>
    <hyperlink xmlns:r="http://schemas.openxmlformats.org/officeDocument/2006/relationships" ref="P300" r:id="rId249"/>
    <hyperlink xmlns:r="http://schemas.openxmlformats.org/officeDocument/2006/relationships" ref="P301" r:id="rId250"/>
    <hyperlink xmlns:r="http://schemas.openxmlformats.org/officeDocument/2006/relationships" ref="P302" r:id="rId251"/>
    <hyperlink xmlns:r="http://schemas.openxmlformats.org/officeDocument/2006/relationships" ref="P303" r:id="rId252"/>
    <hyperlink xmlns:r="http://schemas.openxmlformats.org/officeDocument/2006/relationships" ref="P304" r:id="rId253"/>
    <hyperlink xmlns:r="http://schemas.openxmlformats.org/officeDocument/2006/relationships" ref="P305" r:id="rId254"/>
    <hyperlink xmlns:r="http://schemas.openxmlformats.org/officeDocument/2006/relationships" ref="P306" r:id="rId255"/>
    <hyperlink xmlns:r="http://schemas.openxmlformats.org/officeDocument/2006/relationships" ref="P307" r:id="rId256"/>
    <hyperlink xmlns:r="http://schemas.openxmlformats.org/officeDocument/2006/relationships" ref="P308" r:id="rId257"/>
    <hyperlink xmlns:r="http://schemas.openxmlformats.org/officeDocument/2006/relationships" ref="P309" r:id="rId258"/>
    <hyperlink xmlns:r="http://schemas.openxmlformats.org/officeDocument/2006/relationships" ref="P310" r:id="rId259"/>
    <hyperlink xmlns:r="http://schemas.openxmlformats.org/officeDocument/2006/relationships" ref="P312" r:id="rId260"/>
    <hyperlink xmlns:r="http://schemas.openxmlformats.org/officeDocument/2006/relationships" ref="P314" r:id="rId261"/>
    <hyperlink xmlns:r="http://schemas.openxmlformats.org/officeDocument/2006/relationships" ref="P315" r:id="rId262"/>
    <hyperlink xmlns:r="http://schemas.openxmlformats.org/officeDocument/2006/relationships" ref="P316" r:id="rId263"/>
    <hyperlink xmlns:r="http://schemas.openxmlformats.org/officeDocument/2006/relationships" ref="P317" r:id="rId264"/>
    <hyperlink xmlns:r="http://schemas.openxmlformats.org/officeDocument/2006/relationships" ref="P318" r:id="rId265"/>
    <hyperlink xmlns:r="http://schemas.openxmlformats.org/officeDocument/2006/relationships" ref="P319" r:id="rId266"/>
    <hyperlink xmlns:r="http://schemas.openxmlformats.org/officeDocument/2006/relationships" ref="P320" r:id="rId267"/>
    <hyperlink xmlns:r="http://schemas.openxmlformats.org/officeDocument/2006/relationships" ref="P321" r:id="rId268"/>
    <hyperlink xmlns:r="http://schemas.openxmlformats.org/officeDocument/2006/relationships" ref="P322" r:id="rId269"/>
    <hyperlink xmlns:r="http://schemas.openxmlformats.org/officeDocument/2006/relationships" ref="P323" r:id="rId270"/>
    <hyperlink xmlns:r="http://schemas.openxmlformats.org/officeDocument/2006/relationships" ref="P324" r:id="rId271"/>
    <hyperlink xmlns:r="http://schemas.openxmlformats.org/officeDocument/2006/relationships" ref="P325" r:id="rId272"/>
  </hyperlinks>
  <pageMargins left="0.7" right="0.7" top="0.75" bottom="0.75" header="0.3" footer="0.3"/>
  <pageSetup orientation="portrait" horizontalDpi="429496729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"/>
  <sheetViews>
    <sheetView view="pageBreakPreview" zoomScale="60" zoomScaleNormal="100" workbookViewId="0">
      <selection activeCell="L39" sqref="L39"/>
    </sheetView>
  </sheetViews>
  <sheetFormatPr baseColWidth="10" defaultRowHeight="14.4"/>
  <cols>
    <col width="46.5546875" customWidth="1" min="3" max="3"/>
    <col width="4.6640625" customWidth="1" min="4" max="4"/>
    <col hidden="1" width="21.44140625" customWidth="1" min="5" max="5"/>
    <col hidden="1" min="6" max="6"/>
    <col width="14" customWidth="1" min="7" max="7"/>
    <col width="23.5546875" customWidth="1" min="8" max="8"/>
  </cols>
  <sheetData>
    <row r="1">
      <c r="A1" s="6" t="inlineStr">
        <is>
          <t>#</t>
        </is>
      </c>
      <c r="B1" s="6" t="inlineStr">
        <is>
          <t>Item</t>
        </is>
      </c>
      <c r="C1" s="6" t="inlineStr">
        <is>
          <t>Description</t>
        </is>
      </c>
      <c r="D1" s="6" t="inlineStr">
        <is>
          <t>Qty</t>
        </is>
      </c>
      <c r="E1" s="6" t="inlineStr">
        <is>
          <t>Valor Proveedor</t>
        </is>
      </c>
      <c r="F1" s="6" t="inlineStr">
        <is>
          <t>30% +</t>
        </is>
      </c>
      <c r="G1" s="6" t="inlineStr">
        <is>
          <t>Price USD</t>
        </is>
      </c>
      <c r="I1" t="inlineStr">
        <is>
          <t>trm</t>
        </is>
      </c>
      <c r="J1" t="n">
        <v>4170.59</v>
      </c>
    </row>
    <row r="2" ht="41.25" customHeight="1">
      <c r="A2" s="6" t="n">
        <v>1</v>
      </c>
      <c r="B2" s="6" t="inlineStr">
        <is>
          <t>7010-4FL</t>
        </is>
      </c>
      <c r="C2" s="136" t="inlineStr">
        <is>
          <t>2 1/2" MONITOR W/4" FLG BASE
750 GPM GUARDIAN FIRE</t>
        </is>
      </c>
      <c r="D2" s="6" t="n">
        <v>1</v>
      </c>
      <c r="E2" s="137">
        <f>1717.9</f>
        <v/>
      </c>
      <c r="F2" s="137">
        <f>+E2*30%</f>
        <v/>
      </c>
      <c r="G2" s="137">
        <f>+E2+F2</f>
        <v/>
      </c>
      <c r="H2" s="135">
        <f>+G2*$J$1</f>
        <v/>
      </c>
    </row>
    <row r="3" ht="28.8" customHeight="1">
      <c r="A3" s="6" t="n">
        <v>2</v>
      </c>
      <c r="B3" s="6" t="n">
        <v>7132</v>
      </c>
      <c r="C3" s="136" t="inlineStr">
        <is>
          <t>2 1/2" NST Brass Nzl w/Eductor 500
GPM (1%or3% foam) Guardian Fire</t>
        </is>
      </c>
      <c r="D3" s="6" t="n">
        <v>1</v>
      </c>
      <c r="E3" s="137" t="n">
        <v>118.2</v>
      </c>
      <c r="F3" s="137">
        <f>+E3*30%</f>
        <v/>
      </c>
      <c r="G3" s="137">
        <f>+E3+F3</f>
        <v/>
      </c>
      <c r="H3" s="135">
        <f>+G3*$J$1</f>
        <v/>
      </c>
    </row>
    <row r="4" ht="28.8" customHeight="1">
      <c r="A4" s="6" t="n">
        <v>3</v>
      </c>
      <c r="B4" s="6" t="inlineStr">
        <is>
          <t>7068A-0400</t>
        </is>
      </c>
      <c r="C4" s="136" t="inlineStr">
        <is>
          <t>4" KENNEDY RW GATE VALVE
FLANGE OS&amp;Y</t>
        </is>
      </c>
      <c r="D4" s="6" t="n">
        <v>1</v>
      </c>
      <c r="E4" s="137" t="n">
        <v>521</v>
      </c>
      <c r="F4" s="137">
        <f>+E4*30%</f>
        <v/>
      </c>
      <c r="G4" s="137">
        <f>+E4+F4</f>
        <v/>
      </c>
      <c r="H4" s="135">
        <f>+G4*$J$1</f>
        <v/>
      </c>
    </row>
    <row r="5" ht="28.8" customHeight="1">
      <c r="A5" s="6" t="n">
        <v>4</v>
      </c>
      <c r="B5" s="6" t="inlineStr">
        <is>
          <t>12-3370-05</t>
        </is>
      </c>
      <c r="C5" s="136" t="inlineStr">
        <is>
          <t>ARK 3% 265 GAL FOMTEC
ENVIRO FOAM CONCENTRATE</t>
        </is>
      </c>
      <c r="D5" s="6" t="n">
        <v>1</v>
      </c>
      <c r="E5" s="137" t="n">
        <v>13155.16</v>
      </c>
      <c r="F5" s="137">
        <f>+E5*30%</f>
        <v/>
      </c>
      <c r="G5" s="137">
        <f>+E5+F5</f>
        <v/>
      </c>
      <c r="H5" s="135">
        <f>+G5*$J$1</f>
        <v/>
      </c>
    </row>
    <row r="6">
      <c r="G6" s="137">
        <f>SUM(G2:G5)</f>
        <v/>
      </c>
      <c r="H6" s="135">
        <f>+G6*$J$1</f>
        <v/>
      </c>
    </row>
    <row r="11">
      <c r="D11" s="134" t="n"/>
    </row>
  </sheetData>
  <pageMargins left="0.7" right="0.7" top="0.75" bottom="0.75" header="0.3" footer="0.3"/>
  <pageSetup orientation="portrait" paperSize="9" scale="99"/>
  <colBreaks count="1" manualBreakCount="1">
    <brk id="7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5"/>
  <sheetViews>
    <sheetView zoomScale="145" zoomScaleNormal="145" workbookViewId="0">
      <selection activeCell="K13" sqref="A11:K13"/>
    </sheetView>
  </sheetViews>
  <sheetFormatPr baseColWidth="10" defaultRowHeight="14.4"/>
  <cols>
    <col width="15.109375" customWidth="1" min="1" max="1"/>
    <col width="21.44140625" customWidth="1" min="2" max="3"/>
    <col width="17.109375" customWidth="1" min="4" max="4"/>
    <col width="18.109375" bestFit="1" customWidth="1" min="5" max="5"/>
    <col width="6" customWidth="1" min="6" max="6"/>
    <col width="15.109375" customWidth="1" min="7" max="7"/>
    <col width="21.44140625" customWidth="1" min="8" max="9"/>
    <col width="17.88671875" bestFit="1" customWidth="1" min="10" max="10"/>
    <col width="18.109375" bestFit="1" customWidth="1" min="11" max="11"/>
    <col width="4.44140625" customWidth="1" min="12" max="12"/>
    <col hidden="1" width="11.44140625" customWidth="1" min="13" max="13"/>
    <col hidden="1" width="19.44140625" customWidth="1" min="14" max="14"/>
    <col hidden="1" width="21" customWidth="1" min="15" max="15"/>
    <col hidden="1" width="16.88671875" customWidth="1" min="16" max="16"/>
    <col width="13" customWidth="1" min="17" max="18"/>
  </cols>
  <sheetData>
    <row r="1">
      <c r="C1" s="294" t="inlineStr">
        <is>
          <t>VALOR TOTAL COTIZACIONES</t>
        </is>
      </c>
      <c r="I1" s="294" t="inlineStr">
        <is>
          <t>COTIZACIONES APROBADAS</t>
        </is>
      </c>
      <c r="N1" s="294" t="inlineStr">
        <is>
          <t>COTIZACIONES RECHAZADAS</t>
        </is>
      </c>
      <c r="Q1" s="294" t="inlineStr">
        <is>
          <t xml:space="preserve">PORCENTAJE DE APROBACION </t>
        </is>
      </c>
    </row>
    <row r="2">
      <c r="B2" s="294" t="n">
        <v>2020</v>
      </c>
      <c r="C2" s="294" t="n">
        <v>2021</v>
      </c>
      <c r="D2" s="294" t="n">
        <v>2022</v>
      </c>
      <c r="E2" s="294" t="n">
        <v>2023</v>
      </c>
      <c r="H2" s="294" t="n">
        <v>2020</v>
      </c>
      <c r="I2" s="294" t="n">
        <v>2021</v>
      </c>
      <c r="J2" s="294" t="n">
        <v>2022</v>
      </c>
      <c r="K2" s="294" t="n">
        <v>2023</v>
      </c>
      <c r="N2" s="294" t="n">
        <v>2021</v>
      </c>
      <c r="O2" s="294" t="n">
        <v>2022</v>
      </c>
      <c r="P2" s="294" t="n">
        <v>2023</v>
      </c>
      <c r="Q2" s="294" t="n">
        <v>2020</v>
      </c>
      <c r="R2" s="294" t="n">
        <v>2021</v>
      </c>
      <c r="S2" s="294" t="n">
        <v>2022</v>
      </c>
      <c r="T2" s="294" t="n">
        <v>2023</v>
      </c>
    </row>
    <row r="3">
      <c r="A3" s="95" t="inlineStr">
        <is>
          <t>ENERO</t>
        </is>
      </c>
      <c r="B3" s="342">
        <f>SUMIFS('2020'!$K$14:$K$567,'2020'!$L$14:$L$567,"&gt;="&amp;DATE(2020,1,1),'2020'!$L$14:$L$567,"&lt;="&amp;DATE(2020,1,31))</f>
        <v/>
      </c>
      <c r="C3" s="342">
        <f>SUMIFS('2021'!$K$14:$K$567,'2021'!$L$14:$L$567,"&gt;="&amp;DATE(2021,1,1),'2021'!$L$14:$L$567,"&lt;="&amp;DATE(2021,1,31))</f>
        <v/>
      </c>
      <c r="D3" s="342">
        <f>SUMIFS('2022'!$K$12:$K$565,'2022'!$L$12:$L$565,"&gt;="&amp;DATE(2022,1,1),'2022'!$L$12:$L$565,"&lt;="&amp;DATE(2022,1,31))</f>
        <v/>
      </c>
      <c r="E3" s="342">
        <f>SUMIFS('2023'!$K$12:$K$565,'2023'!$L$12:$L$565,"&gt;="&amp;DATE(2023,1,1),'2023'!$L$12:$L$565,"&lt;="&amp;DATE(2023,1,31))</f>
        <v/>
      </c>
      <c r="G3" s="95" t="inlineStr">
        <is>
          <t>ENERO</t>
        </is>
      </c>
      <c r="H3" s="342">
        <f>SUMIFS('2020'!$K$14:$K$567,'2020'!$L$14:$L$567,"&gt;="&amp;DATE(2020,1,1),'2020'!$L$14:$L$567,"&lt;="&amp;DATE(2020,1,31),'2020'!$M$14:$M$567,"X")</f>
        <v/>
      </c>
      <c r="I3" s="342">
        <f>SUMIFS('2021'!$K$14:$K$567,'2021'!$L$14:$L$567,"&gt;="&amp;DATE(2021,1,1),'2021'!$L$14:$L$567,"&lt;="&amp;DATE(2021,1,31),'2021'!$M$14:$M$567,"X")</f>
        <v/>
      </c>
      <c r="J3" s="342">
        <f>SUMIFS('2022'!$K$12:$K$565,'2022'!$L$12:$L$565,"&gt;="&amp;DATE(2022,1,1),'2022'!$L$12:$L$565,"&lt;="&amp;DATE(2022,1,31),'2022'!$M$12:$M$565,"X")</f>
        <v/>
      </c>
      <c r="K3" s="342">
        <f>SUMIFS('2023'!$K$12:$K$565,'2023'!$L$12:$L$565,"&gt;="&amp;DATE(2023,1,1),'2023'!$L$12:$L$565,"&lt;="&amp;DATE(2023,1,31),'2023'!$M$12:$M$565,"X")</f>
        <v/>
      </c>
      <c r="M3" s="95" t="inlineStr">
        <is>
          <t>ENERO</t>
        </is>
      </c>
      <c r="P3" s="342">
        <f>SUMIFS('2023'!$K$12:$K$565,'2023'!$L$12:$L$565,"&gt;="&amp;DATE(2023,1,1),'2023'!$L$12:$L$565,"&lt;="&amp;DATE(2023,1,31),'2023'!$M$12:$M$565,"")</f>
        <v/>
      </c>
      <c r="Q3" s="96">
        <f>H3/B3</f>
        <v/>
      </c>
      <c r="R3" s="96">
        <f>I3/C3</f>
        <v/>
      </c>
      <c r="S3" s="96">
        <f>J3/D3</f>
        <v/>
      </c>
      <c r="T3" s="96">
        <f>K3/E3</f>
        <v/>
      </c>
    </row>
    <row r="4">
      <c r="A4" s="95" t="inlineStr">
        <is>
          <t>FEBRERO</t>
        </is>
      </c>
      <c r="B4" s="342">
        <f>SUMIFS('2020'!$K$14:$K$567,'2020'!$L$14:$L$567,"&gt;="&amp;DATE(2020,2,1),'2020'!$L$14:$L$567,"&lt;="&amp;DATE(2020,2,28))</f>
        <v/>
      </c>
      <c r="C4" s="342">
        <f>SUMIFS('2021'!$K$14:$K$567,'2021'!$L$14:$L$567,"&gt;="&amp;DATE(2021,2,1),'2021'!$L$14:$L$567,"&lt;="&amp;DATE(2021,2,28))</f>
        <v/>
      </c>
      <c r="D4" s="342">
        <f>SUMIFS('2022'!$K$12:$K$565,'2022'!$L$12:$L$565,"&gt;="&amp;DATE(2022,2,1),'2022'!$L$12:$L$565,"&lt;="&amp;DATE(2022,2,28))</f>
        <v/>
      </c>
      <c r="E4" s="342">
        <f>SUMIFS('2023'!$K$12:$K$565,'2023'!$L$12:$L$565,"&gt;="&amp;DATE(2023,2,1),'2023'!$L$12:$L$565,"&lt;="&amp;DATE(2023,2,28))</f>
        <v/>
      </c>
      <c r="G4" s="95" t="inlineStr">
        <is>
          <t>FEBRERO</t>
        </is>
      </c>
      <c r="H4" s="342">
        <f>SUMIFS('2020'!$K$14:$K$567,'2020'!$L$14:$L$567,"&gt;="&amp;DATE(2020,2,1),'2020'!$L$14:$L$567,"&lt;="&amp;DATE(2020,2,28),'2020'!$M$14:$M$567,"X")</f>
        <v/>
      </c>
      <c r="I4" s="342">
        <f>SUMIFS('2021'!$K$14:$K$567,'2021'!$L$14:$L$567,"&gt;="&amp;DATE(2021,2,1),'2021'!$L$14:$L$567,"&lt;="&amp;DATE(2021,2,28),'2021'!$M$14:$M$567,"X")</f>
        <v/>
      </c>
      <c r="J4" s="342">
        <f>SUMIFS('2022'!$K$12:$K$565,'2022'!$L$12:$L$565,"&gt;="&amp;DATE(2022,2,1),'2022'!$L$12:$L$565,"&lt;="&amp;DATE(2022,2,28),'2022'!$M$12:$M$565,"X")</f>
        <v/>
      </c>
      <c r="K4" s="342">
        <f>SUMIFS('2023'!$K$12:$K$565,'2023'!$L$12:$L$565,"&gt;="&amp;DATE(2023,2,1),'2023'!$L$12:$L$565,"&lt;="&amp;DATE(2023,2,28),'2023'!$M$12:$M$565,"X")</f>
        <v/>
      </c>
      <c r="M4" s="95" t="inlineStr">
        <is>
          <t>FEBRERO</t>
        </is>
      </c>
      <c r="P4" s="342">
        <f>SUMIFS('2023'!$K$12:$K$565,'2023'!$L$12:$L$565,"&gt;="&amp;DATE(2023,2,1),'2023'!$L$12:$L$565,"&lt;="&amp;DATE(2023,2,28),'2023'!$M$12:$M$565,"")</f>
        <v/>
      </c>
      <c r="Q4" s="96">
        <f>H4/B4</f>
        <v/>
      </c>
      <c r="R4" s="96">
        <f>I4/C4</f>
        <v/>
      </c>
      <c r="S4" s="96">
        <f>J4/D4</f>
        <v/>
      </c>
      <c r="T4" s="96">
        <f>K4/E4</f>
        <v/>
      </c>
    </row>
    <row r="5">
      <c r="A5" s="95" t="inlineStr">
        <is>
          <t>MARZO</t>
        </is>
      </c>
      <c r="B5" s="342">
        <f>SUMIFS('2020'!$K$14:$K$567,'2020'!$L$14:$L$567,"&gt;="&amp;DATE(2020,3,1),'2020'!$L$14:$L$567,"&lt;="&amp;DATE(2020,3,31))</f>
        <v/>
      </c>
      <c r="C5" s="342">
        <f>SUMIFS('2021'!$K$14:$K$567,'2021'!$L$14:$L$567,"&gt;="&amp;DATE(2021,3,1),'2021'!$L$14:$L$567,"&lt;="&amp;DATE(2021,3,31))</f>
        <v/>
      </c>
      <c r="D5" s="342">
        <f>SUMIFS('2022'!$K$12:$K$565,'2022'!$L$12:$L$565,"&gt;="&amp;DATE(2022,3,1),'2022'!$L$12:$L$565,"&lt;="&amp;DATE(2022,3,31))</f>
        <v/>
      </c>
      <c r="E5" s="342">
        <f>SUMIFS('2023'!$K$12:$K$565,'2023'!$L$12:$L$565,"&gt;="&amp;DATE(2023,3,1),'2023'!$L$12:$L$565,"&lt;="&amp;DATE(2023,3,31))</f>
        <v/>
      </c>
      <c r="G5" s="95" t="inlineStr">
        <is>
          <t>MARZO</t>
        </is>
      </c>
      <c r="H5" s="342">
        <f>SUMIFS('2020'!$K$14:$K$567,'2020'!$L$14:$L$567,"&gt;="&amp;DATE(2020,3,1),'2020'!$L$14:$L$567,"&lt;="&amp;DATE(2020,3,31),'2020'!$M$14:$M$567,"X")</f>
        <v/>
      </c>
      <c r="I5" s="342">
        <f>SUMIFS('2021'!$K$14:$K$567,'2021'!$L$14:$L$567,"&gt;="&amp;DATE(2021,3,1),'2021'!$L$14:$L$567,"&lt;="&amp;DATE(2021,3,31),'2021'!$M$14:$M$567,"X")</f>
        <v/>
      </c>
      <c r="J5" s="342">
        <f>SUMIFS('2022'!$K$12:$K$565,'2022'!$L$12:$L$565,"&gt;="&amp;DATE(2022,3,1),'2022'!$L$12:$L$565,"&lt;="&amp;DATE(2022,3,31),'2022'!$M$12:$M$565,"X")</f>
        <v/>
      </c>
      <c r="K5" s="342">
        <f>SUMIFS('2023'!$K$12:$K$565,'2023'!$L$12:$L$565,"&gt;="&amp;DATE(2023,3,1),'2023'!$L$12:$L$565,"&lt;="&amp;DATE(2023,3,31),'2023'!$M$12:$M$565,"X")</f>
        <v/>
      </c>
      <c r="M5" s="95" t="inlineStr">
        <is>
          <t>MARZO</t>
        </is>
      </c>
      <c r="P5" s="342">
        <f>SUMIFS('2023'!$K$12:$K$565,'2023'!$L$12:$L$565,"&gt;="&amp;DATE(2023,3,1),'2023'!$L$12:$L$565,"&lt;="&amp;DATE(2023,3,31),'2023'!$M$12:$M$565,"")</f>
        <v/>
      </c>
      <c r="Q5" s="96">
        <f>H5/B5</f>
        <v/>
      </c>
      <c r="R5" s="96">
        <f>I5/C5</f>
        <v/>
      </c>
      <c r="S5" s="96">
        <f>J5/D5</f>
        <v/>
      </c>
      <c r="T5" s="96">
        <f>K5/E5</f>
        <v/>
      </c>
    </row>
    <row r="6">
      <c r="A6" s="95" t="inlineStr">
        <is>
          <t>ABRIL</t>
        </is>
      </c>
      <c r="B6" s="342">
        <f>SUMIFS('2020'!$K$14:$K$567,'2020'!$L$14:$L$567,"&gt;="&amp;DATE(2020,4,1),'2020'!$L$14:$L$567,"&lt;="&amp;DATE(2020,4,30))</f>
        <v/>
      </c>
      <c r="C6" s="342">
        <f>SUMIFS('2021'!$K$14:$K$567,'2021'!$L$14:$L$567,"&gt;="&amp;DATE(2021,4,1),'2021'!$L$14:$L$567,"&lt;="&amp;DATE(2021,4,30))</f>
        <v/>
      </c>
      <c r="D6" s="342">
        <f>SUMIFS('2022'!$K$12:$K$565,'2022'!$L$12:$L$565,"&gt;="&amp;DATE(2022,4,1),'2022'!$L$12:$L$565,"&lt;="&amp;DATE(2022,4,30))</f>
        <v/>
      </c>
      <c r="E6" s="342">
        <f>SUMIFS('2023'!$K$12:$K$565,'2023'!$L$12:$L$565,"&gt;="&amp;DATE(2023,4,1),'2023'!$L$12:$L$565,"&lt;="&amp;DATE(2023,4,30))</f>
        <v/>
      </c>
      <c r="G6" s="95" t="inlineStr">
        <is>
          <t>ABRIL</t>
        </is>
      </c>
      <c r="H6" s="342">
        <f>SUMIFS('2020'!$K$14:$K$567,'2020'!$L$14:$L$567,"&gt;="&amp;DATE(2020,4,1),'2020'!$L$14:$L$567,"&lt;="&amp;DATE(2020,4,30),'2020'!$M$14:$M$567,"X")</f>
        <v/>
      </c>
      <c r="I6" s="342">
        <f>SUMIFS('2021'!$K$14:$K$567,'2021'!$L$14:$L$567,"&gt;="&amp;DATE(2021,4,1),'2021'!$L$14:$L$567,"&lt;="&amp;DATE(2021,4,30),'2021'!$M$14:$M$567,"X")</f>
        <v/>
      </c>
      <c r="J6" s="342">
        <f>SUMIFS('2022'!$K$12:$K$565,'2022'!$L$12:$L$565,"&gt;="&amp;DATE(2022,4,1),'2022'!$L$12:$L$565,"&lt;="&amp;DATE(2022,4,30),'2022'!$M$12:$M$565,"X")</f>
        <v/>
      </c>
      <c r="K6" s="342">
        <f>SUMIFS('2023'!$K$12:$K$565,'2023'!$L$12:$L$565,"&gt;="&amp;DATE(2023,4,1),'2023'!$L$12:$L$565,"&lt;="&amp;DATE(2023,4,30),'2023'!$M$12:$M$565,"X")</f>
        <v/>
      </c>
      <c r="M6" s="95" t="inlineStr">
        <is>
          <t>ABRIL</t>
        </is>
      </c>
      <c r="P6" s="342">
        <f>SUMIFS('2023'!$K$12:$K$565,'2023'!$L$12:$L$565,"&gt;="&amp;DATE(2023,4,1),'2023'!$L$12:$L$565,"&lt;="&amp;DATE(2023,4,30),'2023'!$M$12:$M$565,"")</f>
        <v/>
      </c>
      <c r="Q6" s="96">
        <f>H6/B6</f>
        <v/>
      </c>
      <c r="R6" s="96">
        <f>I6/C6</f>
        <v/>
      </c>
      <c r="S6" s="96">
        <f>J6/D6</f>
        <v/>
      </c>
      <c r="T6" s="96" t="n"/>
    </row>
    <row r="7">
      <c r="A7" s="95" t="inlineStr">
        <is>
          <t>MAYO</t>
        </is>
      </c>
      <c r="B7" s="342">
        <f>SUMIFS('2020'!$K$14:$K$567,'2020'!$L$14:$L$567,"&gt;="&amp;DATE(2020,5,1),'2020'!$L$14:$L$567,"&lt;="&amp;DATE(2020,5,31))</f>
        <v/>
      </c>
      <c r="C7" s="342">
        <f>SUMIFS('2021'!$K$14:$K$567,'2021'!$L$14:$L$567,"&gt;="&amp;DATE(2021,5,1),'2021'!$L$14:$L$567,"&lt;="&amp;DATE(2021,5,31))</f>
        <v/>
      </c>
      <c r="D7" s="342">
        <f>SUMIFS('2022'!$K$12:$K$565,'2022'!$L$12:$L$565,"&gt;="&amp;DATE(2022,5,1),'2022'!$L$12:$L$565,"&lt;="&amp;DATE(2022,5,31))</f>
        <v/>
      </c>
      <c r="E7" s="342">
        <f>SUMIFS('2023'!$K$12:$K$565,'2023'!$L$12:$L$565,"&gt;="&amp;DATE(2023,5,1),'2023'!$L$12:$L$565,"&lt;="&amp;DATE(2023,5,31))</f>
        <v/>
      </c>
      <c r="G7" s="95" t="inlineStr">
        <is>
          <t>MAYO</t>
        </is>
      </c>
      <c r="H7" s="342">
        <f>SUMIFS('2020'!$K$14:$K$567,'2020'!$L$14:$L$567,"&gt;="&amp;DATE(2020,5,1),'2020'!$L$14:$L$567,"&lt;="&amp;DATE(2020,5,31),'2020'!$M$14:$M$567,"X")</f>
        <v/>
      </c>
      <c r="I7" s="342">
        <f>SUMIFS('2021'!$K$14:$K$567,'2021'!$L$14:$L$567,"&gt;="&amp;DATE(2021,5,1),'2021'!$L$14:$L$567,"&lt;="&amp;DATE(2021,5,31),'2021'!$M$14:$M$567,"X")</f>
        <v/>
      </c>
      <c r="J7" s="342">
        <f>SUMIFS('2022'!$K$12:$K$565,'2022'!$L$12:$L$565,"&gt;="&amp;DATE(2022,5,1),'2022'!$L$12:$L$565,"&lt;="&amp;DATE(2022,5,31),'2022'!$M$12:$M$565,"X")</f>
        <v/>
      </c>
      <c r="K7" s="342">
        <f>SUMIFS('2023'!$K$12:$K$565,'2023'!$L$12:$L$565,"&gt;="&amp;DATE(2023,5,1),'2023'!$L$12:$L$565,"&lt;="&amp;DATE(2023,5,31),'2023'!$M$12:$M$565,"X")</f>
        <v/>
      </c>
      <c r="M7" s="95" t="inlineStr">
        <is>
          <t>MAYO</t>
        </is>
      </c>
      <c r="P7" s="342">
        <f>SUMIFS('2023'!$K$12:$K$565,'2023'!$L$12:$L$565,"&gt;="&amp;DATE(2023,5,1),'2023'!$L$12:$L$565,"&lt;="&amp;DATE(2023,5,31),'2023'!$M$12:$M$565,"")</f>
        <v/>
      </c>
      <c r="Q7" s="96">
        <f>H7/B7</f>
        <v/>
      </c>
      <c r="R7" s="96">
        <f>I7/C7</f>
        <v/>
      </c>
      <c r="S7" s="96">
        <f>J7/D7</f>
        <v/>
      </c>
      <c r="T7" s="96" t="n"/>
    </row>
    <row r="8">
      <c r="A8" s="95" t="inlineStr">
        <is>
          <t>JUNIO</t>
        </is>
      </c>
      <c r="B8" s="342">
        <f>SUMIFS('2020'!$K$14:$K$567,'2020'!$L$14:$L$567,"&gt;="&amp;DATE(2020,6,1),'2020'!$L$14:$L$567,"&lt;="&amp;DATE(2020,6,30))</f>
        <v/>
      </c>
      <c r="C8" s="342">
        <f>SUMIFS('2021'!$K$14:$K$567,'2021'!$L$14:$L$567,"&gt;="&amp;DATE(2021,6,1),'2021'!$L$14:$L$567,"&lt;="&amp;DATE(2021,6,30))</f>
        <v/>
      </c>
      <c r="D8" s="342">
        <f>SUMIFS('2022'!$K$12:$K$565,'2022'!$L$12:$L$565,"&gt;="&amp;DATE(2022,6,1),'2022'!$L$12:$L$565,"&lt;="&amp;DATE(2022,6,30))</f>
        <v/>
      </c>
      <c r="E8" s="342">
        <f>SUMIFS('2023'!$K$12:$K$565,'2023'!$L$12:$L$565,"&gt;="&amp;DATE(2023,6,1),'2023'!$L$12:$L$565,"&lt;="&amp;DATE(2023,6,30))</f>
        <v/>
      </c>
      <c r="G8" s="95" t="inlineStr">
        <is>
          <t>JUNIO</t>
        </is>
      </c>
      <c r="H8" s="342">
        <f>SUMIFS('2020'!$K$14:$K$567,'2020'!$L$14:$L$567,"&gt;="&amp;DATE(2020,6,1),'2020'!$L$14:$L$567,"&lt;="&amp;DATE(2020,6,30),'2020'!$M$14:$M$567,"X")</f>
        <v/>
      </c>
      <c r="I8" s="342">
        <f>SUMIFS('2021'!$K$14:$K$567,'2021'!$L$14:$L$567,"&gt;="&amp;DATE(2021,6,1),'2021'!$L$14:$L$567,"&lt;="&amp;DATE(2021,6,30),'2021'!$M$14:$M$567,"X")</f>
        <v/>
      </c>
      <c r="J8" s="342">
        <f>SUMIFS('2022'!$K$12:$K$565,'2022'!$L$12:$L$565,"&gt;="&amp;DATE(2022,6,1),'2022'!$L$12:$L$565,"&lt;="&amp;DATE(2022,6,30),'2022'!$M$12:$M$565,"X")</f>
        <v/>
      </c>
      <c r="K8" s="342">
        <f>SUMIFS('2023'!$K$12:$K$565,'2023'!$L$12:$L$565,"&gt;="&amp;DATE(2023,6,1),'2023'!$L$12:$L$565,"&lt;="&amp;DATE(2023,6,30),'2023'!$M$12:$M$565,"X")</f>
        <v/>
      </c>
      <c r="M8" s="95" t="inlineStr">
        <is>
          <t>JUNIO</t>
        </is>
      </c>
      <c r="P8" s="342">
        <f>SUMIFS('2023'!$K$12:$K$565,'2023'!$L$12:$L$565,"&gt;="&amp;DATE(2023,6,1),'2023'!$L$12:$L$565,"&lt;="&amp;DATE(2023,6,30),'2023'!$M$12:$M$565,"")</f>
        <v/>
      </c>
      <c r="Q8" s="96">
        <f>H8/B8</f>
        <v/>
      </c>
      <c r="R8" s="96">
        <f>I8/C8</f>
        <v/>
      </c>
      <c r="S8" s="96">
        <f>J8/D8</f>
        <v/>
      </c>
      <c r="T8" s="96" t="n"/>
    </row>
    <row r="9">
      <c r="A9" s="95" t="inlineStr">
        <is>
          <t>JULIO</t>
        </is>
      </c>
      <c r="B9" s="342">
        <f>SUMIFS('2020'!$K$14:$K$567,'2020'!$L$14:$L$567,"&gt;="&amp;DATE(2020,7,1),'2020'!$L$14:$L$567,"&lt;="&amp;DATE(2020,7,31))</f>
        <v/>
      </c>
      <c r="C9" s="342">
        <f>SUMIFS('2021'!$K$14:$K$567,'2021'!$L$14:$L$567,"&gt;="&amp;DATE(2021,7,1),'2021'!$L$14:$L$567,"&lt;="&amp;DATE(2021,7,31))</f>
        <v/>
      </c>
      <c r="D9" s="342">
        <f>SUMIFS('2022'!$K$12:$K$565,'2022'!$L$12:$L$565,"&gt;="&amp;DATE(2022,7,1),'2022'!$L$12:$L$565,"&lt;="&amp;DATE(2022,7,31))</f>
        <v/>
      </c>
      <c r="E9" s="342">
        <f>SUMIFS('2023'!$K$12:$K$565,'2023'!$L$12:$L$565,"&gt;="&amp;DATE(2023,7,1),'2023'!$L$12:$L$565,"&lt;="&amp;DATE(2023,7,31))</f>
        <v/>
      </c>
      <c r="G9" s="95" t="inlineStr">
        <is>
          <t>JULIO</t>
        </is>
      </c>
      <c r="H9" s="342">
        <f>SUMIFS('2020'!$K$14:$K$567,'2020'!$L$14:$L$567,"&gt;="&amp;DATE(2020,7,1),'2020'!$L$14:$L$567,"&lt;="&amp;DATE(2020,7,31),'2020'!$M$14:$M$567,"X")</f>
        <v/>
      </c>
      <c r="I9" s="342">
        <f>SUMIFS('2021'!$K$14:$K$567,'2021'!$L$14:$L$567,"&gt;="&amp;DATE(2021,7,1),'2021'!$L$14:$L$567,"&lt;="&amp;DATE(2021,7,31),'2021'!$M$14:$M$567,"X")</f>
        <v/>
      </c>
      <c r="J9" s="342">
        <f>SUMIFS('2022'!$K$12:$K$565,'2022'!$L$12:$L$565,"&gt;="&amp;DATE(2022,7,1),'2022'!$L$12:$L$565,"&lt;="&amp;DATE(2022,7,31),'2022'!$M$12:$M$565,"X")</f>
        <v/>
      </c>
      <c r="K9" s="342">
        <f>SUMIFS('2023'!$K$12:$K$565,'2023'!$L$12:$L$565,"&gt;="&amp;DATE(2023,7,1),'2023'!$L$12:$L$565,"&lt;="&amp;DATE(2023,7,31),'2023'!$M$12:$M$565,"X")</f>
        <v/>
      </c>
      <c r="M9" s="95" t="inlineStr">
        <is>
          <t>JULIO</t>
        </is>
      </c>
      <c r="P9" s="342">
        <f>SUMIFS('2023'!$K$12:$K$565,'2023'!$L$12:$L$565,"&gt;="&amp;DATE(2023,7,1),'2023'!$L$12:$L$565,"&lt;="&amp;DATE(2023,7,31),'2023'!$M$12:$M$565,"")</f>
        <v/>
      </c>
      <c r="Q9" s="96">
        <f>H9/B9</f>
        <v/>
      </c>
      <c r="R9" s="96">
        <f>I9/C9</f>
        <v/>
      </c>
      <c r="S9" s="96">
        <f>J9/D9</f>
        <v/>
      </c>
      <c r="T9" s="96" t="n"/>
    </row>
    <row r="10">
      <c r="A10" s="95" t="inlineStr">
        <is>
          <t>AGOSTO</t>
        </is>
      </c>
      <c r="B10" s="342">
        <f>SUMIFS('2020'!$K$14:$K$567,'2020'!$L$14:$L$567,"&gt;="&amp;DATE(2020,8,1),'2020'!$L$14:$L$567,"&lt;="&amp;DATE(2020,8,31))</f>
        <v/>
      </c>
      <c r="C10" s="342">
        <f>SUMIFS('2021'!$K$14:$K$567,'2021'!$L$14:$L$567,"&gt;="&amp;DATE(2021,8,1),'2021'!$L$14:$L$567,"&lt;="&amp;DATE(2021,8,31))</f>
        <v/>
      </c>
      <c r="D10" s="342">
        <f>SUMIFS('2022'!$K$12:$K$565,'2022'!$L$12:$L$565,"&gt;="&amp;DATE(2022,8,1),'2022'!$L$12:$L$565,"&lt;="&amp;DATE(2022,8,31))</f>
        <v/>
      </c>
      <c r="E10" s="342">
        <f>SUMIFS('2023'!$K$12:$K$565,'2023'!$L$12:$L$565,"&gt;="&amp;DATE(2023,8,1),'2023'!$L$12:$L$565,"&lt;="&amp;DATE(2023,8,31))</f>
        <v/>
      </c>
      <c r="G10" s="95" t="inlineStr">
        <is>
          <t>AGOSTO</t>
        </is>
      </c>
      <c r="H10" s="342">
        <f>SUMIFS('2020'!$K$14:$K$567,'2020'!$L$14:$L$567,"&gt;="&amp;DATE(2020,8,1),'2020'!$L$14:$L$567,"&lt;="&amp;DATE(2020,8,31),'2020'!$M$14:$M$567,"X")</f>
        <v/>
      </c>
      <c r="I10" s="342">
        <f>SUMIFS('2021'!$K$14:$K$567,'2021'!$L$14:$L$567,"&gt;="&amp;DATE(2021,8,1),'2021'!$L$14:$L$567,"&lt;="&amp;DATE(2021,8,31),'2021'!$M$14:$M$567,"X")</f>
        <v/>
      </c>
      <c r="J10" s="342">
        <f>SUMIFS('2022'!$K$12:$K$565,'2022'!$L$12:$L$565,"&gt;="&amp;DATE(2022,8,1),'2022'!$L$12:$L$565,"&lt;="&amp;DATE(2022,8,31),'2022'!$M$12:$M$565,"X")</f>
        <v/>
      </c>
      <c r="K10" s="342">
        <f>SUMIFS('2023'!$K$12:$K$565,'2023'!$L$12:$L$565,"&gt;="&amp;DATE(2023,8,1),'2023'!$L$12:$L$565,"&lt;="&amp;DATE(2023,8,31),'2023'!$M$12:$M$565,"X")</f>
        <v/>
      </c>
      <c r="M10" s="95" t="inlineStr">
        <is>
          <t>AGOSTO</t>
        </is>
      </c>
      <c r="P10" s="342">
        <f>SUMIFS('2023'!$K$12:$K$565,'2023'!$L$12:$L$565,"&gt;="&amp;DATE(2023,8,1),'2023'!$L$12:$L$565,"&lt;="&amp;DATE(2023,8,31),'2023'!$M$12:$M$565,"")</f>
        <v/>
      </c>
      <c r="Q10" s="96">
        <f>H10/B10</f>
        <v/>
      </c>
      <c r="R10" s="96">
        <f>I10/C10</f>
        <v/>
      </c>
      <c r="S10" s="96">
        <f>J10/D10</f>
        <v/>
      </c>
      <c r="T10" s="96" t="n"/>
    </row>
    <row r="11">
      <c r="A11" s="95" t="inlineStr">
        <is>
          <t>SEPTIEMBRE</t>
        </is>
      </c>
      <c r="B11" s="342">
        <f>SUMIFS('2020'!$K$14:$K$567,'2020'!$L$14:$L$567,"&gt;="&amp;DATE(2020,9,1),'2020'!$L$14:$L$567,"&lt;="&amp;DATE(2020,9,31))</f>
        <v/>
      </c>
      <c r="C11" s="342">
        <f>SUMIFS('2021'!$K$14:$K$567,'2021'!$L$14:$L$567,"&gt;="&amp;DATE(2021,9,1),'2021'!$L$14:$L$567,"&lt;="&amp;DATE(2021,9,31))</f>
        <v/>
      </c>
      <c r="D11" s="342">
        <f>SUMIFS('2022'!$K$12:$K$565,'2022'!$L$12:$L$565,"&gt;="&amp;DATE(2022,9,1),'2022'!$L$12:$L$565,"&lt;="&amp;DATE(2022,9,31))</f>
        <v/>
      </c>
      <c r="E11" s="342">
        <f>SUMIFS('2023'!$K$12:$K$565,'2023'!$L$12:$L$565,"&gt;="&amp;DATE(2023,9,1),'2023'!$L$12:$L$565,"&lt;="&amp;DATE(2023,9,31))</f>
        <v/>
      </c>
      <c r="G11" s="95" t="inlineStr">
        <is>
          <t>SEPTIEMBRE</t>
        </is>
      </c>
      <c r="H11" s="342">
        <f>SUMIFS('2020'!$K$14:$K$567,'2020'!$L$14:$L$567,"&gt;="&amp;DATE(2020,9,1),'2020'!$L$14:$L$567,"&lt;="&amp;DATE(2020,9,31),'2020'!$M$14:$M$567,"X")</f>
        <v/>
      </c>
      <c r="I11" s="342">
        <f>SUMIFS('2021'!$K$14:$K$567,'2021'!$L$14:$L$567,"&gt;="&amp;DATE(2021,9,1),'2021'!$L$14:$L$567,"&lt;="&amp;DATE(2021,9,31),'2021'!$M$14:$M$567,"X")</f>
        <v/>
      </c>
      <c r="J11" s="342">
        <f>SUMIFS('2022'!$K$12:$K$565,'2022'!$L$12:$L$565,"&gt;="&amp;DATE(2022,9,1),'2022'!$L$12:$L$565,"&lt;="&amp;DATE(2022,9,31),'2022'!$M$12:$M$565,"X")</f>
        <v/>
      </c>
      <c r="K11" s="342">
        <f>SUMIFS('2023'!$K$12:$K$565,'2023'!$L$12:$L$565,"&gt;="&amp;DATE(2023,9,1),'2023'!$L$12:$L$565,"&lt;="&amp;DATE(2023,9,31),'2023'!$M$12:$M$565,"X")</f>
        <v/>
      </c>
      <c r="M11" s="95" t="inlineStr">
        <is>
          <t>SEPTIEMBRE</t>
        </is>
      </c>
      <c r="P11" s="342">
        <f>SUMIFS('2023'!$K$12:$K$565,'2023'!$L$12:$L$565,"&gt;="&amp;DATE(2023,9,1),'2023'!$L$12:$L$565,"&lt;="&amp;DATE(2023,9,31),'2023'!$M$12:$M$565,"")</f>
        <v/>
      </c>
      <c r="Q11" s="96">
        <f>H11/B11</f>
        <v/>
      </c>
      <c r="R11" s="96">
        <f>I11/C11</f>
        <v/>
      </c>
      <c r="S11" s="96">
        <f>J11/D11</f>
        <v/>
      </c>
      <c r="T11" s="96" t="n"/>
    </row>
    <row r="12">
      <c r="A12" s="95" t="inlineStr">
        <is>
          <t>OCTUBRE</t>
        </is>
      </c>
      <c r="B12" s="342">
        <f>SUMIFS('2020'!$K$14:$K$567,'2020'!$L$14:$L$567,"&gt;="&amp;DATE(2020,10,1),'2020'!$L$14:$L$567,"&lt;="&amp;DATE(2020,10,31))</f>
        <v/>
      </c>
      <c r="C12" s="342">
        <f>SUMIFS('2021'!$K$14:$K$567,'2021'!$L$14:$L$567,"&gt;="&amp;DATE(2021,10,1),'2021'!$L$14:$L$567,"&lt;="&amp;DATE(2021,10,31))</f>
        <v/>
      </c>
      <c r="D12" s="342">
        <f>SUMIFS('2022'!$K$12:$K$565,'2022'!$L$12:$L$565,"&gt;="&amp;DATE(2022,10,1),'2022'!$L$12:$L$565,"&lt;="&amp;DATE(2022,10,31))</f>
        <v/>
      </c>
      <c r="E12" s="342">
        <f>SUMIFS('2023'!$K$12:$K$565,'2023'!$L$12:$L$565,"&gt;="&amp;DATE(2023,10,1),'2023'!$L$12:$L$565,"&lt;="&amp;DATE(2023,10,31))</f>
        <v/>
      </c>
      <c r="G12" s="95" t="inlineStr">
        <is>
          <t>OCTUBRE</t>
        </is>
      </c>
      <c r="H12" s="342">
        <f>SUMIFS('2020'!$K$14:$K$567,'2020'!$L$14:$L$567,"&gt;="&amp;DATE(2020,10,1),'2020'!$L$14:$L$567,"&lt;="&amp;DATE(2020,10,31),'2020'!$M$14:$M$567,"X")</f>
        <v/>
      </c>
      <c r="I12" s="342">
        <f>SUMIFS('2021'!$K$14:$K$567,'2021'!$L$14:$L$567,"&gt;="&amp;DATE(2021,10,1),'2021'!$L$14:$L$567,"&lt;="&amp;DATE(2021,10,31),'2021'!$M$14:$M$567,"X")</f>
        <v/>
      </c>
      <c r="J12" s="342">
        <f>SUMIFS('2022'!$K$12:$K$565,'2022'!$L$12:$L$565,"&gt;="&amp;DATE(2022,10,1),'2022'!$L$12:$L$565,"&lt;="&amp;DATE(2022,10,31),'2022'!$M$12:$M$565,"X")</f>
        <v/>
      </c>
      <c r="K12" s="342">
        <f>SUMIFS('2023'!$K$12:$K$565,'2023'!$L$12:$L$565,"&gt;="&amp;DATE(2023,10,1),'2023'!$L$12:$L$565,"&lt;="&amp;DATE(2023,10,31),'2023'!$M$12:$M$565,"X")</f>
        <v/>
      </c>
      <c r="M12" s="95" t="inlineStr">
        <is>
          <t>OCTUBRE</t>
        </is>
      </c>
      <c r="P12" s="342">
        <f>SUMIFS('2023'!$K$12:$K$565,'2023'!$L$12:$L$565,"&gt;="&amp;DATE(2023,10,1),'2023'!$L$12:$L$565,"&lt;="&amp;DATE(2023,10,31),'2023'!$M$12:$M$565,"")</f>
        <v/>
      </c>
      <c r="Q12" s="96">
        <f>H12/B12</f>
        <v/>
      </c>
      <c r="R12" s="96">
        <f>I12/C12</f>
        <v/>
      </c>
      <c r="S12" s="96">
        <f>J12/D12</f>
        <v/>
      </c>
      <c r="T12" s="96" t="n"/>
    </row>
    <row r="13">
      <c r="A13" s="95" t="inlineStr">
        <is>
          <t>NOVIEMBRE</t>
        </is>
      </c>
      <c r="B13" s="342">
        <f>SUMIFS('2020'!$K$14:$K$567,'2020'!$L$14:$L$567,"&gt;="&amp;DATE(2020,10,1),'2020'!$L$14:$L$567,"&lt;="&amp;DATE(2020,10,30))</f>
        <v/>
      </c>
      <c r="C13" s="342">
        <f>SUMIFS('2021'!$K$14:$K$567,'2021'!$L$14:$L$567,"&gt;="&amp;DATE(2021,10,1),'2021'!$L$14:$L$567,"&lt;="&amp;DATE(2021,10,30))</f>
        <v/>
      </c>
      <c r="D13" s="342">
        <f>SUMIFS('2022'!$K$12:$K$565,'2022'!$L$12:$L$565,"&gt;="&amp;DATE(2022,10,1),'2022'!$L$12:$L$565,"&lt;="&amp;DATE(2022,10,30))</f>
        <v/>
      </c>
      <c r="E13" s="342">
        <f>SUMIFS('2023'!$K$12:$K$565,'2023'!$L$12:$L$565,"&gt;="&amp;DATE(2023,10,1),'2023'!$L$12:$L$565,"&lt;="&amp;DATE(2023,10,30))</f>
        <v/>
      </c>
      <c r="G13" s="95" t="inlineStr">
        <is>
          <t>NOVIEMBRE</t>
        </is>
      </c>
      <c r="H13" s="342">
        <f>SUMIFS('2020'!$K$14:$K$567,'2020'!$L$14:$L$567,"&gt;="&amp;DATE(2020,10,1),'2020'!$L$14:$L$567,"&lt;="&amp;DATE(2020,10,30),'2020'!$M$14:$M$567,"X")</f>
        <v/>
      </c>
      <c r="I13" s="342">
        <f>SUMIFS('2021'!$K$14:$K$567,'2021'!$L$14:$L$567,"&gt;="&amp;DATE(2021,10,1),'2021'!$L$14:$L$567,"&lt;="&amp;DATE(2021,10,30),'2021'!$M$14:$M$567,"X")</f>
        <v/>
      </c>
      <c r="J13" s="342">
        <f>SUMIFS('2022'!$K$12:$K$565,'2022'!$L$12:$L$565,"&gt;="&amp;DATE(2022,10,1),'2022'!$L$12:$L$565,"&lt;="&amp;DATE(2022,10,30),'2022'!$M$12:$M$565,"X")</f>
        <v/>
      </c>
      <c r="K13" s="342">
        <f>SUMIFS('2023'!$K$12:$K$565,'2023'!$L$12:$L$565,"&gt;="&amp;DATE(2023,10,1),'2023'!$L$12:$L$565,"&lt;="&amp;DATE(2023,10,30),'2023'!$M$12:$M$565,"X")</f>
        <v/>
      </c>
      <c r="M13" s="95" t="inlineStr">
        <is>
          <t>NOVIEMBRE</t>
        </is>
      </c>
      <c r="P13" s="342">
        <f>SUMIFS('2023'!$K$12:$K$565,'2023'!$L$12:$L$565,"&gt;="&amp;DATE(2023,10,1),'2023'!$L$12:$L$565,"&lt;="&amp;DATE(2023,10,30),'2023'!$M$12:$M$565,"")</f>
        <v/>
      </c>
      <c r="Q13" s="96">
        <f>H13/B13</f>
        <v/>
      </c>
      <c r="R13" s="96">
        <f>I13/C13</f>
        <v/>
      </c>
      <c r="S13" s="96">
        <f>J13/D13</f>
        <v/>
      </c>
      <c r="T13" s="96" t="n"/>
    </row>
    <row r="14">
      <c r="A14" s="95" t="inlineStr">
        <is>
          <t>DICIEMBRE</t>
        </is>
      </c>
      <c r="B14" s="342">
        <f>SUMIFS('2020'!$K$14:$K$567,'2020'!$L$14:$L$567,"&gt;="&amp;DATE(2020,12,1),'2020'!$L$14:$L$567,"&lt;="&amp;DATE(2020,12,31))</f>
        <v/>
      </c>
      <c r="C14" s="342">
        <f>SUMIFS('2021'!$K$14:$K$567,'2021'!$L$14:$L$567,"&gt;="&amp;DATE(2021,12,1),'2021'!$L$14:$L$567,"&lt;="&amp;DATE(2021,12,31))</f>
        <v/>
      </c>
      <c r="D14" s="342">
        <f>SUMIFS('2022'!$K$12:$K$565,'2022'!$L$12:$L$565,"&gt;="&amp;DATE(2022,12,1),'2022'!$L$12:$L$565,"&lt;="&amp;DATE(2022,12,31))</f>
        <v/>
      </c>
      <c r="E14" s="342">
        <f>SUMIFS('2023'!$K$12:$K$565,'2023'!$L$12:$L$565,"&gt;="&amp;DATE(2023,12,1),'2023'!$L$12:$L$565,"&lt;="&amp;DATE(2023,12,31))</f>
        <v/>
      </c>
      <c r="G14" s="95" t="inlineStr">
        <is>
          <t>DICIEMBRE</t>
        </is>
      </c>
      <c r="H14" s="342">
        <f>SUMIFS('2020'!$K$14:$K$567,'2020'!$L$14:$L$567,"&gt;="&amp;DATE(2020,12,1),'2020'!$L$14:$L$567,"&lt;="&amp;DATE(2020,12,31),'2020'!$M$14:$M$567,"X")</f>
        <v/>
      </c>
      <c r="I14" s="342">
        <f>SUMIFS('2021'!$K$14:$K$567,'2021'!$L$14:$L$567,"&gt;="&amp;DATE(2021,12,1),'2021'!$L$14:$L$567,"&lt;="&amp;DATE(2021,12,31),'2021'!$M$14:$M$567,"X")</f>
        <v/>
      </c>
      <c r="J14" s="342">
        <f>SUMIFS('2022'!$K$12:$K$565,'2022'!$L$12:$L$565,"&gt;="&amp;DATE(2022,12,1),'2022'!$L$12:$L$565,"&lt;="&amp;DATE(2022,12,31),'2022'!$M$12:$M$565,"X")</f>
        <v/>
      </c>
      <c r="K14" s="342">
        <f>SUMIFS('2023'!$K$12:$K$565,'2023'!$L$12:$L$565,"&gt;="&amp;DATE(2023,12,1),'2023'!$L$12:$L$565,"&lt;="&amp;DATE(2023,12,31),'2023'!$M$12:$M$565,"X")</f>
        <v/>
      </c>
      <c r="M14" s="95" t="inlineStr">
        <is>
          <t>DICIEMBRE</t>
        </is>
      </c>
      <c r="P14" s="342">
        <f>SUMIFS('2023'!$K$12:$K$565,'2023'!$L$12:$L$565,"&gt;="&amp;DATE(2023,12,1),'2023'!$L$12:$L$565,"&lt;="&amp;DATE(2023,12,31),'2023'!$M$12:$M$565,"")</f>
        <v/>
      </c>
      <c r="Q14" s="96">
        <f>H14/B14</f>
        <v/>
      </c>
      <c r="R14" s="96">
        <f>I14/C14</f>
        <v/>
      </c>
      <c r="S14" s="96">
        <f>J14/D14</f>
        <v/>
      </c>
      <c r="T14" s="96" t="n"/>
    </row>
    <row r="15">
      <c r="Q15" s="96">
        <f>SUM(Q3:Q14)/12</f>
        <v/>
      </c>
      <c r="R15" s="96">
        <f>SUM(R3:R14)/12</f>
        <v/>
      </c>
      <c r="S15" s="96">
        <f>SUM(S3:S14)/12</f>
        <v/>
      </c>
    </row>
  </sheetData>
  <mergeCells count="4">
    <mergeCell ref="C1:E1"/>
    <mergeCell ref="N1:P1"/>
    <mergeCell ref="Q1:T1"/>
    <mergeCell ref="I1:K1"/>
  </mergeCells>
  <pageMargins left="0.7" right="0.7" top="0.75" bottom="0.75" header="0.3" footer="0.3"/>
  <pageSetup orientation="portrait" paperSize="9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Juan</dc:creator>
  <dcterms:created xmlns:dcterms="http://purl.org/dc/terms/" xmlns:xsi="http://www.w3.org/2001/XMLSchema-instance" xsi:type="dcterms:W3CDTF">2018-05-05T21:10:02Z</dcterms:created>
  <dcterms:modified xmlns:dcterms="http://purl.org/dc/terms/" xmlns:xsi="http://www.w3.org/2001/XMLSchema-instance" xsi:type="dcterms:W3CDTF">2026-08-07T17:21:34Z</dcterms:modified>
  <cp:lastModifiedBy>USER</cp:lastModifiedBy>
  <cp:lastPrinted>2025-07-29T22:14:18Z</cp:lastPrinted>
</cp:coreProperties>
</file>